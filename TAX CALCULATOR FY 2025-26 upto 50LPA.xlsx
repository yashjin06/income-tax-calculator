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Antigravity\Income Tax Calculator\"/>
    </mc:Choice>
  </mc:AlternateContent>
  <xr:revisionPtr revIDLastSave="0" documentId="13_ncr:1_{F24A58EE-CEF2-4F22-9155-3071E3D965FD}" xr6:coauthVersionLast="47" xr6:coauthVersionMax="47" xr10:uidLastSave="{00000000-0000-0000-0000-000000000000}"/>
  <bookViews>
    <workbookView xWindow="-108" yWindow="-108" windowWidth="23256" windowHeight="13896" xr2:uid="{00000000-000D-0000-FFFF-FFFF00000000}"/>
  </bookViews>
  <sheets>
    <sheet name="Taxation Updat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3" i="1" l="1"/>
  <c r="L28" i="1"/>
  <c r="D11" i="1"/>
  <c r="E11" i="1" s="1"/>
  <c r="D21" i="1"/>
  <c r="D20" i="1"/>
  <c r="D19" i="1"/>
  <c r="E19" i="1" s="1"/>
  <c r="D18" i="1"/>
  <c r="D17" i="1"/>
  <c r="D15" i="1"/>
  <c r="E15" i="1" s="1"/>
  <c r="D12" i="1" l="1"/>
  <c r="D13" i="1" s="1"/>
  <c r="D22" i="1" s="1"/>
  <c r="J9" i="1" s="1"/>
  <c r="L9" i="1" s="1"/>
  <c r="E12" i="1"/>
  <c r="E13" i="1" s="1"/>
  <c r="E22" i="1" s="1"/>
  <c r="L44" i="1" l="1"/>
  <c r="J36" i="1"/>
  <c r="K36" i="1" s="1"/>
  <c r="J37" i="1" s="1"/>
  <c r="K37" i="1" s="1"/>
  <c r="J38" i="1" s="1"/>
  <c r="K38" i="1" s="1"/>
  <c r="J39" i="1" s="1"/>
  <c r="K39" i="1" s="1"/>
  <c r="J40" i="1" s="1"/>
  <c r="K40" i="1" s="1"/>
  <c r="J41" i="1" s="1"/>
  <c r="K41" i="1" s="1"/>
  <c r="J42" i="1" s="1"/>
  <c r="L42" i="1" s="1"/>
  <c r="J21" i="1"/>
  <c r="L21" i="1" s="1"/>
  <c r="K9" i="1"/>
  <c r="L38" i="1" l="1"/>
  <c r="L39" i="1"/>
  <c r="L36" i="1"/>
  <c r="L37" i="1"/>
  <c r="L40" i="1"/>
  <c r="L41" i="1"/>
  <c r="K21" i="1"/>
  <c r="J10" i="1"/>
  <c r="L10" i="1" s="1"/>
  <c r="L45" i="1" l="1"/>
  <c r="K10" i="1"/>
  <c r="J11" i="1" s="1"/>
  <c r="L11" i="1" s="1"/>
  <c r="J22" i="1"/>
  <c r="L22" i="1" s="1"/>
  <c r="K11" i="1" l="1"/>
  <c r="J12" i="1" s="1"/>
  <c r="L12" i="1" s="1"/>
  <c r="L13" i="1" s="1"/>
  <c r="K22" i="1"/>
  <c r="J23" i="1" s="1"/>
  <c r="L23" i="1" s="1"/>
  <c r="L14" i="1" l="1"/>
  <c r="L15" i="1" s="1"/>
  <c r="L16" i="1" s="1"/>
  <c r="L17" i="1" s="1"/>
  <c r="D24" i="1" s="1"/>
  <c r="K23" i="1" l="1"/>
  <c r="J24" i="1" s="1"/>
  <c r="L24" i="1" s="1"/>
  <c r="L46" i="1" l="1"/>
  <c r="L47" i="1" s="1"/>
  <c r="L48" i="1" s="1"/>
  <c r="K24" i="1" l="1"/>
  <c r="J25" i="1" s="1"/>
  <c r="L25" i="1" s="1"/>
  <c r="K25" i="1" l="1"/>
  <c r="J26" i="1" l="1"/>
  <c r="K26" i="1" l="1"/>
  <c r="J27" i="1" s="1"/>
  <c r="L27" i="1" s="1"/>
  <c r="L26" i="1"/>
  <c r="L29" i="1" l="1"/>
  <c r="L30" i="1" s="1"/>
  <c r="L31" i="1" s="1"/>
  <c r="L32" i="1" s="1"/>
  <c r="D26" i="1" s="1"/>
  <c r="D28" i="1" s="1"/>
  <c r="D30" i="1" s="1"/>
</calcChain>
</file>

<file path=xl/sharedStrings.xml><?xml version="1.0" encoding="utf-8"?>
<sst xmlns="http://schemas.openxmlformats.org/spreadsheetml/2006/main" count="84" uniqueCount="55">
  <si>
    <t>OLD REGIME</t>
  </si>
  <si>
    <t xml:space="preserve"> (FOR RESIDENT INDIVIDUAL HAVING INCOME UP TO RS.50 LAKH)</t>
  </si>
  <si>
    <t>Income Tax Slab</t>
  </si>
  <si>
    <t>Tax rate</t>
  </si>
  <si>
    <t>Amount</t>
  </si>
  <si>
    <t>Balance</t>
  </si>
  <si>
    <t>Tax</t>
  </si>
  <si>
    <t>Upto 2,50,000</t>
  </si>
  <si>
    <t>PARTICULAR</t>
  </si>
  <si>
    <t>ACTUAL</t>
  </si>
  <si>
    <t>NEW REGIME</t>
  </si>
  <si>
    <t>2,50,001 - 5,00,000</t>
  </si>
  <si>
    <t>GROSS SALARY</t>
  </si>
  <si>
    <t>5,00,001 - 10,00,000</t>
  </si>
  <si>
    <t>LESS: STANDARD DEDUCTION</t>
  </si>
  <si>
    <t>Above 10,00,000</t>
  </si>
  <si>
    <t>NET SALARY</t>
  </si>
  <si>
    <t>Total Tax</t>
  </si>
  <si>
    <t>Less:Rebate u/s 87A for Total Income upto 5 lakh (Max Rs. 12,500/-)</t>
  </si>
  <si>
    <t>INCOME OTHER THAN SALARY AND SPECIAL RATE INCOME</t>
  </si>
  <si>
    <t>Net Tax Payable</t>
  </si>
  <si>
    <t xml:space="preserve">Add: Cess @ 4% </t>
  </si>
  <si>
    <t>HOME LOAN INTEREST</t>
  </si>
  <si>
    <t>NA</t>
  </si>
  <si>
    <t>Total Tax Liability</t>
  </si>
  <si>
    <t>80C</t>
  </si>
  <si>
    <t>80CCD(2)</t>
  </si>
  <si>
    <t>80D</t>
  </si>
  <si>
    <t>OTHER DEDUCTIONS</t>
  </si>
  <si>
    <t>NET TAXABLE INCOME</t>
  </si>
  <si>
    <t>TAX AS PER OLD REGIME</t>
  </si>
  <si>
    <t>TAX AS PER NEW REGIME</t>
  </si>
  <si>
    <t>DIFFERENCE IN TAX (OLD REGIME - NEW REGIME)</t>
  </si>
  <si>
    <t>WHICH REGIME IS BENEFICIAL</t>
  </si>
  <si>
    <t>Add: Cess@4%</t>
  </si>
  <si>
    <t>Effect of Marginal Relief Also Considered in New Tax Regime</t>
  </si>
  <si>
    <t>Increase in Income</t>
  </si>
  <si>
    <t xml:space="preserve">MUST NOTE THAT </t>
  </si>
  <si>
    <t xml:space="preserve"> (MINUMUM AMOUNT MUST BE ZERO IN ALL THE BLACK HIGHLIGHTED CELLS)</t>
  </si>
  <si>
    <t>Less:Rebate u/s 87A for Total Income upto 12 lakh (Max Rs. 60,000/-)</t>
  </si>
  <si>
    <t>Upto 4,00,000</t>
  </si>
  <si>
    <t>4,00,001- 8,00,000</t>
  </si>
  <si>
    <t>8,00,001 - 12,00,000</t>
  </si>
  <si>
    <t>12,00,001 - 16,00,000</t>
  </si>
  <si>
    <t>16,00,001 - 20,00,000</t>
  </si>
  <si>
    <t>20,00,001 - 24,00,000</t>
  </si>
  <si>
    <t>Above 24,00,000</t>
  </si>
  <si>
    <t>NEW REGIME (For Net Taxable Income up to Rs.12,00,000 or Above Rs.12,70,588)</t>
  </si>
  <si>
    <t>NEW REGIME (For Net Taxable Income From Rs.12,00,000 to Rs.12,70,588)</t>
  </si>
  <si>
    <t>NEED TO ENTER AMOUNTS MANUALLY IN GREY HIGHLIGHTED CELLS ONLY</t>
  </si>
  <si>
    <t>INCOME TAX CALCULATOR FOR AY 2026-27 (FY 2025-26)</t>
  </si>
  <si>
    <t xml:space="preserve">INCOME TAX CALCULATOR FOR AY 2026-27 (FY 2025-26)     </t>
  </si>
  <si>
    <r>
      <rPr>
        <b/>
        <u/>
        <sz val="11"/>
        <color theme="1"/>
        <rFont val="Calibri"/>
        <family val="2"/>
        <scheme val="major"/>
      </rPr>
      <t>Disclaimer</t>
    </r>
    <r>
      <rPr>
        <sz val="11"/>
        <color theme="1"/>
        <rFont val="Calibri"/>
        <family val="2"/>
        <scheme val="major"/>
      </rPr>
      <t xml:space="preserve">
The above calculator is only for a quick and an easy access to basic tax calculation for resident individual having income up to Rs.50 lakh and which was taxable at normal tax rates and age less than 60 years and does not give correct income &amp; tax calculation in all circumstances. It is advised that for filing of returns, the exact tax calculation may be made as per the provisions contained in the relevant Acts, Rules etc</t>
    </r>
  </si>
  <si>
    <t>NAME:</t>
  </si>
  <si>
    <t>PAN: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</si>
</sst>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_-;\-* #,##0_-;_-* &quot;-&quot;??_-;_-@"/>
    <numFmt numFmtId="165" formatCode="_ * #,##0.00_ ;_ * \-#,##0.00_ ;_ * &quot;-&quot;??_ ;_ @_ "/>
  </numFmts>
  <fonts count="13" x14ac:knownFonts="1">
    <font>
      <sz val="11"/>
      <color theme="1"/>
      <name val="Calibri"/>
      <scheme val="minor"/>
    </font>
    <font>
      <sz val="11"/>
      <color theme="1"/>
      <name val="Calibri"/>
      <family val="2"/>
      <scheme val="major"/>
    </font>
    <font>
      <b/>
      <sz val="24"/>
      <color theme="1"/>
      <name val="Calibri"/>
      <family val="2"/>
      <scheme val="major"/>
    </font>
    <font>
      <sz val="11"/>
      <name val="Calibri"/>
      <family val="2"/>
      <scheme val="major"/>
    </font>
    <font>
      <sz val="14"/>
      <color theme="1"/>
      <name val="Calibri"/>
      <family val="2"/>
      <scheme val="major"/>
    </font>
    <font>
      <sz val="10"/>
      <color theme="1"/>
      <name val="Calibri"/>
      <family val="2"/>
      <scheme val="major"/>
    </font>
    <font>
      <b/>
      <sz val="11"/>
      <color theme="1"/>
      <name val="Calibri"/>
      <family val="2"/>
      <scheme val="major"/>
    </font>
    <font>
      <sz val="10"/>
      <color rgb="FF000000"/>
      <name val="Calibri"/>
      <family val="2"/>
      <scheme val="major"/>
    </font>
    <font>
      <sz val="11"/>
      <color rgb="FF000000"/>
      <name val="Calibri"/>
      <family val="2"/>
      <scheme val="major"/>
    </font>
    <font>
      <b/>
      <sz val="10"/>
      <color theme="1"/>
      <name val="Calibri"/>
      <family val="2"/>
      <scheme val="major"/>
    </font>
    <font>
      <b/>
      <sz val="12"/>
      <color theme="1"/>
      <name val="Calibri"/>
      <family val="2"/>
      <scheme val="major"/>
    </font>
    <font>
      <b/>
      <sz val="11"/>
      <name val="Calibri"/>
      <family val="2"/>
      <scheme val="major"/>
    </font>
    <font>
      <b/>
      <u/>
      <sz val="11"/>
      <color theme="1"/>
      <name val="Calibri"/>
      <family val="2"/>
      <scheme val="major"/>
    </font>
  </fonts>
  <fills count="8">
    <fill>
      <patternFill patternType="none"/>
    </fill>
    <fill>
      <patternFill patternType="gray125"/>
    </fill>
    <fill>
      <patternFill patternType="solid">
        <fgColor rgb="FFFFFFFF"/>
        <bgColor rgb="FFFFFFFF"/>
      </patternFill>
    </fill>
    <fill>
      <patternFill patternType="solid">
        <fgColor theme="8" tint="0.59999389629810485"/>
        <bgColor rgb="FF95B3D7"/>
      </patternFill>
    </fill>
    <fill>
      <patternFill patternType="solid">
        <fgColor theme="8" tint="0.59999389629810485"/>
        <bgColor indexed="64"/>
      </patternFill>
    </fill>
    <fill>
      <patternFill patternType="solid">
        <fgColor theme="8" tint="0.59999389629810485"/>
        <bgColor rgb="FFB8CCE4"/>
      </patternFill>
    </fill>
    <fill>
      <patternFill patternType="solid">
        <fgColor theme="0" tint="-0.14999847407452621"/>
        <bgColor rgb="FFD8D8D8"/>
      </patternFill>
    </fill>
    <fill>
      <patternFill patternType="solid">
        <fgColor theme="0" tint="-0.14999847407452621"/>
        <bgColor indexed="64"/>
      </patternFill>
    </fill>
  </fills>
  <borders count="52">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bottom style="medium">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bottom/>
      <diagonal/>
    </border>
    <border>
      <left/>
      <right style="medium">
        <color rgb="FF000000"/>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rgb="FF000000"/>
      </left>
      <right style="medium">
        <color rgb="FF00000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s>
  <cellStyleXfs count="1">
    <xf numFmtId="0" fontId="0" fillId="0" borderId="0"/>
  </cellStyleXfs>
  <cellXfs count="106">
    <xf numFmtId="0" fontId="0" fillId="0" borderId="0" xfId="0"/>
    <xf numFmtId="0" fontId="1" fillId="0" borderId="0" xfId="0" applyFont="1"/>
    <xf numFmtId="1" fontId="6" fillId="0" borderId="14" xfId="0" applyNumberFormat="1" applyFont="1" applyBorder="1" applyAlignment="1">
      <alignment horizontal="center" vertical="center"/>
    </xf>
    <xf numFmtId="1" fontId="6" fillId="0" borderId="15" xfId="0" applyNumberFormat="1" applyFont="1" applyBorder="1" applyAlignment="1">
      <alignment horizontal="center" vertical="center"/>
    </xf>
    <xf numFmtId="0" fontId="3" fillId="0" borderId="18" xfId="0" applyFont="1" applyBorder="1"/>
    <xf numFmtId="1" fontId="7" fillId="0" borderId="19" xfId="0" applyNumberFormat="1" applyFont="1" applyBorder="1" applyAlignment="1">
      <alignment horizontal="center"/>
    </xf>
    <xf numFmtId="165" fontId="7" fillId="0" borderId="19" xfId="0" applyNumberFormat="1" applyFont="1" applyBorder="1"/>
    <xf numFmtId="165" fontId="8" fillId="0" borderId="20" xfId="0" applyNumberFormat="1" applyFont="1" applyBorder="1"/>
    <xf numFmtId="9" fontId="7" fillId="0" borderId="19" xfId="0" applyNumberFormat="1" applyFont="1" applyBorder="1" applyAlignment="1">
      <alignment horizontal="center"/>
    </xf>
    <xf numFmtId="0" fontId="1" fillId="0" borderId="22" xfId="0" applyFont="1" applyBorder="1"/>
    <xf numFmtId="165" fontId="1" fillId="0" borderId="23" xfId="0" applyNumberFormat="1" applyFont="1" applyBorder="1" applyAlignment="1">
      <alignment horizontal="center" vertical="center"/>
    </xf>
    <xf numFmtId="165" fontId="1" fillId="0" borderId="24" xfId="0" applyNumberFormat="1" applyFont="1" applyBorder="1" applyAlignment="1">
      <alignment horizontal="center" vertical="center"/>
    </xf>
    <xf numFmtId="0" fontId="1" fillId="0" borderId="25" xfId="0" applyFont="1" applyBorder="1"/>
    <xf numFmtId="165" fontId="1" fillId="0" borderId="19" xfId="0" applyNumberFormat="1" applyFont="1" applyBorder="1" applyAlignment="1">
      <alignment horizontal="center" vertical="center"/>
    </xf>
    <xf numFmtId="165" fontId="1" fillId="0" borderId="20" xfId="0" applyNumberFormat="1" applyFont="1" applyBorder="1" applyAlignment="1">
      <alignment horizontal="center" vertical="center"/>
    </xf>
    <xf numFmtId="165" fontId="8" fillId="2" borderId="20" xfId="0" applyNumberFormat="1" applyFont="1" applyFill="1" applyBorder="1"/>
    <xf numFmtId="165" fontId="1" fillId="0" borderId="20" xfId="0" applyNumberFormat="1" applyFont="1" applyBorder="1"/>
    <xf numFmtId="0" fontId="5" fillId="0" borderId="17" xfId="0" applyFont="1" applyBorder="1" applyAlignment="1">
      <alignment horizontal="left"/>
    </xf>
    <xf numFmtId="0" fontId="5" fillId="0" borderId="19" xfId="0" applyFont="1" applyBorder="1" applyAlignment="1">
      <alignment horizontal="center"/>
    </xf>
    <xf numFmtId="165" fontId="5" fillId="0" borderId="19" xfId="0" applyNumberFormat="1" applyFont="1" applyBorder="1"/>
    <xf numFmtId="165" fontId="1" fillId="0" borderId="19" xfId="0" applyNumberFormat="1" applyFont="1" applyBorder="1"/>
    <xf numFmtId="9" fontId="5" fillId="0" borderId="19" xfId="0" applyNumberFormat="1" applyFont="1" applyBorder="1" applyAlignment="1">
      <alignment horizontal="center"/>
    </xf>
    <xf numFmtId="165" fontId="1" fillId="0" borderId="0" xfId="0" applyNumberFormat="1" applyFont="1"/>
    <xf numFmtId="1" fontId="6" fillId="0" borderId="14" xfId="0" applyNumberFormat="1" applyFont="1" applyBorder="1" applyAlignment="1">
      <alignment horizontal="center"/>
    </xf>
    <xf numFmtId="1" fontId="6" fillId="0" borderId="15" xfId="0" applyNumberFormat="1" applyFont="1" applyBorder="1" applyAlignment="1">
      <alignment horizontal="center"/>
    </xf>
    <xf numFmtId="0" fontId="5" fillId="0" borderId="0" xfId="0" applyFont="1"/>
    <xf numFmtId="0" fontId="5" fillId="0" borderId="0" xfId="0" applyFont="1" applyAlignment="1">
      <alignment horizontal="center"/>
    </xf>
    <xf numFmtId="0" fontId="4" fillId="5" borderId="43" xfId="0" applyFont="1" applyFill="1" applyBorder="1" applyAlignment="1">
      <alignment vertical="center"/>
    </xf>
    <xf numFmtId="0" fontId="4" fillId="5" borderId="46" xfId="0" applyFont="1" applyFill="1" applyBorder="1" applyAlignment="1">
      <alignment vertical="center"/>
    </xf>
    <xf numFmtId="165" fontId="1" fillId="5" borderId="34" xfId="0" applyNumberFormat="1" applyFont="1" applyFill="1" applyBorder="1"/>
    <xf numFmtId="165" fontId="1" fillId="6" borderId="23" xfId="0" applyNumberFormat="1" applyFont="1" applyFill="1" applyBorder="1" applyAlignment="1">
      <alignment horizontal="center" vertical="center"/>
    </xf>
    <xf numFmtId="165" fontId="1" fillId="6" borderId="19" xfId="0" applyNumberFormat="1" applyFont="1" applyFill="1" applyBorder="1" applyAlignment="1">
      <alignment horizontal="center" vertical="center"/>
    </xf>
    <xf numFmtId="0" fontId="1" fillId="0" borderId="11" xfId="0" applyFont="1" applyBorder="1"/>
    <xf numFmtId="0" fontId="5" fillId="0" borderId="39" xfId="0" applyFont="1" applyBorder="1" applyAlignment="1">
      <alignment horizontal="left" vertical="center" wrapText="1"/>
    </xf>
    <xf numFmtId="0" fontId="5" fillId="0" borderId="47" xfId="0" applyFont="1" applyBorder="1" applyAlignment="1">
      <alignment horizontal="center" vertical="center" wrapText="1"/>
    </xf>
    <xf numFmtId="43" fontId="1" fillId="0" borderId="0" xfId="0" applyNumberFormat="1" applyFont="1"/>
    <xf numFmtId="0" fontId="5" fillId="0" borderId="6" xfId="0" applyFont="1" applyBorder="1" applyAlignment="1">
      <alignment horizontal="center"/>
    </xf>
    <xf numFmtId="0" fontId="3" fillId="0" borderId="6" xfId="0" applyFont="1" applyBorder="1"/>
    <xf numFmtId="0" fontId="6" fillId="5" borderId="8" xfId="0" applyFont="1" applyFill="1" applyBorder="1" applyAlignment="1">
      <alignment horizontal="center" vertical="center" wrapText="1"/>
    </xf>
    <xf numFmtId="0" fontId="3" fillId="4" borderId="9" xfId="0" applyFont="1" applyFill="1" applyBorder="1"/>
    <xf numFmtId="0" fontId="3" fillId="4" borderId="10" xfId="0" applyFont="1" applyFill="1" applyBorder="1"/>
    <xf numFmtId="0" fontId="6" fillId="5" borderId="1" xfId="0" applyFont="1" applyFill="1" applyBorder="1" applyAlignment="1">
      <alignment horizontal="center" vertical="center" wrapText="1"/>
    </xf>
    <xf numFmtId="0" fontId="3" fillId="4" borderId="2" xfId="0" applyFont="1" applyFill="1" applyBorder="1"/>
    <xf numFmtId="0" fontId="3" fillId="4" borderId="3" xfId="0" applyFont="1" applyFill="1" applyBorder="1"/>
    <xf numFmtId="164" fontId="5" fillId="0" borderId="17" xfId="0" applyNumberFormat="1" applyFont="1" applyBorder="1" applyAlignment="1">
      <alignment horizontal="left"/>
    </xf>
    <xf numFmtId="0" fontId="3" fillId="0" borderId="18" xfId="0" applyFont="1" applyBorder="1"/>
    <xf numFmtId="0" fontId="3" fillId="0" borderId="26" xfId="0" applyFont="1" applyBorder="1"/>
    <xf numFmtId="0" fontId="6" fillId="5" borderId="48" xfId="0" applyFont="1" applyFill="1" applyBorder="1" applyAlignment="1">
      <alignment horizontal="center" vertical="center" wrapText="1"/>
    </xf>
    <xf numFmtId="0" fontId="3" fillId="4" borderId="49" xfId="0" applyFont="1" applyFill="1" applyBorder="1"/>
    <xf numFmtId="0" fontId="3" fillId="4" borderId="50" xfId="0" applyFont="1" applyFill="1" applyBorder="1"/>
    <xf numFmtId="0" fontId="3" fillId="4" borderId="51" xfId="0" applyFont="1" applyFill="1" applyBorder="1"/>
    <xf numFmtId="0" fontId="3" fillId="4" borderId="41" xfId="0" applyFont="1" applyFill="1" applyBorder="1"/>
    <xf numFmtId="0" fontId="3" fillId="4" borderId="42" xfId="0" applyFont="1" applyFill="1" applyBorder="1"/>
    <xf numFmtId="164" fontId="6" fillId="0" borderId="12" xfId="0" applyNumberFormat="1" applyFont="1" applyBorder="1" applyAlignment="1">
      <alignment horizontal="left" vertical="center"/>
    </xf>
    <xf numFmtId="0" fontId="3" fillId="0" borderId="13" xfId="0" applyFont="1" applyBorder="1"/>
    <xf numFmtId="0" fontId="1" fillId="0" borderId="27" xfId="0" applyFont="1" applyBorder="1" applyAlignment="1">
      <alignment horizontal="left" wrapText="1"/>
    </xf>
    <xf numFmtId="0" fontId="3" fillId="0" borderId="30" xfId="0" applyFont="1" applyBorder="1"/>
    <xf numFmtId="165" fontId="1" fillId="6" borderId="28" xfId="0" applyNumberFormat="1" applyFont="1" applyFill="1" applyBorder="1" applyAlignment="1">
      <alignment horizontal="center" vertical="center"/>
    </xf>
    <xf numFmtId="0" fontId="3" fillId="7" borderId="14" xfId="0" applyFont="1" applyFill="1" applyBorder="1"/>
    <xf numFmtId="165" fontId="1" fillId="0" borderId="28" xfId="0" applyNumberFormat="1" applyFont="1" applyBorder="1" applyAlignment="1">
      <alignment horizontal="center" vertical="center"/>
    </xf>
    <xf numFmtId="0" fontId="3" fillId="0" borderId="14" xfId="0" applyFont="1" applyBorder="1"/>
    <xf numFmtId="164" fontId="9" fillId="0" borderId="17" xfId="0" applyNumberFormat="1" applyFont="1" applyBorder="1" applyAlignment="1">
      <alignment horizontal="left"/>
    </xf>
    <xf numFmtId="164" fontId="9" fillId="5" borderId="31" xfId="0" applyNumberFormat="1" applyFont="1" applyFill="1" applyBorder="1" applyAlignment="1">
      <alignment horizontal="left"/>
    </xf>
    <xf numFmtId="0" fontId="3" fillId="4" borderId="32" xfId="0" applyFont="1" applyFill="1" applyBorder="1"/>
    <xf numFmtId="0" fontId="3" fillId="4" borderId="33" xfId="0" applyFont="1" applyFill="1" applyBorder="1"/>
    <xf numFmtId="0" fontId="5" fillId="0" borderId="2" xfId="0" applyFont="1" applyBorder="1" applyAlignment="1">
      <alignment horizontal="center"/>
    </xf>
    <xf numFmtId="0" fontId="3" fillId="0" borderId="2" xfId="0" applyFont="1" applyBorder="1"/>
    <xf numFmtId="0" fontId="5" fillId="0" borderId="17" xfId="0" applyFont="1" applyBorder="1" applyAlignment="1">
      <alignment horizontal="left"/>
    </xf>
    <xf numFmtId="0" fontId="1" fillId="0" borderId="17" xfId="0" applyFont="1" applyBorder="1" applyAlignment="1">
      <alignment horizontal="left"/>
    </xf>
    <xf numFmtId="0" fontId="1" fillId="0" borderId="17" xfId="0" applyFont="1" applyBorder="1" applyAlignment="1">
      <alignment horizontal="center"/>
    </xf>
    <xf numFmtId="0" fontId="3" fillId="0" borderId="35" xfId="0" applyFont="1" applyBorder="1"/>
    <xf numFmtId="2" fontId="1" fillId="5" borderId="36" xfId="0" applyNumberFormat="1" applyFont="1" applyFill="1" applyBorder="1" applyAlignment="1">
      <alignment horizontal="center" vertical="top"/>
    </xf>
    <xf numFmtId="0" fontId="3" fillId="4" borderId="35" xfId="0" applyFont="1" applyFill="1" applyBorder="1"/>
    <xf numFmtId="0" fontId="10" fillId="6" borderId="21" xfId="0" applyFont="1" applyFill="1" applyBorder="1" applyAlignment="1">
      <alignment horizontal="center" vertical="center"/>
    </xf>
    <xf numFmtId="0" fontId="10" fillId="6" borderId="39" xfId="0" applyFont="1" applyFill="1" applyBorder="1" applyAlignment="1">
      <alignment horizontal="center" vertical="center"/>
    </xf>
    <xf numFmtId="0" fontId="10" fillId="6" borderId="16" xfId="0" applyFont="1" applyFill="1" applyBorder="1" applyAlignment="1">
      <alignment horizontal="center" vertical="center"/>
    </xf>
    <xf numFmtId="0" fontId="9" fillId="0" borderId="21" xfId="0" applyFont="1" applyBorder="1" applyAlignment="1">
      <alignment horizontal="center" vertical="center" wrapText="1"/>
    </xf>
    <xf numFmtId="0" fontId="3" fillId="0" borderId="4" xfId="0" applyFont="1" applyBorder="1"/>
    <xf numFmtId="0" fontId="3" fillId="0" borderId="5" xfId="0" applyFont="1" applyBorder="1"/>
    <xf numFmtId="0" fontId="3" fillId="0" borderId="16" xfId="0" applyFont="1" applyBorder="1"/>
    <xf numFmtId="0" fontId="3" fillId="0" borderId="7" xfId="0" applyFont="1" applyBorder="1"/>
    <xf numFmtId="0" fontId="1" fillId="0" borderId="31" xfId="0" applyFont="1" applyBorder="1" applyAlignment="1">
      <alignment horizontal="left"/>
    </xf>
    <xf numFmtId="0" fontId="3" fillId="0" borderId="33" xfId="0" applyFont="1" applyBorder="1"/>
    <xf numFmtId="0" fontId="6" fillId="5" borderId="37" xfId="0" applyFont="1" applyFill="1" applyBorder="1" applyAlignment="1">
      <alignment horizontal="center" vertical="top"/>
    </xf>
    <xf numFmtId="0" fontId="11" fillId="4" borderId="38" xfId="0" applyFont="1" applyFill="1" applyBorder="1"/>
    <xf numFmtId="0" fontId="1" fillId="0" borderId="1" xfId="0" applyFont="1" applyBorder="1" applyAlignment="1">
      <alignment horizontal="center" vertical="center" wrapText="1"/>
    </xf>
    <xf numFmtId="0" fontId="3" fillId="0" borderId="3" xfId="0" applyFont="1" applyBorder="1"/>
    <xf numFmtId="0" fontId="1" fillId="0" borderId="4" xfId="0" applyFont="1" applyBorder="1" applyAlignment="1">
      <alignment horizontal="center" vertical="center"/>
    </xf>
    <xf numFmtId="0" fontId="4" fillId="6" borderId="44" xfId="0" applyFont="1" applyFill="1" applyBorder="1" applyAlignment="1">
      <alignment horizontal="left" vertical="center"/>
    </xf>
    <xf numFmtId="0" fontId="4" fillId="6" borderId="45" xfId="0" applyFont="1" applyFill="1" applyBorder="1" applyAlignment="1">
      <alignment horizontal="left" vertical="center"/>
    </xf>
    <xf numFmtId="0" fontId="4" fillId="6" borderId="41" xfId="0" applyFont="1" applyFill="1" applyBorder="1" applyAlignment="1">
      <alignment horizontal="left" vertical="center"/>
    </xf>
    <xf numFmtId="0" fontId="4" fillId="6" borderId="42" xfId="0" applyFont="1" applyFill="1" applyBorder="1" applyAlignment="1">
      <alignment horizontal="left" vertical="center"/>
    </xf>
    <xf numFmtId="0" fontId="1" fillId="0" borderId="11" xfId="0" applyFont="1" applyBorder="1" applyAlignment="1">
      <alignment horizontal="center"/>
    </xf>
    <xf numFmtId="0" fontId="2" fillId="3" borderId="1" xfId="0" applyFont="1" applyFill="1" applyBorder="1" applyAlignment="1">
      <alignment horizontal="center" vertical="center"/>
    </xf>
    <xf numFmtId="0" fontId="1" fillId="0" borderId="4" xfId="0" applyFont="1" applyBorder="1" applyAlignment="1">
      <alignment horizontal="center"/>
    </xf>
    <xf numFmtId="0" fontId="4" fillId="0" borderId="6" xfId="0" applyFont="1" applyBorder="1" applyAlignment="1">
      <alignment horizontal="center"/>
    </xf>
    <xf numFmtId="165" fontId="1" fillId="0" borderId="29" xfId="0" applyNumberFormat="1" applyFont="1" applyBorder="1" applyAlignment="1">
      <alignment horizontal="center" vertical="center"/>
    </xf>
    <xf numFmtId="0" fontId="3" fillId="0" borderId="15" xfId="0" applyFont="1" applyBorder="1"/>
    <xf numFmtId="0" fontId="9" fillId="0" borderId="39" xfId="0" applyFont="1" applyBorder="1" applyAlignment="1">
      <alignment horizontal="center" vertical="center" wrapText="1"/>
    </xf>
    <xf numFmtId="0" fontId="1" fillId="0" borderId="0" xfId="0" applyFont="1"/>
    <xf numFmtId="0" fontId="3" fillId="0" borderId="40" xfId="0" applyFont="1" applyBorder="1"/>
    <xf numFmtId="0" fontId="1" fillId="0" borderId="2" xfId="0" applyFont="1" applyBorder="1" applyAlignment="1">
      <alignment horizontal="center"/>
    </xf>
    <xf numFmtId="0" fontId="1" fillId="0" borderId="21" xfId="0" applyFont="1" applyBorder="1" applyAlignment="1">
      <alignment horizontal="center" vertical="center" wrapText="1"/>
    </xf>
    <xf numFmtId="0" fontId="3" fillId="0" borderId="39" xfId="0" applyFont="1" applyBorder="1"/>
    <xf numFmtId="164" fontId="6" fillId="0" borderId="12" xfId="0" applyNumberFormat="1" applyFont="1" applyBorder="1" applyAlignment="1">
      <alignment horizontal="left"/>
    </xf>
    <xf numFmtId="0" fontId="3" fillId="0" borderId="13" xfId="0" applyFont="1" applyBorder="1" applyAlignment="1">
      <alignment horizontal="left"/>
    </xf>
  </cellXfs>
  <cellStyles count="1">
    <cellStyle name="Normal" xfId="0" builtinId="0"/>
  </cellStyles>
  <dxfs count="0"/>
  <tableStyles count="1" defaultTableStyle="TableStyleMedium2" defaultPivotStyle="PivotStyleLight16">
    <tableStyle name="Invisible" pivot="0" table="0" count="0" xr9:uid="{B39EA0BC-DFE2-4BBE-988E-BAC3F9EB295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M1001"/>
  <sheetViews>
    <sheetView showGridLines="0" tabSelected="1" topLeftCell="A25" zoomScale="115" zoomScaleNormal="115" workbookViewId="0">
      <selection activeCell="L44" sqref="L44"/>
    </sheetView>
  </sheetViews>
  <sheetFormatPr defaultColWidth="14.44140625" defaultRowHeight="15" customHeight="1" x14ac:dyDescent="0.3"/>
  <cols>
    <col min="1" max="1" width="2.109375" style="1" customWidth="1"/>
    <col min="2" max="2" width="35.109375" style="1" customWidth="1"/>
    <col min="3" max="3" width="18.109375" style="1" customWidth="1"/>
    <col min="4" max="5" width="14.44140625" style="1" customWidth="1"/>
    <col min="6" max="6" width="9.109375" style="1" customWidth="1"/>
    <col min="7" max="7" width="14.109375" style="1" customWidth="1"/>
    <col min="8" max="8" width="9.109375" style="1" customWidth="1"/>
    <col min="9" max="12" width="14.33203125" style="1" customWidth="1"/>
    <col min="13" max="13" width="10.6640625" style="1" customWidth="1"/>
    <col min="14" max="27" width="9.109375" style="1" customWidth="1"/>
    <col min="28" max="16384" width="14.44140625" style="1"/>
  </cols>
  <sheetData>
    <row r="1" spans="2:12" ht="15" customHeight="1" thickBot="1" x14ac:dyDescent="0.35"/>
    <row r="2" spans="2:12" ht="31.8" thickBot="1" x14ac:dyDescent="0.35">
      <c r="B2" s="93" t="s">
        <v>51</v>
      </c>
      <c r="C2" s="42"/>
      <c r="D2" s="42"/>
      <c r="E2" s="42"/>
      <c r="F2" s="42"/>
      <c r="G2" s="42"/>
      <c r="H2" s="42"/>
      <c r="I2" s="42"/>
      <c r="J2" s="42"/>
      <c r="K2" s="42"/>
      <c r="L2" s="43"/>
    </row>
    <row r="3" spans="2:12" ht="15" customHeight="1" thickBot="1" x14ac:dyDescent="0.35">
      <c r="B3" s="94"/>
      <c r="C3" s="77"/>
      <c r="D3" s="77"/>
      <c r="E3" s="77"/>
      <c r="F3" s="77"/>
      <c r="G3" s="77"/>
      <c r="H3" s="77"/>
      <c r="I3" s="77"/>
      <c r="J3" s="77"/>
      <c r="K3" s="77"/>
      <c r="L3" s="77"/>
    </row>
    <row r="4" spans="2:12" ht="18" customHeight="1" x14ac:dyDescent="0.3">
      <c r="B4" s="27" t="s">
        <v>53</v>
      </c>
      <c r="C4" s="88"/>
      <c r="D4" s="88"/>
      <c r="E4" s="89"/>
      <c r="F4" s="32"/>
    </row>
    <row r="5" spans="2:12" ht="18" customHeight="1" thickBot="1" x14ac:dyDescent="0.35">
      <c r="B5" s="28" t="s">
        <v>54</v>
      </c>
      <c r="C5" s="90"/>
      <c r="D5" s="90"/>
      <c r="E5" s="91"/>
      <c r="F5" s="32"/>
      <c r="G5" s="35"/>
      <c r="I5" s="35"/>
    </row>
    <row r="6" spans="2:12" ht="18" customHeight="1" thickBot="1" x14ac:dyDescent="0.4">
      <c r="B6" s="95"/>
      <c r="C6" s="37"/>
      <c r="D6" s="37"/>
      <c r="E6" s="37"/>
      <c r="F6" s="32"/>
      <c r="G6" s="36"/>
      <c r="H6" s="37"/>
      <c r="I6" s="37"/>
      <c r="J6" s="37"/>
      <c r="K6" s="37"/>
      <c r="L6" s="37"/>
    </row>
    <row r="7" spans="2:12" ht="18" customHeight="1" thickBot="1" x14ac:dyDescent="0.35">
      <c r="B7" s="38" t="s">
        <v>50</v>
      </c>
      <c r="C7" s="39"/>
      <c r="D7" s="39"/>
      <c r="E7" s="40"/>
      <c r="F7" s="92"/>
      <c r="G7" s="41" t="s">
        <v>0</v>
      </c>
      <c r="H7" s="42"/>
      <c r="I7" s="42"/>
      <c r="J7" s="42"/>
      <c r="K7" s="42"/>
      <c r="L7" s="43"/>
    </row>
    <row r="8" spans="2:12" ht="18" customHeight="1" x14ac:dyDescent="0.3">
      <c r="B8" s="47" t="s">
        <v>1</v>
      </c>
      <c r="C8" s="48"/>
      <c r="D8" s="48"/>
      <c r="E8" s="49"/>
      <c r="F8" s="92"/>
      <c r="G8" s="53" t="s">
        <v>2</v>
      </c>
      <c r="H8" s="54"/>
      <c r="I8" s="2" t="s">
        <v>3</v>
      </c>
      <c r="J8" s="2" t="s">
        <v>4</v>
      </c>
      <c r="K8" s="2" t="s">
        <v>5</v>
      </c>
      <c r="L8" s="3" t="s">
        <v>6</v>
      </c>
    </row>
    <row r="9" spans="2:12" ht="18" customHeight="1" thickBot="1" x14ac:dyDescent="0.35">
      <c r="B9" s="50"/>
      <c r="C9" s="51"/>
      <c r="D9" s="51"/>
      <c r="E9" s="52"/>
      <c r="F9" s="92"/>
      <c r="G9" s="44" t="s">
        <v>7</v>
      </c>
      <c r="H9" s="45"/>
      <c r="I9" s="5">
        <v>0</v>
      </c>
      <c r="J9" s="6">
        <f>IF(D22&gt;=250000,250000,D22)</f>
        <v>0</v>
      </c>
      <c r="K9" s="6">
        <f>D22-J9</f>
        <v>0</v>
      </c>
      <c r="L9" s="7">
        <f t="shared" ref="L9:L11" si="0">I9*J9</f>
        <v>0</v>
      </c>
    </row>
    <row r="10" spans="2:12" ht="18" customHeight="1" thickBot="1" x14ac:dyDescent="0.35">
      <c r="B10" s="33" t="s">
        <v>8</v>
      </c>
      <c r="C10" s="34" t="s">
        <v>9</v>
      </c>
      <c r="D10" s="34" t="s">
        <v>0</v>
      </c>
      <c r="E10" s="34" t="s">
        <v>10</v>
      </c>
      <c r="F10" s="92"/>
      <c r="G10" s="44" t="s">
        <v>11</v>
      </c>
      <c r="H10" s="45"/>
      <c r="I10" s="8">
        <v>0.05</v>
      </c>
      <c r="J10" s="6">
        <f>IF(K9&gt;=250000,250000,K9)</f>
        <v>0</v>
      </c>
      <c r="K10" s="6">
        <f t="shared" ref="K10:K11" si="1">K9-J10</f>
        <v>0</v>
      </c>
      <c r="L10" s="7">
        <f t="shared" si="0"/>
        <v>0</v>
      </c>
    </row>
    <row r="11" spans="2:12" ht="18" customHeight="1" x14ac:dyDescent="0.3">
      <c r="B11" s="9" t="s">
        <v>12</v>
      </c>
      <c r="C11" s="30"/>
      <c r="D11" s="10">
        <f t="shared" ref="D11:E11" si="2">C11</f>
        <v>0</v>
      </c>
      <c r="E11" s="11">
        <f t="shared" si="2"/>
        <v>0</v>
      </c>
      <c r="F11" s="92"/>
      <c r="G11" s="44" t="s">
        <v>13</v>
      </c>
      <c r="H11" s="45"/>
      <c r="I11" s="8">
        <v>0.2</v>
      </c>
      <c r="J11" s="6">
        <f>IF(K10&gt;=500000,500000,K10)</f>
        <v>0</v>
      </c>
      <c r="K11" s="6">
        <f t="shared" si="1"/>
        <v>0</v>
      </c>
      <c r="L11" s="7">
        <f t="shared" si="0"/>
        <v>0</v>
      </c>
    </row>
    <row r="12" spans="2:12" ht="18" customHeight="1" x14ac:dyDescent="0.3">
      <c r="B12" s="12" t="s">
        <v>14</v>
      </c>
      <c r="C12" s="13"/>
      <c r="D12" s="13">
        <f>MIN(D11,50000)</f>
        <v>0</v>
      </c>
      <c r="E12" s="14">
        <f>MIN(E11,75000)</f>
        <v>0</v>
      </c>
      <c r="F12" s="92"/>
      <c r="G12" s="44" t="s">
        <v>15</v>
      </c>
      <c r="H12" s="45"/>
      <c r="I12" s="8">
        <v>0.3</v>
      </c>
      <c r="J12" s="6">
        <f>K11</f>
        <v>0</v>
      </c>
      <c r="K12" s="6"/>
      <c r="L12" s="15">
        <f>ROUND(I12*J12,0)</f>
        <v>0</v>
      </c>
    </row>
    <row r="13" spans="2:12" ht="18" customHeight="1" x14ac:dyDescent="0.3">
      <c r="B13" s="12" t="s">
        <v>16</v>
      </c>
      <c r="C13" s="13"/>
      <c r="D13" s="13">
        <f t="shared" ref="D13:E13" si="3">D11-D12</f>
        <v>0</v>
      </c>
      <c r="E13" s="14">
        <f t="shared" si="3"/>
        <v>0</v>
      </c>
      <c r="F13" s="92"/>
      <c r="G13" s="44" t="s">
        <v>17</v>
      </c>
      <c r="H13" s="46"/>
      <c r="I13" s="46"/>
      <c r="J13" s="46"/>
      <c r="K13" s="45"/>
      <c r="L13" s="16">
        <f>ROUND(SUM(L9:L12),0)</f>
        <v>0</v>
      </c>
    </row>
    <row r="14" spans="2:12" ht="18" customHeight="1" x14ac:dyDescent="0.3">
      <c r="B14" s="12"/>
      <c r="C14" s="13"/>
      <c r="D14" s="13"/>
      <c r="E14" s="14"/>
      <c r="F14" s="92"/>
      <c r="G14" s="61" t="s">
        <v>18</v>
      </c>
      <c r="H14" s="46"/>
      <c r="I14" s="46"/>
      <c r="J14" s="46"/>
      <c r="K14" s="45"/>
      <c r="L14" s="16">
        <f>ROUND(IF(D22&lt;=500000,MIN(12500,L13),0),0)</f>
        <v>0</v>
      </c>
    </row>
    <row r="15" spans="2:12" ht="18" customHeight="1" x14ac:dyDescent="0.3">
      <c r="B15" s="55" t="s">
        <v>19</v>
      </c>
      <c r="C15" s="57">
        <v>0</v>
      </c>
      <c r="D15" s="59">
        <f t="shared" ref="D15:E15" si="4">C15</f>
        <v>0</v>
      </c>
      <c r="E15" s="96">
        <f t="shared" si="4"/>
        <v>0</v>
      </c>
      <c r="F15" s="92"/>
      <c r="G15" s="44" t="s">
        <v>20</v>
      </c>
      <c r="H15" s="46"/>
      <c r="I15" s="46"/>
      <c r="J15" s="46"/>
      <c r="K15" s="45"/>
      <c r="L15" s="16">
        <f>L13-L14</f>
        <v>0</v>
      </c>
    </row>
    <row r="16" spans="2:12" ht="18" customHeight="1" x14ac:dyDescent="0.3">
      <c r="B16" s="56"/>
      <c r="C16" s="58"/>
      <c r="D16" s="60"/>
      <c r="E16" s="97"/>
      <c r="F16" s="92"/>
      <c r="G16" s="44" t="s">
        <v>21</v>
      </c>
      <c r="H16" s="46"/>
      <c r="I16" s="46"/>
      <c r="J16" s="46"/>
      <c r="K16" s="45"/>
      <c r="L16" s="16">
        <f>+ROUND(L15*4%,0)</f>
        <v>0</v>
      </c>
    </row>
    <row r="17" spans="2:13" ht="18" customHeight="1" thickBot="1" x14ac:dyDescent="0.35">
      <c r="B17" s="12" t="s">
        <v>22</v>
      </c>
      <c r="C17" s="31">
        <v>0</v>
      </c>
      <c r="D17" s="13">
        <f>MIN(C17,200000)</f>
        <v>0</v>
      </c>
      <c r="E17" s="14" t="s">
        <v>23</v>
      </c>
      <c r="F17" s="92"/>
      <c r="G17" s="62" t="s">
        <v>24</v>
      </c>
      <c r="H17" s="63"/>
      <c r="I17" s="63"/>
      <c r="J17" s="63"/>
      <c r="K17" s="64"/>
      <c r="L17" s="29">
        <f>SUM(L15:L16)</f>
        <v>0</v>
      </c>
    </row>
    <row r="18" spans="2:13" ht="18" customHeight="1" thickBot="1" x14ac:dyDescent="0.35">
      <c r="B18" s="12" t="s">
        <v>25</v>
      </c>
      <c r="C18" s="31">
        <v>0</v>
      </c>
      <c r="D18" s="13">
        <f>MIN(C18,150000)</f>
        <v>0</v>
      </c>
      <c r="E18" s="14" t="s">
        <v>23</v>
      </c>
      <c r="F18" s="92"/>
      <c r="G18" s="65"/>
      <c r="H18" s="66"/>
      <c r="I18" s="66"/>
      <c r="J18" s="66"/>
      <c r="K18" s="66"/>
      <c r="L18" s="66"/>
    </row>
    <row r="19" spans="2:13" ht="18" customHeight="1" thickBot="1" x14ac:dyDescent="0.35">
      <c r="B19" s="12" t="s">
        <v>26</v>
      </c>
      <c r="C19" s="31">
        <v>0</v>
      </c>
      <c r="D19" s="13">
        <f t="shared" ref="D19:E19" si="5">C19</f>
        <v>0</v>
      </c>
      <c r="E19" s="14">
        <f t="shared" si="5"/>
        <v>0</v>
      </c>
      <c r="F19" s="92"/>
      <c r="G19" s="41" t="s">
        <v>47</v>
      </c>
      <c r="H19" s="42"/>
      <c r="I19" s="42"/>
      <c r="J19" s="42"/>
      <c r="K19" s="42"/>
      <c r="L19" s="43"/>
    </row>
    <row r="20" spans="2:13" ht="18" customHeight="1" x14ac:dyDescent="0.3">
      <c r="B20" s="12" t="s">
        <v>27</v>
      </c>
      <c r="C20" s="31">
        <v>0</v>
      </c>
      <c r="D20" s="13">
        <f>MIN(C20,25000)</f>
        <v>0</v>
      </c>
      <c r="E20" s="14" t="s">
        <v>23</v>
      </c>
      <c r="F20" s="92"/>
      <c r="G20" s="53" t="s">
        <v>2</v>
      </c>
      <c r="H20" s="54"/>
      <c r="I20" s="2" t="s">
        <v>3</v>
      </c>
      <c r="J20" s="2" t="s">
        <v>4</v>
      </c>
      <c r="K20" s="2" t="s">
        <v>5</v>
      </c>
      <c r="L20" s="3" t="s">
        <v>6</v>
      </c>
    </row>
    <row r="21" spans="2:13" ht="18" customHeight="1" x14ac:dyDescent="0.3">
      <c r="B21" s="12" t="s">
        <v>28</v>
      </c>
      <c r="C21" s="31">
        <v>0</v>
      </c>
      <c r="D21" s="13">
        <f>C21</f>
        <v>0</v>
      </c>
      <c r="E21" s="14" t="s">
        <v>23</v>
      </c>
      <c r="F21" s="92"/>
      <c r="G21" s="67" t="s">
        <v>40</v>
      </c>
      <c r="H21" s="45"/>
      <c r="I21" s="18">
        <v>0</v>
      </c>
      <c r="J21" s="19">
        <f>IF(E22&gt;=400000,400000,E22)</f>
        <v>0</v>
      </c>
      <c r="K21" s="19">
        <f>E22-J21</f>
        <v>0</v>
      </c>
      <c r="L21" s="16">
        <f>IF(AND(E22&gt;=1200000,E22&lt;= 1270588),0,I21*J21)</f>
        <v>0</v>
      </c>
    </row>
    <row r="22" spans="2:13" ht="18" customHeight="1" x14ac:dyDescent="0.3">
      <c r="B22" s="68" t="s">
        <v>29</v>
      </c>
      <c r="C22" s="45"/>
      <c r="D22" s="20">
        <f>MAX(D13+D15-D17-D18-D19-D20-D21,0)</f>
        <v>0</v>
      </c>
      <c r="E22" s="16">
        <f>MAX(E13+E15-E19,0)</f>
        <v>0</v>
      </c>
      <c r="F22" s="92"/>
      <c r="G22" s="67" t="s">
        <v>41</v>
      </c>
      <c r="H22" s="45"/>
      <c r="I22" s="21">
        <v>0.05</v>
      </c>
      <c r="J22" s="19">
        <f>IF(K21&gt;=400000,400000,K21)</f>
        <v>0</v>
      </c>
      <c r="K22" s="19">
        <f t="shared" ref="K22:K26" si="6">+K21-J22</f>
        <v>0</v>
      </c>
      <c r="L22" s="16">
        <f>IF(AND(E22&gt;=1200000,E22&lt;= 1270588),0,I22*J22)</f>
        <v>0</v>
      </c>
    </row>
    <row r="23" spans="2:13" ht="18" customHeight="1" x14ac:dyDescent="0.3">
      <c r="B23" s="69"/>
      <c r="C23" s="46"/>
      <c r="D23" s="46"/>
      <c r="E23" s="70"/>
      <c r="F23" s="92"/>
      <c r="G23" s="67" t="s">
        <v>42</v>
      </c>
      <c r="H23" s="45"/>
      <c r="I23" s="21">
        <v>0.1</v>
      </c>
      <c r="J23" s="19">
        <f>IF(K22&gt;=400000,400000,K22)</f>
        <v>0</v>
      </c>
      <c r="K23" s="19">
        <f t="shared" si="6"/>
        <v>0</v>
      </c>
      <c r="L23" s="16">
        <f>IF(AND(E22&gt;=1200000,E22&lt;= 1270588),0,I23*J23)</f>
        <v>0</v>
      </c>
    </row>
    <row r="24" spans="2:13" ht="18" customHeight="1" x14ac:dyDescent="0.3">
      <c r="B24" s="68" t="s">
        <v>30</v>
      </c>
      <c r="C24" s="45"/>
      <c r="D24" s="71">
        <f>L17</f>
        <v>0</v>
      </c>
      <c r="E24" s="72"/>
      <c r="F24" s="92"/>
      <c r="G24" s="67" t="s">
        <v>43</v>
      </c>
      <c r="H24" s="45"/>
      <c r="I24" s="21">
        <v>0.15</v>
      </c>
      <c r="J24" s="19">
        <f>IF(K23&gt;=400000,400000,K23)</f>
        <v>0</v>
      </c>
      <c r="K24" s="19">
        <f t="shared" si="6"/>
        <v>0</v>
      </c>
      <c r="L24" s="16">
        <f>IF(AND(E22&gt;=1200000,E22&lt;= 1270588),0,I24*J24)</f>
        <v>0</v>
      </c>
    </row>
    <row r="25" spans="2:13" ht="18" customHeight="1" x14ac:dyDescent="0.3">
      <c r="B25" s="69"/>
      <c r="C25" s="46"/>
      <c r="D25" s="46"/>
      <c r="E25" s="70"/>
      <c r="F25" s="92"/>
      <c r="G25" s="67" t="s">
        <v>44</v>
      </c>
      <c r="H25" s="45"/>
      <c r="I25" s="21">
        <v>0.2</v>
      </c>
      <c r="J25" s="19">
        <f>IF(K24&gt;400000,400000,K24)</f>
        <v>0</v>
      </c>
      <c r="K25" s="19">
        <f t="shared" si="6"/>
        <v>0</v>
      </c>
      <c r="L25" s="16">
        <f>IF(AND(E22&gt;=1200000,E22&lt;= 1270588),0,I25*J25)</f>
        <v>0</v>
      </c>
    </row>
    <row r="26" spans="2:13" ht="18" customHeight="1" x14ac:dyDescent="0.3">
      <c r="B26" s="68" t="s">
        <v>31</v>
      </c>
      <c r="C26" s="45"/>
      <c r="D26" s="71">
        <f>IF(AND(E22&gt;=1200000, E22&lt;=1270588),L48,L32)</f>
        <v>0</v>
      </c>
      <c r="E26" s="72"/>
      <c r="F26" s="92"/>
      <c r="G26" s="17" t="s">
        <v>45</v>
      </c>
      <c r="H26" s="4"/>
      <c r="I26" s="21">
        <v>0.25</v>
      </c>
      <c r="J26" s="19">
        <f>IF(K25&gt;400000,400000,K25)</f>
        <v>0</v>
      </c>
      <c r="K26" s="19">
        <f t="shared" si="6"/>
        <v>0</v>
      </c>
      <c r="L26" s="16">
        <f>IF(AND(E22&gt;=1200000,E22&lt;= 1270588),0,I26*J26)</f>
        <v>0</v>
      </c>
    </row>
    <row r="27" spans="2:13" ht="18" customHeight="1" x14ac:dyDescent="0.3">
      <c r="B27" s="69"/>
      <c r="C27" s="46"/>
      <c r="D27" s="46"/>
      <c r="E27" s="70"/>
      <c r="F27" s="92"/>
      <c r="G27" s="67" t="s">
        <v>46</v>
      </c>
      <c r="H27" s="45"/>
      <c r="I27" s="21">
        <v>0.3</v>
      </c>
      <c r="J27" s="19">
        <f>+K26</f>
        <v>0</v>
      </c>
      <c r="K27" s="19"/>
      <c r="L27" s="16">
        <f>ROUND(IF(AND(E22&gt;=1200000,E22&lt;= 1270588),0,I27*J27),0)</f>
        <v>0</v>
      </c>
    </row>
    <row r="28" spans="2:13" ht="18" customHeight="1" x14ac:dyDescent="0.3">
      <c r="B28" s="68" t="s">
        <v>32</v>
      </c>
      <c r="C28" s="45"/>
      <c r="D28" s="71">
        <f>D24-D26</f>
        <v>0</v>
      </c>
      <c r="E28" s="72"/>
      <c r="F28" s="92"/>
      <c r="G28" s="44" t="s">
        <v>17</v>
      </c>
      <c r="H28" s="46"/>
      <c r="I28" s="46"/>
      <c r="J28" s="46"/>
      <c r="K28" s="45"/>
      <c r="L28" s="16">
        <f>ROUND(IF(AND(E22&gt;=1200000, E22&lt;=1270588),0,L21+L22+L23+L24+L25+L26+L27),0)</f>
        <v>0</v>
      </c>
    </row>
    <row r="29" spans="2:13" ht="18" customHeight="1" x14ac:dyDescent="0.3">
      <c r="B29" s="69"/>
      <c r="C29" s="46"/>
      <c r="D29" s="46"/>
      <c r="E29" s="70"/>
      <c r="F29" s="92"/>
      <c r="G29" s="61" t="s">
        <v>39</v>
      </c>
      <c r="H29" s="46"/>
      <c r="I29" s="46"/>
      <c r="J29" s="46"/>
      <c r="K29" s="45"/>
      <c r="L29" s="16">
        <f>IF(E22&lt;=1200000,MIN(60000,L28),0)</f>
        <v>0</v>
      </c>
    </row>
    <row r="30" spans="2:13" ht="18" customHeight="1" thickBot="1" x14ac:dyDescent="0.35">
      <c r="B30" s="81" t="s">
        <v>33</v>
      </c>
      <c r="C30" s="82"/>
      <c r="D30" s="83" t="str">
        <f>IF(D28&gt;=0,"NEW REGIME","OLD REGIME")</f>
        <v>NEW REGIME</v>
      </c>
      <c r="E30" s="84"/>
      <c r="F30" s="92"/>
      <c r="G30" s="44" t="s">
        <v>20</v>
      </c>
      <c r="H30" s="46"/>
      <c r="I30" s="46"/>
      <c r="J30" s="46"/>
      <c r="K30" s="45"/>
      <c r="L30" s="16">
        <f>L28-L29</f>
        <v>0</v>
      </c>
    </row>
    <row r="31" spans="2:13" ht="18" customHeight="1" thickBot="1" x14ac:dyDescent="0.35">
      <c r="B31" s="101"/>
      <c r="C31" s="66"/>
      <c r="D31" s="66"/>
      <c r="E31" s="66"/>
      <c r="F31" s="92"/>
      <c r="G31" s="44" t="s">
        <v>34</v>
      </c>
      <c r="H31" s="46"/>
      <c r="I31" s="46"/>
      <c r="J31" s="46"/>
      <c r="K31" s="45"/>
      <c r="L31" s="16">
        <f>ROUND(L30*0.04,0)</f>
        <v>0</v>
      </c>
      <c r="M31" s="22"/>
    </row>
    <row r="32" spans="2:13" ht="18" customHeight="1" thickBot="1" x14ac:dyDescent="0.35">
      <c r="B32" s="85" t="s">
        <v>35</v>
      </c>
      <c r="C32" s="66"/>
      <c r="D32" s="66"/>
      <c r="E32" s="86"/>
      <c r="F32" s="92"/>
      <c r="G32" s="62" t="s">
        <v>24</v>
      </c>
      <c r="H32" s="63"/>
      <c r="I32" s="63"/>
      <c r="J32" s="63"/>
      <c r="K32" s="64"/>
      <c r="L32" s="29">
        <f>L30+L31</f>
        <v>0</v>
      </c>
      <c r="M32" s="22"/>
    </row>
    <row r="33" spans="2:12" ht="18" customHeight="1" thickBot="1" x14ac:dyDescent="0.35">
      <c r="B33" s="101"/>
      <c r="C33" s="66"/>
      <c r="D33" s="66"/>
      <c r="E33" s="66"/>
      <c r="F33" s="92"/>
      <c r="G33" s="65"/>
      <c r="H33" s="66"/>
      <c r="I33" s="66"/>
      <c r="J33" s="66"/>
      <c r="K33" s="66"/>
      <c r="L33" s="66"/>
    </row>
    <row r="34" spans="2:12" ht="18" customHeight="1" thickBot="1" x14ac:dyDescent="0.35">
      <c r="B34" s="102" t="s">
        <v>52</v>
      </c>
      <c r="C34" s="77"/>
      <c r="D34" s="77"/>
      <c r="E34" s="78"/>
      <c r="F34" s="92"/>
      <c r="G34" s="41" t="s">
        <v>48</v>
      </c>
      <c r="H34" s="42"/>
      <c r="I34" s="42"/>
      <c r="J34" s="42"/>
      <c r="K34" s="42"/>
      <c r="L34" s="43"/>
    </row>
    <row r="35" spans="2:12" ht="18" customHeight="1" x14ac:dyDescent="0.3">
      <c r="B35" s="103"/>
      <c r="C35" s="99"/>
      <c r="D35" s="99"/>
      <c r="E35" s="100"/>
      <c r="F35" s="92"/>
      <c r="G35" s="104" t="s">
        <v>2</v>
      </c>
      <c r="H35" s="105"/>
      <c r="I35" s="23" t="s">
        <v>3</v>
      </c>
      <c r="J35" s="23" t="s">
        <v>4</v>
      </c>
      <c r="K35" s="23" t="s">
        <v>5</v>
      </c>
      <c r="L35" s="24" t="s">
        <v>6</v>
      </c>
    </row>
    <row r="36" spans="2:12" ht="18" customHeight="1" x14ac:dyDescent="0.3">
      <c r="B36" s="103"/>
      <c r="C36" s="99"/>
      <c r="D36" s="99"/>
      <c r="E36" s="100"/>
      <c r="F36" s="92"/>
      <c r="G36" s="67" t="s">
        <v>40</v>
      </c>
      <c r="H36" s="45"/>
      <c r="I36" s="18">
        <v>0</v>
      </c>
      <c r="J36" s="19">
        <f>IF(E22&gt;=400000,400000,E22)</f>
        <v>0</v>
      </c>
      <c r="K36" s="19">
        <f>E22-J36</f>
        <v>0</v>
      </c>
      <c r="L36" s="16">
        <f>IF(AND(E22&gt;=1200000, E22&lt;=1270588),I36*J36,0)</f>
        <v>0</v>
      </c>
    </row>
    <row r="37" spans="2:12" ht="18" customHeight="1" x14ac:dyDescent="0.3">
      <c r="B37" s="103"/>
      <c r="C37" s="99"/>
      <c r="D37" s="99"/>
      <c r="E37" s="100"/>
      <c r="F37" s="92"/>
      <c r="G37" s="67" t="s">
        <v>41</v>
      </c>
      <c r="H37" s="45"/>
      <c r="I37" s="21">
        <v>0.05</v>
      </c>
      <c r="J37" s="19">
        <f>IF(K36&gt;=400000,400000,K36)</f>
        <v>0</v>
      </c>
      <c r="K37" s="19">
        <f t="shared" ref="K37:K41" si="7">+K36-J37</f>
        <v>0</v>
      </c>
      <c r="L37" s="16">
        <f>IF(AND(E22&gt;=1200000, E22&lt;=1270588),I37*J37,0)</f>
        <v>0</v>
      </c>
    </row>
    <row r="38" spans="2:12" ht="18" customHeight="1" x14ac:dyDescent="0.3">
      <c r="B38" s="103"/>
      <c r="C38" s="99"/>
      <c r="D38" s="99"/>
      <c r="E38" s="100"/>
      <c r="F38" s="92"/>
      <c r="G38" s="67" t="s">
        <v>42</v>
      </c>
      <c r="H38" s="45"/>
      <c r="I38" s="21">
        <v>0.1</v>
      </c>
      <c r="J38" s="19">
        <f>IF(K37&gt;=400000,400000,K37)</f>
        <v>0</v>
      </c>
      <c r="K38" s="19">
        <f t="shared" si="7"/>
        <v>0</v>
      </c>
      <c r="L38" s="16">
        <f>IF(AND(E22&gt;=1200000, E22&lt;=1270588),I38*J38,0)</f>
        <v>0</v>
      </c>
    </row>
    <row r="39" spans="2:12" ht="18" customHeight="1" x14ac:dyDescent="0.3">
      <c r="B39" s="103"/>
      <c r="C39" s="99"/>
      <c r="D39" s="99"/>
      <c r="E39" s="100"/>
      <c r="F39" s="92"/>
      <c r="G39" s="67" t="s">
        <v>43</v>
      </c>
      <c r="H39" s="45"/>
      <c r="I39" s="21">
        <v>0.15</v>
      </c>
      <c r="J39" s="19">
        <f>IF(K38&gt;=400000,400000,K38)</f>
        <v>0</v>
      </c>
      <c r="K39" s="19">
        <f t="shared" si="7"/>
        <v>0</v>
      </c>
      <c r="L39" s="16">
        <f>IF(AND(E22&gt;=1200000, E22&lt;=1270588),I39*J39,0)</f>
        <v>0</v>
      </c>
    </row>
    <row r="40" spans="2:12" ht="18" customHeight="1" thickBot="1" x14ac:dyDescent="0.35">
      <c r="B40" s="79"/>
      <c r="C40" s="37"/>
      <c r="D40" s="37"/>
      <c r="E40" s="80"/>
      <c r="F40" s="92"/>
      <c r="G40" s="67" t="s">
        <v>44</v>
      </c>
      <c r="H40" s="45"/>
      <c r="I40" s="21">
        <v>0.2</v>
      </c>
      <c r="J40" s="19">
        <f>IF(K39&gt;400000,400000,K39)</f>
        <v>0</v>
      </c>
      <c r="K40" s="19">
        <f t="shared" si="7"/>
        <v>0</v>
      </c>
      <c r="L40" s="16">
        <f>IF(AND(E22&gt;=1200000, E22&lt;=1270588),I40*J40,0)</f>
        <v>0</v>
      </c>
    </row>
    <row r="41" spans="2:12" ht="18" customHeight="1" thickBot="1" x14ac:dyDescent="0.35">
      <c r="B41" s="87"/>
      <c r="C41" s="77"/>
      <c r="D41" s="77"/>
      <c r="E41" s="77"/>
      <c r="F41" s="92"/>
      <c r="G41" s="17" t="s">
        <v>45</v>
      </c>
      <c r="H41" s="4"/>
      <c r="I41" s="21">
        <v>0.25</v>
      </c>
      <c r="J41" s="19">
        <f>IF(K40&gt;400000,400000,K40)</f>
        <v>0</v>
      </c>
      <c r="K41" s="19">
        <f t="shared" si="7"/>
        <v>0</v>
      </c>
      <c r="L41" s="16">
        <f>IF(AND(E22&gt;=1200000, E22&lt;=1270588),I41*J41,0)</f>
        <v>0</v>
      </c>
    </row>
    <row r="42" spans="2:12" ht="18" customHeight="1" x14ac:dyDescent="0.3">
      <c r="B42" s="73" t="s">
        <v>37</v>
      </c>
      <c r="C42" s="76" t="s">
        <v>49</v>
      </c>
      <c r="D42" s="77"/>
      <c r="E42" s="78"/>
      <c r="F42" s="92"/>
      <c r="G42" s="67" t="s">
        <v>46</v>
      </c>
      <c r="H42" s="45"/>
      <c r="I42" s="21">
        <v>0.3</v>
      </c>
      <c r="J42" s="19">
        <f>+K41</f>
        <v>0</v>
      </c>
      <c r="K42" s="19"/>
      <c r="L42" s="16">
        <f>ROUND(IF(AND(E22&gt;=1200000, E22&lt;=1270588),I42*J42,0),0)</f>
        <v>0</v>
      </c>
    </row>
    <row r="43" spans="2:12" ht="18" customHeight="1" thickBot="1" x14ac:dyDescent="0.35">
      <c r="B43" s="74"/>
      <c r="C43" s="79"/>
      <c r="D43" s="37"/>
      <c r="E43" s="80"/>
      <c r="F43" s="92"/>
      <c r="G43" s="44" t="s">
        <v>17</v>
      </c>
      <c r="H43" s="46"/>
      <c r="I43" s="46"/>
      <c r="J43" s="46"/>
      <c r="K43" s="45"/>
      <c r="L43" s="16">
        <f>ROUND(IF(AND(E22&gt;=1200000, E22&lt;=1270588),L36+L37+L38+L39+L40+L41+L42,0),0)</f>
        <v>0</v>
      </c>
    </row>
    <row r="44" spans="2:12" ht="18" customHeight="1" x14ac:dyDescent="0.3">
      <c r="B44" s="74"/>
      <c r="C44" s="98" t="s">
        <v>38</v>
      </c>
      <c r="D44" s="99"/>
      <c r="E44" s="100"/>
      <c r="F44" s="92"/>
      <c r="G44" s="44" t="s">
        <v>36</v>
      </c>
      <c r="H44" s="46"/>
      <c r="I44" s="46"/>
      <c r="J44" s="46"/>
      <c r="K44" s="45"/>
      <c r="L44" s="16">
        <f>IF(AND(E22&gt;=1200000, E22&lt;=12705888),E22-1200000,0)</f>
        <v>0</v>
      </c>
    </row>
    <row r="45" spans="2:12" ht="18" customHeight="1" thickBot="1" x14ac:dyDescent="0.35">
      <c r="B45" s="75"/>
      <c r="C45" s="79"/>
      <c r="D45" s="37"/>
      <c r="E45" s="80"/>
      <c r="F45" s="92"/>
      <c r="G45" s="61" t="s">
        <v>39</v>
      </c>
      <c r="H45" s="46"/>
      <c r="I45" s="46"/>
      <c r="J45" s="46"/>
      <c r="K45" s="45"/>
      <c r="L45" s="16">
        <f>IF(AND(E22&gt;=1200000, E22&lt;=1270588),L43-L44,0)</f>
        <v>0</v>
      </c>
    </row>
    <row r="46" spans="2:12" ht="18" customHeight="1" x14ac:dyDescent="0.3">
      <c r="F46" s="92"/>
      <c r="G46" s="44" t="s">
        <v>20</v>
      </c>
      <c r="H46" s="46"/>
      <c r="I46" s="46"/>
      <c r="J46" s="46"/>
      <c r="K46" s="45"/>
      <c r="L46" s="16">
        <f>L43-L45</f>
        <v>0</v>
      </c>
    </row>
    <row r="47" spans="2:12" ht="18" customHeight="1" x14ac:dyDescent="0.3">
      <c r="F47" s="92"/>
      <c r="G47" s="44" t="s">
        <v>34</v>
      </c>
      <c r="H47" s="46"/>
      <c r="I47" s="46"/>
      <c r="J47" s="46"/>
      <c r="K47" s="45"/>
      <c r="L47" s="16">
        <f>ROUND(L46*0.04,0)</f>
        <v>0</v>
      </c>
    </row>
    <row r="48" spans="2:12" ht="18" customHeight="1" thickBot="1" x14ac:dyDescent="0.35">
      <c r="F48" s="92"/>
      <c r="G48" s="62" t="s">
        <v>24</v>
      </c>
      <c r="H48" s="63"/>
      <c r="I48" s="63"/>
      <c r="J48" s="63"/>
      <c r="K48" s="64"/>
      <c r="L48" s="29">
        <f>L46+L47</f>
        <v>0</v>
      </c>
    </row>
    <row r="49" spans="7:11" ht="18" customHeight="1" x14ac:dyDescent="0.3"/>
    <row r="50" spans="7:11" ht="18" customHeight="1" x14ac:dyDescent="0.3"/>
    <row r="51" spans="7:11" ht="18" customHeight="1" x14ac:dyDescent="0.3"/>
    <row r="52" spans="7:11" ht="18" customHeight="1" x14ac:dyDescent="0.3"/>
    <row r="53" spans="7:11" ht="13.5" customHeight="1" x14ac:dyDescent="0.3"/>
    <row r="54" spans="7:11" ht="13.5" customHeight="1" x14ac:dyDescent="0.3">
      <c r="G54" s="25"/>
      <c r="H54" s="25"/>
      <c r="I54" s="26"/>
      <c r="J54" s="25"/>
      <c r="K54" s="25"/>
    </row>
    <row r="55" spans="7:11" ht="13.5" customHeight="1" x14ac:dyDescent="0.3">
      <c r="G55" s="25"/>
      <c r="H55" s="25"/>
      <c r="I55" s="26"/>
      <c r="J55" s="25"/>
      <c r="K55" s="25"/>
    </row>
    <row r="56" spans="7:11" ht="13.5" customHeight="1" x14ac:dyDescent="0.3">
      <c r="G56" s="25"/>
      <c r="H56" s="25"/>
      <c r="I56" s="26"/>
      <c r="J56" s="25"/>
      <c r="K56" s="25"/>
    </row>
    <row r="57" spans="7:11" ht="13.5" customHeight="1" x14ac:dyDescent="0.3">
      <c r="G57" s="25"/>
      <c r="H57" s="25"/>
      <c r="I57" s="26"/>
      <c r="J57" s="25"/>
      <c r="K57" s="25"/>
    </row>
    <row r="58" spans="7:11" ht="13.5" customHeight="1" x14ac:dyDescent="0.3">
      <c r="G58" s="25"/>
      <c r="H58" s="25"/>
      <c r="I58" s="26"/>
      <c r="J58" s="25"/>
      <c r="K58" s="25"/>
    </row>
    <row r="59" spans="7:11" ht="13.5" customHeight="1" x14ac:dyDescent="0.3">
      <c r="G59" s="25"/>
      <c r="H59" s="25"/>
      <c r="I59" s="26"/>
      <c r="J59" s="25"/>
      <c r="K59" s="25"/>
    </row>
    <row r="60" spans="7:11" ht="13.5" customHeight="1" x14ac:dyDescent="0.3">
      <c r="G60" s="25"/>
      <c r="H60" s="25"/>
      <c r="I60" s="26"/>
      <c r="J60" s="25"/>
      <c r="K60" s="25"/>
    </row>
    <row r="61" spans="7:11" ht="13.5" customHeight="1" x14ac:dyDescent="0.3">
      <c r="G61" s="25"/>
      <c r="H61" s="25"/>
      <c r="I61" s="26"/>
      <c r="J61" s="25"/>
      <c r="K61" s="25"/>
    </row>
    <row r="62" spans="7:11" ht="13.5" customHeight="1" x14ac:dyDescent="0.3">
      <c r="G62" s="25"/>
      <c r="H62" s="25"/>
      <c r="I62" s="26"/>
      <c r="J62" s="25"/>
      <c r="K62" s="25"/>
    </row>
    <row r="63" spans="7:11" ht="13.5" customHeight="1" x14ac:dyDescent="0.3">
      <c r="G63" s="25"/>
      <c r="H63" s="25"/>
      <c r="I63" s="26"/>
      <c r="J63" s="25"/>
      <c r="K63" s="25"/>
    </row>
    <row r="64" spans="7:11" ht="13.5" customHeight="1" x14ac:dyDescent="0.3">
      <c r="G64" s="25"/>
      <c r="H64" s="25"/>
      <c r="I64" s="26"/>
      <c r="J64" s="25"/>
      <c r="K64" s="25"/>
    </row>
    <row r="65" spans="7:11" ht="13.5" customHeight="1" x14ac:dyDescent="0.3">
      <c r="G65" s="25"/>
      <c r="H65" s="25"/>
      <c r="I65" s="26"/>
      <c r="J65" s="25"/>
      <c r="K65" s="25"/>
    </row>
    <row r="66" spans="7:11" ht="13.5" customHeight="1" x14ac:dyDescent="0.3">
      <c r="G66" s="25"/>
      <c r="H66" s="25"/>
      <c r="I66" s="26"/>
      <c r="J66" s="25"/>
      <c r="K66" s="25"/>
    </row>
    <row r="67" spans="7:11" ht="13.5" customHeight="1" x14ac:dyDescent="0.3">
      <c r="G67" s="25"/>
      <c r="H67" s="25"/>
      <c r="I67" s="26"/>
      <c r="J67" s="25"/>
      <c r="K67" s="25"/>
    </row>
    <row r="68" spans="7:11" ht="13.5" customHeight="1" x14ac:dyDescent="0.3">
      <c r="G68" s="25"/>
      <c r="H68" s="25"/>
      <c r="I68" s="26"/>
      <c r="J68" s="25"/>
      <c r="K68" s="25"/>
    </row>
    <row r="69" spans="7:11" ht="13.5" customHeight="1" x14ac:dyDescent="0.3">
      <c r="G69" s="25"/>
      <c r="H69" s="25"/>
      <c r="I69" s="26"/>
      <c r="J69" s="25"/>
      <c r="K69" s="25"/>
    </row>
    <row r="70" spans="7:11" ht="13.5" customHeight="1" x14ac:dyDescent="0.3">
      <c r="G70" s="25"/>
      <c r="H70" s="25"/>
      <c r="I70" s="26"/>
      <c r="J70" s="25"/>
      <c r="K70" s="25"/>
    </row>
    <row r="71" spans="7:11" ht="13.5" customHeight="1" x14ac:dyDescent="0.3">
      <c r="G71" s="25"/>
      <c r="H71" s="25"/>
      <c r="I71" s="26"/>
      <c r="J71" s="25"/>
      <c r="K71" s="25"/>
    </row>
    <row r="72" spans="7:11" ht="13.5" customHeight="1" x14ac:dyDescent="0.3">
      <c r="G72" s="25"/>
      <c r="H72" s="25"/>
      <c r="I72" s="26"/>
      <c r="J72" s="25"/>
      <c r="K72" s="25"/>
    </row>
    <row r="73" spans="7:11" ht="13.5" customHeight="1" x14ac:dyDescent="0.3">
      <c r="G73" s="25"/>
      <c r="H73" s="25"/>
      <c r="I73" s="26"/>
      <c r="J73" s="25"/>
      <c r="K73" s="25"/>
    </row>
    <row r="74" spans="7:11" ht="13.5" customHeight="1" x14ac:dyDescent="0.3">
      <c r="G74" s="25"/>
      <c r="H74" s="25"/>
      <c r="I74" s="26"/>
      <c r="J74" s="25"/>
      <c r="K74" s="25"/>
    </row>
    <row r="75" spans="7:11" ht="13.5" customHeight="1" x14ac:dyDescent="0.3">
      <c r="G75" s="25"/>
      <c r="H75" s="25"/>
      <c r="I75" s="26"/>
      <c r="J75" s="25"/>
      <c r="K75" s="25"/>
    </row>
    <row r="76" spans="7:11" ht="13.5" customHeight="1" x14ac:dyDescent="0.3">
      <c r="G76" s="25"/>
      <c r="H76" s="25"/>
      <c r="I76" s="26"/>
      <c r="J76" s="25"/>
      <c r="K76" s="25"/>
    </row>
    <row r="77" spans="7:11" ht="13.5" customHeight="1" x14ac:dyDescent="0.3">
      <c r="G77" s="25"/>
      <c r="H77" s="25"/>
      <c r="I77" s="26"/>
      <c r="J77" s="25"/>
      <c r="K77" s="25"/>
    </row>
    <row r="78" spans="7:11" ht="13.5" customHeight="1" x14ac:dyDescent="0.3">
      <c r="G78" s="25"/>
      <c r="H78" s="25"/>
      <c r="I78" s="26"/>
      <c r="J78" s="25"/>
      <c r="K78" s="25"/>
    </row>
    <row r="79" spans="7:11" ht="13.5" customHeight="1" x14ac:dyDescent="0.3">
      <c r="G79" s="25"/>
      <c r="H79" s="25"/>
      <c r="I79" s="26"/>
      <c r="J79" s="25"/>
      <c r="K79" s="25"/>
    </row>
    <row r="80" spans="7:11" ht="13.5" customHeight="1" x14ac:dyDescent="0.3">
      <c r="G80" s="25"/>
      <c r="H80" s="25"/>
      <c r="I80" s="26"/>
      <c r="J80" s="25"/>
      <c r="K80" s="25"/>
    </row>
    <row r="81" spans="7:11" ht="13.5" customHeight="1" x14ac:dyDescent="0.3">
      <c r="G81" s="25"/>
      <c r="H81" s="25"/>
      <c r="I81" s="26"/>
      <c r="J81" s="25"/>
      <c r="K81" s="25"/>
    </row>
    <row r="82" spans="7:11" ht="13.5" customHeight="1" x14ac:dyDescent="0.3">
      <c r="G82" s="25"/>
      <c r="H82" s="25"/>
      <c r="I82" s="26"/>
      <c r="J82" s="25"/>
      <c r="K82" s="25"/>
    </row>
    <row r="83" spans="7:11" ht="13.5" customHeight="1" x14ac:dyDescent="0.3">
      <c r="G83" s="25"/>
      <c r="H83" s="25"/>
      <c r="I83" s="26"/>
      <c r="J83" s="25"/>
      <c r="K83" s="25"/>
    </row>
    <row r="84" spans="7:11" ht="13.5" customHeight="1" x14ac:dyDescent="0.3">
      <c r="G84" s="25"/>
      <c r="H84" s="25"/>
      <c r="I84" s="26"/>
      <c r="J84" s="25"/>
      <c r="K84" s="25"/>
    </row>
    <row r="85" spans="7:11" ht="13.5" customHeight="1" x14ac:dyDescent="0.3">
      <c r="G85" s="25"/>
      <c r="H85" s="25"/>
      <c r="I85" s="26"/>
      <c r="J85" s="25"/>
      <c r="K85" s="25"/>
    </row>
    <row r="86" spans="7:11" ht="13.5" customHeight="1" x14ac:dyDescent="0.3">
      <c r="G86" s="25"/>
      <c r="H86" s="25"/>
      <c r="I86" s="26"/>
      <c r="J86" s="25"/>
      <c r="K86" s="25"/>
    </row>
    <row r="87" spans="7:11" ht="13.5" customHeight="1" x14ac:dyDescent="0.3">
      <c r="G87" s="25"/>
      <c r="H87" s="25"/>
      <c r="I87" s="26"/>
      <c r="J87" s="25"/>
      <c r="K87" s="25"/>
    </row>
    <row r="88" spans="7:11" ht="13.5" customHeight="1" x14ac:dyDescent="0.3">
      <c r="G88" s="25"/>
      <c r="H88" s="25"/>
      <c r="I88" s="26"/>
      <c r="J88" s="25"/>
      <c r="K88" s="25"/>
    </row>
    <row r="89" spans="7:11" ht="13.5" customHeight="1" x14ac:dyDescent="0.3">
      <c r="G89" s="25"/>
      <c r="H89" s="25"/>
      <c r="I89" s="26"/>
      <c r="J89" s="25"/>
      <c r="K89" s="25"/>
    </row>
    <row r="90" spans="7:11" ht="13.5" customHeight="1" x14ac:dyDescent="0.3">
      <c r="G90" s="25"/>
      <c r="H90" s="25"/>
      <c r="I90" s="26"/>
      <c r="J90" s="25"/>
      <c r="K90" s="25"/>
    </row>
    <row r="91" spans="7:11" ht="13.5" customHeight="1" x14ac:dyDescent="0.3">
      <c r="G91" s="25"/>
      <c r="H91" s="25"/>
      <c r="I91" s="26"/>
      <c r="J91" s="25"/>
      <c r="K91" s="25"/>
    </row>
    <row r="92" spans="7:11" ht="13.5" customHeight="1" x14ac:dyDescent="0.3">
      <c r="G92" s="25"/>
      <c r="H92" s="25"/>
      <c r="I92" s="26"/>
      <c r="J92" s="25"/>
      <c r="K92" s="25"/>
    </row>
    <row r="93" spans="7:11" ht="13.5" customHeight="1" x14ac:dyDescent="0.3">
      <c r="G93" s="25"/>
      <c r="H93" s="25"/>
      <c r="I93" s="26"/>
      <c r="J93" s="25"/>
      <c r="K93" s="25"/>
    </row>
    <row r="94" spans="7:11" ht="13.5" customHeight="1" x14ac:dyDescent="0.3">
      <c r="G94" s="25"/>
      <c r="H94" s="25"/>
      <c r="I94" s="26"/>
      <c r="J94" s="25"/>
      <c r="K94" s="25"/>
    </row>
    <row r="95" spans="7:11" ht="13.5" customHeight="1" x14ac:dyDescent="0.3">
      <c r="G95" s="25"/>
      <c r="H95" s="25"/>
      <c r="I95" s="26"/>
      <c r="J95" s="25"/>
      <c r="K95" s="25"/>
    </row>
    <row r="96" spans="7:11" ht="13.5" customHeight="1" x14ac:dyDescent="0.3">
      <c r="G96" s="25"/>
      <c r="H96" s="25"/>
      <c r="I96" s="26"/>
      <c r="J96" s="25"/>
      <c r="K96" s="25"/>
    </row>
    <row r="97" spans="7:11" ht="13.5" customHeight="1" x14ac:dyDescent="0.3">
      <c r="G97" s="25"/>
      <c r="H97" s="25"/>
      <c r="I97" s="26"/>
      <c r="J97" s="25"/>
      <c r="K97" s="25"/>
    </row>
    <row r="98" spans="7:11" ht="13.5" customHeight="1" x14ac:dyDescent="0.3">
      <c r="G98" s="25"/>
      <c r="H98" s="25"/>
      <c r="I98" s="26"/>
      <c r="J98" s="25"/>
      <c r="K98" s="25"/>
    </row>
    <row r="99" spans="7:11" ht="13.5" customHeight="1" x14ac:dyDescent="0.3">
      <c r="G99" s="25"/>
      <c r="H99" s="25"/>
      <c r="I99" s="26"/>
      <c r="J99" s="25"/>
      <c r="K99" s="25"/>
    </row>
    <row r="100" spans="7:11" ht="13.5" customHeight="1" x14ac:dyDescent="0.3">
      <c r="G100" s="25"/>
      <c r="H100" s="25"/>
      <c r="I100" s="26"/>
      <c r="J100" s="25"/>
      <c r="K100" s="25"/>
    </row>
    <row r="101" spans="7:11" ht="13.5" customHeight="1" x14ac:dyDescent="0.3">
      <c r="G101" s="25"/>
      <c r="H101" s="25"/>
      <c r="I101" s="26"/>
      <c r="J101" s="25"/>
      <c r="K101" s="25"/>
    </row>
    <row r="102" spans="7:11" ht="13.5" customHeight="1" x14ac:dyDescent="0.3">
      <c r="G102" s="25"/>
      <c r="H102" s="25"/>
      <c r="I102" s="26"/>
      <c r="J102" s="25"/>
      <c r="K102" s="25"/>
    </row>
    <row r="103" spans="7:11" ht="13.5" customHeight="1" x14ac:dyDescent="0.3">
      <c r="G103" s="25"/>
      <c r="H103" s="25"/>
      <c r="I103" s="26"/>
      <c r="J103" s="25"/>
      <c r="K103" s="25"/>
    </row>
    <row r="104" spans="7:11" ht="13.5" customHeight="1" x14ac:dyDescent="0.3">
      <c r="G104" s="25"/>
      <c r="H104" s="25"/>
      <c r="I104" s="26"/>
      <c r="J104" s="25"/>
      <c r="K104" s="25"/>
    </row>
    <row r="105" spans="7:11" ht="13.5" customHeight="1" x14ac:dyDescent="0.3">
      <c r="G105" s="25"/>
      <c r="H105" s="25"/>
      <c r="I105" s="26"/>
      <c r="J105" s="25"/>
      <c r="K105" s="25"/>
    </row>
    <row r="106" spans="7:11" ht="13.5" customHeight="1" x14ac:dyDescent="0.3">
      <c r="G106" s="25"/>
      <c r="H106" s="25"/>
      <c r="I106" s="26"/>
      <c r="J106" s="25"/>
      <c r="K106" s="25"/>
    </row>
    <row r="107" spans="7:11" ht="13.5" customHeight="1" x14ac:dyDescent="0.3">
      <c r="G107" s="25"/>
      <c r="H107" s="25"/>
      <c r="I107" s="26"/>
      <c r="J107" s="25"/>
      <c r="K107" s="25"/>
    </row>
    <row r="108" spans="7:11" ht="13.5" customHeight="1" x14ac:dyDescent="0.3">
      <c r="G108" s="25"/>
      <c r="H108" s="25"/>
      <c r="I108" s="26"/>
      <c r="J108" s="25"/>
      <c r="K108" s="25"/>
    </row>
    <row r="109" spans="7:11" ht="13.5" customHeight="1" x14ac:dyDescent="0.3">
      <c r="G109" s="25"/>
      <c r="H109" s="25"/>
      <c r="I109" s="26"/>
      <c r="J109" s="25"/>
      <c r="K109" s="25"/>
    </row>
    <row r="110" spans="7:11" ht="13.5" customHeight="1" x14ac:dyDescent="0.3">
      <c r="G110" s="25"/>
      <c r="H110" s="25"/>
      <c r="I110" s="26"/>
      <c r="J110" s="25"/>
      <c r="K110" s="25"/>
    </row>
    <row r="111" spans="7:11" ht="13.5" customHeight="1" x14ac:dyDescent="0.3">
      <c r="G111" s="25"/>
      <c r="H111" s="25"/>
      <c r="I111" s="26"/>
      <c r="J111" s="25"/>
      <c r="K111" s="25"/>
    </row>
    <row r="112" spans="7:11" ht="13.5" customHeight="1" x14ac:dyDescent="0.3">
      <c r="G112" s="25"/>
      <c r="H112" s="25"/>
      <c r="I112" s="26"/>
      <c r="J112" s="25"/>
      <c r="K112" s="25"/>
    </row>
    <row r="113" spans="7:11" ht="13.5" customHeight="1" x14ac:dyDescent="0.3">
      <c r="G113" s="25"/>
      <c r="H113" s="25"/>
      <c r="I113" s="26"/>
      <c r="J113" s="25"/>
      <c r="K113" s="25"/>
    </row>
    <row r="114" spans="7:11" ht="13.5" customHeight="1" x14ac:dyDescent="0.3">
      <c r="G114" s="25"/>
      <c r="H114" s="25"/>
      <c r="I114" s="26"/>
      <c r="J114" s="25"/>
      <c r="K114" s="25"/>
    </row>
    <row r="115" spans="7:11" ht="13.5" customHeight="1" x14ac:dyDescent="0.3">
      <c r="G115" s="25"/>
      <c r="H115" s="25"/>
      <c r="I115" s="26"/>
      <c r="J115" s="25"/>
      <c r="K115" s="25"/>
    </row>
    <row r="116" spans="7:11" ht="13.5" customHeight="1" x14ac:dyDescent="0.3">
      <c r="G116" s="25"/>
      <c r="H116" s="25"/>
      <c r="I116" s="26"/>
      <c r="J116" s="25"/>
      <c r="K116" s="25"/>
    </row>
    <row r="117" spans="7:11" ht="13.5" customHeight="1" x14ac:dyDescent="0.3">
      <c r="G117" s="25"/>
      <c r="H117" s="25"/>
      <c r="I117" s="26"/>
      <c r="J117" s="25"/>
      <c r="K117" s="25"/>
    </row>
    <row r="118" spans="7:11" ht="13.5" customHeight="1" x14ac:dyDescent="0.3">
      <c r="G118" s="25"/>
      <c r="H118" s="25"/>
      <c r="I118" s="26"/>
      <c r="J118" s="25"/>
      <c r="K118" s="25"/>
    </row>
    <row r="119" spans="7:11" ht="13.5" customHeight="1" x14ac:dyDescent="0.3">
      <c r="G119" s="25"/>
      <c r="H119" s="25"/>
      <c r="I119" s="26"/>
      <c r="J119" s="25"/>
      <c r="K119" s="25"/>
    </row>
    <row r="120" spans="7:11" ht="13.5" customHeight="1" x14ac:dyDescent="0.3">
      <c r="G120" s="25"/>
      <c r="H120" s="25"/>
      <c r="I120" s="26"/>
      <c r="J120" s="25"/>
      <c r="K120" s="25"/>
    </row>
    <row r="121" spans="7:11" ht="13.5" customHeight="1" x14ac:dyDescent="0.3">
      <c r="G121" s="25"/>
      <c r="H121" s="25"/>
      <c r="I121" s="26"/>
      <c r="J121" s="25"/>
      <c r="K121" s="25"/>
    </row>
    <row r="122" spans="7:11" ht="13.5" customHeight="1" x14ac:dyDescent="0.3">
      <c r="G122" s="25"/>
      <c r="H122" s="25"/>
      <c r="I122" s="26"/>
      <c r="J122" s="25"/>
      <c r="K122" s="25"/>
    </row>
    <row r="123" spans="7:11" ht="13.5" customHeight="1" x14ac:dyDescent="0.3">
      <c r="G123" s="25"/>
      <c r="H123" s="25"/>
      <c r="I123" s="26"/>
      <c r="J123" s="25"/>
      <c r="K123" s="25"/>
    </row>
    <row r="124" spans="7:11" ht="13.5" customHeight="1" x14ac:dyDescent="0.3">
      <c r="G124" s="25"/>
      <c r="H124" s="25"/>
      <c r="I124" s="26"/>
      <c r="J124" s="25"/>
      <c r="K124" s="25"/>
    </row>
    <row r="125" spans="7:11" ht="13.5" customHeight="1" x14ac:dyDescent="0.3">
      <c r="G125" s="25"/>
      <c r="H125" s="25"/>
      <c r="I125" s="26"/>
      <c r="J125" s="25"/>
      <c r="K125" s="25"/>
    </row>
    <row r="126" spans="7:11" ht="13.5" customHeight="1" x14ac:dyDescent="0.3">
      <c r="G126" s="25"/>
      <c r="H126" s="25"/>
      <c r="I126" s="26"/>
      <c r="J126" s="25"/>
      <c r="K126" s="25"/>
    </row>
    <row r="127" spans="7:11" ht="13.5" customHeight="1" x14ac:dyDescent="0.3">
      <c r="G127" s="25"/>
      <c r="H127" s="25"/>
      <c r="I127" s="26"/>
      <c r="J127" s="25"/>
      <c r="K127" s="25"/>
    </row>
    <row r="128" spans="7:11" ht="13.5" customHeight="1" x14ac:dyDescent="0.3">
      <c r="G128" s="25"/>
      <c r="H128" s="25"/>
      <c r="I128" s="26"/>
      <c r="J128" s="25"/>
      <c r="K128" s="25"/>
    </row>
    <row r="129" spans="7:11" ht="13.5" customHeight="1" x14ac:dyDescent="0.3">
      <c r="G129" s="25"/>
      <c r="H129" s="25"/>
      <c r="I129" s="26"/>
      <c r="J129" s="25"/>
      <c r="K129" s="25"/>
    </row>
    <row r="130" spans="7:11" ht="13.5" customHeight="1" x14ac:dyDescent="0.3">
      <c r="G130" s="25"/>
      <c r="H130" s="25"/>
      <c r="I130" s="26"/>
      <c r="J130" s="25"/>
      <c r="K130" s="25"/>
    </row>
    <row r="131" spans="7:11" ht="13.5" customHeight="1" x14ac:dyDescent="0.3">
      <c r="G131" s="25"/>
      <c r="H131" s="25"/>
      <c r="I131" s="26"/>
      <c r="J131" s="25"/>
      <c r="K131" s="25"/>
    </row>
    <row r="132" spans="7:11" ht="13.5" customHeight="1" x14ac:dyDescent="0.3">
      <c r="G132" s="25"/>
      <c r="H132" s="25"/>
      <c r="I132" s="26"/>
      <c r="J132" s="25"/>
      <c r="K132" s="25"/>
    </row>
    <row r="133" spans="7:11" ht="13.5" customHeight="1" x14ac:dyDescent="0.3">
      <c r="G133" s="25"/>
      <c r="H133" s="25"/>
      <c r="I133" s="26"/>
      <c r="J133" s="25"/>
      <c r="K133" s="25"/>
    </row>
    <row r="134" spans="7:11" ht="13.5" customHeight="1" x14ac:dyDescent="0.3">
      <c r="G134" s="25"/>
      <c r="H134" s="25"/>
      <c r="I134" s="26"/>
      <c r="J134" s="25"/>
      <c r="K134" s="25"/>
    </row>
    <row r="135" spans="7:11" ht="13.5" customHeight="1" x14ac:dyDescent="0.3">
      <c r="G135" s="25"/>
      <c r="H135" s="25"/>
      <c r="I135" s="26"/>
      <c r="J135" s="25"/>
      <c r="K135" s="25"/>
    </row>
    <row r="136" spans="7:11" ht="13.5" customHeight="1" x14ac:dyDescent="0.3">
      <c r="G136" s="25"/>
      <c r="H136" s="25"/>
      <c r="I136" s="26"/>
      <c r="J136" s="25"/>
      <c r="K136" s="25"/>
    </row>
    <row r="137" spans="7:11" ht="13.5" customHeight="1" x14ac:dyDescent="0.3">
      <c r="G137" s="25"/>
      <c r="H137" s="25"/>
      <c r="I137" s="26"/>
      <c r="J137" s="25"/>
      <c r="K137" s="25"/>
    </row>
    <row r="138" spans="7:11" ht="13.5" customHeight="1" x14ac:dyDescent="0.3">
      <c r="G138" s="25"/>
      <c r="H138" s="25"/>
      <c r="I138" s="26"/>
      <c r="J138" s="25"/>
      <c r="K138" s="25"/>
    </row>
    <row r="139" spans="7:11" ht="13.5" customHeight="1" x14ac:dyDescent="0.3">
      <c r="G139" s="25"/>
      <c r="H139" s="25"/>
      <c r="I139" s="26"/>
      <c r="J139" s="25"/>
      <c r="K139" s="25"/>
    </row>
    <row r="140" spans="7:11" ht="13.5" customHeight="1" x14ac:dyDescent="0.3">
      <c r="G140" s="25"/>
      <c r="H140" s="25"/>
      <c r="I140" s="26"/>
      <c r="J140" s="25"/>
      <c r="K140" s="25"/>
    </row>
    <row r="141" spans="7:11" ht="13.5" customHeight="1" x14ac:dyDescent="0.3">
      <c r="G141" s="25"/>
      <c r="H141" s="25"/>
      <c r="I141" s="26"/>
      <c r="J141" s="25"/>
      <c r="K141" s="25"/>
    </row>
    <row r="142" spans="7:11" ht="13.5" customHeight="1" x14ac:dyDescent="0.3">
      <c r="G142" s="25"/>
      <c r="H142" s="25"/>
      <c r="I142" s="26"/>
      <c r="J142" s="25"/>
      <c r="K142" s="25"/>
    </row>
    <row r="143" spans="7:11" ht="13.5" customHeight="1" x14ac:dyDescent="0.3">
      <c r="G143" s="25"/>
      <c r="H143" s="25"/>
      <c r="I143" s="26"/>
      <c r="J143" s="25"/>
      <c r="K143" s="25"/>
    </row>
    <row r="144" spans="7:11" ht="13.5" customHeight="1" x14ac:dyDescent="0.3">
      <c r="G144" s="25"/>
      <c r="H144" s="25"/>
      <c r="I144" s="26"/>
      <c r="J144" s="25"/>
      <c r="K144" s="25"/>
    </row>
    <row r="145" spans="7:11" ht="13.5" customHeight="1" x14ac:dyDescent="0.3">
      <c r="G145" s="25"/>
      <c r="H145" s="25"/>
      <c r="I145" s="26"/>
      <c r="J145" s="25"/>
      <c r="K145" s="25"/>
    </row>
    <row r="146" spans="7:11" ht="13.5" customHeight="1" x14ac:dyDescent="0.3">
      <c r="G146" s="25"/>
      <c r="H146" s="25"/>
      <c r="I146" s="26"/>
      <c r="J146" s="25"/>
      <c r="K146" s="25"/>
    </row>
    <row r="147" spans="7:11" ht="13.5" customHeight="1" x14ac:dyDescent="0.3">
      <c r="G147" s="25"/>
      <c r="H147" s="25"/>
      <c r="I147" s="26"/>
      <c r="J147" s="25"/>
      <c r="K147" s="25"/>
    </row>
    <row r="148" spans="7:11" ht="13.5" customHeight="1" x14ac:dyDescent="0.3">
      <c r="G148" s="25"/>
      <c r="H148" s="25"/>
      <c r="I148" s="26"/>
      <c r="J148" s="25"/>
      <c r="K148" s="25"/>
    </row>
    <row r="149" spans="7:11" ht="13.5" customHeight="1" x14ac:dyDescent="0.3">
      <c r="G149" s="25"/>
      <c r="H149" s="25"/>
      <c r="I149" s="26"/>
      <c r="J149" s="25"/>
      <c r="K149" s="25"/>
    </row>
    <row r="150" spans="7:11" ht="13.5" customHeight="1" x14ac:dyDescent="0.3">
      <c r="G150" s="25"/>
      <c r="H150" s="25"/>
      <c r="I150" s="26"/>
      <c r="J150" s="25"/>
      <c r="K150" s="25"/>
    </row>
    <row r="151" spans="7:11" ht="13.5" customHeight="1" x14ac:dyDescent="0.3">
      <c r="G151" s="25"/>
      <c r="H151" s="25"/>
      <c r="I151" s="26"/>
      <c r="J151" s="25"/>
      <c r="K151" s="25"/>
    </row>
    <row r="152" spans="7:11" ht="13.5" customHeight="1" x14ac:dyDescent="0.3">
      <c r="G152" s="25"/>
      <c r="H152" s="25"/>
      <c r="I152" s="26"/>
      <c r="J152" s="25"/>
      <c r="K152" s="25"/>
    </row>
    <row r="153" spans="7:11" ht="13.5" customHeight="1" x14ac:dyDescent="0.3">
      <c r="G153" s="25"/>
      <c r="H153" s="25"/>
      <c r="I153" s="26"/>
      <c r="J153" s="25"/>
      <c r="K153" s="25"/>
    </row>
    <row r="154" spans="7:11" ht="13.5" customHeight="1" x14ac:dyDescent="0.3">
      <c r="G154" s="25"/>
      <c r="H154" s="25"/>
      <c r="I154" s="26"/>
      <c r="J154" s="25"/>
      <c r="K154" s="25"/>
    </row>
    <row r="155" spans="7:11" ht="13.5" customHeight="1" x14ac:dyDescent="0.3">
      <c r="G155" s="25"/>
      <c r="H155" s="25"/>
      <c r="I155" s="26"/>
      <c r="J155" s="25"/>
      <c r="K155" s="25"/>
    </row>
    <row r="156" spans="7:11" ht="13.5" customHeight="1" x14ac:dyDescent="0.3">
      <c r="G156" s="25"/>
      <c r="H156" s="25"/>
      <c r="I156" s="26"/>
      <c r="J156" s="25"/>
      <c r="K156" s="25"/>
    </row>
    <row r="157" spans="7:11" ht="13.5" customHeight="1" x14ac:dyDescent="0.3">
      <c r="G157" s="25"/>
      <c r="H157" s="25"/>
      <c r="I157" s="26"/>
      <c r="J157" s="25"/>
      <c r="K157" s="25"/>
    </row>
    <row r="158" spans="7:11" ht="13.5" customHeight="1" x14ac:dyDescent="0.3">
      <c r="G158" s="25"/>
      <c r="H158" s="25"/>
      <c r="I158" s="26"/>
      <c r="J158" s="25"/>
      <c r="K158" s="25"/>
    </row>
    <row r="159" spans="7:11" ht="13.5" customHeight="1" x14ac:dyDescent="0.3">
      <c r="G159" s="25"/>
      <c r="H159" s="25"/>
      <c r="I159" s="26"/>
      <c r="J159" s="25"/>
      <c r="K159" s="25"/>
    </row>
    <row r="160" spans="7:11" ht="13.5" customHeight="1" x14ac:dyDescent="0.3">
      <c r="G160" s="25"/>
      <c r="H160" s="25"/>
      <c r="I160" s="26"/>
      <c r="J160" s="25"/>
      <c r="K160" s="25"/>
    </row>
    <row r="161" spans="7:11" ht="13.5" customHeight="1" x14ac:dyDescent="0.3">
      <c r="G161" s="25"/>
      <c r="H161" s="25"/>
      <c r="I161" s="26"/>
      <c r="J161" s="25"/>
      <c r="K161" s="25"/>
    </row>
    <row r="162" spans="7:11" ht="13.5" customHeight="1" x14ac:dyDescent="0.3">
      <c r="G162" s="25"/>
      <c r="H162" s="25"/>
      <c r="I162" s="26"/>
      <c r="J162" s="25"/>
      <c r="K162" s="25"/>
    </row>
    <row r="163" spans="7:11" ht="13.5" customHeight="1" x14ac:dyDescent="0.3">
      <c r="G163" s="25"/>
      <c r="H163" s="25"/>
      <c r="I163" s="26"/>
      <c r="J163" s="25"/>
      <c r="K163" s="25"/>
    </row>
    <row r="164" spans="7:11" ht="13.5" customHeight="1" x14ac:dyDescent="0.3">
      <c r="G164" s="25"/>
      <c r="H164" s="25"/>
      <c r="I164" s="26"/>
      <c r="J164" s="25"/>
      <c r="K164" s="25"/>
    </row>
    <row r="165" spans="7:11" ht="13.5" customHeight="1" x14ac:dyDescent="0.3">
      <c r="G165" s="25"/>
      <c r="H165" s="25"/>
      <c r="I165" s="26"/>
      <c r="J165" s="25"/>
      <c r="K165" s="25"/>
    </row>
    <row r="166" spans="7:11" ht="13.5" customHeight="1" x14ac:dyDescent="0.3">
      <c r="G166" s="25"/>
      <c r="H166" s="25"/>
      <c r="I166" s="26"/>
      <c r="J166" s="25"/>
      <c r="K166" s="25"/>
    </row>
    <row r="167" spans="7:11" ht="13.5" customHeight="1" x14ac:dyDescent="0.3">
      <c r="G167" s="25"/>
      <c r="H167" s="25"/>
      <c r="I167" s="26"/>
      <c r="J167" s="25"/>
      <c r="K167" s="25"/>
    </row>
    <row r="168" spans="7:11" ht="13.5" customHeight="1" x14ac:dyDescent="0.3">
      <c r="G168" s="25"/>
      <c r="H168" s="25"/>
      <c r="I168" s="26"/>
      <c r="J168" s="25"/>
      <c r="K168" s="25"/>
    </row>
    <row r="169" spans="7:11" ht="13.5" customHeight="1" x14ac:dyDescent="0.3">
      <c r="G169" s="25"/>
      <c r="H169" s="25"/>
      <c r="I169" s="26"/>
      <c r="J169" s="25"/>
      <c r="K169" s="25"/>
    </row>
    <row r="170" spans="7:11" ht="13.5" customHeight="1" x14ac:dyDescent="0.3">
      <c r="G170" s="25"/>
      <c r="H170" s="25"/>
      <c r="I170" s="26"/>
      <c r="J170" s="25"/>
      <c r="K170" s="25"/>
    </row>
    <row r="171" spans="7:11" ht="13.5" customHeight="1" x14ac:dyDescent="0.3">
      <c r="G171" s="25"/>
      <c r="H171" s="25"/>
      <c r="I171" s="26"/>
      <c r="J171" s="25"/>
      <c r="K171" s="25"/>
    </row>
    <row r="172" spans="7:11" ht="13.5" customHeight="1" x14ac:dyDescent="0.3">
      <c r="G172" s="25"/>
      <c r="H172" s="25"/>
      <c r="I172" s="26"/>
      <c r="J172" s="25"/>
      <c r="K172" s="25"/>
    </row>
    <row r="173" spans="7:11" ht="13.5" customHeight="1" x14ac:dyDescent="0.3">
      <c r="G173" s="25"/>
      <c r="H173" s="25"/>
      <c r="I173" s="26"/>
      <c r="J173" s="25"/>
      <c r="K173" s="25"/>
    </row>
    <row r="174" spans="7:11" ht="13.5" customHeight="1" x14ac:dyDescent="0.3">
      <c r="G174" s="25"/>
      <c r="H174" s="25"/>
      <c r="I174" s="26"/>
      <c r="J174" s="25"/>
      <c r="K174" s="25"/>
    </row>
    <row r="175" spans="7:11" ht="13.5" customHeight="1" x14ac:dyDescent="0.3">
      <c r="G175" s="25"/>
      <c r="H175" s="25"/>
      <c r="I175" s="26"/>
      <c r="J175" s="25"/>
      <c r="K175" s="25"/>
    </row>
    <row r="176" spans="7:11" ht="13.5" customHeight="1" x14ac:dyDescent="0.3">
      <c r="G176" s="25"/>
      <c r="H176" s="25"/>
      <c r="I176" s="26"/>
      <c r="J176" s="25"/>
      <c r="K176" s="25"/>
    </row>
    <row r="177" spans="7:11" ht="13.5" customHeight="1" x14ac:dyDescent="0.3">
      <c r="G177" s="25"/>
      <c r="H177" s="25"/>
      <c r="I177" s="26"/>
      <c r="J177" s="25"/>
      <c r="K177" s="25"/>
    </row>
    <row r="178" spans="7:11" ht="13.5" customHeight="1" x14ac:dyDescent="0.3">
      <c r="G178" s="25"/>
      <c r="H178" s="25"/>
      <c r="I178" s="26"/>
      <c r="J178" s="25"/>
      <c r="K178" s="25"/>
    </row>
    <row r="179" spans="7:11" ht="13.5" customHeight="1" x14ac:dyDescent="0.3">
      <c r="G179" s="25"/>
      <c r="H179" s="25"/>
      <c r="I179" s="26"/>
      <c r="J179" s="25"/>
      <c r="K179" s="25"/>
    </row>
    <row r="180" spans="7:11" ht="13.5" customHeight="1" x14ac:dyDescent="0.3">
      <c r="G180" s="25"/>
      <c r="H180" s="25"/>
      <c r="I180" s="26"/>
      <c r="J180" s="25"/>
      <c r="K180" s="25"/>
    </row>
    <row r="181" spans="7:11" ht="13.5" customHeight="1" x14ac:dyDescent="0.3">
      <c r="G181" s="25"/>
      <c r="H181" s="25"/>
      <c r="I181" s="26"/>
      <c r="J181" s="25"/>
      <c r="K181" s="25"/>
    </row>
    <row r="182" spans="7:11" ht="13.5" customHeight="1" x14ac:dyDescent="0.3">
      <c r="G182" s="25"/>
      <c r="H182" s="25"/>
      <c r="I182" s="26"/>
      <c r="J182" s="25"/>
      <c r="K182" s="25"/>
    </row>
    <row r="183" spans="7:11" ht="13.5" customHeight="1" x14ac:dyDescent="0.3">
      <c r="G183" s="25"/>
      <c r="H183" s="25"/>
      <c r="I183" s="26"/>
      <c r="J183" s="25"/>
      <c r="K183" s="25"/>
    </row>
    <row r="184" spans="7:11" ht="13.5" customHeight="1" x14ac:dyDescent="0.3">
      <c r="G184" s="25"/>
      <c r="H184" s="25"/>
      <c r="I184" s="26"/>
      <c r="J184" s="25"/>
      <c r="K184" s="25"/>
    </row>
    <row r="185" spans="7:11" ht="13.5" customHeight="1" x14ac:dyDescent="0.3">
      <c r="G185" s="25"/>
      <c r="H185" s="25"/>
      <c r="I185" s="26"/>
      <c r="J185" s="25"/>
      <c r="K185" s="25"/>
    </row>
    <row r="186" spans="7:11" ht="13.5" customHeight="1" x14ac:dyDescent="0.3">
      <c r="G186" s="25"/>
      <c r="H186" s="25"/>
      <c r="I186" s="26"/>
      <c r="J186" s="25"/>
      <c r="K186" s="25"/>
    </row>
    <row r="187" spans="7:11" ht="13.5" customHeight="1" x14ac:dyDescent="0.3">
      <c r="G187" s="25"/>
      <c r="H187" s="25"/>
      <c r="I187" s="26"/>
      <c r="J187" s="25"/>
      <c r="K187" s="25"/>
    </row>
    <row r="188" spans="7:11" ht="13.5" customHeight="1" x14ac:dyDescent="0.3">
      <c r="G188" s="25"/>
      <c r="H188" s="25"/>
      <c r="I188" s="26"/>
      <c r="J188" s="25"/>
      <c r="K188" s="25"/>
    </row>
    <row r="189" spans="7:11" ht="13.5" customHeight="1" x14ac:dyDescent="0.3">
      <c r="G189" s="25"/>
      <c r="H189" s="25"/>
      <c r="I189" s="26"/>
      <c r="J189" s="25"/>
      <c r="K189" s="25"/>
    </row>
    <row r="190" spans="7:11" ht="13.5" customHeight="1" x14ac:dyDescent="0.3">
      <c r="G190" s="25"/>
      <c r="H190" s="25"/>
      <c r="I190" s="26"/>
      <c r="J190" s="25"/>
      <c r="K190" s="25"/>
    </row>
    <row r="191" spans="7:11" ht="13.5" customHeight="1" x14ac:dyDescent="0.3">
      <c r="G191" s="25"/>
      <c r="H191" s="25"/>
      <c r="I191" s="26"/>
      <c r="J191" s="25"/>
      <c r="K191" s="25"/>
    </row>
    <row r="192" spans="7:11" ht="13.5" customHeight="1" x14ac:dyDescent="0.3">
      <c r="G192" s="25"/>
      <c r="H192" s="25"/>
      <c r="I192" s="26"/>
      <c r="J192" s="25"/>
      <c r="K192" s="25"/>
    </row>
    <row r="193" spans="7:11" ht="13.5" customHeight="1" x14ac:dyDescent="0.3">
      <c r="G193" s="25"/>
      <c r="H193" s="25"/>
      <c r="I193" s="26"/>
      <c r="J193" s="25"/>
      <c r="K193" s="25"/>
    </row>
    <row r="194" spans="7:11" ht="13.5" customHeight="1" x14ac:dyDescent="0.3">
      <c r="G194" s="25"/>
      <c r="H194" s="25"/>
      <c r="I194" s="26"/>
      <c r="J194" s="25"/>
      <c r="K194" s="25"/>
    </row>
    <row r="195" spans="7:11" ht="13.5" customHeight="1" x14ac:dyDescent="0.3">
      <c r="G195" s="25"/>
      <c r="H195" s="25"/>
      <c r="I195" s="26"/>
      <c r="J195" s="25"/>
      <c r="K195" s="25"/>
    </row>
    <row r="196" spans="7:11" ht="13.5" customHeight="1" x14ac:dyDescent="0.3">
      <c r="G196" s="25"/>
      <c r="H196" s="25"/>
      <c r="I196" s="26"/>
      <c r="J196" s="25"/>
      <c r="K196" s="25"/>
    </row>
    <row r="197" spans="7:11" ht="13.5" customHeight="1" x14ac:dyDescent="0.3">
      <c r="G197" s="25"/>
      <c r="H197" s="25"/>
      <c r="I197" s="26"/>
      <c r="J197" s="25"/>
      <c r="K197" s="25"/>
    </row>
    <row r="198" spans="7:11" ht="13.5" customHeight="1" x14ac:dyDescent="0.3">
      <c r="G198" s="25"/>
      <c r="H198" s="25"/>
      <c r="I198" s="26"/>
      <c r="J198" s="25"/>
      <c r="K198" s="25"/>
    </row>
    <row r="199" spans="7:11" ht="13.5" customHeight="1" x14ac:dyDescent="0.3">
      <c r="G199" s="25"/>
      <c r="H199" s="25"/>
      <c r="I199" s="26"/>
      <c r="J199" s="25"/>
      <c r="K199" s="25"/>
    </row>
    <row r="200" spans="7:11" ht="13.5" customHeight="1" x14ac:dyDescent="0.3">
      <c r="G200" s="25"/>
      <c r="H200" s="25"/>
      <c r="I200" s="26"/>
      <c r="J200" s="25"/>
      <c r="K200" s="25"/>
    </row>
    <row r="201" spans="7:11" ht="13.5" customHeight="1" x14ac:dyDescent="0.3">
      <c r="G201" s="25"/>
      <c r="H201" s="25"/>
      <c r="I201" s="26"/>
      <c r="J201" s="25"/>
      <c r="K201" s="25"/>
    </row>
    <row r="202" spans="7:11" ht="13.5" customHeight="1" x14ac:dyDescent="0.3">
      <c r="G202" s="25"/>
      <c r="H202" s="25"/>
      <c r="I202" s="26"/>
      <c r="J202" s="25"/>
      <c r="K202" s="25"/>
    </row>
    <row r="203" spans="7:11" ht="13.5" customHeight="1" x14ac:dyDescent="0.3">
      <c r="G203" s="25"/>
      <c r="H203" s="25"/>
      <c r="I203" s="26"/>
      <c r="J203" s="25"/>
      <c r="K203" s="25"/>
    </row>
    <row r="204" spans="7:11" ht="13.5" customHeight="1" x14ac:dyDescent="0.3">
      <c r="G204" s="25"/>
      <c r="H204" s="25"/>
      <c r="I204" s="26"/>
      <c r="J204" s="25"/>
      <c r="K204" s="25"/>
    </row>
    <row r="205" spans="7:11" ht="13.5" customHeight="1" x14ac:dyDescent="0.3">
      <c r="G205" s="25"/>
      <c r="H205" s="25"/>
      <c r="I205" s="26"/>
      <c r="J205" s="25"/>
      <c r="K205" s="25"/>
    </row>
    <row r="206" spans="7:11" ht="13.5" customHeight="1" x14ac:dyDescent="0.3">
      <c r="G206" s="25"/>
      <c r="H206" s="25"/>
      <c r="I206" s="26"/>
      <c r="J206" s="25"/>
      <c r="K206" s="25"/>
    </row>
    <row r="207" spans="7:11" ht="13.5" customHeight="1" x14ac:dyDescent="0.3">
      <c r="G207" s="25"/>
      <c r="H207" s="25"/>
      <c r="I207" s="26"/>
      <c r="J207" s="25"/>
      <c r="K207" s="25"/>
    </row>
    <row r="208" spans="7:11" ht="13.5" customHeight="1" x14ac:dyDescent="0.3">
      <c r="G208" s="25"/>
      <c r="H208" s="25"/>
      <c r="I208" s="26"/>
      <c r="J208" s="25"/>
      <c r="K208" s="25"/>
    </row>
    <row r="209" spans="7:11" ht="13.5" customHeight="1" x14ac:dyDescent="0.3">
      <c r="G209" s="25"/>
      <c r="H209" s="25"/>
      <c r="I209" s="26"/>
      <c r="J209" s="25"/>
      <c r="K209" s="25"/>
    </row>
    <row r="210" spans="7:11" ht="13.5" customHeight="1" x14ac:dyDescent="0.3">
      <c r="G210" s="25"/>
      <c r="H210" s="25"/>
      <c r="I210" s="26"/>
      <c r="J210" s="25"/>
      <c r="K210" s="25"/>
    </row>
    <row r="211" spans="7:11" ht="13.5" customHeight="1" x14ac:dyDescent="0.3">
      <c r="G211" s="25"/>
      <c r="H211" s="25"/>
      <c r="I211" s="26"/>
      <c r="J211" s="25"/>
      <c r="K211" s="25"/>
    </row>
    <row r="212" spans="7:11" ht="13.5" customHeight="1" x14ac:dyDescent="0.3">
      <c r="G212" s="25"/>
      <c r="H212" s="25"/>
      <c r="I212" s="26"/>
      <c r="J212" s="25"/>
      <c r="K212" s="25"/>
    </row>
    <row r="213" spans="7:11" ht="13.5" customHeight="1" x14ac:dyDescent="0.3">
      <c r="G213" s="25"/>
      <c r="H213" s="25"/>
      <c r="I213" s="26"/>
      <c r="J213" s="25"/>
      <c r="K213" s="25"/>
    </row>
    <row r="214" spans="7:11" ht="13.5" customHeight="1" x14ac:dyDescent="0.3">
      <c r="G214" s="25"/>
      <c r="H214" s="25"/>
      <c r="I214" s="26"/>
      <c r="J214" s="25"/>
      <c r="K214" s="25"/>
    </row>
    <row r="215" spans="7:11" ht="13.5" customHeight="1" x14ac:dyDescent="0.3">
      <c r="G215" s="25"/>
      <c r="H215" s="25"/>
      <c r="I215" s="26"/>
      <c r="J215" s="25"/>
      <c r="K215" s="25"/>
    </row>
    <row r="216" spans="7:11" ht="13.5" customHeight="1" x14ac:dyDescent="0.3">
      <c r="G216" s="25"/>
      <c r="H216" s="25"/>
      <c r="I216" s="26"/>
      <c r="J216" s="25"/>
      <c r="K216" s="25"/>
    </row>
    <row r="217" spans="7:11" ht="13.5" customHeight="1" x14ac:dyDescent="0.3">
      <c r="G217" s="25"/>
      <c r="H217" s="25"/>
      <c r="I217" s="26"/>
      <c r="J217" s="25"/>
      <c r="K217" s="25"/>
    </row>
    <row r="218" spans="7:11" ht="13.5" customHeight="1" x14ac:dyDescent="0.3">
      <c r="G218" s="25"/>
      <c r="H218" s="25"/>
      <c r="I218" s="26"/>
      <c r="J218" s="25"/>
      <c r="K218" s="25"/>
    </row>
    <row r="219" spans="7:11" ht="13.5" customHeight="1" x14ac:dyDescent="0.3">
      <c r="G219" s="25"/>
      <c r="H219" s="25"/>
      <c r="I219" s="26"/>
      <c r="J219" s="25"/>
      <c r="K219" s="25"/>
    </row>
    <row r="220" spans="7:11" ht="13.5" customHeight="1" x14ac:dyDescent="0.3">
      <c r="G220" s="25"/>
      <c r="H220" s="25"/>
      <c r="I220" s="26"/>
      <c r="J220" s="25"/>
      <c r="K220" s="25"/>
    </row>
    <row r="221" spans="7:11" ht="13.5" customHeight="1" x14ac:dyDescent="0.3">
      <c r="G221" s="25"/>
      <c r="H221" s="25"/>
      <c r="I221" s="26"/>
      <c r="J221" s="25"/>
      <c r="K221" s="25"/>
    </row>
    <row r="222" spans="7:11" ht="13.5" customHeight="1" x14ac:dyDescent="0.3">
      <c r="G222" s="25"/>
      <c r="H222" s="25"/>
      <c r="I222" s="26"/>
      <c r="J222" s="25"/>
      <c r="K222" s="25"/>
    </row>
    <row r="223" spans="7:11" ht="13.5" customHeight="1" x14ac:dyDescent="0.3">
      <c r="G223" s="25"/>
      <c r="H223" s="25"/>
      <c r="I223" s="26"/>
      <c r="J223" s="25"/>
      <c r="K223" s="25"/>
    </row>
    <row r="224" spans="7:11" ht="13.5" customHeight="1" x14ac:dyDescent="0.3">
      <c r="G224" s="25"/>
      <c r="H224" s="25"/>
      <c r="I224" s="26"/>
      <c r="J224" s="25"/>
      <c r="K224" s="25"/>
    </row>
    <row r="225" spans="7:11" ht="13.5" customHeight="1" x14ac:dyDescent="0.3">
      <c r="G225" s="25"/>
      <c r="H225" s="25"/>
      <c r="I225" s="26"/>
      <c r="J225" s="25"/>
      <c r="K225" s="25"/>
    </row>
    <row r="226" spans="7:11" ht="13.5" customHeight="1" x14ac:dyDescent="0.3">
      <c r="G226" s="25"/>
      <c r="H226" s="25"/>
      <c r="I226" s="26"/>
      <c r="J226" s="25"/>
      <c r="K226" s="25"/>
    </row>
    <row r="227" spans="7:11" ht="13.5" customHeight="1" x14ac:dyDescent="0.3">
      <c r="G227" s="25"/>
      <c r="H227" s="25"/>
      <c r="I227" s="26"/>
      <c r="J227" s="25"/>
      <c r="K227" s="25"/>
    </row>
    <row r="228" spans="7:11" ht="13.5" customHeight="1" x14ac:dyDescent="0.3">
      <c r="G228" s="25"/>
      <c r="H228" s="25"/>
      <c r="I228" s="26"/>
      <c r="J228" s="25"/>
      <c r="K228" s="25"/>
    </row>
    <row r="229" spans="7:11" ht="13.5" customHeight="1" x14ac:dyDescent="0.3">
      <c r="G229" s="25"/>
      <c r="H229" s="25"/>
      <c r="I229" s="26"/>
      <c r="J229" s="25"/>
      <c r="K229" s="25"/>
    </row>
    <row r="230" spans="7:11" ht="13.5" customHeight="1" x14ac:dyDescent="0.3">
      <c r="G230" s="25"/>
      <c r="H230" s="25"/>
      <c r="I230" s="26"/>
      <c r="J230" s="25"/>
      <c r="K230" s="25"/>
    </row>
    <row r="231" spans="7:11" ht="13.5" customHeight="1" x14ac:dyDescent="0.3">
      <c r="G231" s="25"/>
      <c r="H231" s="25"/>
      <c r="I231" s="26"/>
      <c r="J231" s="25"/>
      <c r="K231" s="25"/>
    </row>
    <row r="232" spans="7:11" ht="13.5" customHeight="1" x14ac:dyDescent="0.3">
      <c r="G232" s="25"/>
      <c r="H232" s="25"/>
      <c r="I232" s="26"/>
      <c r="J232" s="25"/>
      <c r="K232" s="25"/>
    </row>
    <row r="233" spans="7:11" ht="13.5" customHeight="1" x14ac:dyDescent="0.3">
      <c r="G233" s="25"/>
      <c r="H233" s="25"/>
      <c r="I233" s="26"/>
      <c r="J233" s="25"/>
      <c r="K233" s="25"/>
    </row>
    <row r="234" spans="7:11" ht="13.5" customHeight="1" x14ac:dyDescent="0.3">
      <c r="G234" s="25"/>
      <c r="H234" s="25"/>
      <c r="I234" s="26"/>
      <c r="J234" s="25"/>
      <c r="K234" s="25"/>
    </row>
    <row r="235" spans="7:11" ht="13.5" customHeight="1" x14ac:dyDescent="0.3">
      <c r="G235" s="25"/>
      <c r="H235" s="25"/>
      <c r="I235" s="26"/>
      <c r="J235" s="25"/>
      <c r="K235" s="25"/>
    </row>
    <row r="236" spans="7:11" ht="13.5" customHeight="1" x14ac:dyDescent="0.3">
      <c r="G236" s="25"/>
      <c r="H236" s="25"/>
      <c r="I236" s="26"/>
      <c r="J236" s="25"/>
      <c r="K236" s="25"/>
    </row>
    <row r="237" spans="7:11" ht="13.5" customHeight="1" x14ac:dyDescent="0.3">
      <c r="G237" s="25"/>
      <c r="H237" s="25"/>
      <c r="I237" s="26"/>
      <c r="J237" s="25"/>
      <c r="K237" s="25"/>
    </row>
    <row r="238" spans="7:11" ht="13.5" customHeight="1" x14ac:dyDescent="0.3">
      <c r="G238" s="25"/>
      <c r="H238" s="25"/>
      <c r="I238" s="26"/>
      <c r="J238" s="25"/>
      <c r="K238" s="25"/>
    </row>
    <row r="239" spans="7:11" ht="13.5" customHeight="1" x14ac:dyDescent="0.3">
      <c r="G239" s="25"/>
      <c r="H239" s="25"/>
      <c r="I239" s="26"/>
      <c r="J239" s="25"/>
      <c r="K239" s="25"/>
    </row>
    <row r="240" spans="7:11" ht="13.5" customHeight="1" x14ac:dyDescent="0.3">
      <c r="G240" s="25"/>
      <c r="H240" s="25"/>
      <c r="I240" s="26"/>
      <c r="J240" s="25"/>
      <c r="K240" s="25"/>
    </row>
    <row r="241" spans="7:11" ht="13.5" customHeight="1" x14ac:dyDescent="0.3">
      <c r="G241" s="25"/>
      <c r="H241" s="25"/>
      <c r="I241" s="26"/>
      <c r="J241" s="25"/>
      <c r="K241" s="25"/>
    </row>
    <row r="242" spans="7:11" ht="13.5" customHeight="1" x14ac:dyDescent="0.3">
      <c r="G242" s="25"/>
      <c r="H242" s="25"/>
      <c r="I242" s="26"/>
      <c r="J242" s="25"/>
      <c r="K242" s="25"/>
    </row>
    <row r="243" spans="7:11" ht="13.5" customHeight="1" x14ac:dyDescent="0.3">
      <c r="G243" s="25"/>
      <c r="H243" s="25"/>
      <c r="I243" s="26"/>
      <c r="J243" s="25"/>
      <c r="K243" s="25"/>
    </row>
    <row r="244" spans="7:11" ht="13.5" customHeight="1" x14ac:dyDescent="0.3">
      <c r="G244" s="25"/>
      <c r="H244" s="25"/>
      <c r="I244" s="26"/>
      <c r="J244" s="25"/>
      <c r="K244" s="25"/>
    </row>
    <row r="245" spans="7:11" ht="13.5" customHeight="1" x14ac:dyDescent="0.3">
      <c r="G245" s="25"/>
      <c r="H245" s="25"/>
      <c r="I245" s="26"/>
      <c r="J245" s="25"/>
      <c r="K245" s="25"/>
    </row>
    <row r="246" spans="7:11" ht="13.5" customHeight="1" x14ac:dyDescent="0.3">
      <c r="G246" s="25"/>
      <c r="H246" s="25"/>
      <c r="I246" s="26"/>
      <c r="J246" s="25"/>
      <c r="K246" s="25"/>
    </row>
    <row r="247" spans="7:11" ht="13.5" customHeight="1" x14ac:dyDescent="0.3">
      <c r="G247" s="25"/>
      <c r="H247" s="25"/>
      <c r="I247" s="26"/>
      <c r="J247" s="25"/>
      <c r="K247" s="25"/>
    </row>
    <row r="248" spans="7:11" ht="13.5" customHeight="1" x14ac:dyDescent="0.3">
      <c r="G248" s="25"/>
      <c r="H248" s="25"/>
      <c r="I248" s="26"/>
      <c r="J248" s="25"/>
      <c r="K248" s="25"/>
    </row>
    <row r="249" spans="7:11" ht="13.5" customHeight="1" x14ac:dyDescent="0.3">
      <c r="G249" s="25"/>
      <c r="H249" s="25"/>
      <c r="I249" s="26"/>
      <c r="J249" s="25"/>
      <c r="K249" s="25"/>
    </row>
    <row r="250" spans="7:11" ht="13.5" customHeight="1" x14ac:dyDescent="0.3">
      <c r="G250" s="25"/>
      <c r="H250" s="25"/>
      <c r="I250" s="26"/>
      <c r="J250" s="25"/>
      <c r="K250" s="25"/>
    </row>
    <row r="251" spans="7:11" ht="15.75" customHeight="1" x14ac:dyDescent="0.3">
      <c r="G251" s="25"/>
      <c r="H251" s="25"/>
      <c r="I251" s="26"/>
      <c r="J251" s="25"/>
      <c r="K251" s="25"/>
    </row>
    <row r="252" spans="7:11" ht="15.75" customHeight="1" x14ac:dyDescent="0.3">
      <c r="G252" s="25"/>
      <c r="H252" s="25"/>
      <c r="I252" s="26"/>
      <c r="J252" s="25"/>
      <c r="K252" s="25"/>
    </row>
    <row r="253" spans="7:11" ht="15.75" customHeight="1" x14ac:dyDescent="0.3"/>
    <row r="254" spans="7:11" ht="15.75" customHeight="1" x14ac:dyDescent="0.3"/>
    <row r="255" spans="7:11" ht="15.75" customHeight="1" x14ac:dyDescent="0.3"/>
    <row r="256" spans="7:11"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mergeCells count="74">
    <mergeCell ref="C4:E4"/>
    <mergeCell ref="C5:E5"/>
    <mergeCell ref="F7:F48"/>
    <mergeCell ref="B2:L2"/>
    <mergeCell ref="B3:L3"/>
    <mergeCell ref="B6:E6"/>
    <mergeCell ref="E15:E16"/>
    <mergeCell ref="C44:E45"/>
    <mergeCell ref="G31:K31"/>
    <mergeCell ref="B31:E31"/>
    <mergeCell ref="G32:K32"/>
    <mergeCell ref="B33:E33"/>
    <mergeCell ref="G34:L34"/>
    <mergeCell ref="B34:E40"/>
    <mergeCell ref="G35:H35"/>
    <mergeCell ref="G36:H36"/>
    <mergeCell ref="G47:K47"/>
    <mergeCell ref="G48:K48"/>
    <mergeCell ref="C42:E43"/>
    <mergeCell ref="B29:E29"/>
    <mergeCell ref="G30:K30"/>
    <mergeCell ref="B30:C30"/>
    <mergeCell ref="D30:E30"/>
    <mergeCell ref="B32:E32"/>
    <mergeCell ref="G33:L33"/>
    <mergeCell ref="B41:E41"/>
    <mergeCell ref="G43:K43"/>
    <mergeCell ref="G44:K44"/>
    <mergeCell ref="G45:K45"/>
    <mergeCell ref="G37:H37"/>
    <mergeCell ref="G38:H38"/>
    <mergeCell ref="G39:H39"/>
    <mergeCell ref="G28:K28"/>
    <mergeCell ref="B28:C28"/>
    <mergeCell ref="D28:E28"/>
    <mergeCell ref="G29:K29"/>
    <mergeCell ref="G46:K46"/>
    <mergeCell ref="G40:H40"/>
    <mergeCell ref="G42:H42"/>
    <mergeCell ref="B42:B45"/>
    <mergeCell ref="B25:E25"/>
    <mergeCell ref="G25:H25"/>
    <mergeCell ref="B26:C26"/>
    <mergeCell ref="D26:E26"/>
    <mergeCell ref="G27:H27"/>
    <mergeCell ref="B27:E27"/>
    <mergeCell ref="B22:C22"/>
    <mergeCell ref="G22:H22"/>
    <mergeCell ref="B23:E23"/>
    <mergeCell ref="G23:H23"/>
    <mergeCell ref="B24:C24"/>
    <mergeCell ref="D24:E24"/>
    <mergeCell ref="G24:H24"/>
    <mergeCell ref="G17:K17"/>
    <mergeCell ref="G18:L18"/>
    <mergeCell ref="G19:L19"/>
    <mergeCell ref="G20:H20"/>
    <mergeCell ref="G21:H21"/>
    <mergeCell ref="B15:B16"/>
    <mergeCell ref="C15:C16"/>
    <mergeCell ref="D15:D16"/>
    <mergeCell ref="G14:K14"/>
    <mergeCell ref="G15:K15"/>
    <mergeCell ref="G16:K16"/>
    <mergeCell ref="G12:H12"/>
    <mergeCell ref="G13:K13"/>
    <mergeCell ref="B8:E9"/>
    <mergeCell ref="G8:H8"/>
    <mergeCell ref="G9:H9"/>
    <mergeCell ref="G6:L6"/>
    <mergeCell ref="B7:E7"/>
    <mergeCell ref="G7:L7"/>
    <mergeCell ref="G10:H10"/>
    <mergeCell ref="G11:H11"/>
  </mergeCells>
  <printOptions horizontalCentered="1"/>
  <pageMargins left="0.11811023622047245" right="0.11811023622047245" top="0.15748031496062992" bottom="0.15748031496062992" header="0" footer="0"/>
  <pageSetup paperSize="9" orientation="landscape"/>
  <ignoredErrors>
    <ignoredError sqref="D20"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Taxation Updates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Yash Jindal</cp:lastModifiedBy>
  <dcterms:modified xsi:type="dcterms:W3CDTF">2026-03-25T02:33:53Z</dcterms:modified>
</cp:coreProperties>
</file>