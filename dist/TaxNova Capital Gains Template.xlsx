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ale of Shares" sheetId="1" state="visible" r:id="rId1"/>
    <sheet xmlns:r="http://schemas.openxmlformats.org/officeDocument/2006/relationships" name="Sale of Mutual Fun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INR]\ #,##0.00_);[Red]\([$INR]\ #,##0.00\)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eiryo"/>
      <charset val="128"/>
      <family val="2"/>
      <b val="1"/>
      <color theme="1"/>
      <sz val="11"/>
    </font>
    <font>
      <name val="Meiryo"/>
      <charset val="128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164" fontId="3" fillId="0" borderId="1" pivotButton="0" quotePrefix="0" xfId="1"/>
    <xf numFmtId="1" fontId="3" fillId="0" borderId="1" pivotButton="0" quotePrefix="0" xfId="1"/>
    <xf numFmtId="10" fontId="3" fillId="0" borderId="1" pivotButton="0" quotePrefix="0" xfId="2"/>
    <xf numFmtId="1" fontId="3" fillId="0" borderId="0" pivotButton="0" quotePrefix="0" xfId="1"/>
    <xf numFmtId="0" fontId="3" fillId="2" borderId="1" pivotButton="0" quotePrefix="0" xfId="0"/>
    <xf numFmtId="15" fontId="3" fillId="2" borderId="1" pivotButton="0" quotePrefix="0" xfId="0"/>
    <xf numFmtId="164" fontId="3" fillId="2" borderId="1" pivotButton="0" quotePrefix="0" xfId="1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2" fontId="3" fillId="0" borderId="1" pivotButton="0" quotePrefix="0" xfId="1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3002"/>
  <sheetViews>
    <sheetView tabSelected="1" workbookViewId="0">
      <selection activeCell="L4" sqref="L4"/>
    </sheetView>
  </sheetViews>
  <sheetFormatPr baseColWidth="8" defaultRowHeight="17.4"/>
  <cols>
    <col width="24.33203125" customWidth="1" style="1" min="1" max="1"/>
    <col width="27.44140625" customWidth="1" style="1" min="2" max="2"/>
    <col width="12.77734375" customWidth="1" style="1" min="3" max="3"/>
    <col width="21.88671875" customWidth="1" style="1" min="4" max="4"/>
    <col width="13.21875" customWidth="1" style="1" min="5" max="5"/>
    <col width="20.109375" customWidth="1" style="1" min="6" max="6"/>
    <col width="13.88671875" customWidth="1" style="1" min="7" max="7"/>
    <col width="19" customWidth="1" style="1" min="8" max="8"/>
    <col width="9.6640625" customWidth="1" style="1" min="9" max="9"/>
    <col width="13.88671875" customWidth="1" style="1" min="10" max="10"/>
    <col width="11.44140625" bestFit="1" customWidth="1" style="1" min="11" max="11"/>
    <col width="18.33203125" customWidth="1" style="1" min="12" max="12"/>
    <col width="8.88671875" customWidth="1" style="1" min="13" max="16384"/>
  </cols>
  <sheetData>
    <row r="1" ht="34.8" customFormat="1" customHeight="1" s="13">
      <c r="A1" s="10" t="inlineStr">
        <is>
          <t>Type of Equity Shares</t>
        </is>
      </c>
      <c r="B1" s="10" t="inlineStr">
        <is>
          <t>Description of shares sold</t>
        </is>
      </c>
      <c r="C1" s="10" t="inlineStr">
        <is>
          <t>Date of Purchase</t>
        </is>
      </c>
      <c r="D1" s="10" t="inlineStr">
        <is>
          <t>Purchase Value</t>
        </is>
      </c>
      <c r="E1" s="10" t="inlineStr">
        <is>
          <t>Date of Sale</t>
        </is>
      </c>
      <c r="F1" s="10" t="inlineStr">
        <is>
          <t>Sale Value</t>
        </is>
      </c>
      <c r="G1" s="10" t="inlineStr">
        <is>
          <t>Transfer Expenses</t>
        </is>
      </c>
      <c r="H1" s="10" t="inlineStr">
        <is>
          <t>Net capital gain</t>
        </is>
      </c>
      <c r="I1" s="10" t="inlineStr">
        <is>
          <t>Holding Period</t>
        </is>
      </c>
      <c r="J1" s="10" t="inlineStr">
        <is>
          <t>Type of Capital Gain</t>
        </is>
      </c>
      <c r="K1" s="10" t="inlineStr">
        <is>
          <t>Rate of Tax</t>
        </is>
      </c>
      <c r="L1" s="10" t="inlineStr">
        <is>
          <t>Tax Value</t>
        </is>
      </c>
    </row>
    <row r="2">
      <c r="A2" s="7" t="n"/>
      <c r="B2" s="7" t="n"/>
      <c r="C2" s="8" t="n"/>
      <c r="D2" s="9" t="n"/>
      <c r="E2" s="8" t="n"/>
      <c r="F2" s="9" t="n"/>
      <c r="G2" s="9" t="n"/>
      <c r="H2" s="3">
        <f>IF(AND(D2&lt;&gt;"",F2&lt;&gt;""),F2-D2-G2,"")</f>
        <v/>
      </c>
      <c r="I2" s="14">
        <f>IF(AND(C2&lt;&gt;"", E2&lt;&gt;""), (E2-C2) &amp; " days", "")</f>
        <v/>
      </c>
      <c r="J2" s="2">
        <f>IF(OR(C2="", E2="", A2=""), "", IF(LEFT(A2, 6)="Listed", IF((E2-C2)&gt;365, "LTCG", "STCG"), IF((E2-C2)&gt;730, "LTCG", "STCG")))</f>
        <v/>
      </c>
      <c r="K2" s="5">
        <f>IF(J2="", "", IF(J2="LTCG", "12.5%", IF(LEFT(A2,6)="Listed", "20.0%", "Slab Rate")))</f>
        <v/>
      </c>
      <c r="L2" s="3">
        <f>IF(OR(H2="", K2=""), "", IF(K2="Slab Rate", "As per Slab", IF(ISNUMBER(VALUE(LEFT(K2,LEN(K2)-1))), H2*VALUE(LEFT(K2,LEN(K2)-1))/100, "")))</f>
        <v/>
      </c>
    </row>
    <row r="3">
      <c r="A3" s="7" t="n"/>
      <c r="B3" s="7" t="n"/>
      <c r="C3" s="8" t="n"/>
      <c r="D3" s="9" t="n"/>
      <c r="E3" s="8" t="n"/>
      <c r="F3" s="9" t="n"/>
      <c r="G3" s="9" t="n"/>
      <c r="H3" s="3">
        <f>IF(AND(D3&lt;&gt;"",F3&lt;&gt;""),F3-D3-G3,"")</f>
        <v/>
      </c>
      <c r="I3" s="14">
        <f>IF(AND(C3&lt;&gt;"", E3&lt;&gt;""), (E3-C3) &amp; " days", "")</f>
        <v/>
      </c>
      <c r="J3" s="2">
        <f>IF(OR(C3="", E3="", A3=""), "", IF(LEFT(A3, 6)="Listed", IF((E3-C3)&gt;365, "LTCG", "STCG"), IF((E3-C3)&gt;730, "LTCG", "STCG")))</f>
        <v/>
      </c>
      <c r="K3" s="5">
        <f>IF(J3="", "", IF(J3="LTCG", "12.5%", IF(LEFT(A3,6)="Listed", "20.0%", "Slab Rate")))</f>
        <v/>
      </c>
      <c r="L3" s="3">
        <f>IF(OR(H3="", K3=""), "", IF(K3="Slab Rate", "As per Slab", IF(ISNUMBER(VALUE(LEFT(K3,LEN(K3)-1))), H3*VALUE(LEFT(K3,LEN(K3)-1))/100, "")))</f>
        <v/>
      </c>
    </row>
    <row r="4">
      <c r="A4" s="7" t="n"/>
      <c r="B4" s="7" t="n"/>
      <c r="C4" s="8" t="n"/>
      <c r="D4" s="9" t="n"/>
      <c r="E4" s="8" t="n"/>
      <c r="F4" s="9" t="n"/>
      <c r="G4" s="9" t="n"/>
      <c r="H4" s="3">
        <f>IF(AND(D4&lt;&gt;"",F4&lt;&gt;""),F4-D4-G4,"")</f>
        <v/>
      </c>
      <c r="I4" s="14">
        <f>IF(AND(C4&lt;&gt;"", E4&lt;&gt;""), (E4-C4) &amp; " days", "")</f>
        <v/>
      </c>
      <c r="J4" s="2">
        <f>IF(OR(C4="", E4="", A4=""), "", IF(LEFT(A4, 6)="Listed", IF((E4-C4)&gt;365, "LTCG", "STCG"), IF((E4-C4)&gt;730, "LTCG", "STCG")))</f>
        <v/>
      </c>
      <c r="K4" s="5">
        <f>IF(J4="", "", IF(J4="LTCG", "12.5%", IF(LEFT(A4,6)="Listed", "20.0%", "Slab Rate")))</f>
        <v/>
      </c>
      <c r="L4" s="3">
        <f>IF(OR(H4="", K4=""), "", IF(K4="Slab Rate", "As per Slab", IF(ISNUMBER(VALUE(LEFT(K4,LEN(K4)-1))), H4*VALUE(LEFT(K4,LEN(K4)-1))/100, "")))</f>
        <v/>
      </c>
    </row>
    <row r="5">
      <c r="A5" s="7" t="n"/>
      <c r="B5" s="7" t="n"/>
      <c r="C5" s="8" t="n"/>
      <c r="D5" s="9" t="n"/>
      <c r="E5" s="8" t="n"/>
      <c r="F5" s="9" t="n"/>
      <c r="G5" s="9" t="n"/>
      <c r="H5" s="3">
        <f>IF(AND(D5&lt;&gt;"",F5&lt;&gt;""),F5-D5-G5,"")</f>
        <v/>
      </c>
      <c r="I5" s="14">
        <f>IF(AND(C5&lt;&gt;"", E5&lt;&gt;""), (E5-C5) &amp; " days", "")</f>
        <v/>
      </c>
      <c r="J5" s="2">
        <f>IF(OR(C5="", E5="", A5=""), "", IF(LEFT(A5, 6)="Listed", IF((E5-C5)&gt;365, "LTCG", "STCG"), IF((E5-C5)&gt;730, "LTCG", "STCG")))</f>
        <v/>
      </c>
      <c r="K5" s="5">
        <f>IF(J5="", "", IF(J5="LTCG", "12.5%", IF(LEFT(A5,6)="Listed", "20.0%", "Slab Rate")))</f>
        <v/>
      </c>
      <c r="L5" s="3">
        <f>IF(OR(H5="", K5=""), "", IF(K5="Slab Rate", "As per Slab", IF(ISNUMBER(VALUE(LEFT(K5,LEN(K5)-1))), H5*VALUE(LEFT(K5,LEN(K5)-1))/100, "")))</f>
        <v/>
      </c>
    </row>
    <row r="6">
      <c r="A6" s="7" t="n"/>
      <c r="B6" s="7" t="n"/>
      <c r="C6" s="8" t="n"/>
      <c r="D6" s="9" t="n"/>
      <c r="E6" s="8" t="n"/>
      <c r="F6" s="9" t="n"/>
      <c r="G6" s="9" t="n"/>
      <c r="H6" s="3">
        <f>IF(AND(D6&lt;&gt;"",F6&lt;&gt;""),F6-D6-G6,"")</f>
        <v/>
      </c>
      <c r="I6" s="14">
        <f>IF(AND(C6&lt;&gt;"", E6&lt;&gt;""), (E6-C6) &amp; " days", "")</f>
        <v/>
      </c>
      <c r="J6" s="2">
        <f>IF(OR(C6="", E6="", A6=""), "", IF(LEFT(A6, 6)="Listed", IF((E6-C6)&gt;365, "LTCG", "STCG"), IF((E6-C6)&gt;730, "LTCG", "STCG")))</f>
        <v/>
      </c>
      <c r="K6" s="5">
        <f>IF(J6="", "", IF(J6="LTCG", "12.5%", IF(LEFT(A6,6)="Listed", "20.0%", "Slab Rate")))</f>
        <v/>
      </c>
      <c r="L6" s="3">
        <f>IF(OR(H6="", K6=""), "", IF(K6="Slab Rate", "As per Slab", IF(ISNUMBER(VALUE(LEFT(K6,LEN(K6)-1))), H6*VALUE(LEFT(K6,LEN(K6)-1))/100, "")))</f>
        <v/>
      </c>
    </row>
    <row r="7">
      <c r="A7" s="7" t="n"/>
      <c r="B7" s="7" t="n"/>
      <c r="C7" s="8" t="n"/>
      <c r="D7" s="9" t="n"/>
      <c r="E7" s="8" t="n"/>
      <c r="F7" s="9" t="n"/>
      <c r="G7" s="9" t="n"/>
      <c r="H7" s="3">
        <f>IF(AND(D7&lt;&gt;"",F7&lt;&gt;""),F7-D7-G7,"")</f>
        <v/>
      </c>
      <c r="I7" s="14">
        <f>IF(AND(C7&lt;&gt;"", E7&lt;&gt;""), (E7-C7) &amp; " days", "")</f>
        <v/>
      </c>
      <c r="J7" s="2">
        <f>IF(OR(C7="", E7="", A7=""), "", IF(LEFT(A7, 6)="Listed", IF((E7-C7)&gt;365, "LTCG", "STCG"), IF((E7-C7)&gt;730, "LTCG", "STCG")))</f>
        <v/>
      </c>
      <c r="K7" s="5">
        <f>IF(J7="", "", IF(J7="LTCG", "12.5%", IF(LEFT(A7,6)="Listed", "20.0%", "Slab Rate")))</f>
        <v/>
      </c>
      <c r="L7" s="3">
        <f>IF(OR(H7="", K7=""), "", IF(K7="Slab Rate", "As per Slab", IF(ISNUMBER(VALUE(LEFT(K7,LEN(K7)-1))), H7*VALUE(LEFT(K7,LEN(K7)-1))/100, "")))</f>
        <v/>
      </c>
    </row>
    <row r="8">
      <c r="A8" s="7" t="n"/>
      <c r="B8" s="7" t="n"/>
      <c r="C8" s="8" t="n"/>
      <c r="D8" s="9" t="n"/>
      <c r="E8" s="8" t="n"/>
      <c r="F8" s="9" t="n"/>
      <c r="G8" s="9" t="n"/>
      <c r="H8" s="3">
        <f>IF(AND(D8&lt;&gt;"",F8&lt;&gt;""),F8-D8-G8,"")</f>
        <v/>
      </c>
      <c r="I8" s="14">
        <f>IF(AND(C8&lt;&gt;"", E8&lt;&gt;""), (E8-C8) &amp; " days", "")</f>
        <v/>
      </c>
      <c r="J8" s="2">
        <f>IF(OR(C8="", E8="", A8=""), "", IF(LEFT(A8, 6)="Listed", IF((E8-C8)&gt;365, "LTCG", "STCG"), IF((E8-C8)&gt;730, "LTCG", "STCG")))</f>
        <v/>
      </c>
      <c r="K8" s="5">
        <f>IF(J8="", "", IF(J8="LTCG", "12.5%", IF(LEFT(A8,6)="Listed", "20.0%", "Slab Rate")))</f>
        <v/>
      </c>
      <c r="L8" s="3">
        <f>IF(OR(H8="", K8=""), "", IF(K8="Slab Rate", "As per Slab", IF(ISNUMBER(VALUE(LEFT(K8,LEN(K8)-1))), H8*VALUE(LEFT(K8,LEN(K8)-1))/100, "")))</f>
        <v/>
      </c>
    </row>
    <row r="9">
      <c r="A9" s="7" t="n"/>
      <c r="B9" s="7" t="n"/>
      <c r="C9" s="8" t="n"/>
      <c r="D9" s="9" t="n"/>
      <c r="E9" s="8" t="n"/>
      <c r="F9" s="9" t="n"/>
      <c r="G9" s="9" t="n"/>
      <c r="H9" s="3">
        <f>IF(AND(D9&lt;&gt;"",F9&lt;&gt;""),F9-D9-G9,"")</f>
        <v/>
      </c>
      <c r="I9" s="14">
        <f>IF(AND(C9&lt;&gt;"", E9&lt;&gt;""), (E9-C9) &amp; " days", "")</f>
        <v/>
      </c>
      <c r="J9" s="2">
        <f>IF(OR(C9="", E9="", A9=""), "", IF(LEFT(A9, 6)="Listed", IF((E9-C9)&gt;365, "LTCG", "STCG"), IF((E9-C9)&gt;730, "LTCG", "STCG")))</f>
        <v/>
      </c>
      <c r="K9" s="5">
        <f>IF(J9="", "", IF(J9="LTCG", "12.5%", IF(LEFT(A9,6)="Listed", "20.0%", "Slab Rate")))</f>
        <v/>
      </c>
      <c r="L9" s="3">
        <f>IF(OR(H9="", K9=""), "", IF(K9="Slab Rate", "As per Slab", IF(ISNUMBER(VALUE(LEFT(K9,LEN(K9)-1))), H9*VALUE(LEFT(K9,LEN(K9)-1))/100, "")))</f>
        <v/>
      </c>
    </row>
    <row r="10">
      <c r="A10" s="7" t="n"/>
      <c r="B10" s="7" t="n"/>
      <c r="C10" s="8" t="n"/>
      <c r="D10" s="9" t="n"/>
      <c r="E10" s="8" t="n"/>
      <c r="F10" s="9" t="n"/>
      <c r="G10" s="9" t="n"/>
      <c r="H10" s="3">
        <f>IF(AND(D10&lt;&gt;"",F10&lt;&gt;""),F10-D10-G10,"")</f>
        <v/>
      </c>
      <c r="I10" s="14">
        <f>IF(AND(C10&lt;&gt;"", E10&lt;&gt;""), (E10-C10) &amp; " days", "")</f>
        <v/>
      </c>
      <c r="J10" s="2">
        <f>IF(OR(C10="", E10="", A10=""), "", IF(LEFT(A10, 6)="Listed", IF((E10-C10)&gt;365, "LTCG", "STCG"), IF((E10-C10)&gt;730, "LTCG", "STCG")))</f>
        <v/>
      </c>
      <c r="K10" s="5">
        <f>IF(J10="", "", IF(J10="LTCG", "12.5%", IF(LEFT(A10,6)="Listed", "20.0%", "Slab Rate")))</f>
        <v/>
      </c>
      <c r="L10" s="3">
        <f>IF(OR(H10="", K10=""), "", IF(K10="Slab Rate", "As per Slab", IF(ISNUMBER(VALUE(LEFT(K10,LEN(K10)-1))), H10*VALUE(LEFT(K10,LEN(K10)-1))/100, "")))</f>
        <v/>
      </c>
    </row>
    <row r="11">
      <c r="A11" s="7" t="n"/>
      <c r="B11" s="7" t="n"/>
      <c r="C11" s="8" t="n"/>
      <c r="D11" s="9" t="n"/>
      <c r="E11" s="8" t="n"/>
      <c r="F11" s="9" t="n"/>
      <c r="G11" s="9" t="n"/>
      <c r="H11" s="3">
        <f>IF(AND(D11&lt;&gt;"",F11&lt;&gt;""),F11-D11-G11,"")</f>
        <v/>
      </c>
      <c r="I11" s="14">
        <f>IF(AND(C11&lt;&gt;"", E11&lt;&gt;""), (E11-C11) &amp; " days", "")</f>
        <v/>
      </c>
      <c r="J11" s="2">
        <f>IF(OR(C11="", E11="", A11=""), "", IF(LEFT(A11, 6)="Listed", IF((E11-C11)&gt;365, "LTCG", "STCG"), IF((E11-C11)&gt;730, "LTCG", "STCG")))</f>
        <v/>
      </c>
      <c r="K11" s="5">
        <f>IF(J11="", "", IF(J11="LTCG", "12.5%", IF(LEFT(A11,6)="Listed", "20.0%", "Slab Rate")))</f>
        <v/>
      </c>
      <c r="L11" s="3">
        <f>IF(OR(H11="", K11=""), "", IF(K11="Slab Rate", "As per Slab", IF(ISNUMBER(VALUE(LEFT(K11,LEN(K11)-1))), H11*VALUE(LEFT(K11,LEN(K11)-1))/100, "")))</f>
        <v/>
      </c>
    </row>
    <row r="12">
      <c r="A12" s="7" t="n"/>
      <c r="B12" s="7" t="n"/>
      <c r="C12" s="8" t="n"/>
      <c r="D12" s="9" t="n"/>
      <c r="E12" s="8" t="n"/>
      <c r="F12" s="9" t="n"/>
      <c r="G12" s="9" t="n"/>
      <c r="H12" s="3">
        <f>IF(AND(D12&lt;&gt;"",F12&lt;&gt;""),F12-D12-G12,"")</f>
        <v/>
      </c>
      <c r="I12" s="14">
        <f>IF(AND(C12&lt;&gt;"", E12&lt;&gt;""), (E12-C12) &amp; " days", "")</f>
        <v/>
      </c>
      <c r="J12" s="2">
        <f>IF(OR(C12="", E12="", A12=""), "", IF(LEFT(A12, 6)="Listed", IF((E12-C12)&gt;365, "LTCG", "STCG"), IF((E12-C12)&gt;730, "LTCG", "STCG")))</f>
        <v/>
      </c>
      <c r="K12" s="5">
        <f>IF(J12="", "", IF(J12="LTCG", "12.5%", IF(LEFT(A12,6)="Listed", "20.0%", "Slab Rate")))</f>
        <v/>
      </c>
      <c r="L12" s="3">
        <f>IF(OR(H12="", K12=""), "", IF(K12="Slab Rate", "As per Slab", IF(ISNUMBER(VALUE(LEFT(K12,LEN(K12)-1))), H12*VALUE(LEFT(K12,LEN(K12)-1))/100, "")))</f>
        <v/>
      </c>
    </row>
    <row r="13">
      <c r="A13" s="7" t="n"/>
      <c r="B13" s="7" t="n"/>
      <c r="C13" s="8" t="n"/>
      <c r="D13" s="9" t="n"/>
      <c r="E13" s="8" t="n"/>
      <c r="F13" s="9" t="n"/>
      <c r="G13" s="9" t="n"/>
      <c r="H13" s="3">
        <f>IF(AND(D13&lt;&gt;"",F13&lt;&gt;""),F13-D13-G13,"")</f>
        <v/>
      </c>
      <c r="I13" s="14">
        <f>IF(AND(C13&lt;&gt;"", E13&lt;&gt;""), (E13-C13) &amp; " days", "")</f>
        <v/>
      </c>
      <c r="J13" s="2">
        <f>IF(OR(C13="", E13="", A13=""), "", IF(LEFT(A13, 6)="Listed", IF((E13-C13)&gt;365, "LTCG", "STCG"), IF((E13-C13)&gt;730, "LTCG", "STCG")))</f>
        <v/>
      </c>
      <c r="K13" s="5">
        <f>IF(J13="", "", IF(J13="LTCG", "12.5%", IF(LEFT(A13,6)="Listed", "20.0%", "Slab Rate")))</f>
        <v/>
      </c>
      <c r="L13" s="3">
        <f>IF(OR(H13="", K13=""), "", IF(K13="Slab Rate", "As per Slab", IF(ISNUMBER(VALUE(LEFT(K13,LEN(K13)-1))), H13*VALUE(LEFT(K13,LEN(K13)-1))/100, "")))</f>
        <v/>
      </c>
    </row>
    <row r="14">
      <c r="A14" s="7" t="n"/>
      <c r="B14" s="7" t="n"/>
      <c r="C14" s="8" t="n"/>
      <c r="D14" s="9" t="n"/>
      <c r="E14" s="8" t="n"/>
      <c r="F14" s="9" t="n"/>
      <c r="G14" s="9" t="n"/>
      <c r="H14" s="3">
        <f>IF(AND(D14&lt;&gt;"",F14&lt;&gt;""),F14-D14-G14,"")</f>
        <v/>
      </c>
      <c r="I14" s="14">
        <f>IF(AND(C14&lt;&gt;"", E14&lt;&gt;""), (E14-C14) &amp; " days", "")</f>
        <v/>
      </c>
      <c r="J14" s="2">
        <f>IF(OR(C14="", E14="", A14=""), "", IF(LEFT(A14, 6)="Listed", IF((E14-C14)&gt;365, "LTCG", "STCG"), IF((E14-C14)&gt;730, "LTCG", "STCG")))</f>
        <v/>
      </c>
      <c r="K14" s="5">
        <f>IF(J14="", "", IF(J14="LTCG", "12.5%", IF(LEFT(A14,6)="Listed", "20.0%", "Slab Rate")))</f>
        <v/>
      </c>
      <c r="L14" s="3">
        <f>IF(OR(H14="", K14=""), "", IF(K14="Slab Rate", "As per Slab", IF(ISNUMBER(VALUE(LEFT(K14,LEN(K14)-1))), H14*VALUE(LEFT(K14,LEN(K14)-1))/100, "")))</f>
        <v/>
      </c>
    </row>
    <row r="15">
      <c r="A15" s="7" t="n"/>
      <c r="B15" s="7" t="n"/>
      <c r="C15" s="8" t="n"/>
      <c r="D15" s="9" t="n"/>
      <c r="E15" s="8" t="n"/>
      <c r="F15" s="9" t="n"/>
      <c r="G15" s="9" t="n"/>
      <c r="H15" s="3">
        <f>IF(AND(D15&lt;&gt;"",F15&lt;&gt;""),F15-D15-G15,"")</f>
        <v/>
      </c>
      <c r="I15" s="14">
        <f>IF(AND(C15&lt;&gt;"", E15&lt;&gt;""), (E15-C15) &amp; " days", "")</f>
        <v/>
      </c>
      <c r="J15" s="2">
        <f>IF(OR(C15="", E15="", A15=""), "", IF(LEFT(A15, 6)="Listed", IF((E15-C15)&gt;365, "LTCG", "STCG"), IF((E15-C15)&gt;730, "LTCG", "STCG")))</f>
        <v/>
      </c>
      <c r="K15" s="5">
        <f>IF(J15="", "", IF(J15="LTCG", "12.5%", IF(LEFT(A15,6)="Listed", "20.0%", "Slab Rate")))</f>
        <v/>
      </c>
      <c r="L15" s="3">
        <f>IF(OR(H15="", K15=""), "", IF(K15="Slab Rate", "As per Slab", IF(ISNUMBER(VALUE(LEFT(K15,LEN(K15)-1))), H15*VALUE(LEFT(K15,LEN(K15)-1))/100, "")))</f>
        <v/>
      </c>
    </row>
    <row r="16">
      <c r="A16" s="7" t="n"/>
      <c r="B16" s="7" t="n"/>
      <c r="C16" s="8" t="n"/>
      <c r="D16" s="9" t="n"/>
      <c r="E16" s="8" t="n"/>
      <c r="F16" s="9" t="n"/>
      <c r="G16" s="9" t="n"/>
      <c r="H16" s="3">
        <f>IF(AND(D16&lt;&gt;"",F16&lt;&gt;""),F16-D16-G16,"")</f>
        <v/>
      </c>
      <c r="I16" s="14">
        <f>IF(AND(C16&lt;&gt;"", E16&lt;&gt;""), (E16-C16) &amp; " days", "")</f>
        <v/>
      </c>
      <c r="J16" s="2">
        <f>IF(OR(C16="", E16="", A16=""), "", IF(LEFT(A16, 6)="Listed", IF((E16-C16)&gt;365, "LTCG", "STCG"), IF((E16-C16)&gt;730, "LTCG", "STCG")))</f>
        <v/>
      </c>
      <c r="K16" s="5">
        <f>IF(J16="", "", IF(J16="LTCG", "12.5%", IF(LEFT(A16,6)="Listed", "20.0%", "Slab Rate")))</f>
        <v/>
      </c>
      <c r="L16" s="3">
        <f>IF(OR(H16="", K16=""), "", IF(K16="Slab Rate", "As per Slab", IF(ISNUMBER(VALUE(LEFT(K16,LEN(K16)-1))), H16*VALUE(LEFT(K16,LEN(K16)-1))/100, "")))</f>
        <v/>
      </c>
    </row>
    <row r="17">
      <c r="A17" s="7" t="n"/>
      <c r="B17" s="7" t="n"/>
      <c r="C17" s="8" t="n"/>
      <c r="D17" s="9" t="n"/>
      <c r="E17" s="8" t="n"/>
      <c r="F17" s="9" t="n"/>
      <c r="G17" s="9" t="n"/>
      <c r="H17" s="3">
        <f>IF(AND(D17&lt;&gt;"",F17&lt;&gt;""),F17-D17-G17,"")</f>
        <v/>
      </c>
      <c r="I17" s="14">
        <f>IF(AND(C17&lt;&gt;"", E17&lt;&gt;""), (E17-C17) &amp; " days", "")</f>
        <v/>
      </c>
      <c r="J17" s="2">
        <f>IF(OR(C17="", E17="", A17=""), "", IF(LEFT(A17, 6)="Listed", IF((E17-C17)&gt;365, "LTCG", "STCG"), IF((E17-C17)&gt;730, "LTCG", "STCG")))</f>
        <v/>
      </c>
      <c r="K17" s="5">
        <f>IF(J17="", "", IF(J17="LTCG", "12.5%", IF(LEFT(A17,6)="Listed", "20.0%", "Slab Rate")))</f>
        <v/>
      </c>
      <c r="L17" s="3">
        <f>IF(OR(H17="", K17=""), "", IF(K17="Slab Rate", "As per Slab", IF(ISNUMBER(VALUE(LEFT(K17,LEN(K17)-1))), H17*VALUE(LEFT(K17,LEN(K17)-1))/100, "")))</f>
        <v/>
      </c>
    </row>
    <row r="18">
      <c r="A18" s="7" t="n"/>
      <c r="B18" s="7" t="n"/>
      <c r="C18" s="8" t="n"/>
      <c r="D18" s="9" t="n"/>
      <c r="E18" s="8" t="n"/>
      <c r="F18" s="9" t="n"/>
      <c r="G18" s="9" t="n"/>
      <c r="H18" s="3">
        <f>IF(AND(D18&lt;&gt;"",F18&lt;&gt;""),F18-D18-G18,"")</f>
        <v/>
      </c>
      <c r="I18" s="14">
        <f>IF(AND(C18&lt;&gt;"", E18&lt;&gt;""), (E18-C18) &amp; " days", "")</f>
        <v/>
      </c>
      <c r="J18" s="2">
        <f>IF(OR(C18="", E18="", A18=""), "", IF(LEFT(A18, 6)="Listed", IF((E18-C18)&gt;365, "LTCG", "STCG"), IF((E18-C18)&gt;730, "LTCG", "STCG")))</f>
        <v/>
      </c>
      <c r="K18" s="5">
        <f>IF(J18="", "", IF(J18="LTCG", "12.5%", IF(LEFT(A18,6)="Listed", "20.0%", "Slab Rate")))</f>
        <v/>
      </c>
      <c r="L18" s="3">
        <f>IF(OR(H18="", K18=""), "", IF(K18="Slab Rate", "As per Slab", IF(ISNUMBER(VALUE(LEFT(K18,LEN(K18)-1))), H18*VALUE(LEFT(K18,LEN(K18)-1))/100, "")))</f>
        <v/>
      </c>
    </row>
    <row r="19">
      <c r="A19" s="7" t="n"/>
      <c r="B19" s="7" t="n"/>
      <c r="C19" s="8" t="n"/>
      <c r="D19" s="9" t="n"/>
      <c r="E19" s="8" t="n"/>
      <c r="F19" s="9" t="n"/>
      <c r="G19" s="9" t="n"/>
      <c r="H19" s="3">
        <f>IF(AND(D19&lt;&gt;"",F19&lt;&gt;""),F19-D19-G19,"")</f>
        <v/>
      </c>
      <c r="I19" s="14">
        <f>IF(AND(C19&lt;&gt;"", E19&lt;&gt;""), (E19-C19) &amp; " days", "")</f>
        <v/>
      </c>
      <c r="J19" s="2">
        <f>IF(OR(C19="", E19="", A19=""), "", IF(LEFT(A19, 6)="Listed", IF((E19-C19)&gt;365, "LTCG", "STCG"), IF((E19-C19)&gt;730, "LTCG", "STCG")))</f>
        <v/>
      </c>
      <c r="K19" s="5">
        <f>IF(J19="", "", IF(J19="LTCG", "12.5%", IF(LEFT(A19,6)="Listed", "20.0%", "Slab Rate")))</f>
        <v/>
      </c>
      <c r="L19" s="3">
        <f>IF(OR(H19="", K19=""), "", IF(K19="Slab Rate", "As per Slab", IF(ISNUMBER(VALUE(LEFT(K19,LEN(K19)-1))), H19*VALUE(LEFT(K19,LEN(K19)-1))/100, "")))</f>
        <v/>
      </c>
    </row>
    <row r="20">
      <c r="A20" s="7" t="n"/>
      <c r="B20" s="7" t="n"/>
      <c r="C20" s="8" t="n"/>
      <c r="D20" s="9" t="n"/>
      <c r="E20" s="8" t="n"/>
      <c r="F20" s="9" t="n"/>
      <c r="G20" s="9" t="n"/>
      <c r="H20" s="3">
        <f>IF(AND(D20&lt;&gt;"",F20&lt;&gt;""),F20-D20-G20,"")</f>
        <v/>
      </c>
      <c r="I20" s="14">
        <f>IF(AND(C20&lt;&gt;"", E20&lt;&gt;""), (E20-C20) &amp; " days", "")</f>
        <v/>
      </c>
      <c r="J20" s="2">
        <f>IF(OR(C20="", E20="", A20=""), "", IF(LEFT(A20, 6)="Listed", IF((E20-C20)&gt;365, "LTCG", "STCG"), IF((E20-C20)&gt;730, "LTCG", "STCG")))</f>
        <v/>
      </c>
      <c r="K20" s="5">
        <f>IF(J20="", "", IF(J20="LTCG", "12.5%", IF(LEFT(A20,6)="Listed", "20.0%", "Slab Rate")))</f>
        <v/>
      </c>
      <c r="L20" s="3">
        <f>IF(OR(H20="", K20=""), "", IF(K20="Slab Rate", "As per Slab", IF(ISNUMBER(VALUE(LEFT(K20,LEN(K20)-1))), H20*VALUE(LEFT(K20,LEN(K20)-1))/100, "")))</f>
        <v/>
      </c>
    </row>
    <row r="21">
      <c r="A21" s="7" t="n"/>
      <c r="B21" s="7" t="n"/>
      <c r="C21" s="8" t="n"/>
      <c r="D21" s="9" t="n"/>
      <c r="E21" s="8" t="n"/>
      <c r="F21" s="9" t="n"/>
      <c r="G21" s="9" t="n"/>
      <c r="H21" s="3">
        <f>IF(AND(D21&lt;&gt;"",F21&lt;&gt;""),F21-D21-G21,"")</f>
        <v/>
      </c>
      <c r="I21" s="14">
        <f>IF(AND(C21&lt;&gt;"", E21&lt;&gt;""), (E21-C21) &amp; " days", "")</f>
        <v/>
      </c>
      <c r="J21" s="2">
        <f>IF(OR(C21="", E21="", A21=""), "", IF(LEFT(A21, 6)="Listed", IF((E21-C21)&gt;365, "LTCG", "STCG"), IF((E21-C21)&gt;730, "LTCG", "STCG")))</f>
        <v/>
      </c>
      <c r="K21" s="5">
        <f>IF(J21="", "", IF(J21="LTCG", "12.5%", IF(LEFT(A21,6)="Listed", "20.0%", "Slab Rate")))</f>
        <v/>
      </c>
      <c r="L21" s="3">
        <f>IF(OR(H21="", K21=""), "", IF(K21="Slab Rate", "As per Slab", IF(ISNUMBER(VALUE(LEFT(K21,LEN(K21)-1))), H21*VALUE(LEFT(K21,LEN(K21)-1))/100, "")))</f>
        <v/>
      </c>
    </row>
    <row r="22">
      <c r="A22" s="7" t="n"/>
      <c r="B22" s="7" t="n"/>
      <c r="C22" s="8" t="n"/>
      <c r="D22" s="9" t="n"/>
      <c r="E22" s="8" t="n"/>
      <c r="F22" s="9" t="n"/>
      <c r="G22" s="9" t="n"/>
      <c r="H22" s="3">
        <f>IF(AND(D22&lt;&gt;"",F22&lt;&gt;""),F22-D22-G22,"")</f>
        <v/>
      </c>
      <c r="I22" s="14">
        <f>IF(AND(C22&lt;&gt;"", E22&lt;&gt;""), (E22-C22) &amp; " days", "")</f>
        <v/>
      </c>
      <c r="J22" s="2">
        <f>IF(OR(C22="", E22="", A22=""), "", IF(LEFT(A22, 6)="Listed", IF((E22-C22)&gt;365, "LTCG", "STCG"), IF((E22-C22)&gt;730, "LTCG", "STCG")))</f>
        <v/>
      </c>
      <c r="K22" s="5">
        <f>IF(J22="", "", IF(J22="LTCG", "12.5%", IF(LEFT(A22,6)="Listed", "20.0%", "Slab Rate")))</f>
        <v/>
      </c>
      <c r="L22" s="3">
        <f>IF(OR(H22="", K22=""), "", IF(K22="Slab Rate", "As per Slab", IF(ISNUMBER(VALUE(LEFT(K22,LEN(K22)-1))), H22*VALUE(LEFT(K22,LEN(K22)-1))/100, "")))</f>
        <v/>
      </c>
    </row>
    <row r="23">
      <c r="A23" s="7" t="n"/>
      <c r="B23" s="7" t="n"/>
      <c r="C23" s="8" t="n"/>
      <c r="D23" s="9" t="n"/>
      <c r="E23" s="8" t="n"/>
      <c r="F23" s="9" t="n"/>
      <c r="G23" s="9" t="n"/>
      <c r="H23" s="3">
        <f>IF(AND(D23&lt;&gt;"",F23&lt;&gt;""),F23-D23-G23,"")</f>
        <v/>
      </c>
      <c r="I23" s="14">
        <f>IF(AND(C23&lt;&gt;"", E23&lt;&gt;""), (E23-C23) &amp; " days", "")</f>
        <v/>
      </c>
      <c r="J23" s="2">
        <f>IF(OR(C23="", E23="", A23=""), "", IF(LEFT(A23, 6)="Listed", IF((E23-C23)&gt;365, "LTCG", "STCG"), IF((E23-C23)&gt;730, "LTCG", "STCG")))</f>
        <v/>
      </c>
      <c r="K23" s="5">
        <f>IF(J23="", "", IF(J23="LTCG", "12.5%", IF(LEFT(A23,6)="Listed", "20.0%", "Slab Rate")))</f>
        <v/>
      </c>
      <c r="L23" s="3">
        <f>IF(OR(H23="", K23=""), "", IF(K23="Slab Rate", "As per Slab", IF(ISNUMBER(VALUE(LEFT(K23,LEN(K23)-1))), H23*VALUE(LEFT(K23,LEN(K23)-1))/100, "")))</f>
        <v/>
      </c>
    </row>
    <row r="24">
      <c r="A24" s="7" t="n"/>
      <c r="B24" s="7" t="n"/>
      <c r="C24" s="8" t="n"/>
      <c r="D24" s="9" t="n"/>
      <c r="E24" s="8" t="n"/>
      <c r="F24" s="9" t="n"/>
      <c r="G24" s="9" t="n"/>
      <c r="H24" s="3">
        <f>IF(AND(D24&lt;&gt;"",F24&lt;&gt;""),F24-D24-G24,"")</f>
        <v/>
      </c>
      <c r="I24" s="14">
        <f>IF(AND(C24&lt;&gt;"", E24&lt;&gt;""), (E24-C24) &amp; " days", "")</f>
        <v/>
      </c>
      <c r="J24" s="2">
        <f>IF(OR(C24="", E24="", A24=""), "", IF(LEFT(A24, 6)="Listed", IF((E24-C24)&gt;365, "LTCG", "STCG"), IF((E24-C24)&gt;730, "LTCG", "STCG")))</f>
        <v/>
      </c>
      <c r="K24" s="5">
        <f>IF(J24="", "", IF(J24="LTCG", "12.5%", IF(LEFT(A24,6)="Listed", "20.0%", "Slab Rate")))</f>
        <v/>
      </c>
      <c r="L24" s="3">
        <f>IF(OR(H24="", K24=""), "", IF(K24="Slab Rate", "As per Slab", IF(ISNUMBER(VALUE(LEFT(K24,LEN(K24)-1))), H24*VALUE(LEFT(K24,LEN(K24)-1))/100, "")))</f>
        <v/>
      </c>
    </row>
    <row r="25">
      <c r="A25" s="7" t="n"/>
      <c r="B25" s="7" t="n"/>
      <c r="C25" s="8" t="n"/>
      <c r="D25" s="9" t="n"/>
      <c r="E25" s="8" t="n"/>
      <c r="F25" s="9" t="n"/>
      <c r="G25" s="9" t="n"/>
      <c r="H25" s="3">
        <f>IF(AND(D25&lt;&gt;"",F25&lt;&gt;""),F25-D25-G25,"")</f>
        <v/>
      </c>
      <c r="I25" s="14">
        <f>IF(AND(C25&lt;&gt;"", E25&lt;&gt;""), (E25-C25) &amp; " days", "")</f>
        <v/>
      </c>
      <c r="J25" s="2">
        <f>IF(OR(C25="", E25="", A25=""), "", IF(LEFT(A25, 6)="Listed", IF((E25-C25)&gt;365, "LTCG", "STCG"), IF((E25-C25)&gt;730, "LTCG", "STCG")))</f>
        <v/>
      </c>
      <c r="K25" s="5">
        <f>IF(J25="", "", IF(J25="LTCG", "12.5%", IF(LEFT(A25,6)="Listed", "20.0%", "Slab Rate")))</f>
        <v/>
      </c>
      <c r="L25" s="3">
        <f>IF(OR(H25="", K25=""), "", IF(K25="Slab Rate", "As per Slab", IF(ISNUMBER(VALUE(LEFT(K25,LEN(K25)-1))), H25*VALUE(LEFT(K25,LEN(K25)-1))/100, "")))</f>
        <v/>
      </c>
    </row>
    <row r="26">
      <c r="A26" s="7" t="n"/>
      <c r="B26" s="7" t="n"/>
      <c r="C26" s="8" t="n"/>
      <c r="D26" s="9" t="n"/>
      <c r="E26" s="8" t="n"/>
      <c r="F26" s="9" t="n"/>
      <c r="G26" s="9" t="n"/>
      <c r="H26" s="3">
        <f>IF(AND(D26&lt;&gt;"",F26&lt;&gt;""),F26-D26-G26,"")</f>
        <v/>
      </c>
      <c r="I26" s="14">
        <f>IF(AND(C26&lt;&gt;"", E26&lt;&gt;""), (E26-C26) &amp; " days", "")</f>
        <v/>
      </c>
      <c r="J26" s="2">
        <f>IF(OR(C26="", E26="", A26=""), "", IF(LEFT(A26, 6)="Listed", IF((E26-C26)&gt;365, "LTCG", "STCG"), IF((E26-C26)&gt;730, "LTCG", "STCG")))</f>
        <v/>
      </c>
      <c r="K26" s="5">
        <f>IF(J26="", "", IF(J26="LTCG", "12.5%", IF(LEFT(A26,6)="Listed", "20.0%", "Slab Rate")))</f>
        <v/>
      </c>
      <c r="L26" s="3">
        <f>IF(OR(H26="", K26=""), "", IF(K26="Slab Rate", "As per Slab", IF(ISNUMBER(VALUE(LEFT(K26,LEN(K26)-1))), H26*VALUE(LEFT(K26,LEN(K26)-1))/100, "")))</f>
        <v/>
      </c>
    </row>
    <row r="27">
      <c r="A27" s="7" t="n"/>
      <c r="B27" s="7" t="n"/>
      <c r="C27" s="8" t="n"/>
      <c r="D27" s="9" t="n"/>
      <c r="E27" s="8" t="n"/>
      <c r="F27" s="9" t="n"/>
      <c r="G27" s="9" t="n"/>
      <c r="H27" s="3">
        <f>IF(AND(D27&lt;&gt;"",F27&lt;&gt;""),F27-D27-G27,"")</f>
        <v/>
      </c>
      <c r="I27" s="14">
        <f>IF(AND(C27&lt;&gt;"", E27&lt;&gt;""), (E27-C27) &amp; " days", "")</f>
        <v/>
      </c>
      <c r="J27" s="2">
        <f>IF(OR(C27="", E27="", A27=""), "", IF(LEFT(A27, 6)="Listed", IF((E27-C27)&gt;365, "LTCG", "STCG"), IF((E27-C27)&gt;730, "LTCG", "STCG")))</f>
        <v/>
      </c>
      <c r="K27" s="5">
        <f>IF(J27="", "", IF(J27="LTCG", "12.5%", IF(LEFT(A27,6)="Listed", "20.0%", "Slab Rate")))</f>
        <v/>
      </c>
      <c r="L27" s="3">
        <f>IF(OR(H27="", K27=""), "", IF(K27="Slab Rate", "As per Slab", IF(ISNUMBER(VALUE(LEFT(K27,LEN(K27)-1))), H27*VALUE(LEFT(K27,LEN(K27)-1))/100, "")))</f>
        <v/>
      </c>
    </row>
    <row r="28">
      <c r="A28" s="7" t="n"/>
      <c r="B28" s="7" t="n"/>
      <c r="C28" s="8" t="n"/>
      <c r="D28" s="9" t="n"/>
      <c r="E28" s="8" t="n"/>
      <c r="F28" s="9" t="n"/>
      <c r="G28" s="9" t="n"/>
      <c r="H28" s="3">
        <f>IF(AND(D28&lt;&gt;"",F28&lt;&gt;""),F28-D28-G28,"")</f>
        <v/>
      </c>
      <c r="I28" s="14">
        <f>IF(AND(C28&lt;&gt;"", E28&lt;&gt;""), (E28-C28) &amp; " days", "")</f>
        <v/>
      </c>
      <c r="J28" s="2">
        <f>IF(OR(C28="", E28="", A28=""), "", IF(LEFT(A28, 6)="Listed", IF((E28-C28)&gt;365, "LTCG", "STCG"), IF((E28-C28)&gt;730, "LTCG", "STCG")))</f>
        <v/>
      </c>
      <c r="K28" s="5">
        <f>IF(J28="", "", IF(J28="LTCG", "12.5%", IF(LEFT(A28,6)="Listed", "20.0%", "Slab Rate")))</f>
        <v/>
      </c>
      <c r="L28" s="3">
        <f>IF(OR(H28="", K28=""), "", IF(K28="Slab Rate", "As per Slab", IF(ISNUMBER(VALUE(LEFT(K28,LEN(K28)-1))), H28*VALUE(LEFT(K28,LEN(K28)-1))/100, "")))</f>
        <v/>
      </c>
    </row>
    <row r="29">
      <c r="A29" s="7" t="n"/>
      <c r="B29" s="7" t="n"/>
      <c r="C29" s="8" t="n"/>
      <c r="D29" s="9" t="n"/>
      <c r="E29" s="8" t="n"/>
      <c r="F29" s="9" t="n"/>
      <c r="G29" s="9" t="n"/>
      <c r="H29" s="3">
        <f>IF(AND(D29&lt;&gt;"",F29&lt;&gt;""),F29-D29-G29,"")</f>
        <v/>
      </c>
      <c r="I29" s="14">
        <f>IF(AND(C29&lt;&gt;"", E29&lt;&gt;""), (E29-C29) &amp; " days", "")</f>
        <v/>
      </c>
      <c r="J29" s="2">
        <f>IF(OR(C29="", E29="", A29=""), "", IF(LEFT(A29, 6)="Listed", IF((E29-C29)&gt;365, "LTCG", "STCG"), IF((E29-C29)&gt;730, "LTCG", "STCG")))</f>
        <v/>
      </c>
      <c r="K29" s="5">
        <f>IF(J29="", "", IF(J29="LTCG", "12.5%", IF(LEFT(A29,6)="Listed", "20.0%", "Slab Rate")))</f>
        <v/>
      </c>
      <c r="L29" s="3">
        <f>IF(OR(H29="", K29=""), "", IF(K29="Slab Rate", "As per Slab", IF(ISNUMBER(VALUE(LEFT(K29,LEN(K29)-1))), H29*VALUE(LEFT(K29,LEN(K29)-1))/100, "")))</f>
        <v/>
      </c>
    </row>
    <row r="30">
      <c r="A30" s="7" t="n"/>
      <c r="B30" s="7" t="n"/>
      <c r="C30" s="8" t="n"/>
      <c r="D30" s="9" t="n"/>
      <c r="E30" s="8" t="n"/>
      <c r="F30" s="9" t="n"/>
      <c r="G30" s="9" t="n"/>
      <c r="H30" s="3">
        <f>IF(AND(D30&lt;&gt;"",F30&lt;&gt;""),F30-D30-G30,"")</f>
        <v/>
      </c>
      <c r="I30" s="14">
        <f>IF(AND(C30&lt;&gt;"", E30&lt;&gt;""), (E30-C30) &amp; " days", "")</f>
        <v/>
      </c>
      <c r="J30" s="2">
        <f>IF(OR(C30="", E30="", A30=""), "", IF(LEFT(A30, 6)="Listed", IF((E30-C30)&gt;365, "LTCG", "STCG"), IF((E30-C30)&gt;730, "LTCG", "STCG")))</f>
        <v/>
      </c>
      <c r="K30" s="5">
        <f>IF(J30="", "", IF(J30="LTCG", "12.5%", IF(LEFT(A30,6)="Listed", "20.0%", "Slab Rate")))</f>
        <v/>
      </c>
      <c r="L30" s="3">
        <f>IF(OR(H30="", K30=""), "", IF(K30="Slab Rate", "As per Slab", IF(ISNUMBER(VALUE(LEFT(K30,LEN(K30)-1))), H30*VALUE(LEFT(K30,LEN(K30)-1))/100, "")))</f>
        <v/>
      </c>
    </row>
    <row r="31">
      <c r="A31" s="7" t="n"/>
      <c r="B31" s="7" t="n"/>
      <c r="C31" s="8" t="n"/>
      <c r="D31" s="9" t="n"/>
      <c r="E31" s="8" t="n"/>
      <c r="F31" s="9" t="n"/>
      <c r="G31" s="9" t="n"/>
      <c r="H31" s="3">
        <f>IF(AND(D31&lt;&gt;"",F31&lt;&gt;""),F31-D31-G31,"")</f>
        <v/>
      </c>
      <c r="I31" s="14">
        <f>IF(AND(C31&lt;&gt;"", E31&lt;&gt;""), (E31-C31) &amp; " days", "")</f>
        <v/>
      </c>
      <c r="J31" s="2">
        <f>IF(OR(C31="", E31="", A31=""), "", IF(LEFT(A31, 6)="Listed", IF((E31-C31)&gt;365, "LTCG", "STCG"), IF((E31-C31)&gt;730, "LTCG", "STCG")))</f>
        <v/>
      </c>
      <c r="K31" s="5">
        <f>IF(J31="", "", IF(J31="LTCG", "12.5%", IF(LEFT(A31,6)="Listed", "20.0%", "Slab Rate")))</f>
        <v/>
      </c>
      <c r="L31" s="3">
        <f>IF(OR(H31="", K31=""), "", IF(K31="Slab Rate", "As per Slab", IF(ISNUMBER(VALUE(LEFT(K31,LEN(K31)-1))), H31*VALUE(LEFT(K31,LEN(K31)-1))/100, "")))</f>
        <v/>
      </c>
    </row>
    <row r="32">
      <c r="A32" s="7" t="n"/>
      <c r="B32" s="7" t="n"/>
      <c r="C32" s="8" t="n"/>
      <c r="D32" s="9" t="n"/>
      <c r="E32" s="8" t="n"/>
      <c r="F32" s="9" t="n"/>
      <c r="G32" s="9" t="n"/>
      <c r="H32" s="3">
        <f>IF(AND(D32&lt;&gt;"",F32&lt;&gt;""),F32-D32-G32,"")</f>
        <v/>
      </c>
      <c r="I32" s="14">
        <f>IF(AND(C32&lt;&gt;"", E32&lt;&gt;""), (E32-C32) &amp; " days", "")</f>
        <v/>
      </c>
      <c r="J32" s="2">
        <f>IF(OR(C32="", E32="", A32=""), "", IF(LEFT(A32, 6)="Listed", IF((E32-C32)&gt;365, "LTCG", "STCG"), IF((E32-C32)&gt;730, "LTCG", "STCG")))</f>
        <v/>
      </c>
      <c r="K32" s="5">
        <f>IF(J32="", "", IF(J32="LTCG", "12.5%", IF(LEFT(A32,6)="Listed", "20.0%", "Slab Rate")))</f>
        <v/>
      </c>
      <c r="L32" s="3">
        <f>IF(OR(H32="", K32=""), "", IF(K32="Slab Rate", "As per Slab", IF(ISNUMBER(VALUE(LEFT(K32,LEN(K32)-1))), H32*VALUE(LEFT(K32,LEN(K32)-1))/100, "")))</f>
        <v/>
      </c>
    </row>
    <row r="33">
      <c r="A33" s="7" t="n"/>
      <c r="B33" s="7" t="n"/>
      <c r="C33" s="8" t="n"/>
      <c r="D33" s="9" t="n"/>
      <c r="E33" s="8" t="n"/>
      <c r="F33" s="9" t="n"/>
      <c r="G33" s="9" t="n"/>
      <c r="H33" s="3">
        <f>IF(AND(D33&lt;&gt;"",F33&lt;&gt;""),F33-D33-G33,"")</f>
        <v/>
      </c>
      <c r="I33" s="14">
        <f>IF(AND(C33&lt;&gt;"", E33&lt;&gt;""), (E33-C33) &amp; " days", "")</f>
        <v/>
      </c>
      <c r="J33" s="2">
        <f>IF(OR(C33="", E33="", A33=""), "", IF(LEFT(A33, 6)="Listed", IF((E33-C33)&gt;365, "LTCG", "STCG"), IF((E33-C33)&gt;730, "LTCG", "STCG")))</f>
        <v/>
      </c>
      <c r="K33" s="5">
        <f>IF(J33="", "", IF(J33="LTCG", "12.5%", IF(LEFT(A33,6)="Listed", "20.0%", "Slab Rate")))</f>
        <v/>
      </c>
      <c r="L33" s="3">
        <f>IF(OR(H33="", K33=""), "", IF(K33="Slab Rate", "As per Slab", IF(ISNUMBER(VALUE(LEFT(K33,LEN(K33)-1))), H33*VALUE(LEFT(K33,LEN(K33)-1))/100, "")))</f>
        <v/>
      </c>
    </row>
    <row r="34">
      <c r="A34" s="7" t="n"/>
      <c r="B34" s="7" t="n"/>
      <c r="C34" s="8" t="n"/>
      <c r="D34" s="9" t="n"/>
      <c r="E34" s="8" t="n"/>
      <c r="F34" s="9" t="n"/>
      <c r="G34" s="9" t="n"/>
      <c r="H34" s="3">
        <f>IF(AND(D34&lt;&gt;"",F34&lt;&gt;""),F34-D34-G34,"")</f>
        <v/>
      </c>
      <c r="I34" s="14">
        <f>IF(AND(C34&lt;&gt;"", E34&lt;&gt;""), (E34-C34) &amp; " days", "")</f>
        <v/>
      </c>
      <c r="J34" s="2">
        <f>IF(OR(C34="", E34="", A34=""), "", IF(LEFT(A34, 6)="Listed", IF((E34-C34)&gt;365, "LTCG", "STCG"), IF((E34-C34)&gt;730, "LTCG", "STCG")))</f>
        <v/>
      </c>
      <c r="K34" s="5">
        <f>IF(J34="", "", IF(J34="LTCG", "12.5%", IF(LEFT(A34,6)="Listed", "20.0%", "Slab Rate")))</f>
        <v/>
      </c>
      <c r="L34" s="3">
        <f>IF(OR(H34="", K34=""), "", IF(K34="Slab Rate", "As per Slab", IF(ISNUMBER(VALUE(LEFT(K34,LEN(K34)-1))), H34*VALUE(LEFT(K34,LEN(K34)-1))/100, "")))</f>
        <v/>
      </c>
    </row>
    <row r="35">
      <c r="A35" s="7" t="n"/>
      <c r="B35" s="7" t="n"/>
      <c r="C35" s="8" t="n"/>
      <c r="D35" s="9" t="n"/>
      <c r="E35" s="8" t="n"/>
      <c r="F35" s="9" t="n"/>
      <c r="G35" s="9" t="n"/>
      <c r="H35" s="3">
        <f>IF(AND(D35&lt;&gt;"",F35&lt;&gt;""),F35-D35-G35,"")</f>
        <v/>
      </c>
      <c r="I35" s="14">
        <f>IF(AND(C35&lt;&gt;"", E35&lt;&gt;""), (E35-C35) &amp; " days", "")</f>
        <v/>
      </c>
      <c r="J35" s="2">
        <f>IF(OR(C35="", E35="", A35=""), "", IF(LEFT(A35, 6)="Listed", IF((E35-C35)&gt;365, "LTCG", "STCG"), IF((E35-C35)&gt;730, "LTCG", "STCG")))</f>
        <v/>
      </c>
      <c r="K35" s="5">
        <f>IF(J35="", "", IF(J35="LTCG", "12.5%", IF(LEFT(A35,6)="Listed", "20.0%", "Slab Rate")))</f>
        <v/>
      </c>
      <c r="L35" s="3">
        <f>IF(OR(H35="", K35=""), "", IF(K35="Slab Rate", "As per Slab", IF(ISNUMBER(VALUE(LEFT(K35,LEN(K35)-1))), H35*VALUE(LEFT(K35,LEN(K35)-1))/100, "")))</f>
        <v/>
      </c>
    </row>
    <row r="36">
      <c r="A36" s="7" t="n"/>
      <c r="B36" s="7" t="n"/>
      <c r="C36" s="8" t="n"/>
      <c r="D36" s="9" t="n"/>
      <c r="E36" s="8" t="n"/>
      <c r="F36" s="9" t="n"/>
      <c r="G36" s="9" t="n"/>
      <c r="H36" s="3">
        <f>IF(AND(D36&lt;&gt;"",F36&lt;&gt;""),F36-D36-G36,"")</f>
        <v/>
      </c>
      <c r="I36" s="14">
        <f>IF(AND(C36&lt;&gt;"", E36&lt;&gt;""), (E36-C36) &amp; " days", "")</f>
        <v/>
      </c>
      <c r="J36" s="2">
        <f>IF(OR(C36="", E36="", A36=""), "", IF(LEFT(A36, 6)="Listed", IF((E36-C36)&gt;365, "LTCG", "STCG"), IF((E36-C36)&gt;730, "LTCG", "STCG")))</f>
        <v/>
      </c>
      <c r="K36" s="5">
        <f>IF(J36="", "", IF(J36="LTCG", "12.5%", IF(LEFT(A36,6)="Listed", "20.0%", "Slab Rate")))</f>
        <v/>
      </c>
      <c r="L36" s="3">
        <f>IF(OR(H36="", K36=""), "", IF(K36="Slab Rate", "As per Slab", IF(ISNUMBER(VALUE(LEFT(K36,LEN(K36)-1))), H36*VALUE(LEFT(K36,LEN(K36)-1))/100, "")))</f>
        <v/>
      </c>
    </row>
    <row r="37">
      <c r="A37" s="7" t="n"/>
      <c r="B37" s="7" t="n"/>
      <c r="C37" s="8" t="n"/>
      <c r="D37" s="9" t="n"/>
      <c r="E37" s="8" t="n"/>
      <c r="F37" s="9" t="n"/>
      <c r="G37" s="9" t="n"/>
      <c r="H37" s="3">
        <f>IF(AND(D37&lt;&gt;"",F37&lt;&gt;""),F37-D37-G37,"")</f>
        <v/>
      </c>
      <c r="I37" s="14">
        <f>IF(AND(C37&lt;&gt;"", E37&lt;&gt;""), (E37-C37) &amp; " days", "")</f>
        <v/>
      </c>
      <c r="J37" s="2">
        <f>IF(OR(C37="", E37="", A37=""), "", IF(LEFT(A37, 6)="Listed", IF((E37-C37)&gt;365, "LTCG", "STCG"), IF((E37-C37)&gt;730, "LTCG", "STCG")))</f>
        <v/>
      </c>
      <c r="K37" s="5">
        <f>IF(J37="", "", IF(J37="LTCG", "12.5%", IF(LEFT(A37,6)="Listed", "20.0%", "Slab Rate")))</f>
        <v/>
      </c>
      <c r="L37" s="3">
        <f>IF(OR(H37="", K37=""), "", IF(K37="Slab Rate", "As per Slab", IF(ISNUMBER(VALUE(LEFT(K37,LEN(K37)-1))), H37*VALUE(LEFT(K37,LEN(K37)-1))/100, "")))</f>
        <v/>
      </c>
    </row>
    <row r="38">
      <c r="A38" s="7" t="n"/>
      <c r="B38" s="7" t="n"/>
      <c r="C38" s="8" t="n"/>
      <c r="D38" s="9" t="n"/>
      <c r="E38" s="8" t="n"/>
      <c r="F38" s="9" t="n"/>
      <c r="G38" s="9" t="n"/>
      <c r="H38" s="3">
        <f>IF(AND(D38&lt;&gt;"",F38&lt;&gt;""),F38-D38-G38,"")</f>
        <v/>
      </c>
      <c r="I38" s="14">
        <f>IF(AND(C38&lt;&gt;"", E38&lt;&gt;""), (E38-C38) &amp; " days", "")</f>
        <v/>
      </c>
      <c r="J38" s="2">
        <f>IF(OR(C38="", E38="", A38=""), "", IF(LEFT(A38, 6)="Listed", IF((E38-C38)&gt;365, "LTCG", "STCG"), IF((E38-C38)&gt;730, "LTCG", "STCG")))</f>
        <v/>
      </c>
      <c r="K38" s="5">
        <f>IF(J38="", "", IF(J38="LTCG", "12.5%", IF(LEFT(A38,6)="Listed", "20.0%", "Slab Rate")))</f>
        <v/>
      </c>
      <c r="L38" s="3">
        <f>IF(OR(H38="", K38=""), "", IF(K38="Slab Rate", "As per Slab", IF(ISNUMBER(VALUE(LEFT(K38,LEN(K38)-1))), H38*VALUE(LEFT(K38,LEN(K38)-1))/100, "")))</f>
        <v/>
      </c>
    </row>
    <row r="39">
      <c r="A39" s="7" t="n"/>
      <c r="B39" s="7" t="n"/>
      <c r="C39" s="8" t="n"/>
      <c r="D39" s="9" t="n"/>
      <c r="E39" s="8" t="n"/>
      <c r="F39" s="9" t="n"/>
      <c r="G39" s="9" t="n"/>
      <c r="H39" s="3">
        <f>IF(AND(D39&lt;&gt;"",F39&lt;&gt;""),F39-D39-G39,"")</f>
        <v/>
      </c>
      <c r="I39" s="14">
        <f>IF(AND(C39&lt;&gt;"", E39&lt;&gt;""), (E39-C39) &amp; " days", "")</f>
        <v/>
      </c>
      <c r="J39" s="2">
        <f>IF(OR(C39="", E39="", A39=""), "", IF(LEFT(A39, 6)="Listed", IF((E39-C39)&gt;365, "LTCG", "STCG"), IF((E39-C39)&gt;730, "LTCG", "STCG")))</f>
        <v/>
      </c>
      <c r="K39" s="5">
        <f>IF(J39="", "", IF(J39="LTCG", "12.5%", IF(LEFT(A39,6)="Listed", "20.0%", "Slab Rate")))</f>
        <v/>
      </c>
      <c r="L39" s="3">
        <f>IF(OR(H39="", K39=""), "", IF(K39="Slab Rate", "As per Slab", IF(ISNUMBER(VALUE(LEFT(K39,LEN(K39)-1))), H39*VALUE(LEFT(K39,LEN(K39)-1))/100, "")))</f>
        <v/>
      </c>
    </row>
    <row r="40">
      <c r="A40" s="7" t="n"/>
      <c r="B40" s="7" t="n"/>
      <c r="C40" s="8" t="n"/>
      <c r="D40" s="9" t="n"/>
      <c r="E40" s="8" t="n"/>
      <c r="F40" s="9" t="n"/>
      <c r="G40" s="9" t="n"/>
      <c r="H40" s="3">
        <f>IF(AND(D40&lt;&gt;"",F40&lt;&gt;""),F40-D40-G40,"")</f>
        <v/>
      </c>
      <c r="I40" s="14">
        <f>IF(AND(C40&lt;&gt;"", E40&lt;&gt;""), (E40-C40) &amp; " days", "")</f>
        <v/>
      </c>
      <c r="J40" s="2">
        <f>IF(OR(C40="", E40="", A40=""), "", IF(LEFT(A40, 6)="Listed", IF((E40-C40)&gt;365, "LTCG", "STCG"), IF((E40-C40)&gt;730, "LTCG", "STCG")))</f>
        <v/>
      </c>
      <c r="K40" s="5">
        <f>IF(J40="", "", IF(J40="LTCG", "12.5%", IF(LEFT(A40,6)="Listed", "20.0%", "Slab Rate")))</f>
        <v/>
      </c>
      <c r="L40" s="3">
        <f>IF(OR(H40="", K40=""), "", IF(K40="Slab Rate", "As per Slab", IF(ISNUMBER(VALUE(LEFT(K40,LEN(K40)-1))), H40*VALUE(LEFT(K40,LEN(K40)-1))/100, "")))</f>
        <v/>
      </c>
    </row>
    <row r="41">
      <c r="A41" s="7" t="n"/>
      <c r="B41" s="7" t="n"/>
      <c r="C41" s="8" t="n"/>
      <c r="D41" s="9" t="n"/>
      <c r="E41" s="8" t="n"/>
      <c r="F41" s="9" t="n"/>
      <c r="G41" s="9" t="n"/>
      <c r="H41" s="3">
        <f>IF(AND(D41&lt;&gt;"",F41&lt;&gt;""),F41-D41-G41,"")</f>
        <v/>
      </c>
      <c r="I41" s="14">
        <f>IF(AND(C41&lt;&gt;"", E41&lt;&gt;""), (E41-C41) &amp; " days", "")</f>
        <v/>
      </c>
      <c r="J41" s="2">
        <f>IF(OR(C41="", E41="", A41=""), "", IF(LEFT(A41, 6)="Listed", IF((E41-C41)&gt;365, "LTCG", "STCG"), IF((E41-C41)&gt;730, "LTCG", "STCG")))</f>
        <v/>
      </c>
      <c r="K41" s="5">
        <f>IF(J41="", "", IF(J41="LTCG", "12.5%", IF(LEFT(A41,6)="Listed", "20.0%", "Slab Rate")))</f>
        <v/>
      </c>
      <c r="L41" s="3">
        <f>IF(OR(H41="", K41=""), "", IF(K41="Slab Rate", "As per Slab", IF(ISNUMBER(VALUE(LEFT(K41,LEN(K41)-1))), H41*VALUE(LEFT(K41,LEN(K41)-1))/100, "")))</f>
        <v/>
      </c>
    </row>
    <row r="42">
      <c r="A42" s="7" t="n"/>
      <c r="B42" s="7" t="n"/>
      <c r="C42" s="8" t="n"/>
      <c r="D42" s="9" t="n"/>
      <c r="E42" s="8" t="n"/>
      <c r="F42" s="9" t="n"/>
      <c r="G42" s="9" t="n"/>
      <c r="H42" s="3">
        <f>IF(AND(D42&lt;&gt;"",F42&lt;&gt;""),F42-D42-G42,"")</f>
        <v/>
      </c>
      <c r="I42" s="14">
        <f>IF(AND(C42&lt;&gt;"", E42&lt;&gt;""), (E42-C42) &amp; " days", "")</f>
        <v/>
      </c>
      <c r="J42" s="2">
        <f>IF(OR(C42="", E42="", A42=""), "", IF(LEFT(A42, 6)="Listed", IF((E42-C42)&gt;365, "LTCG", "STCG"), IF((E42-C42)&gt;730, "LTCG", "STCG")))</f>
        <v/>
      </c>
      <c r="K42" s="5">
        <f>IF(J42="", "", IF(J42="LTCG", "12.5%", IF(LEFT(A42,6)="Listed", "20.0%", "Slab Rate")))</f>
        <v/>
      </c>
      <c r="L42" s="3">
        <f>IF(OR(H42="", K42=""), "", IF(K42="Slab Rate", "As per Slab", IF(ISNUMBER(VALUE(LEFT(K42,LEN(K42)-1))), H42*VALUE(LEFT(K42,LEN(K42)-1))/100, "")))</f>
        <v/>
      </c>
    </row>
    <row r="43">
      <c r="A43" s="7" t="n"/>
      <c r="B43" s="7" t="n"/>
      <c r="C43" s="8" t="n"/>
      <c r="D43" s="9" t="n"/>
      <c r="E43" s="8" t="n"/>
      <c r="F43" s="9" t="n"/>
      <c r="G43" s="9" t="n"/>
      <c r="H43" s="3">
        <f>IF(AND(D43&lt;&gt;"",F43&lt;&gt;""),F43-D43-G43,"")</f>
        <v/>
      </c>
      <c r="I43" s="14">
        <f>IF(AND(C43&lt;&gt;"", E43&lt;&gt;""), (E43-C43) &amp; " days", "")</f>
        <v/>
      </c>
      <c r="J43" s="2">
        <f>IF(OR(C43="", E43="", A43=""), "", IF(LEFT(A43, 6)="Listed", IF((E43-C43)&gt;365, "LTCG", "STCG"), IF((E43-C43)&gt;730, "LTCG", "STCG")))</f>
        <v/>
      </c>
      <c r="K43" s="5">
        <f>IF(J43="", "", IF(J43="LTCG", "12.5%", IF(LEFT(A43,6)="Listed", "20.0%", "Slab Rate")))</f>
        <v/>
      </c>
      <c r="L43" s="3">
        <f>IF(OR(H43="", K43=""), "", IF(K43="Slab Rate", "As per Slab", IF(ISNUMBER(VALUE(LEFT(K43,LEN(K43)-1))), H43*VALUE(LEFT(K43,LEN(K43)-1))/100, "")))</f>
        <v/>
      </c>
    </row>
    <row r="44">
      <c r="A44" s="7" t="n"/>
      <c r="B44" s="7" t="n"/>
      <c r="C44" s="8" t="n"/>
      <c r="D44" s="9" t="n"/>
      <c r="E44" s="8" t="n"/>
      <c r="F44" s="9" t="n"/>
      <c r="G44" s="9" t="n"/>
      <c r="H44" s="3">
        <f>IF(AND(D44&lt;&gt;"",F44&lt;&gt;""),F44-D44-G44,"")</f>
        <v/>
      </c>
      <c r="I44" s="14">
        <f>IF(AND(C44&lt;&gt;"", E44&lt;&gt;""), (E44-C44) &amp; " days", "")</f>
        <v/>
      </c>
      <c r="J44" s="2">
        <f>IF(OR(C44="", E44="", A44=""), "", IF(LEFT(A44, 6)="Listed", IF((E44-C44)&gt;365, "LTCG", "STCG"), IF((E44-C44)&gt;730, "LTCG", "STCG")))</f>
        <v/>
      </c>
      <c r="K44" s="5">
        <f>IF(J44="", "", IF(J44="LTCG", "12.5%", IF(LEFT(A44,6)="Listed", "20.0%", "Slab Rate")))</f>
        <v/>
      </c>
      <c r="L44" s="3">
        <f>IF(OR(H44="", K44=""), "", IF(K44="Slab Rate", "As per Slab", IF(ISNUMBER(VALUE(LEFT(K44,LEN(K44)-1))), H44*VALUE(LEFT(K44,LEN(K44)-1))/100, "")))</f>
        <v/>
      </c>
    </row>
    <row r="45">
      <c r="A45" s="7" t="n"/>
      <c r="B45" s="7" t="n"/>
      <c r="C45" s="8" t="n"/>
      <c r="D45" s="9" t="n"/>
      <c r="E45" s="8" t="n"/>
      <c r="F45" s="9" t="n"/>
      <c r="G45" s="9" t="n"/>
      <c r="H45" s="3">
        <f>IF(AND(D45&lt;&gt;"",F45&lt;&gt;""),F45-D45-G45,"")</f>
        <v/>
      </c>
      <c r="I45" s="14">
        <f>IF(AND(C45&lt;&gt;"", E45&lt;&gt;""), (E45-C45) &amp; " days", "")</f>
        <v/>
      </c>
      <c r="J45" s="2">
        <f>IF(OR(C45="", E45="", A45=""), "", IF(LEFT(A45, 6)="Listed", IF((E45-C45)&gt;365, "LTCG", "STCG"), IF((E45-C45)&gt;730, "LTCG", "STCG")))</f>
        <v/>
      </c>
      <c r="K45" s="5">
        <f>IF(J45="", "", IF(J45="LTCG", "12.5%", IF(LEFT(A45,6)="Listed", "20.0%", "Slab Rate")))</f>
        <v/>
      </c>
      <c r="L45" s="3">
        <f>IF(OR(H45="", K45=""), "", IF(K45="Slab Rate", "As per Slab", IF(ISNUMBER(VALUE(LEFT(K45,LEN(K45)-1))), H45*VALUE(LEFT(K45,LEN(K45)-1))/100, "")))</f>
        <v/>
      </c>
    </row>
    <row r="46">
      <c r="A46" s="7" t="n"/>
      <c r="B46" s="7" t="n"/>
      <c r="C46" s="8" t="n"/>
      <c r="D46" s="9" t="n"/>
      <c r="E46" s="8" t="n"/>
      <c r="F46" s="9" t="n"/>
      <c r="G46" s="9" t="n"/>
      <c r="H46" s="3">
        <f>IF(AND(D46&lt;&gt;"",F46&lt;&gt;""),F46-D46-G46,"")</f>
        <v/>
      </c>
      <c r="I46" s="14">
        <f>IF(AND(C46&lt;&gt;"", E46&lt;&gt;""), (E46-C46) &amp; " days", "")</f>
        <v/>
      </c>
      <c r="J46" s="2">
        <f>IF(OR(C46="", E46="", A46=""), "", IF(LEFT(A46, 6)="Listed", IF((E46-C46)&gt;365, "LTCG", "STCG"), IF((E46-C46)&gt;730, "LTCG", "STCG")))</f>
        <v/>
      </c>
      <c r="K46" s="5">
        <f>IF(J46="", "", IF(J46="LTCG", "12.5%", IF(LEFT(A46,6)="Listed", "20.0%", "Slab Rate")))</f>
        <v/>
      </c>
      <c r="L46" s="3">
        <f>IF(OR(H46="", K46=""), "", IF(K46="Slab Rate", "As per Slab", IF(ISNUMBER(VALUE(LEFT(K46,LEN(K46)-1))), H46*VALUE(LEFT(K46,LEN(K46)-1))/100, "")))</f>
        <v/>
      </c>
    </row>
    <row r="47">
      <c r="A47" s="7" t="n"/>
      <c r="B47" s="7" t="n"/>
      <c r="C47" s="8" t="n"/>
      <c r="D47" s="9" t="n"/>
      <c r="E47" s="8" t="n"/>
      <c r="F47" s="9" t="n"/>
      <c r="G47" s="9" t="n"/>
      <c r="H47" s="3">
        <f>IF(AND(D47&lt;&gt;"",F47&lt;&gt;""),F47-D47-G47,"")</f>
        <v/>
      </c>
      <c r="I47" s="14">
        <f>IF(AND(C47&lt;&gt;"", E47&lt;&gt;""), (E47-C47) &amp; " days", "")</f>
        <v/>
      </c>
      <c r="J47" s="2">
        <f>IF(OR(C47="", E47="", A47=""), "", IF(LEFT(A47, 6)="Listed", IF((E47-C47)&gt;365, "LTCG", "STCG"), IF((E47-C47)&gt;730, "LTCG", "STCG")))</f>
        <v/>
      </c>
      <c r="K47" s="5">
        <f>IF(J47="", "", IF(J47="LTCG", "12.5%", IF(LEFT(A47,6)="Listed", "20.0%", "Slab Rate")))</f>
        <v/>
      </c>
      <c r="L47" s="3">
        <f>IF(OR(H47="", K47=""), "", IF(K47="Slab Rate", "As per Slab", IF(ISNUMBER(VALUE(LEFT(K47,LEN(K47)-1))), H47*VALUE(LEFT(K47,LEN(K47)-1))/100, "")))</f>
        <v/>
      </c>
    </row>
    <row r="48">
      <c r="A48" s="7" t="n"/>
      <c r="B48" s="7" t="n"/>
      <c r="C48" s="8" t="n"/>
      <c r="D48" s="9" t="n"/>
      <c r="E48" s="8" t="n"/>
      <c r="F48" s="9" t="n"/>
      <c r="G48" s="9" t="n"/>
      <c r="H48" s="3">
        <f>IF(AND(D48&lt;&gt;"",F48&lt;&gt;""),F48-D48-G48,"")</f>
        <v/>
      </c>
      <c r="I48" s="14">
        <f>IF(AND(C48&lt;&gt;"", E48&lt;&gt;""), (E48-C48) &amp; " days", "")</f>
        <v/>
      </c>
      <c r="J48" s="2">
        <f>IF(OR(C48="", E48="", A48=""), "", IF(LEFT(A48, 6)="Listed", IF((E48-C48)&gt;365, "LTCG", "STCG"), IF((E48-C48)&gt;730, "LTCG", "STCG")))</f>
        <v/>
      </c>
      <c r="K48" s="5">
        <f>IF(J48="", "", IF(J48="LTCG", "12.5%", IF(LEFT(A48,6)="Listed", "20.0%", "Slab Rate")))</f>
        <v/>
      </c>
      <c r="L48" s="3">
        <f>IF(OR(H48="", K48=""), "", IF(K48="Slab Rate", "As per Slab", IF(ISNUMBER(VALUE(LEFT(K48,LEN(K48)-1))), H48*VALUE(LEFT(K48,LEN(K48)-1))/100, "")))</f>
        <v/>
      </c>
    </row>
    <row r="49">
      <c r="A49" s="7" t="n"/>
      <c r="B49" s="7" t="n"/>
      <c r="C49" s="8" t="n"/>
      <c r="D49" s="9" t="n"/>
      <c r="E49" s="8" t="n"/>
      <c r="F49" s="9" t="n"/>
      <c r="G49" s="9" t="n"/>
      <c r="H49" s="3">
        <f>IF(AND(D49&lt;&gt;"",F49&lt;&gt;""),F49-D49-G49,"")</f>
        <v/>
      </c>
      <c r="I49" s="14">
        <f>IF(AND(C49&lt;&gt;"", E49&lt;&gt;""), (E49-C49) &amp; " days", "")</f>
        <v/>
      </c>
      <c r="J49" s="2">
        <f>IF(OR(C49="", E49="", A49=""), "", IF(LEFT(A49, 6)="Listed", IF((E49-C49)&gt;365, "LTCG", "STCG"), IF((E49-C49)&gt;730, "LTCG", "STCG")))</f>
        <v/>
      </c>
      <c r="K49" s="5">
        <f>IF(J49="", "", IF(J49="LTCG", "12.5%", IF(LEFT(A49,6)="Listed", "20.0%", "Slab Rate")))</f>
        <v/>
      </c>
      <c r="L49" s="3">
        <f>IF(OR(H49="", K49=""), "", IF(K49="Slab Rate", "As per Slab", IF(ISNUMBER(VALUE(LEFT(K49,LEN(K49)-1))), H49*VALUE(LEFT(K49,LEN(K49)-1))/100, "")))</f>
        <v/>
      </c>
    </row>
    <row r="50">
      <c r="A50" s="7" t="n"/>
      <c r="B50" s="7" t="n"/>
      <c r="C50" s="8" t="n"/>
      <c r="D50" s="9" t="n"/>
      <c r="E50" s="8" t="n"/>
      <c r="F50" s="9" t="n"/>
      <c r="G50" s="9" t="n"/>
      <c r="H50" s="3">
        <f>IF(AND(D50&lt;&gt;"",F50&lt;&gt;""),F50-D50-G50,"")</f>
        <v/>
      </c>
      <c r="I50" s="14">
        <f>IF(AND(C50&lt;&gt;"", E50&lt;&gt;""), (E50-C50) &amp; " days", "")</f>
        <v/>
      </c>
      <c r="J50" s="2">
        <f>IF(OR(C50="", E50="", A50=""), "", IF(LEFT(A50, 6)="Listed", IF((E50-C50)&gt;365, "LTCG", "STCG"), IF((E50-C50)&gt;730, "LTCG", "STCG")))</f>
        <v/>
      </c>
      <c r="K50" s="5">
        <f>IF(J50="", "", IF(J50="LTCG", "12.5%", IF(LEFT(A50,6)="Listed", "20.0%", "Slab Rate")))</f>
        <v/>
      </c>
      <c r="L50" s="3">
        <f>IF(OR(H50="", K50=""), "", IF(K50="Slab Rate", "As per Slab", IF(ISNUMBER(VALUE(LEFT(K50,LEN(K50)-1))), H50*VALUE(LEFT(K50,LEN(K50)-1))/100, "")))</f>
        <v/>
      </c>
    </row>
    <row r="51">
      <c r="A51" s="7" t="n"/>
      <c r="B51" s="7" t="n"/>
      <c r="C51" s="8" t="n"/>
      <c r="D51" s="9" t="n"/>
      <c r="E51" s="8" t="n"/>
      <c r="F51" s="9" t="n"/>
      <c r="G51" s="9" t="n"/>
      <c r="H51" s="3">
        <f>IF(AND(D51&lt;&gt;"",F51&lt;&gt;""),F51-D51-G51,"")</f>
        <v/>
      </c>
      <c r="I51" s="14">
        <f>IF(AND(C51&lt;&gt;"", E51&lt;&gt;""), (E51-C51) &amp; " days", "")</f>
        <v/>
      </c>
      <c r="J51" s="2">
        <f>IF(OR(C51="", E51="", A51=""), "", IF(LEFT(A51, 6)="Listed", IF((E51-C51)&gt;365, "LTCG", "STCG"), IF((E51-C51)&gt;730, "LTCG", "STCG")))</f>
        <v/>
      </c>
      <c r="K51" s="5">
        <f>IF(J51="", "", IF(J51="LTCG", "12.5%", IF(LEFT(A51,6)="Listed", "20.0%", "Slab Rate")))</f>
        <v/>
      </c>
      <c r="L51" s="3">
        <f>IF(OR(H51="", K51=""), "", IF(K51="Slab Rate", "As per Slab", IF(ISNUMBER(VALUE(LEFT(K51,LEN(K51)-1))), H51*VALUE(LEFT(K51,LEN(K51)-1))/100, "")))</f>
        <v/>
      </c>
    </row>
    <row r="52">
      <c r="A52" s="7" t="n"/>
      <c r="B52" s="7" t="n"/>
      <c r="C52" s="8" t="n"/>
      <c r="D52" s="9" t="n"/>
      <c r="E52" s="8" t="n"/>
      <c r="F52" s="9" t="n"/>
      <c r="G52" s="9" t="n"/>
      <c r="H52" s="3">
        <f>IF(AND(D52&lt;&gt;"",F52&lt;&gt;""),F52-D52-G52,"")</f>
        <v/>
      </c>
      <c r="I52" s="14">
        <f>IF(AND(C52&lt;&gt;"", E52&lt;&gt;""), (E52-C52) &amp; " days", "")</f>
        <v/>
      </c>
      <c r="J52" s="2">
        <f>IF(OR(C52="", E52="", A52=""), "", IF(LEFT(A52, 6)="Listed", IF((E52-C52)&gt;365, "LTCG", "STCG"), IF((E52-C52)&gt;730, "LTCG", "STCG")))</f>
        <v/>
      </c>
      <c r="K52" s="5">
        <f>IF(J52="", "", IF(J52="LTCG", "12.5%", IF(LEFT(A52,6)="Listed", "20.0%", "Slab Rate")))</f>
        <v/>
      </c>
      <c r="L52" s="3">
        <f>IF(OR(H52="", K52=""), "", IF(K52="Slab Rate", "As per Slab", IF(ISNUMBER(VALUE(LEFT(K52,LEN(K52)-1))), H52*VALUE(LEFT(K52,LEN(K52)-1))/100, "")))</f>
        <v/>
      </c>
    </row>
    <row r="53">
      <c r="A53" s="7" t="n"/>
      <c r="B53" s="7" t="n"/>
      <c r="C53" s="8" t="n"/>
      <c r="D53" s="9" t="n"/>
      <c r="E53" s="8" t="n"/>
      <c r="F53" s="9" t="n"/>
      <c r="G53" s="9" t="n"/>
      <c r="H53" s="3">
        <f>IF(AND(D53&lt;&gt;"",F53&lt;&gt;""),F53-D53-G53,"")</f>
        <v/>
      </c>
      <c r="I53" s="14">
        <f>IF(AND(C53&lt;&gt;"", E53&lt;&gt;""), (E53-C53) &amp; " days", "")</f>
        <v/>
      </c>
      <c r="J53" s="2">
        <f>IF(OR(C53="", E53="", A53=""), "", IF(LEFT(A53, 6)="Listed", IF((E53-C53)&gt;365, "LTCG", "STCG"), IF((E53-C53)&gt;730, "LTCG", "STCG")))</f>
        <v/>
      </c>
      <c r="K53" s="5">
        <f>IF(J53="", "", IF(J53="LTCG", "12.5%", IF(LEFT(A53,6)="Listed", "20.0%", "Slab Rate")))</f>
        <v/>
      </c>
      <c r="L53" s="3">
        <f>IF(OR(H53="", K53=""), "", IF(K53="Slab Rate", "As per Slab", IF(ISNUMBER(VALUE(LEFT(K53,LEN(K53)-1))), H53*VALUE(LEFT(K53,LEN(K53)-1))/100, "")))</f>
        <v/>
      </c>
    </row>
    <row r="54">
      <c r="A54" s="7" t="n"/>
      <c r="B54" s="7" t="n"/>
      <c r="C54" s="8" t="n"/>
      <c r="D54" s="9" t="n"/>
      <c r="E54" s="8" t="n"/>
      <c r="F54" s="9" t="n"/>
      <c r="G54" s="9" t="n"/>
      <c r="H54" s="3">
        <f>IF(AND(D54&lt;&gt;"",F54&lt;&gt;""),F54-D54-G54,"")</f>
        <v/>
      </c>
      <c r="I54" s="14">
        <f>IF(AND(C54&lt;&gt;"", E54&lt;&gt;""), (E54-C54) &amp; " days", "")</f>
        <v/>
      </c>
      <c r="J54" s="2">
        <f>IF(OR(C54="", E54="", A54=""), "", IF(LEFT(A54, 6)="Listed", IF((E54-C54)&gt;365, "LTCG", "STCG"), IF((E54-C54)&gt;730, "LTCG", "STCG")))</f>
        <v/>
      </c>
      <c r="K54" s="5">
        <f>IF(J54="", "", IF(J54="LTCG", "12.5%", IF(LEFT(A54,6)="Listed", "20.0%", "Slab Rate")))</f>
        <v/>
      </c>
      <c r="L54" s="3">
        <f>IF(OR(H54="", K54=""), "", IF(K54="Slab Rate", "As per Slab", IF(ISNUMBER(VALUE(LEFT(K54,LEN(K54)-1))), H54*VALUE(LEFT(K54,LEN(K54)-1))/100, "")))</f>
        <v/>
      </c>
    </row>
    <row r="55">
      <c r="A55" s="7" t="n"/>
      <c r="B55" s="7" t="n"/>
      <c r="C55" s="8" t="n"/>
      <c r="D55" s="9" t="n"/>
      <c r="E55" s="8" t="n"/>
      <c r="F55" s="9" t="n"/>
      <c r="G55" s="9" t="n"/>
      <c r="H55" s="3">
        <f>IF(AND(D55&lt;&gt;"",F55&lt;&gt;""),F55-D55-G55,"")</f>
        <v/>
      </c>
      <c r="I55" s="14">
        <f>IF(AND(C55&lt;&gt;"", E55&lt;&gt;""), (E55-C55) &amp; " days", "")</f>
        <v/>
      </c>
      <c r="J55" s="2">
        <f>IF(OR(C55="", E55="", A55=""), "", IF(LEFT(A55, 6)="Listed", IF((E55-C55)&gt;365, "LTCG", "STCG"), IF((E55-C55)&gt;730, "LTCG", "STCG")))</f>
        <v/>
      </c>
      <c r="K55" s="5">
        <f>IF(J55="", "", IF(J55="LTCG", "12.5%", IF(LEFT(A55,6)="Listed", "20.0%", "Slab Rate")))</f>
        <v/>
      </c>
      <c r="L55" s="3">
        <f>IF(OR(H55="", K55=""), "", IF(K55="Slab Rate", "As per Slab", IF(ISNUMBER(VALUE(LEFT(K55,LEN(K55)-1))), H55*VALUE(LEFT(K55,LEN(K55)-1))/100, "")))</f>
        <v/>
      </c>
    </row>
    <row r="56">
      <c r="A56" s="7" t="n"/>
      <c r="B56" s="7" t="n"/>
      <c r="C56" s="8" t="n"/>
      <c r="D56" s="9" t="n"/>
      <c r="E56" s="8" t="n"/>
      <c r="F56" s="9" t="n"/>
      <c r="G56" s="9" t="n"/>
      <c r="H56" s="3">
        <f>IF(AND(D56&lt;&gt;"",F56&lt;&gt;""),F56-D56-G56,"")</f>
        <v/>
      </c>
      <c r="I56" s="14">
        <f>IF(AND(C56&lt;&gt;"", E56&lt;&gt;""), (E56-C56) &amp; " days", "")</f>
        <v/>
      </c>
      <c r="J56" s="2">
        <f>IF(OR(C56="", E56="", A56=""), "", IF(LEFT(A56, 6)="Listed", IF((E56-C56)&gt;365, "LTCG", "STCG"), IF((E56-C56)&gt;730, "LTCG", "STCG")))</f>
        <v/>
      </c>
      <c r="K56" s="5">
        <f>IF(J56="", "", IF(J56="LTCG", "12.5%", IF(LEFT(A56,6)="Listed", "20.0%", "Slab Rate")))</f>
        <v/>
      </c>
      <c r="L56" s="3">
        <f>IF(OR(H56="", K56=""), "", IF(K56="Slab Rate", "As per Slab", IF(ISNUMBER(VALUE(LEFT(K56,LEN(K56)-1))), H56*VALUE(LEFT(K56,LEN(K56)-1))/100, "")))</f>
        <v/>
      </c>
    </row>
    <row r="57">
      <c r="A57" s="7" t="n"/>
      <c r="B57" s="7" t="n"/>
      <c r="C57" s="8" t="n"/>
      <c r="D57" s="9" t="n"/>
      <c r="E57" s="8" t="n"/>
      <c r="F57" s="9" t="n"/>
      <c r="G57" s="9" t="n"/>
      <c r="H57" s="3">
        <f>IF(AND(D57&lt;&gt;"",F57&lt;&gt;""),F57-D57-G57,"")</f>
        <v/>
      </c>
      <c r="I57" s="14">
        <f>IF(AND(C57&lt;&gt;"", E57&lt;&gt;""), (E57-C57) &amp; " days", "")</f>
        <v/>
      </c>
      <c r="J57" s="2">
        <f>IF(OR(C57="", E57="", A57=""), "", IF(LEFT(A57, 6)="Listed", IF((E57-C57)&gt;365, "LTCG", "STCG"), IF((E57-C57)&gt;730, "LTCG", "STCG")))</f>
        <v/>
      </c>
      <c r="K57" s="5">
        <f>IF(J57="", "", IF(J57="LTCG", "12.5%", IF(LEFT(A57,6)="Listed", "20.0%", "Slab Rate")))</f>
        <v/>
      </c>
      <c r="L57" s="3">
        <f>IF(OR(H57="", K57=""), "", IF(K57="Slab Rate", "As per Slab", IF(ISNUMBER(VALUE(LEFT(K57,LEN(K57)-1))), H57*VALUE(LEFT(K57,LEN(K57)-1))/100, "")))</f>
        <v/>
      </c>
    </row>
    <row r="58">
      <c r="A58" s="7" t="n"/>
      <c r="B58" s="7" t="n"/>
      <c r="C58" s="8" t="n"/>
      <c r="D58" s="9" t="n"/>
      <c r="E58" s="8" t="n"/>
      <c r="F58" s="9" t="n"/>
      <c r="G58" s="9" t="n"/>
      <c r="H58" s="3">
        <f>IF(AND(D58&lt;&gt;"",F58&lt;&gt;""),F58-D58-G58,"")</f>
        <v/>
      </c>
      <c r="I58" s="14">
        <f>IF(AND(C58&lt;&gt;"", E58&lt;&gt;""), (E58-C58) &amp; " days", "")</f>
        <v/>
      </c>
      <c r="J58" s="2">
        <f>IF(OR(C58="", E58="", A58=""), "", IF(LEFT(A58, 6)="Listed", IF((E58-C58)&gt;365, "LTCG", "STCG"), IF((E58-C58)&gt;730, "LTCG", "STCG")))</f>
        <v/>
      </c>
      <c r="K58" s="5">
        <f>IF(J58="", "", IF(J58="LTCG", "12.5%", IF(LEFT(A58,6)="Listed", "20.0%", "Slab Rate")))</f>
        <v/>
      </c>
      <c r="L58" s="3">
        <f>IF(OR(H58="", K58=""), "", IF(K58="Slab Rate", "As per Slab", IF(ISNUMBER(VALUE(LEFT(K58,LEN(K58)-1))), H58*VALUE(LEFT(K58,LEN(K58)-1))/100, "")))</f>
        <v/>
      </c>
    </row>
    <row r="59">
      <c r="A59" s="7" t="n"/>
      <c r="B59" s="7" t="n"/>
      <c r="C59" s="8" t="n"/>
      <c r="D59" s="9" t="n"/>
      <c r="E59" s="8" t="n"/>
      <c r="F59" s="9" t="n"/>
      <c r="G59" s="9" t="n"/>
      <c r="H59" s="3">
        <f>IF(AND(D59&lt;&gt;"",F59&lt;&gt;""),F59-D59-G59,"")</f>
        <v/>
      </c>
      <c r="I59" s="14">
        <f>IF(AND(C59&lt;&gt;"", E59&lt;&gt;""), (E59-C59) &amp; " days", "")</f>
        <v/>
      </c>
      <c r="J59" s="2">
        <f>IF(OR(C59="", E59="", A59=""), "", IF(LEFT(A59, 6)="Listed", IF((E59-C59)&gt;365, "LTCG", "STCG"), IF((E59-C59)&gt;730, "LTCG", "STCG")))</f>
        <v/>
      </c>
      <c r="K59" s="5">
        <f>IF(J59="", "", IF(J59="LTCG", "12.5%", IF(LEFT(A59,6)="Listed", "20.0%", "Slab Rate")))</f>
        <v/>
      </c>
      <c r="L59" s="3">
        <f>IF(OR(H59="", K59=""), "", IF(K59="Slab Rate", "As per Slab", IF(ISNUMBER(VALUE(LEFT(K59,LEN(K59)-1))), H59*VALUE(LEFT(K59,LEN(K59)-1))/100, "")))</f>
        <v/>
      </c>
    </row>
    <row r="60">
      <c r="A60" s="7" t="n"/>
      <c r="B60" s="7" t="n"/>
      <c r="C60" s="8" t="n"/>
      <c r="D60" s="9" t="n"/>
      <c r="E60" s="8" t="n"/>
      <c r="F60" s="9" t="n"/>
      <c r="G60" s="9" t="n"/>
      <c r="H60" s="3">
        <f>IF(AND(D60&lt;&gt;"",F60&lt;&gt;""),F60-D60-G60,"")</f>
        <v/>
      </c>
      <c r="I60" s="14">
        <f>IF(AND(C60&lt;&gt;"", E60&lt;&gt;""), (E60-C60) &amp; " days", "")</f>
        <v/>
      </c>
      <c r="J60" s="2">
        <f>IF(OR(C60="", E60="", A60=""), "", IF(LEFT(A60, 6)="Listed", IF((E60-C60)&gt;365, "LTCG", "STCG"), IF((E60-C60)&gt;730, "LTCG", "STCG")))</f>
        <v/>
      </c>
      <c r="K60" s="5">
        <f>IF(J60="", "", IF(J60="LTCG", "12.5%", IF(LEFT(A60,6)="Listed", "20.0%", "Slab Rate")))</f>
        <v/>
      </c>
      <c r="L60" s="3">
        <f>IF(OR(H60="", K60=""), "", IF(K60="Slab Rate", "As per Slab", IF(ISNUMBER(VALUE(LEFT(K60,LEN(K60)-1))), H60*VALUE(LEFT(K60,LEN(K60)-1))/100, "")))</f>
        <v/>
      </c>
    </row>
    <row r="61">
      <c r="A61" s="7" t="n"/>
      <c r="B61" s="7" t="n"/>
      <c r="C61" s="8" t="n"/>
      <c r="D61" s="9" t="n"/>
      <c r="E61" s="8" t="n"/>
      <c r="F61" s="9" t="n"/>
      <c r="G61" s="9" t="n"/>
      <c r="H61" s="3">
        <f>IF(AND(D61&lt;&gt;"",F61&lt;&gt;""),F61-D61-G61,"")</f>
        <v/>
      </c>
      <c r="I61" s="14">
        <f>IF(AND(C61&lt;&gt;"", E61&lt;&gt;""), (E61-C61) &amp; " days", "")</f>
        <v/>
      </c>
      <c r="J61" s="2">
        <f>IF(OR(C61="", E61="", A61=""), "", IF(LEFT(A61, 6)="Listed", IF((E61-C61)&gt;365, "LTCG", "STCG"), IF((E61-C61)&gt;730, "LTCG", "STCG")))</f>
        <v/>
      </c>
      <c r="K61" s="5">
        <f>IF(J61="", "", IF(J61="LTCG", "12.5%", IF(LEFT(A61,6)="Listed", "20.0%", "Slab Rate")))</f>
        <v/>
      </c>
      <c r="L61" s="3">
        <f>IF(OR(H61="", K61=""), "", IF(K61="Slab Rate", "As per Slab", IF(ISNUMBER(VALUE(LEFT(K61,LEN(K61)-1))), H61*VALUE(LEFT(K61,LEN(K61)-1))/100, "")))</f>
        <v/>
      </c>
    </row>
    <row r="62">
      <c r="A62" s="7" t="n"/>
      <c r="B62" s="7" t="n"/>
      <c r="C62" s="8" t="n"/>
      <c r="D62" s="9" t="n"/>
      <c r="E62" s="8" t="n"/>
      <c r="F62" s="9" t="n"/>
      <c r="G62" s="9" t="n"/>
      <c r="H62" s="3">
        <f>IF(AND(D62&lt;&gt;"",F62&lt;&gt;""),F62-D62-G62,"")</f>
        <v/>
      </c>
      <c r="I62" s="14">
        <f>IF(AND(C62&lt;&gt;"", E62&lt;&gt;""), (E62-C62) &amp; " days", "")</f>
        <v/>
      </c>
      <c r="J62" s="2">
        <f>IF(OR(C62="", E62="", A62=""), "", IF(LEFT(A62, 6)="Listed", IF((E62-C62)&gt;365, "LTCG", "STCG"), IF((E62-C62)&gt;730, "LTCG", "STCG")))</f>
        <v/>
      </c>
      <c r="K62" s="5">
        <f>IF(J62="", "", IF(J62="LTCG", "12.5%", IF(LEFT(A62,6)="Listed", "20.0%", "Slab Rate")))</f>
        <v/>
      </c>
      <c r="L62" s="3">
        <f>IF(OR(H62="", K62=""), "", IF(K62="Slab Rate", "As per Slab", IF(ISNUMBER(VALUE(LEFT(K62,LEN(K62)-1))), H62*VALUE(LEFT(K62,LEN(K62)-1))/100, "")))</f>
        <v/>
      </c>
    </row>
    <row r="63">
      <c r="A63" s="7" t="n"/>
      <c r="B63" s="7" t="n"/>
      <c r="C63" s="8" t="n"/>
      <c r="D63" s="9" t="n"/>
      <c r="E63" s="8" t="n"/>
      <c r="F63" s="9" t="n"/>
      <c r="G63" s="9" t="n"/>
      <c r="H63" s="3">
        <f>IF(AND(D63&lt;&gt;"",F63&lt;&gt;""),F63-D63-G63,"")</f>
        <v/>
      </c>
      <c r="I63" s="14">
        <f>IF(AND(C63&lt;&gt;"", E63&lt;&gt;""), (E63-C63) &amp; " days", "")</f>
        <v/>
      </c>
      <c r="J63" s="2">
        <f>IF(OR(C63="", E63="", A63=""), "", IF(LEFT(A63, 6)="Listed", IF((E63-C63)&gt;365, "LTCG", "STCG"), IF((E63-C63)&gt;730, "LTCG", "STCG")))</f>
        <v/>
      </c>
      <c r="K63" s="5">
        <f>IF(J63="", "", IF(J63="LTCG", "12.5%", IF(LEFT(A63,6)="Listed", "20.0%", "Slab Rate")))</f>
        <v/>
      </c>
      <c r="L63" s="3">
        <f>IF(OR(H63="", K63=""), "", IF(K63="Slab Rate", "As per Slab", IF(ISNUMBER(VALUE(LEFT(K63,LEN(K63)-1))), H63*VALUE(LEFT(K63,LEN(K63)-1))/100, "")))</f>
        <v/>
      </c>
    </row>
    <row r="64">
      <c r="A64" s="7" t="n"/>
      <c r="B64" s="7" t="n"/>
      <c r="C64" s="8" t="n"/>
      <c r="D64" s="9" t="n"/>
      <c r="E64" s="8" t="n"/>
      <c r="F64" s="9" t="n"/>
      <c r="G64" s="9" t="n"/>
      <c r="H64" s="3">
        <f>IF(AND(D64&lt;&gt;"",F64&lt;&gt;""),F64-D64-G64,"")</f>
        <v/>
      </c>
      <c r="I64" s="14">
        <f>IF(AND(C64&lt;&gt;"", E64&lt;&gt;""), (E64-C64) &amp; " days", "")</f>
        <v/>
      </c>
      <c r="J64" s="2">
        <f>IF(OR(C64="", E64="", A64=""), "", IF(LEFT(A64, 6)="Listed", IF((E64-C64)&gt;365, "LTCG", "STCG"), IF((E64-C64)&gt;730, "LTCG", "STCG")))</f>
        <v/>
      </c>
      <c r="K64" s="5">
        <f>IF(J64="", "", IF(J64="LTCG", "12.5%", IF(LEFT(A64,6)="Listed", "20.0%", "Slab Rate")))</f>
        <v/>
      </c>
      <c r="L64" s="3">
        <f>IF(OR(H64="", K64=""), "", IF(K64="Slab Rate", "As per Slab", IF(ISNUMBER(VALUE(LEFT(K64,LEN(K64)-1))), H64*VALUE(LEFT(K64,LEN(K64)-1))/100, "")))</f>
        <v/>
      </c>
    </row>
    <row r="65">
      <c r="A65" s="7" t="n"/>
      <c r="B65" s="7" t="n"/>
      <c r="C65" s="8" t="n"/>
      <c r="D65" s="9" t="n"/>
      <c r="E65" s="8" t="n"/>
      <c r="F65" s="9" t="n"/>
      <c r="G65" s="9" t="n"/>
      <c r="H65" s="3">
        <f>IF(AND(D65&lt;&gt;"",F65&lt;&gt;""),F65-D65-G65,"")</f>
        <v/>
      </c>
      <c r="I65" s="14">
        <f>IF(AND(C65&lt;&gt;"", E65&lt;&gt;""), (E65-C65) &amp; " days", "")</f>
        <v/>
      </c>
      <c r="J65" s="2">
        <f>IF(OR(C65="", E65="", A65=""), "", IF(LEFT(A65, 6)="Listed", IF((E65-C65)&gt;365, "LTCG", "STCG"), IF((E65-C65)&gt;730, "LTCG", "STCG")))</f>
        <v/>
      </c>
      <c r="K65" s="5">
        <f>IF(J65="", "", IF(J65="LTCG", "12.5%", IF(LEFT(A65,6)="Listed", "20.0%", "Slab Rate")))</f>
        <v/>
      </c>
      <c r="L65" s="3">
        <f>IF(OR(H65="", K65=""), "", IF(K65="Slab Rate", "As per Slab", IF(ISNUMBER(VALUE(LEFT(K65,LEN(K65)-1))), H65*VALUE(LEFT(K65,LEN(K65)-1))/100, "")))</f>
        <v/>
      </c>
    </row>
    <row r="66">
      <c r="A66" s="7" t="n"/>
      <c r="B66" s="7" t="n"/>
      <c r="C66" s="8" t="n"/>
      <c r="D66" s="9" t="n"/>
      <c r="E66" s="8" t="n"/>
      <c r="F66" s="9" t="n"/>
      <c r="G66" s="9" t="n"/>
      <c r="H66" s="3">
        <f>IF(AND(D66&lt;&gt;"",F66&lt;&gt;""),F66-D66-G66,"")</f>
        <v/>
      </c>
      <c r="I66" s="14">
        <f>IF(AND(C66&lt;&gt;"", E66&lt;&gt;""), (E66-C66) &amp; " days", "")</f>
        <v/>
      </c>
      <c r="J66" s="2">
        <f>IF(OR(C66="", E66="", A66=""), "", IF(LEFT(A66, 6)="Listed", IF((E66-C66)&gt;365, "LTCG", "STCG"), IF((E66-C66)&gt;730, "LTCG", "STCG")))</f>
        <v/>
      </c>
      <c r="K66" s="5">
        <f>IF(J66="", "", IF(J66="LTCG", "12.5%", IF(LEFT(A66,6)="Listed", "20.0%", "Slab Rate")))</f>
        <v/>
      </c>
      <c r="L66" s="3">
        <f>IF(OR(H66="", K66=""), "", IF(K66="Slab Rate", "As per Slab", IF(ISNUMBER(VALUE(LEFT(K66,LEN(K66)-1))), H66*VALUE(LEFT(K66,LEN(K66)-1))/100, "")))</f>
        <v/>
      </c>
    </row>
    <row r="67">
      <c r="A67" s="7" t="n"/>
      <c r="B67" s="7" t="n"/>
      <c r="C67" s="8" t="n"/>
      <c r="D67" s="9" t="n"/>
      <c r="E67" s="8" t="n"/>
      <c r="F67" s="9" t="n"/>
      <c r="G67" s="9" t="n"/>
      <c r="H67" s="3">
        <f>IF(AND(D67&lt;&gt;"",F67&lt;&gt;""),F67-D67-G67,"")</f>
        <v/>
      </c>
      <c r="I67" s="14">
        <f>IF(AND(C67&lt;&gt;"", E67&lt;&gt;""), (E67-C67) &amp; " days", "")</f>
        <v/>
      </c>
      <c r="J67" s="2">
        <f>IF(OR(C67="", E67="", A67=""), "", IF(LEFT(A67, 6)="Listed", IF((E67-C67)&gt;365, "LTCG", "STCG"), IF((E67-C67)&gt;730, "LTCG", "STCG")))</f>
        <v/>
      </c>
      <c r="K67" s="5">
        <f>IF(J67="", "", IF(J67="LTCG", "12.5%", IF(LEFT(A67,6)="Listed", "20.0%", "Slab Rate")))</f>
        <v/>
      </c>
      <c r="L67" s="3">
        <f>IF(OR(H67="", K67=""), "", IF(K67="Slab Rate", "As per Slab", IF(ISNUMBER(VALUE(LEFT(K67,LEN(K67)-1))), H67*VALUE(LEFT(K67,LEN(K67)-1))/100, "")))</f>
        <v/>
      </c>
    </row>
    <row r="68">
      <c r="A68" s="7" t="n"/>
      <c r="B68" s="7" t="n"/>
      <c r="C68" s="8" t="n"/>
      <c r="D68" s="9" t="n"/>
      <c r="E68" s="8" t="n"/>
      <c r="F68" s="9" t="n"/>
      <c r="G68" s="9" t="n"/>
      <c r="H68" s="3">
        <f>IF(AND(D68&lt;&gt;"",F68&lt;&gt;""),F68-D68-G68,"")</f>
        <v/>
      </c>
      <c r="I68" s="14">
        <f>IF(AND(C68&lt;&gt;"", E68&lt;&gt;""), (E68-C68) &amp; " days", "")</f>
        <v/>
      </c>
      <c r="J68" s="2">
        <f>IF(OR(C68="", E68="", A68=""), "", IF(LEFT(A68, 6)="Listed", IF((E68-C68)&gt;365, "LTCG", "STCG"), IF((E68-C68)&gt;730, "LTCG", "STCG")))</f>
        <v/>
      </c>
      <c r="K68" s="5">
        <f>IF(J68="", "", IF(J68="LTCG", "12.5%", IF(LEFT(A68,6)="Listed", "20.0%", "Slab Rate")))</f>
        <v/>
      </c>
      <c r="L68" s="3">
        <f>IF(OR(H68="", K68=""), "", IF(K68="Slab Rate", "As per Slab", IF(ISNUMBER(VALUE(LEFT(K68,LEN(K68)-1))), H68*VALUE(LEFT(K68,LEN(K68)-1))/100, "")))</f>
        <v/>
      </c>
    </row>
    <row r="69">
      <c r="A69" s="7" t="n"/>
      <c r="B69" s="7" t="n"/>
      <c r="C69" s="8" t="n"/>
      <c r="D69" s="9" t="n"/>
      <c r="E69" s="8" t="n"/>
      <c r="F69" s="9" t="n"/>
      <c r="G69" s="9" t="n"/>
      <c r="H69" s="3">
        <f>IF(AND(D69&lt;&gt;"",F69&lt;&gt;""),F69-D69-G69,"")</f>
        <v/>
      </c>
      <c r="I69" s="14">
        <f>IF(AND(C69&lt;&gt;"", E69&lt;&gt;""), (E69-C69) &amp; " days", "")</f>
        <v/>
      </c>
      <c r="J69" s="2">
        <f>IF(OR(C69="", E69="", A69=""), "", IF(LEFT(A69, 6)="Listed", IF((E69-C69)&gt;365, "LTCG", "STCG"), IF((E69-C69)&gt;730, "LTCG", "STCG")))</f>
        <v/>
      </c>
      <c r="K69" s="5">
        <f>IF(J69="", "", IF(J69="LTCG", "12.5%", IF(LEFT(A69,6)="Listed", "20.0%", "Slab Rate")))</f>
        <v/>
      </c>
      <c r="L69" s="3">
        <f>IF(OR(H69="", K69=""), "", IF(K69="Slab Rate", "As per Slab", IF(ISNUMBER(VALUE(LEFT(K69,LEN(K69)-1))), H69*VALUE(LEFT(K69,LEN(K69)-1))/100, "")))</f>
        <v/>
      </c>
    </row>
    <row r="70">
      <c r="A70" s="7" t="n"/>
      <c r="B70" s="7" t="n"/>
      <c r="C70" s="8" t="n"/>
      <c r="D70" s="9" t="n"/>
      <c r="E70" s="8" t="n"/>
      <c r="F70" s="9" t="n"/>
      <c r="G70" s="9" t="n"/>
      <c r="H70" s="3">
        <f>IF(AND(D70&lt;&gt;"",F70&lt;&gt;""),F70-D70-G70,"")</f>
        <v/>
      </c>
      <c r="I70" s="14">
        <f>IF(AND(C70&lt;&gt;"", E70&lt;&gt;""), (E70-C70) &amp; " days", "")</f>
        <v/>
      </c>
      <c r="J70" s="2">
        <f>IF(OR(C70="", E70="", A70=""), "", IF(LEFT(A70, 6)="Listed", IF((E70-C70)&gt;365, "LTCG", "STCG"), IF((E70-C70)&gt;730, "LTCG", "STCG")))</f>
        <v/>
      </c>
      <c r="K70" s="5">
        <f>IF(J70="", "", IF(J70="LTCG", "12.5%", IF(LEFT(A70,6)="Listed", "20.0%", "Slab Rate")))</f>
        <v/>
      </c>
      <c r="L70" s="3">
        <f>IF(OR(H70="", K70=""), "", IF(K70="Slab Rate", "As per Slab", IF(ISNUMBER(VALUE(LEFT(K70,LEN(K70)-1))), H70*VALUE(LEFT(K70,LEN(K70)-1))/100, "")))</f>
        <v/>
      </c>
    </row>
    <row r="71">
      <c r="A71" s="7" t="n"/>
      <c r="B71" s="7" t="n"/>
      <c r="C71" s="8" t="n"/>
      <c r="D71" s="9" t="n"/>
      <c r="E71" s="8" t="n"/>
      <c r="F71" s="9" t="n"/>
      <c r="G71" s="9" t="n"/>
      <c r="H71" s="3">
        <f>IF(AND(D71&lt;&gt;"",F71&lt;&gt;""),F71-D71-G71,"")</f>
        <v/>
      </c>
      <c r="I71" s="14">
        <f>IF(AND(C71&lt;&gt;"", E71&lt;&gt;""), (E71-C71) &amp; " days", "")</f>
        <v/>
      </c>
      <c r="J71" s="2">
        <f>IF(OR(C71="", E71="", A71=""), "", IF(LEFT(A71, 6)="Listed", IF((E71-C71)&gt;365, "LTCG", "STCG"), IF((E71-C71)&gt;730, "LTCG", "STCG")))</f>
        <v/>
      </c>
      <c r="K71" s="5">
        <f>IF(J71="", "", IF(J71="LTCG", "12.5%", IF(LEFT(A71,6)="Listed", "20.0%", "Slab Rate")))</f>
        <v/>
      </c>
      <c r="L71" s="3">
        <f>IF(OR(H71="", K71=""), "", IF(K71="Slab Rate", "As per Slab", IF(ISNUMBER(VALUE(LEFT(K71,LEN(K71)-1))), H71*VALUE(LEFT(K71,LEN(K71)-1))/100, "")))</f>
        <v/>
      </c>
    </row>
    <row r="72">
      <c r="A72" s="7" t="n"/>
      <c r="B72" s="7" t="n"/>
      <c r="C72" s="8" t="n"/>
      <c r="D72" s="9" t="n"/>
      <c r="E72" s="8" t="n"/>
      <c r="F72" s="9" t="n"/>
      <c r="G72" s="9" t="n"/>
      <c r="H72" s="3">
        <f>IF(AND(D72&lt;&gt;"",F72&lt;&gt;""),F72-D72-G72,"")</f>
        <v/>
      </c>
      <c r="I72" s="14">
        <f>IF(AND(C72&lt;&gt;"", E72&lt;&gt;""), (E72-C72) &amp; " days", "")</f>
        <v/>
      </c>
      <c r="J72" s="2">
        <f>IF(OR(C72="", E72="", A72=""), "", IF(LEFT(A72, 6)="Listed", IF((E72-C72)&gt;365, "LTCG", "STCG"), IF((E72-C72)&gt;730, "LTCG", "STCG")))</f>
        <v/>
      </c>
      <c r="K72" s="5">
        <f>IF(J72="", "", IF(J72="LTCG", "12.5%", IF(LEFT(A72,6)="Listed", "20.0%", "Slab Rate")))</f>
        <v/>
      </c>
      <c r="L72" s="3">
        <f>IF(OR(H72="", K72=""), "", IF(K72="Slab Rate", "As per Slab", IF(ISNUMBER(VALUE(LEFT(K72,LEN(K72)-1))), H72*VALUE(LEFT(K72,LEN(K72)-1))/100, "")))</f>
        <v/>
      </c>
    </row>
    <row r="73">
      <c r="A73" s="7" t="n"/>
      <c r="B73" s="7" t="n"/>
      <c r="C73" s="8" t="n"/>
      <c r="D73" s="9" t="n"/>
      <c r="E73" s="8" t="n"/>
      <c r="F73" s="9" t="n"/>
      <c r="G73" s="9" t="n"/>
      <c r="H73" s="3">
        <f>IF(AND(D73&lt;&gt;"",F73&lt;&gt;""),F73-D73-G73,"")</f>
        <v/>
      </c>
      <c r="I73" s="14">
        <f>IF(AND(C73&lt;&gt;"", E73&lt;&gt;""), (E73-C73) &amp; " days", "")</f>
        <v/>
      </c>
      <c r="J73" s="2">
        <f>IF(OR(C73="", E73="", A73=""), "", IF(LEFT(A73, 6)="Listed", IF((E73-C73)&gt;365, "LTCG", "STCG"), IF((E73-C73)&gt;730, "LTCG", "STCG")))</f>
        <v/>
      </c>
      <c r="K73" s="5">
        <f>IF(J73="", "", IF(J73="LTCG", "12.5%", IF(LEFT(A73,6)="Listed", "20.0%", "Slab Rate")))</f>
        <v/>
      </c>
      <c r="L73" s="3">
        <f>IF(OR(H73="", K73=""), "", IF(K73="Slab Rate", "As per Slab", IF(ISNUMBER(VALUE(LEFT(K73,LEN(K73)-1))), H73*VALUE(LEFT(K73,LEN(K73)-1))/100, "")))</f>
        <v/>
      </c>
    </row>
    <row r="74">
      <c r="A74" s="7" t="n"/>
      <c r="B74" s="7" t="n"/>
      <c r="C74" s="8" t="n"/>
      <c r="D74" s="9" t="n"/>
      <c r="E74" s="8" t="n"/>
      <c r="F74" s="9" t="n"/>
      <c r="G74" s="9" t="n"/>
      <c r="H74" s="3">
        <f>IF(AND(D74&lt;&gt;"",F74&lt;&gt;""),F74-D74-G74,"")</f>
        <v/>
      </c>
      <c r="I74" s="14">
        <f>IF(AND(C74&lt;&gt;"", E74&lt;&gt;""), (E74-C74) &amp; " days", "")</f>
        <v/>
      </c>
      <c r="J74" s="2">
        <f>IF(OR(C74="", E74="", A74=""), "", IF(LEFT(A74, 6)="Listed", IF((E74-C74)&gt;365, "LTCG", "STCG"), IF((E74-C74)&gt;730, "LTCG", "STCG")))</f>
        <v/>
      </c>
      <c r="K74" s="5">
        <f>IF(J74="", "", IF(J74="LTCG", "12.5%", IF(LEFT(A74,6)="Listed", "20.0%", "Slab Rate")))</f>
        <v/>
      </c>
      <c r="L74" s="3">
        <f>IF(OR(H74="", K74=""), "", IF(K74="Slab Rate", "As per Slab", IF(ISNUMBER(VALUE(LEFT(K74,LEN(K74)-1))), H74*VALUE(LEFT(K74,LEN(K74)-1))/100, "")))</f>
        <v/>
      </c>
    </row>
    <row r="75">
      <c r="A75" s="7" t="n"/>
      <c r="B75" s="7" t="n"/>
      <c r="C75" s="8" t="n"/>
      <c r="D75" s="9" t="n"/>
      <c r="E75" s="8" t="n"/>
      <c r="F75" s="9" t="n"/>
      <c r="G75" s="9" t="n"/>
      <c r="H75" s="3">
        <f>IF(AND(D75&lt;&gt;"",F75&lt;&gt;""),F75-D75-G75,"")</f>
        <v/>
      </c>
      <c r="I75" s="14">
        <f>IF(AND(C75&lt;&gt;"", E75&lt;&gt;""), (E75-C75) &amp; " days", "")</f>
        <v/>
      </c>
      <c r="J75" s="2">
        <f>IF(OR(C75="", E75="", A75=""), "", IF(LEFT(A75, 6)="Listed", IF((E75-C75)&gt;365, "LTCG", "STCG"), IF((E75-C75)&gt;730, "LTCG", "STCG")))</f>
        <v/>
      </c>
      <c r="K75" s="5">
        <f>IF(J75="", "", IF(J75="LTCG", "12.5%", IF(LEFT(A75,6)="Listed", "20.0%", "Slab Rate")))</f>
        <v/>
      </c>
      <c r="L75" s="3">
        <f>IF(OR(H75="", K75=""), "", IF(K75="Slab Rate", "As per Slab", IF(ISNUMBER(VALUE(LEFT(K75,LEN(K75)-1))), H75*VALUE(LEFT(K75,LEN(K75)-1))/100, "")))</f>
        <v/>
      </c>
    </row>
    <row r="76">
      <c r="A76" s="7" t="n"/>
      <c r="B76" s="7" t="n"/>
      <c r="C76" s="8" t="n"/>
      <c r="D76" s="9" t="n"/>
      <c r="E76" s="8" t="n"/>
      <c r="F76" s="9" t="n"/>
      <c r="G76" s="9" t="n"/>
      <c r="H76" s="3">
        <f>IF(AND(D76&lt;&gt;"",F76&lt;&gt;""),F76-D76-G76,"")</f>
        <v/>
      </c>
      <c r="I76" s="14">
        <f>IF(AND(C76&lt;&gt;"", E76&lt;&gt;""), (E76-C76) &amp; " days", "")</f>
        <v/>
      </c>
      <c r="J76" s="2">
        <f>IF(OR(C76="", E76="", A76=""), "", IF(LEFT(A76, 6)="Listed", IF((E76-C76)&gt;365, "LTCG", "STCG"), IF((E76-C76)&gt;730, "LTCG", "STCG")))</f>
        <v/>
      </c>
      <c r="K76" s="5">
        <f>IF(J76="", "", IF(J76="LTCG", "12.5%", IF(LEFT(A76,6)="Listed", "20.0%", "Slab Rate")))</f>
        <v/>
      </c>
      <c r="L76" s="3">
        <f>IF(OR(H76="", K76=""), "", IF(K76="Slab Rate", "As per Slab", IF(ISNUMBER(VALUE(LEFT(K76,LEN(K76)-1))), H76*VALUE(LEFT(K76,LEN(K76)-1))/100, "")))</f>
        <v/>
      </c>
    </row>
    <row r="77">
      <c r="A77" s="7" t="n"/>
      <c r="B77" s="7" t="n"/>
      <c r="C77" s="8" t="n"/>
      <c r="D77" s="9" t="n"/>
      <c r="E77" s="8" t="n"/>
      <c r="F77" s="9" t="n"/>
      <c r="G77" s="9" t="n"/>
      <c r="H77" s="3">
        <f>IF(AND(D77&lt;&gt;"",F77&lt;&gt;""),F77-D77-G77,"")</f>
        <v/>
      </c>
      <c r="I77" s="14">
        <f>IF(AND(C77&lt;&gt;"", E77&lt;&gt;""), (E77-C77) &amp; " days", "")</f>
        <v/>
      </c>
      <c r="J77" s="2">
        <f>IF(OR(C77="", E77="", A77=""), "", IF(LEFT(A77, 6)="Listed", IF((E77-C77)&gt;365, "LTCG", "STCG"), IF((E77-C77)&gt;730, "LTCG", "STCG")))</f>
        <v/>
      </c>
      <c r="K77" s="5">
        <f>IF(J77="", "", IF(J77="LTCG", "12.5%", IF(LEFT(A77,6)="Listed", "20.0%", "Slab Rate")))</f>
        <v/>
      </c>
      <c r="L77" s="3">
        <f>IF(OR(H77="", K77=""), "", IF(K77="Slab Rate", "As per Slab", IF(ISNUMBER(VALUE(LEFT(K77,LEN(K77)-1))), H77*VALUE(LEFT(K77,LEN(K77)-1))/100, "")))</f>
        <v/>
      </c>
    </row>
    <row r="78">
      <c r="A78" s="7" t="n"/>
      <c r="B78" s="7" t="n"/>
      <c r="C78" s="8" t="n"/>
      <c r="D78" s="9" t="n"/>
      <c r="E78" s="8" t="n"/>
      <c r="F78" s="9" t="n"/>
      <c r="G78" s="9" t="n"/>
      <c r="H78" s="3">
        <f>IF(AND(D78&lt;&gt;"",F78&lt;&gt;""),F78-D78-G78,"")</f>
        <v/>
      </c>
      <c r="I78" s="14">
        <f>IF(AND(C78&lt;&gt;"", E78&lt;&gt;""), (E78-C78) &amp; " days", "")</f>
        <v/>
      </c>
      <c r="J78" s="2">
        <f>IF(OR(C78="", E78="", A78=""), "", IF(LEFT(A78, 6)="Listed", IF((E78-C78)&gt;365, "LTCG", "STCG"), IF((E78-C78)&gt;730, "LTCG", "STCG")))</f>
        <v/>
      </c>
      <c r="K78" s="5">
        <f>IF(J78="", "", IF(J78="LTCG", "12.5%", IF(LEFT(A78,6)="Listed", "20.0%", "Slab Rate")))</f>
        <v/>
      </c>
      <c r="L78" s="3">
        <f>IF(OR(H78="", K78=""), "", IF(K78="Slab Rate", "As per Slab", IF(ISNUMBER(VALUE(LEFT(K78,LEN(K78)-1))), H78*VALUE(LEFT(K78,LEN(K78)-1))/100, "")))</f>
        <v/>
      </c>
    </row>
    <row r="79">
      <c r="A79" s="7" t="n"/>
      <c r="B79" s="7" t="n"/>
      <c r="C79" s="8" t="n"/>
      <c r="D79" s="9" t="n"/>
      <c r="E79" s="8" t="n"/>
      <c r="F79" s="9" t="n"/>
      <c r="G79" s="9" t="n"/>
      <c r="H79" s="3">
        <f>IF(AND(D79&lt;&gt;"",F79&lt;&gt;""),F79-D79-G79,"")</f>
        <v/>
      </c>
      <c r="I79" s="14">
        <f>IF(AND(C79&lt;&gt;"", E79&lt;&gt;""), (E79-C79) &amp; " days", "")</f>
        <v/>
      </c>
      <c r="J79" s="2">
        <f>IF(OR(C79="", E79="", A79=""), "", IF(LEFT(A79, 6)="Listed", IF((E79-C79)&gt;365, "LTCG", "STCG"), IF((E79-C79)&gt;730, "LTCG", "STCG")))</f>
        <v/>
      </c>
      <c r="K79" s="5">
        <f>IF(J79="", "", IF(J79="LTCG", "12.5%", IF(LEFT(A79,6)="Listed", "20.0%", "Slab Rate")))</f>
        <v/>
      </c>
      <c r="L79" s="3">
        <f>IF(OR(H79="", K79=""), "", IF(K79="Slab Rate", "As per Slab", IF(ISNUMBER(VALUE(LEFT(K79,LEN(K79)-1))), H79*VALUE(LEFT(K79,LEN(K79)-1))/100, "")))</f>
        <v/>
      </c>
    </row>
    <row r="80">
      <c r="A80" s="7" t="n"/>
      <c r="B80" s="7" t="n"/>
      <c r="C80" s="8" t="n"/>
      <c r="D80" s="9" t="n"/>
      <c r="E80" s="8" t="n"/>
      <c r="F80" s="9" t="n"/>
      <c r="G80" s="9" t="n"/>
      <c r="H80" s="3">
        <f>IF(AND(D80&lt;&gt;"",F80&lt;&gt;""),F80-D80-G80,"")</f>
        <v/>
      </c>
      <c r="I80" s="14">
        <f>IF(AND(C80&lt;&gt;"", E80&lt;&gt;""), (E80-C80) &amp; " days", "")</f>
        <v/>
      </c>
      <c r="J80" s="2">
        <f>IF(OR(C80="", E80="", A80=""), "", IF(LEFT(A80, 6)="Listed", IF((E80-C80)&gt;365, "LTCG", "STCG"), IF((E80-C80)&gt;730, "LTCG", "STCG")))</f>
        <v/>
      </c>
      <c r="K80" s="5">
        <f>IF(J80="", "", IF(J80="LTCG", "12.5%", IF(LEFT(A80,6)="Listed", "20.0%", "Slab Rate")))</f>
        <v/>
      </c>
      <c r="L80" s="3">
        <f>IF(OR(H80="", K80=""), "", IF(K80="Slab Rate", "As per Slab", IF(ISNUMBER(VALUE(LEFT(K80,LEN(K80)-1))), H80*VALUE(LEFT(K80,LEN(K80)-1))/100, "")))</f>
        <v/>
      </c>
    </row>
    <row r="81">
      <c r="A81" s="7" t="n"/>
      <c r="B81" s="7" t="n"/>
      <c r="C81" s="8" t="n"/>
      <c r="D81" s="9" t="n"/>
      <c r="E81" s="8" t="n"/>
      <c r="F81" s="9" t="n"/>
      <c r="G81" s="9" t="n"/>
      <c r="H81" s="3">
        <f>IF(AND(D81&lt;&gt;"",F81&lt;&gt;""),F81-D81-G81,"")</f>
        <v/>
      </c>
      <c r="I81" s="14">
        <f>IF(AND(C81&lt;&gt;"", E81&lt;&gt;""), (E81-C81) &amp; " days", "")</f>
        <v/>
      </c>
      <c r="J81" s="2">
        <f>IF(OR(C81="", E81="", A81=""), "", IF(LEFT(A81, 6)="Listed", IF((E81-C81)&gt;365, "LTCG", "STCG"), IF((E81-C81)&gt;730, "LTCG", "STCG")))</f>
        <v/>
      </c>
      <c r="K81" s="5">
        <f>IF(J81="", "", IF(J81="LTCG", "12.5%", IF(LEFT(A81,6)="Listed", "20.0%", "Slab Rate")))</f>
        <v/>
      </c>
      <c r="L81" s="3">
        <f>IF(OR(H81="", K81=""), "", IF(K81="Slab Rate", "As per Slab", IF(ISNUMBER(VALUE(LEFT(K81,LEN(K81)-1))), H81*VALUE(LEFT(K81,LEN(K81)-1))/100, "")))</f>
        <v/>
      </c>
    </row>
    <row r="82">
      <c r="A82" s="7" t="n"/>
      <c r="B82" s="7" t="n"/>
      <c r="C82" s="8" t="n"/>
      <c r="D82" s="9" t="n"/>
      <c r="E82" s="8" t="n"/>
      <c r="F82" s="9" t="n"/>
      <c r="G82" s="9" t="n"/>
      <c r="H82" s="3">
        <f>IF(AND(D82&lt;&gt;"",F82&lt;&gt;""),F82-D82-G82,"")</f>
        <v/>
      </c>
      <c r="I82" s="14">
        <f>IF(AND(C82&lt;&gt;"", E82&lt;&gt;""), (E82-C82) &amp; " days", "")</f>
        <v/>
      </c>
      <c r="J82" s="2">
        <f>IF(OR(C82="", E82="", A82=""), "", IF(LEFT(A82, 6)="Listed", IF((E82-C82)&gt;365, "LTCG", "STCG"), IF((E82-C82)&gt;730, "LTCG", "STCG")))</f>
        <v/>
      </c>
      <c r="K82" s="5">
        <f>IF(J82="", "", IF(J82="LTCG", "12.5%", IF(LEFT(A82,6)="Listed", "20.0%", "Slab Rate")))</f>
        <v/>
      </c>
      <c r="L82" s="3">
        <f>IF(OR(H82="", K82=""), "", IF(K82="Slab Rate", "As per Slab", IF(ISNUMBER(VALUE(LEFT(K82,LEN(K82)-1))), H82*VALUE(LEFT(K82,LEN(K82)-1))/100, "")))</f>
        <v/>
      </c>
    </row>
    <row r="83">
      <c r="A83" s="7" t="n"/>
      <c r="B83" s="7" t="n"/>
      <c r="C83" s="8" t="n"/>
      <c r="D83" s="9" t="n"/>
      <c r="E83" s="8" t="n"/>
      <c r="F83" s="9" t="n"/>
      <c r="G83" s="9" t="n"/>
      <c r="H83" s="3">
        <f>IF(AND(D83&lt;&gt;"",F83&lt;&gt;""),F83-D83-G83,"")</f>
        <v/>
      </c>
      <c r="I83" s="14">
        <f>IF(AND(C83&lt;&gt;"", E83&lt;&gt;""), (E83-C83) &amp; " days", "")</f>
        <v/>
      </c>
      <c r="J83" s="2">
        <f>IF(OR(C83="", E83="", A83=""), "", IF(LEFT(A83, 6)="Listed", IF((E83-C83)&gt;365, "LTCG", "STCG"), IF((E83-C83)&gt;730, "LTCG", "STCG")))</f>
        <v/>
      </c>
      <c r="K83" s="5">
        <f>IF(J83="", "", IF(J83="LTCG", "12.5%", IF(LEFT(A83,6)="Listed", "20.0%", "Slab Rate")))</f>
        <v/>
      </c>
      <c r="L83" s="3">
        <f>IF(OR(H83="", K83=""), "", IF(K83="Slab Rate", "As per Slab", IF(ISNUMBER(VALUE(LEFT(K83,LEN(K83)-1))), H83*VALUE(LEFT(K83,LEN(K83)-1))/100, "")))</f>
        <v/>
      </c>
    </row>
    <row r="84">
      <c r="A84" s="7" t="n"/>
      <c r="B84" s="7" t="n"/>
      <c r="C84" s="8" t="n"/>
      <c r="D84" s="9" t="n"/>
      <c r="E84" s="8" t="n"/>
      <c r="F84" s="9" t="n"/>
      <c r="G84" s="9" t="n"/>
      <c r="H84" s="3">
        <f>IF(AND(D84&lt;&gt;"",F84&lt;&gt;""),F84-D84-G84,"")</f>
        <v/>
      </c>
      <c r="I84" s="14">
        <f>IF(AND(C84&lt;&gt;"", E84&lt;&gt;""), (E84-C84) &amp; " days", "")</f>
        <v/>
      </c>
      <c r="J84" s="2">
        <f>IF(OR(C84="", E84="", A84=""), "", IF(LEFT(A84, 6)="Listed", IF((E84-C84)&gt;365, "LTCG", "STCG"), IF((E84-C84)&gt;730, "LTCG", "STCG")))</f>
        <v/>
      </c>
      <c r="K84" s="5">
        <f>IF(J84="", "", IF(J84="LTCG", "12.5%", IF(LEFT(A84,6)="Listed", "20.0%", "Slab Rate")))</f>
        <v/>
      </c>
      <c r="L84" s="3">
        <f>IF(OR(H84="", K84=""), "", IF(K84="Slab Rate", "As per Slab", IF(ISNUMBER(VALUE(LEFT(K84,LEN(K84)-1))), H84*VALUE(LEFT(K84,LEN(K84)-1))/100, "")))</f>
        <v/>
      </c>
    </row>
    <row r="85">
      <c r="A85" s="7" t="n"/>
      <c r="B85" s="7" t="n"/>
      <c r="C85" s="8" t="n"/>
      <c r="D85" s="9" t="n"/>
      <c r="E85" s="8" t="n"/>
      <c r="F85" s="9" t="n"/>
      <c r="G85" s="9" t="n"/>
      <c r="H85" s="3">
        <f>IF(AND(D85&lt;&gt;"",F85&lt;&gt;""),F85-D85-G85,"")</f>
        <v/>
      </c>
      <c r="I85" s="14">
        <f>IF(AND(C85&lt;&gt;"", E85&lt;&gt;""), (E85-C85) &amp; " days", "")</f>
        <v/>
      </c>
      <c r="J85" s="2">
        <f>IF(OR(C85="", E85="", A85=""), "", IF(LEFT(A85, 6)="Listed", IF((E85-C85)&gt;365, "LTCG", "STCG"), IF((E85-C85)&gt;730, "LTCG", "STCG")))</f>
        <v/>
      </c>
      <c r="K85" s="5">
        <f>IF(J85="", "", IF(J85="LTCG", "12.5%", IF(LEFT(A85,6)="Listed", "20.0%", "Slab Rate")))</f>
        <v/>
      </c>
      <c r="L85" s="3">
        <f>IF(OR(H85="", K85=""), "", IF(K85="Slab Rate", "As per Slab", IF(ISNUMBER(VALUE(LEFT(K85,LEN(K85)-1))), H85*VALUE(LEFT(K85,LEN(K85)-1))/100, "")))</f>
        <v/>
      </c>
    </row>
    <row r="86">
      <c r="A86" s="7" t="n"/>
      <c r="B86" s="7" t="n"/>
      <c r="C86" s="8" t="n"/>
      <c r="D86" s="9" t="n"/>
      <c r="E86" s="8" t="n"/>
      <c r="F86" s="9" t="n"/>
      <c r="G86" s="9" t="n"/>
      <c r="H86" s="3">
        <f>IF(AND(D86&lt;&gt;"",F86&lt;&gt;""),F86-D86-G86,"")</f>
        <v/>
      </c>
      <c r="I86" s="14">
        <f>IF(AND(C86&lt;&gt;"", E86&lt;&gt;""), (E86-C86) &amp; " days", "")</f>
        <v/>
      </c>
      <c r="J86" s="2">
        <f>IF(OR(C86="", E86="", A86=""), "", IF(LEFT(A86, 6)="Listed", IF((E86-C86)&gt;365, "LTCG", "STCG"), IF((E86-C86)&gt;730, "LTCG", "STCG")))</f>
        <v/>
      </c>
      <c r="K86" s="5">
        <f>IF(J86="", "", IF(J86="LTCG", "12.5%", IF(LEFT(A86,6)="Listed", "20.0%", "Slab Rate")))</f>
        <v/>
      </c>
      <c r="L86" s="3">
        <f>IF(OR(H86="", K86=""), "", IF(K86="Slab Rate", "As per Slab", IF(ISNUMBER(VALUE(LEFT(K86,LEN(K86)-1))), H86*VALUE(LEFT(K86,LEN(K86)-1))/100, "")))</f>
        <v/>
      </c>
    </row>
    <row r="87">
      <c r="A87" s="7" t="n"/>
      <c r="B87" s="7" t="n"/>
      <c r="C87" s="8" t="n"/>
      <c r="D87" s="9" t="n"/>
      <c r="E87" s="8" t="n"/>
      <c r="F87" s="9" t="n"/>
      <c r="G87" s="9" t="n"/>
      <c r="H87" s="3">
        <f>IF(AND(D87&lt;&gt;"",F87&lt;&gt;""),F87-D87-G87,"")</f>
        <v/>
      </c>
      <c r="I87" s="14">
        <f>IF(AND(C87&lt;&gt;"", E87&lt;&gt;""), (E87-C87) &amp; " days", "")</f>
        <v/>
      </c>
      <c r="J87" s="2">
        <f>IF(OR(C87="", E87="", A87=""), "", IF(LEFT(A87, 6)="Listed", IF((E87-C87)&gt;365, "LTCG", "STCG"), IF((E87-C87)&gt;730, "LTCG", "STCG")))</f>
        <v/>
      </c>
      <c r="K87" s="5">
        <f>IF(J87="", "", IF(J87="LTCG", "12.5%", IF(LEFT(A87,6)="Listed", "20.0%", "Slab Rate")))</f>
        <v/>
      </c>
      <c r="L87" s="3">
        <f>IF(OR(H87="", K87=""), "", IF(K87="Slab Rate", "As per Slab", IF(ISNUMBER(VALUE(LEFT(K87,LEN(K87)-1))), H87*VALUE(LEFT(K87,LEN(K87)-1))/100, "")))</f>
        <v/>
      </c>
    </row>
    <row r="88">
      <c r="A88" s="7" t="n"/>
      <c r="B88" s="7" t="n"/>
      <c r="C88" s="8" t="n"/>
      <c r="D88" s="9" t="n"/>
      <c r="E88" s="8" t="n"/>
      <c r="F88" s="9" t="n"/>
      <c r="G88" s="9" t="n"/>
      <c r="H88" s="3">
        <f>IF(AND(D88&lt;&gt;"",F88&lt;&gt;""),F88-D88-G88,"")</f>
        <v/>
      </c>
      <c r="I88" s="14">
        <f>IF(AND(C88&lt;&gt;"", E88&lt;&gt;""), (E88-C88) &amp; " days", "")</f>
        <v/>
      </c>
      <c r="J88" s="2">
        <f>IF(OR(C88="", E88="", A88=""), "", IF(LEFT(A88, 6)="Listed", IF((E88-C88)&gt;365, "LTCG", "STCG"), IF((E88-C88)&gt;730, "LTCG", "STCG")))</f>
        <v/>
      </c>
      <c r="K88" s="5">
        <f>IF(J88="", "", IF(J88="LTCG", "12.5%", IF(LEFT(A88,6)="Listed", "20.0%", "Slab Rate")))</f>
        <v/>
      </c>
      <c r="L88" s="3">
        <f>IF(OR(H88="", K88=""), "", IF(K88="Slab Rate", "As per Slab", IF(ISNUMBER(VALUE(LEFT(K88,LEN(K88)-1))), H88*VALUE(LEFT(K88,LEN(K88)-1))/100, "")))</f>
        <v/>
      </c>
    </row>
    <row r="89">
      <c r="A89" s="7" t="n"/>
      <c r="B89" s="7" t="n"/>
      <c r="C89" s="8" t="n"/>
      <c r="D89" s="9" t="n"/>
      <c r="E89" s="8" t="n"/>
      <c r="F89" s="9" t="n"/>
      <c r="G89" s="9" t="n"/>
      <c r="H89" s="3">
        <f>IF(AND(D89&lt;&gt;"",F89&lt;&gt;""),F89-D89-G89,"")</f>
        <v/>
      </c>
      <c r="I89" s="14">
        <f>IF(AND(C89&lt;&gt;"", E89&lt;&gt;""), (E89-C89) &amp; " days", "")</f>
        <v/>
      </c>
      <c r="J89" s="2">
        <f>IF(OR(C89="", E89="", A89=""), "", IF(LEFT(A89, 6)="Listed", IF((E89-C89)&gt;365, "LTCG", "STCG"), IF((E89-C89)&gt;730, "LTCG", "STCG")))</f>
        <v/>
      </c>
      <c r="K89" s="5">
        <f>IF(J89="", "", IF(J89="LTCG", "12.5%", IF(LEFT(A89,6)="Listed", "20.0%", "Slab Rate")))</f>
        <v/>
      </c>
      <c r="L89" s="3">
        <f>IF(OR(H89="", K89=""), "", IF(K89="Slab Rate", "As per Slab", IF(ISNUMBER(VALUE(LEFT(K89,LEN(K89)-1))), H89*VALUE(LEFT(K89,LEN(K89)-1))/100, "")))</f>
        <v/>
      </c>
    </row>
    <row r="90">
      <c r="A90" s="7" t="n"/>
      <c r="B90" s="7" t="n"/>
      <c r="C90" s="8" t="n"/>
      <c r="D90" s="9" t="n"/>
      <c r="E90" s="8" t="n"/>
      <c r="F90" s="9" t="n"/>
      <c r="G90" s="9" t="n"/>
      <c r="H90" s="3">
        <f>IF(AND(D90&lt;&gt;"",F90&lt;&gt;""),F90-D90-G90,"")</f>
        <v/>
      </c>
      <c r="I90" s="14">
        <f>IF(AND(C90&lt;&gt;"", E90&lt;&gt;""), (E90-C90) &amp; " days", "")</f>
        <v/>
      </c>
      <c r="J90" s="2">
        <f>IF(OR(C90="", E90="", A90=""), "", IF(LEFT(A90, 6)="Listed", IF((E90-C90)&gt;365, "LTCG", "STCG"), IF((E90-C90)&gt;730, "LTCG", "STCG")))</f>
        <v/>
      </c>
      <c r="K90" s="5">
        <f>IF(J90="", "", IF(J90="LTCG", "12.5%", IF(LEFT(A90,6)="Listed", "20.0%", "Slab Rate")))</f>
        <v/>
      </c>
      <c r="L90" s="3">
        <f>IF(OR(H90="", K90=""), "", IF(K90="Slab Rate", "As per Slab", IF(ISNUMBER(VALUE(LEFT(K90,LEN(K90)-1))), H90*VALUE(LEFT(K90,LEN(K90)-1))/100, "")))</f>
        <v/>
      </c>
    </row>
    <row r="91">
      <c r="A91" s="7" t="n"/>
      <c r="B91" s="7" t="n"/>
      <c r="C91" s="8" t="n"/>
      <c r="D91" s="9" t="n"/>
      <c r="E91" s="8" t="n"/>
      <c r="F91" s="9" t="n"/>
      <c r="G91" s="9" t="n"/>
      <c r="H91" s="3">
        <f>IF(AND(D91&lt;&gt;"",F91&lt;&gt;""),F91-D91-G91,"")</f>
        <v/>
      </c>
      <c r="I91" s="14">
        <f>IF(AND(C91&lt;&gt;"", E91&lt;&gt;""), (E91-C91) &amp; " days", "")</f>
        <v/>
      </c>
      <c r="J91" s="2">
        <f>IF(OR(C91="", E91="", A91=""), "", IF(LEFT(A91, 6)="Listed", IF((E91-C91)&gt;365, "LTCG", "STCG"), IF((E91-C91)&gt;730, "LTCG", "STCG")))</f>
        <v/>
      </c>
      <c r="K91" s="5">
        <f>IF(J91="", "", IF(J91="LTCG", "12.5%", IF(LEFT(A91,6)="Listed", "20.0%", "Slab Rate")))</f>
        <v/>
      </c>
      <c r="L91" s="3">
        <f>IF(OR(H91="", K91=""), "", IF(K91="Slab Rate", "As per Slab", IF(ISNUMBER(VALUE(LEFT(K91,LEN(K91)-1))), H91*VALUE(LEFT(K91,LEN(K91)-1))/100, "")))</f>
        <v/>
      </c>
    </row>
    <row r="92">
      <c r="A92" s="7" t="n"/>
      <c r="B92" s="7" t="n"/>
      <c r="C92" s="8" t="n"/>
      <c r="D92" s="9" t="n"/>
      <c r="E92" s="8" t="n"/>
      <c r="F92" s="9" t="n"/>
      <c r="G92" s="9" t="n"/>
      <c r="H92" s="3">
        <f>IF(AND(D92&lt;&gt;"",F92&lt;&gt;""),F92-D92-G92,"")</f>
        <v/>
      </c>
      <c r="I92" s="14">
        <f>IF(AND(C92&lt;&gt;"", E92&lt;&gt;""), (E92-C92) &amp; " days", "")</f>
        <v/>
      </c>
      <c r="J92" s="2">
        <f>IF(OR(C92="", E92="", A92=""), "", IF(LEFT(A92, 6)="Listed", IF((E92-C92)&gt;365, "LTCG", "STCG"), IF((E92-C92)&gt;730, "LTCG", "STCG")))</f>
        <v/>
      </c>
      <c r="K92" s="5">
        <f>IF(J92="", "", IF(J92="LTCG", "12.5%", IF(LEFT(A92,6)="Listed", "20.0%", "Slab Rate")))</f>
        <v/>
      </c>
      <c r="L92" s="3">
        <f>IF(OR(H92="", K92=""), "", IF(K92="Slab Rate", "As per Slab", IF(ISNUMBER(VALUE(LEFT(K92,LEN(K92)-1))), H92*VALUE(LEFT(K92,LEN(K92)-1))/100, "")))</f>
        <v/>
      </c>
    </row>
    <row r="93">
      <c r="A93" s="7" t="n"/>
      <c r="B93" s="7" t="n"/>
      <c r="C93" s="8" t="n"/>
      <c r="D93" s="9" t="n"/>
      <c r="E93" s="8" t="n"/>
      <c r="F93" s="9" t="n"/>
      <c r="G93" s="9" t="n"/>
      <c r="H93" s="3">
        <f>IF(AND(D93&lt;&gt;"",F93&lt;&gt;""),F93-D93-G93,"")</f>
        <v/>
      </c>
      <c r="I93" s="14">
        <f>IF(AND(C93&lt;&gt;"", E93&lt;&gt;""), (E93-C93) &amp; " days", "")</f>
        <v/>
      </c>
      <c r="J93" s="2">
        <f>IF(OR(C93="", E93="", A93=""), "", IF(LEFT(A93, 6)="Listed", IF((E93-C93)&gt;365, "LTCG", "STCG"), IF((E93-C93)&gt;730, "LTCG", "STCG")))</f>
        <v/>
      </c>
      <c r="K93" s="5">
        <f>IF(J93="", "", IF(J93="LTCG", "12.5%", IF(LEFT(A93,6)="Listed", "20.0%", "Slab Rate")))</f>
        <v/>
      </c>
      <c r="L93" s="3">
        <f>IF(OR(H93="", K93=""), "", IF(K93="Slab Rate", "As per Slab", IF(ISNUMBER(VALUE(LEFT(K93,LEN(K93)-1))), H93*VALUE(LEFT(K93,LEN(K93)-1))/100, "")))</f>
        <v/>
      </c>
    </row>
    <row r="94">
      <c r="A94" s="7" t="n"/>
      <c r="B94" s="7" t="n"/>
      <c r="C94" s="8" t="n"/>
      <c r="D94" s="9" t="n"/>
      <c r="E94" s="8" t="n"/>
      <c r="F94" s="9" t="n"/>
      <c r="G94" s="9" t="n"/>
      <c r="H94" s="3">
        <f>IF(AND(D94&lt;&gt;"",F94&lt;&gt;""),F94-D94-G94,"")</f>
        <v/>
      </c>
      <c r="I94" s="14">
        <f>IF(AND(C94&lt;&gt;"", E94&lt;&gt;""), (E94-C94) &amp; " days", "")</f>
        <v/>
      </c>
      <c r="J94" s="2">
        <f>IF(OR(C94="", E94="", A94=""), "", IF(LEFT(A94, 6)="Listed", IF((E94-C94)&gt;365, "LTCG", "STCG"), IF((E94-C94)&gt;730, "LTCG", "STCG")))</f>
        <v/>
      </c>
      <c r="K94" s="5">
        <f>IF(J94="", "", IF(J94="LTCG", "12.5%", IF(LEFT(A94,6)="Listed", "20.0%", "Slab Rate")))</f>
        <v/>
      </c>
      <c r="L94" s="3">
        <f>IF(OR(H94="", K94=""), "", IF(K94="Slab Rate", "As per Slab", IF(ISNUMBER(VALUE(LEFT(K94,LEN(K94)-1))), H94*VALUE(LEFT(K94,LEN(K94)-1))/100, "")))</f>
        <v/>
      </c>
    </row>
    <row r="95">
      <c r="A95" s="7" t="n"/>
      <c r="B95" s="7" t="n"/>
      <c r="C95" s="8" t="n"/>
      <c r="D95" s="9" t="n"/>
      <c r="E95" s="8" t="n"/>
      <c r="F95" s="9" t="n"/>
      <c r="G95" s="9" t="n"/>
      <c r="H95" s="3">
        <f>IF(AND(D95&lt;&gt;"",F95&lt;&gt;""),F95-D95-G95,"")</f>
        <v/>
      </c>
      <c r="I95" s="14">
        <f>IF(AND(C95&lt;&gt;"", E95&lt;&gt;""), (E95-C95) &amp; " days", "")</f>
        <v/>
      </c>
      <c r="J95" s="2">
        <f>IF(OR(C95="", E95="", A95=""), "", IF(LEFT(A95, 6)="Listed", IF((E95-C95)&gt;365, "LTCG", "STCG"), IF((E95-C95)&gt;730, "LTCG", "STCG")))</f>
        <v/>
      </c>
      <c r="K95" s="5">
        <f>IF(J95="", "", IF(J95="LTCG", "12.5%", IF(LEFT(A95,6)="Listed", "20.0%", "Slab Rate")))</f>
        <v/>
      </c>
      <c r="L95" s="3">
        <f>IF(OR(H95="", K95=""), "", IF(K95="Slab Rate", "As per Slab", IF(ISNUMBER(VALUE(LEFT(K95,LEN(K95)-1))), H95*VALUE(LEFT(K95,LEN(K95)-1))/100, "")))</f>
        <v/>
      </c>
    </row>
    <row r="96">
      <c r="A96" s="7" t="n"/>
      <c r="B96" s="7" t="n"/>
      <c r="C96" s="8" t="n"/>
      <c r="D96" s="9" t="n"/>
      <c r="E96" s="8" t="n"/>
      <c r="F96" s="9" t="n"/>
      <c r="G96" s="9" t="n"/>
      <c r="H96" s="3">
        <f>IF(AND(D96&lt;&gt;"",F96&lt;&gt;""),F96-D96-G96,"")</f>
        <v/>
      </c>
      <c r="I96" s="14">
        <f>IF(AND(C96&lt;&gt;"", E96&lt;&gt;""), (E96-C96) &amp; " days", "")</f>
        <v/>
      </c>
      <c r="J96" s="2">
        <f>IF(OR(C96="", E96="", A96=""), "", IF(LEFT(A96, 6)="Listed", IF((E96-C96)&gt;365, "LTCG", "STCG"), IF((E96-C96)&gt;730, "LTCG", "STCG")))</f>
        <v/>
      </c>
      <c r="K96" s="5">
        <f>IF(J96="", "", IF(J96="LTCG", "12.5%", IF(LEFT(A96,6)="Listed", "20.0%", "Slab Rate")))</f>
        <v/>
      </c>
      <c r="L96" s="3">
        <f>IF(OR(H96="", K96=""), "", IF(K96="Slab Rate", "As per Slab", IF(ISNUMBER(VALUE(LEFT(K96,LEN(K96)-1))), H96*VALUE(LEFT(K96,LEN(K96)-1))/100, "")))</f>
        <v/>
      </c>
    </row>
    <row r="97">
      <c r="A97" s="7" t="n"/>
      <c r="B97" s="7" t="n"/>
      <c r="C97" s="8" t="n"/>
      <c r="D97" s="9" t="n"/>
      <c r="E97" s="8" t="n"/>
      <c r="F97" s="9" t="n"/>
      <c r="G97" s="9" t="n"/>
      <c r="H97" s="3">
        <f>IF(AND(D97&lt;&gt;"",F97&lt;&gt;""),F97-D97-G97,"")</f>
        <v/>
      </c>
      <c r="I97" s="14">
        <f>IF(AND(C97&lt;&gt;"", E97&lt;&gt;""), (E97-C97) &amp; " days", "")</f>
        <v/>
      </c>
      <c r="J97" s="2">
        <f>IF(OR(C97="", E97="", A97=""), "", IF(LEFT(A97, 6)="Listed", IF((E97-C97)&gt;365, "LTCG", "STCG"), IF((E97-C97)&gt;730, "LTCG", "STCG")))</f>
        <v/>
      </c>
      <c r="K97" s="5">
        <f>IF(J97="", "", IF(J97="LTCG", "12.5%", IF(LEFT(A97,6)="Listed", "20.0%", "Slab Rate")))</f>
        <v/>
      </c>
      <c r="L97" s="3">
        <f>IF(OR(H97="", K97=""), "", IF(K97="Slab Rate", "As per Slab", IF(ISNUMBER(VALUE(LEFT(K97,LEN(K97)-1))), H97*VALUE(LEFT(K97,LEN(K97)-1))/100, "")))</f>
        <v/>
      </c>
    </row>
    <row r="98">
      <c r="A98" s="7" t="n"/>
      <c r="B98" s="7" t="n"/>
      <c r="C98" s="8" t="n"/>
      <c r="D98" s="9" t="n"/>
      <c r="E98" s="8" t="n"/>
      <c r="F98" s="9" t="n"/>
      <c r="G98" s="9" t="n"/>
      <c r="H98" s="3">
        <f>IF(AND(D98&lt;&gt;"",F98&lt;&gt;""),F98-D98-G98,"")</f>
        <v/>
      </c>
      <c r="I98" s="14">
        <f>IF(AND(C98&lt;&gt;"", E98&lt;&gt;""), (E98-C98) &amp; " days", "")</f>
        <v/>
      </c>
      <c r="J98" s="2">
        <f>IF(OR(C98="", E98="", A98=""), "", IF(LEFT(A98, 6)="Listed", IF((E98-C98)&gt;365, "LTCG", "STCG"), IF((E98-C98)&gt;730, "LTCG", "STCG")))</f>
        <v/>
      </c>
      <c r="K98" s="5">
        <f>IF(J98="", "", IF(J98="LTCG", "12.5%", IF(LEFT(A98,6)="Listed", "20.0%", "Slab Rate")))</f>
        <v/>
      </c>
      <c r="L98" s="3">
        <f>IF(OR(H98="", K98=""), "", IF(K98="Slab Rate", "As per Slab", IF(ISNUMBER(VALUE(LEFT(K98,LEN(K98)-1))), H98*VALUE(LEFT(K98,LEN(K98)-1))/100, "")))</f>
        <v/>
      </c>
    </row>
    <row r="99">
      <c r="A99" s="7" t="n"/>
      <c r="B99" s="7" t="n"/>
      <c r="C99" s="8" t="n"/>
      <c r="D99" s="9" t="n"/>
      <c r="E99" s="8" t="n"/>
      <c r="F99" s="9" t="n"/>
      <c r="G99" s="9" t="n"/>
      <c r="H99" s="3">
        <f>IF(AND(D99&lt;&gt;"",F99&lt;&gt;""),F99-D99-G99,"")</f>
        <v/>
      </c>
      <c r="I99" s="14">
        <f>IF(AND(C99&lt;&gt;"", E99&lt;&gt;""), (E99-C99) &amp; " days", "")</f>
        <v/>
      </c>
      <c r="J99" s="2">
        <f>IF(OR(C99="", E99="", A99=""), "", IF(LEFT(A99, 6)="Listed", IF((E99-C99)&gt;365, "LTCG", "STCG"), IF((E99-C99)&gt;730, "LTCG", "STCG")))</f>
        <v/>
      </c>
      <c r="K99" s="5">
        <f>IF(J99="", "", IF(J99="LTCG", "12.5%", IF(LEFT(A99,6)="Listed", "20.0%", "Slab Rate")))</f>
        <v/>
      </c>
      <c r="L99" s="3">
        <f>IF(OR(H99="", K99=""), "", IF(K99="Slab Rate", "As per Slab", IF(ISNUMBER(VALUE(LEFT(K99,LEN(K99)-1))), H99*VALUE(LEFT(K99,LEN(K99)-1))/100, "")))</f>
        <v/>
      </c>
    </row>
    <row r="100">
      <c r="A100" s="7" t="n"/>
      <c r="B100" s="7" t="n"/>
      <c r="C100" s="8" t="n"/>
      <c r="D100" s="9" t="n"/>
      <c r="E100" s="8" t="n"/>
      <c r="F100" s="9" t="n"/>
      <c r="G100" s="9" t="n"/>
      <c r="H100" s="3">
        <f>IF(AND(D100&lt;&gt;"",F100&lt;&gt;""),F100-D100-G100,"")</f>
        <v/>
      </c>
      <c r="I100" s="14">
        <f>IF(AND(C100&lt;&gt;"", E100&lt;&gt;""), (E100-C100) &amp; " days", "")</f>
        <v/>
      </c>
      <c r="J100" s="2">
        <f>IF(OR(C100="", E100="", A100=""), "", IF(LEFT(A100, 6)="Listed", IF((E100-C100)&gt;365, "LTCG", "STCG"), IF((E100-C100)&gt;730, "LTCG", "STCG")))</f>
        <v/>
      </c>
      <c r="K100" s="5">
        <f>IF(J100="", "", IF(J100="LTCG", "12.5%", IF(LEFT(A100,6)="Listed", "20.0%", "Slab Rate")))</f>
        <v/>
      </c>
      <c r="L100" s="3">
        <f>IF(OR(H100="", K100=""), "", IF(K100="Slab Rate", "As per Slab", IF(ISNUMBER(VALUE(LEFT(K100,LEN(K100)-1))), H100*VALUE(LEFT(K100,LEN(K100)-1))/100, "")))</f>
        <v/>
      </c>
    </row>
    <row r="101">
      <c r="A101" s="7" t="n"/>
      <c r="B101" s="7" t="n"/>
      <c r="C101" s="8" t="n"/>
      <c r="D101" s="9" t="n"/>
      <c r="E101" s="8" t="n"/>
      <c r="F101" s="9" t="n"/>
      <c r="G101" s="9" t="n"/>
      <c r="H101" s="3">
        <f>IF(AND(D101&lt;&gt;"",F101&lt;&gt;""),F101-D101-G101,"")</f>
        <v/>
      </c>
      <c r="I101" s="14">
        <f>IF(E101&lt;&gt;"", YEARFRAC(C101, E101) * 12, "")</f>
        <v/>
      </c>
      <c r="J101" s="2">
        <f>IF(I101="", "", IF(OR(AND(A101="Listed Equity Shares", I101&gt;12), AND(A101="Unlisted Equity Shares", I101&gt;24)), "Long Term", "Short Term"))</f>
        <v/>
      </c>
      <c r="K101" s="5">
        <f>IF(J101="", "", IF(J101="Long Term", 12.5%,"as per slab"))</f>
        <v/>
      </c>
      <c r="L101" s="3">
        <f>+IFERROR(IF(J101="","",H101*K101),"as per slab")</f>
        <v/>
      </c>
    </row>
    <row r="102">
      <c r="A102" s="7" t="n"/>
      <c r="B102" s="7" t="n"/>
      <c r="C102" s="8" t="n"/>
      <c r="D102" s="9" t="n"/>
      <c r="E102" s="8" t="n"/>
      <c r="F102" s="9" t="n"/>
      <c r="G102" s="9" t="n"/>
      <c r="H102" s="3">
        <f>IF(AND(D102&lt;&gt;"",F102&lt;&gt;""),F102-D102-G102,"")</f>
        <v/>
      </c>
      <c r="I102" s="14">
        <f>IF(E102&lt;&gt;"", YEARFRAC(C102, E102) * 12, "")</f>
        <v/>
      </c>
      <c r="J102" s="2">
        <f>IF(I102="", "", IF(OR(AND(A102="Listed Equity Shares", I102&gt;12), AND(A102="Unlisted Equity Shares", I102&gt;24)), "Long Term", "Short Term"))</f>
        <v/>
      </c>
      <c r="K102" s="5">
        <f>IF(J102="", "", IF(J102="Long Term", 12.5%,"as per slab"))</f>
        <v/>
      </c>
      <c r="L102" s="3">
        <f>+IFERROR(IF(J102="","",H102*K102),"as per slab")</f>
        <v/>
      </c>
    </row>
    <row r="103">
      <c r="A103" s="7" t="n"/>
      <c r="B103" s="7" t="n"/>
      <c r="C103" s="8" t="n"/>
      <c r="D103" s="9" t="n"/>
      <c r="E103" s="8" t="n"/>
      <c r="F103" s="9" t="n"/>
      <c r="G103" s="9" t="n"/>
      <c r="H103" s="3">
        <f>IF(AND(D103&lt;&gt;"",F103&lt;&gt;""),F103-D103-G103,"")</f>
        <v/>
      </c>
      <c r="I103" s="14">
        <f>IF(E103&lt;&gt;"", YEARFRAC(C103, E103) * 12, "")</f>
        <v/>
      </c>
      <c r="J103" s="2">
        <f>IF(I103="", "", IF(OR(AND(A103="Listed Equity Shares", I103&gt;12), AND(A103="Unlisted Equity Shares", I103&gt;24)), "Long Term", "Short Term"))</f>
        <v/>
      </c>
      <c r="K103" s="5">
        <f>IF(J103="", "", IF(J103="Long Term", 12.5%,"as per slab"))</f>
        <v/>
      </c>
      <c r="L103" s="3">
        <f>+IFERROR(IF(J103="","",H103*K103),"as per slab")</f>
        <v/>
      </c>
    </row>
    <row r="104">
      <c r="A104" s="7" t="n"/>
      <c r="B104" s="7" t="n"/>
      <c r="C104" s="8" t="n"/>
      <c r="D104" s="9" t="n"/>
      <c r="E104" s="8" t="n"/>
      <c r="F104" s="9" t="n"/>
      <c r="G104" s="9" t="n"/>
      <c r="H104" s="3">
        <f>IF(AND(D104&lt;&gt;"",F104&lt;&gt;""),F104-D104-G104,"")</f>
        <v/>
      </c>
      <c r="I104" s="14">
        <f>IF(E104&lt;&gt;"", YEARFRAC(C104, E104) * 12, "")</f>
        <v/>
      </c>
      <c r="J104" s="2">
        <f>IF(I104="", "", IF(OR(AND(A104="Listed Equity Shares", I104&gt;12), AND(A104="Unlisted Equity Shares", I104&gt;24)), "Long Term", "Short Term"))</f>
        <v/>
      </c>
      <c r="K104" s="5">
        <f>IF(J104="", "", IF(J104="Long Term", 12.5%,"as per slab"))</f>
        <v/>
      </c>
      <c r="L104" s="3">
        <f>+IFERROR(IF(J104="","",H104*K104),"as per slab")</f>
        <v/>
      </c>
    </row>
    <row r="105">
      <c r="A105" s="7" t="n"/>
      <c r="B105" s="7" t="n"/>
      <c r="C105" s="8" t="n"/>
      <c r="D105" s="9" t="n"/>
      <c r="E105" s="8" t="n"/>
      <c r="F105" s="9" t="n"/>
      <c r="G105" s="9" t="n"/>
      <c r="H105" s="3">
        <f>IF(AND(D105&lt;&gt;"",F105&lt;&gt;""),F105-D105-G105,"")</f>
        <v/>
      </c>
      <c r="I105" s="14">
        <f>IF(E105&lt;&gt;"", YEARFRAC(C105, E105) * 12, "")</f>
        <v/>
      </c>
      <c r="J105" s="2">
        <f>IF(I105="", "", IF(OR(AND(A105="Listed Equity Shares", I105&gt;12), AND(A105="Unlisted Equity Shares", I105&gt;24)), "Long Term", "Short Term"))</f>
        <v/>
      </c>
      <c r="K105" s="5">
        <f>IF(J105="", "", IF(J105="Long Term", 12.5%,"as per slab"))</f>
        <v/>
      </c>
      <c r="L105" s="3">
        <f>+IFERROR(IF(J105="","",H105*K105),"as per slab")</f>
        <v/>
      </c>
    </row>
    <row r="106">
      <c r="A106" s="7" t="n"/>
      <c r="B106" s="7" t="n"/>
      <c r="C106" s="8" t="n"/>
      <c r="D106" s="9" t="n"/>
      <c r="E106" s="8" t="n"/>
      <c r="F106" s="9" t="n"/>
      <c r="G106" s="9" t="n"/>
      <c r="H106" s="3">
        <f>IF(AND(D106&lt;&gt;"",F106&lt;&gt;""),F106-D106-G106,"")</f>
        <v/>
      </c>
      <c r="I106" s="14">
        <f>IF(E106&lt;&gt;"", YEARFRAC(C106, E106) * 12, "")</f>
        <v/>
      </c>
      <c r="J106" s="2">
        <f>IF(I106="", "", IF(OR(AND(A106="Listed Equity Shares", I106&gt;12), AND(A106="Unlisted Equity Shares", I106&gt;24)), "Long Term", "Short Term"))</f>
        <v/>
      </c>
      <c r="K106" s="5">
        <f>IF(J106="", "", IF(J106="Long Term", 12.5%,"as per slab"))</f>
        <v/>
      </c>
      <c r="L106" s="3">
        <f>+IFERROR(IF(J106="","",H106*K106),"as per slab")</f>
        <v/>
      </c>
    </row>
    <row r="107">
      <c r="A107" s="7" t="n"/>
      <c r="B107" s="7" t="n"/>
      <c r="C107" s="8" t="n"/>
      <c r="D107" s="9" t="n"/>
      <c r="E107" s="8" t="n"/>
      <c r="F107" s="9" t="n"/>
      <c r="G107" s="9" t="n"/>
      <c r="H107" s="3">
        <f>IF(AND(D107&lt;&gt;"",F107&lt;&gt;""),F107-D107-G107,"")</f>
        <v/>
      </c>
      <c r="I107" s="14">
        <f>IF(E107&lt;&gt;"", YEARFRAC(C107, E107) * 12, "")</f>
        <v/>
      </c>
      <c r="J107" s="2">
        <f>IF(I107="", "", IF(OR(AND(A107="Listed Equity Shares", I107&gt;12), AND(A107="Unlisted Equity Shares", I107&gt;24)), "Long Term", "Short Term"))</f>
        <v/>
      </c>
      <c r="K107" s="5">
        <f>IF(J107="", "", IF(J107="Long Term", 12.5%,"as per slab"))</f>
        <v/>
      </c>
      <c r="L107" s="3">
        <f>+IFERROR(IF(J107="","",H107*K107),"as per slab")</f>
        <v/>
      </c>
    </row>
    <row r="108">
      <c r="A108" s="7" t="n"/>
      <c r="B108" s="7" t="n"/>
      <c r="C108" s="8" t="n"/>
      <c r="D108" s="9" t="n"/>
      <c r="E108" s="8" t="n"/>
      <c r="F108" s="9" t="n"/>
      <c r="G108" s="9" t="n"/>
      <c r="H108" s="3">
        <f>IF(AND(D108&lt;&gt;"",F108&lt;&gt;""),F108-D108-G108,"")</f>
        <v/>
      </c>
      <c r="I108" s="14">
        <f>IF(E108&lt;&gt;"", YEARFRAC(C108, E108) * 12, "")</f>
        <v/>
      </c>
      <c r="J108" s="2">
        <f>IF(I108="", "", IF(OR(AND(A108="Listed Equity Shares", I108&gt;12), AND(A108="Unlisted Equity Shares", I108&gt;24)), "Long Term", "Short Term"))</f>
        <v/>
      </c>
      <c r="K108" s="5">
        <f>IF(J108="", "", IF(J108="Long Term", 12.5%,"as per slab"))</f>
        <v/>
      </c>
      <c r="L108" s="3">
        <f>+IFERROR(IF(J108="","",H108*K108),"as per slab")</f>
        <v/>
      </c>
    </row>
    <row r="109">
      <c r="A109" s="7" t="n"/>
      <c r="B109" s="7" t="n"/>
      <c r="C109" s="8" t="n"/>
      <c r="D109" s="9" t="n"/>
      <c r="E109" s="8" t="n"/>
      <c r="F109" s="9" t="n"/>
      <c r="G109" s="9" t="n"/>
      <c r="H109" s="3">
        <f>IF(AND(D109&lt;&gt;"",F109&lt;&gt;""),F109-D109-G109,"")</f>
        <v/>
      </c>
      <c r="I109" s="14">
        <f>IF(E109&lt;&gt;"", YEARFRAC(C109, E109) * 12, "")</f>
        <v/>
      </c>
      <c r="J109" s="2">
        <f>IF(I109="", "", IF(OR(AND(A109="Listed Equity Shares", I109&gt;12), AND(A109="Unlisted Equity Shares", I109&gt;24)), "Long Term", "Short Term"))</f>
        <v/>
      </c>
      <c r="K109" s="5">
        <f>IF(J109="", "", IF(J109="Long Term", 12.5%,"as per slab"))</f>
        <v/>
      </c>
      <c r="L109" s="3">
        <f>+IFERROR(IF(J109="","",H109*K109),"as per slab")</f>
        <v/>
      </c>
    </row>
    <row r="110">
      <c r="A110" s="7" t="n"/>
      <c r="B110" s="7" t="n"/>
      <c r="C110" s="8" t="n"/>
      <c r="D110" s="9" t="n"/>
      <c r="E110" s="8" t="n"/>
      <c r="F110" s="9" t="n"/>
      <c r="G110" s="9" t="n"/>
      <c r="H110" s="3">
        <f>IF(AND(D110&lt;&gt;"",F110&lt;&gt;""),F110-D110-G110,"")</f>
        <v/>
      </c>
      <c r="I110" s="14">
        <f>IF(E110&lt;&gt;"", YEARFRAC(C110, E110) * 12, "")</f>
        <v/>
      </c>
      <c r="J110" s="2">
        <f>IF(I110="", "", IF(OR(AND(A110="Listed Equity Shares", I110&gt;12), AND(A110="Unlisted Equity Shares", I110&gt;24)), "Long Term", "Short Term"))</f>
        <v/>
      </c>
      <c r="K110" s="5">
        <f>IF(J110="", "", IF(J110="Long Term", 12.5%,"as per slab"))</f>
        <v/>
      </c>
      <c r="L110" s="3">
        <f>+IFERROR(IF(J110="","",H110*K110),"as per slab")</f>
        <v/>
      </c>
    </row>
    <row r="111">
      <c r="A111" s="7" t="n"/>
      <c r="B111" s="7" t="n"/>
      <c r="C111" s="8" t="n"/>
      <c r="D111" s="9" t="n"/>
      <c r="E111" s="8" t="n"/>
      <c r="F111" s="9" t="n"/>
      <c r="G111" s="9" t="n"/>
      <c r="H111" s="3">
        <f>IF(AND(D111&lt;&gt;"",F111&lt;&gt;""),F111-D111-G111,"")</f>
        <v/>
      </c>
      <c r="I111" s="14">
        <f>IF(E111&lt;&gt;"", YEARFRAC(C111, E111) * 12, "")</f>
        <v/>
      </c>
      <c r="J111" s="2">
        <f>IF(I111="", "", IF(OR(AND(A111="Listed Equity Shares", I111&gt;12), AND(A111="Unlisted Equity Shares", I111&gt;24)), "Long Term", "Short Term"))</f>
        <v/>
      </c>
      <c r="K111" s="5">
        <f>IF(J111="", "", IF(J111="Long Term", 12.5%,"as per slab"))</f>
        <v/>
      </c>
      <c r="L111" s="3">
        <f>+IFERROR(IF(J111="","",H111*K111),"as per slab")</f>
        <v/>
      </c>
    </row>
    <row r="112">
      <c r="A112" s="7" t="n"/>
      <c r="B112" s="7" t="n"/>
      <c r="C112" s="8" t="n"/>
      <c r="D112" s="9" t="n"/>
      <c r="E112" s="8" t="n"/>
      <c r="F112" s="9" t="n"/>
      <c r="G112" s="9" t="n"/>
      <c r="H112" s="3">
        <f>IF(AND(D112&lt;&gt;"",F112&lt;&gt;""),F112-D112-G112,"")</f>
        <v/>
      </c>
      <c r="I112" s="14">
        <f>IF(E112&lt;&gt;"", YEARFRAC(C112, E112) * 12, "")</f>
        <v/>
      </c>
      <c r="J112" s="2">
        <f>IF(I112="", "", IF(OR(AND(A112="Listed Equity Shares", I112&gt;12), AND(A112="Unlisted Equity Shares", I112&gt;24)), "Long Term", "Short Term"))</f>
        <v/>
      </c>
      <c r="K112" s="5">
        <f>IF(J112="", "", IF(J112="Long Term", 12.5%,"as per slab"))</f>
        <v/>
      </c>
      <c r="L112" s="3">
        <f>+IFERROR(IF(J112="","",H112*K112),"as per slab")</f>
        <v/>
      </c>
    </row>
    <row r="113">
      <c r="A113" s="7" t="n"/>
      <c r="B113" s="7" t="n"/>
      <c r="C113" s="8" t="n"/>
      <c r="D113" s="9" t="n"/>
      <c r="E113" s="8" t="n"/>
      <c r="F113" s="9" t="n"/>
      <c r="G113" s="9" t="n"/>
      <c r="H113" s="3">
        <f>IF(AND(D113&lt;&gt;"",F113&lt;&gt;""),F113-D113-G113,"")</f>
        <v/>
      </c>
      <c r="I113" s="14">
        <f>IF(E113&lt;&gt;"", YEARFRAC(C113, E113) * 12, "")</f>
        <v/>
      </c>
      <c r="J113" s="2">
        <f>IF(I113="", "", IF(OR(AND(A113="Listed Equity Shares", I113&gt;12), AND(A113="Unlisted Equity Shares", I113&gt;24)), "Long Term", "Short Term"))</f>
        <v/>
      </c>
      <c r="K113" s="5">
        <f>IF(J113="", "", IF(J113="Long Term", 12.5%,"as per slab"))</f>
        <v/>
      </c>
      <c r="L113" s="3">
        <f>+IFERROR(IF(J113="","",H113*K113),"as per slab")</f>
        <v/>
      </c>
    </row>
    <row r="114">
      <c r="A114" s="7" t="n"/>
      <c r="B114" s="7" t="n"/>
      <c r="C114" s="8" t="n"/>
      <c r="D114" s="9" t="n"/>
      <c r="E114" s="8" t="n"/>
      <c r="F114" s="9" t="n"/>
      <c r="G114" s="9" t="n"/>
      <c r="H114" s="3">
        <f>IF(AND(D114&lt;&gt;"",F114&lt;&gt;""),F114-D114-G114,"")</f>
        <v/>
      </c>
      <c r="I114" s="14">
        <f>IF(E114&lt;&gt;"", YEARFRAC(C114, E114) * 12, "")</f>
        <v/>
      </c>
      <c r="J114" s="2">
        <f>IF(I114="", "", IF(OR(AND(A114="Listed Equity Shares", I114&gt;12), AND(A114="Unlisted Equity Shares", I114&gt;24)), "Long Term", "Short Term"))</f>
        <v/>
      </c>
      <c r="K114" s="5">
        <f>IF(J114="", "", IF(J114="Long Term", 12.5%,"as per slab"))</f>
        <v/>
      </c>
      <c r="L114" s="3">
        <f>+IFERROR(IF(J114="","",H114*K114),"as per slab")</f>
        <v/>
      </c>
    </row>
    <row r="115">
      <c r="A115" s="7" t="n"/>
      <c r="B115" s="7" t="n"/>
      <c r="C115" s="8" t="n"/>
      <c r="D115" s="9" t="n"/>
      <c r="E115" s="8" t="n"/>
      <c r="F115" s="9" t="n"/>
      <c r="G115" s="9" t="n"/>
      <c r="H115" s="3">
        <f>IF(AND(D115&lt;&gt;"",F115&lt;&gt;""),F115-D115-G115,"")</f>
        <v/>
      </c>
      <c r="I115" s="14">
        <f>IF(E115&lt;&gt;"", YEARFRAC(C115, E115) * 12, "")</f>
        <v/>
      </c>
      <c r="J115" s="2">
        <f>IF(I115="", "", IF(OR(AND(A115="Listed Equity Shares", I115&gt;12), AND(A115="Unlisted Equity Shares", I115&gt;24)), "Long Term", "Short Term"))</f>
        <v/>
      </c>
      <c r="K115" s="5">
        <f>IF(J115="", "", IF(J115="Long Term", 12.5%,"as per slab"))</f>
        <v/>
      </c>
      <c r="L115" s="3">
        <f>+IFERROR(IF(J115="","",H115*K115),"as per slab")</f>
        <v/>
      </c>
    </row>
    <row r="116">
      <c r="A116" s="7" t="n"/>
      <c r="B116" s="7" t="n"/>
      <c r="C116" s="8" t="n"/>
      <c r="D116" s="9" t="n"/>
      <c r="E116" s="8" t="n"/>
      <c r="F116" s="9" t="n"/>
      <c r="G116" s="9" t="n"/>
      <c r="H116" s="3">
        <f>IF(AND(D116&lt;&gt;"",F116&lt;&gt;""),F116-D116-G116,"")</f>
        <v/>
      </c>
      <c r="I116" s="14">
        <f>IF(E116&lt;&gt;"", YEARFRAC(C116, E116) * 12, "")</f>
        <v/>
      </c>
      <c r="J116" s="2">
        <f>IF(I116="", "", IF(OR(AND(A116="Listed Equity Shares", I116&gt;12), AND(A116="Unlisted Equity Shares", I116&gt;24)), "Long Term", "Short Term"))</f>
        <v/>
      </c>
      <c r="K116" s="5">
        <f>IF(J116="", "", IF(J116="Long Term", 12.5%,"as per slab"))</f>
        <v/>
      </c>
      <c r="L116" s="3">
        <f>+IFERROR(IF(J116="","",H116*K116),"as per slab")</f>
        <v/>
      </c>
    </row>
    <row r="117">
      <c r="A117" s="7" t="n"/>
      <c r="B117" s="7" t="n"/>
      <c r="C117" s="8" t="n"/>
      <c r="D117" s="9" t="n"/>
      <c r="E117" s="8" t="n"/>
      <c r="F117" s="9" t="n"/>
      <c r="G117" s="9" t="n"/>
      <c r="H117" s="3">
        <f>IF(AND(D117&lt;&gt;"",F117&lt;&gt;""),F117-D117-G117,"")</f>
        <v/>
      </c>
      <c r="I117" s="14">
        <f>IF(E117&lt;&gt;"", YEARFRAC(C117, E117) * 12, "")</f>
        <v/>
      </c>
      <c r="J117" s="2">
        <f>IF(I117="", "", IF(OR(AND(A117="Listed Equity Shares", I117&gt;12), AND(A117="Unlisted Equity Shares", I117&gt;24)), "Long Term", "Short Term"))</f>
        <v/>
      </c>
      <c r="K117" s="5">
        <f>IF(J117="", "", IF(J117="Long Term", 12.5%,"as per slab"))</f>
        <v/>
      </c>
      <c r="L117" s="3">
        <f>+IFERROR(IF(J117="","",H117*K117),"as per slab")</f>
        <v/>
      </c>
    </row>
    <row r="118">
      <c r="A118" s="7" t="n"/>
      <c r="B118" s="7" t="n"/>
      <c r="C118" s="8" t="n"/>
      <c r="D118" s="9" t="n"/>
      <c r="E118" s="8" t="n"/>
      <c r="F118" s="9" t="n"/>
      <c r="G118" s="9" t="n"/>
      <c r="H118" s="3">
        <f>IF(AND(D118&lt;&gt;"",F118&lt;&gt;""),F118-D118-G118,"")</f>
        <v/>
      </c>
      <c r="I118" s="14">
        <f>IF(E118&lt;&gt;"", YEARFRAC(C118, E118) * 12, "")</f>
        <v/>
      </c>
      <c r="J118" s="2">
        <f>IF(I118="", "", IF(OR(AND(A118="Listed Equity Shares", I118&gt;12), AND(A118="Unlisted Equity Shares", I118&gt;24)), "Long Term", "Short Term"))</f>
        <v/>
      </c>
      <c r="K118" s="5">
        <f>IF(J118="", "", IF(J118="Long Term", 12.5%,"as per slab"))</f>
        <v/>
      </c>
      <c r="L118" s="3">
        <f>+IFERROR(IF(J118="","",H118*K118),"as per slab")</f>
        <v/>
      </c>
    </row>
    <row r="119">
      <c r="A119" s="7" t="n"/>
      <c r="B119" s="7" t="n"/>
      <c r="C119" s="8" t="n"/>
      <c r="D119" s="9" t="n"/>
      <c r="E119" s="8" t="n"/>
      <c r="F119" s="9" t="n"/>
      <c r="G119" s="9" t="n"/>
      <c r="H119" s="3">
        <f>IF(AND(D119&lt;&gt;"",F119&lt;&gt;""),F119-D119-G119,"")</f>
        <v/>
      </c>
      <c r="I119" s="14">
        <f>IF(E119&lt;&gt;"", YEARFRAC(C119, E119) * 12, "")</f>
        <v/>
      </c>
      <c r="J119" s="2">
        <f>IF(I119="", "", IF(OR(AND(A119="Listed Equity Shares", I119&gt;12), AND(A119="Unlisted Equity Shares", I119&gt;24)), "Long Term", "Short Term"))</f>
        <v/>
      </c>
      <c r="K119" s="5">
        <f>IF(J119="", "", IF(J119="Long Term", 12.5%,"as per slab"))</f>
        <v/>
      </c>
      <c r="L119" s="3">
        <f>+IFERROR(IF(J119="","",H119*K119),"as per slab")</f>
        <v/>
      </c>
    </row>
    <row r="120">
      <c r="A120" s="7" t="n"/>
      <c r="B120" s="7" t="n"/>
      <c r="C120" s="8" t="n"/>
      <c r="D120" s="9" t="n"/>
      <c r="E120" s="8" t="n"/>
      <c r="F120" s="9" t="n"/>
      <c r="G120" s="9" t="n"/>
      <c r="H120" s="3">
        <f>IF(AND(D120&lt;&gt;"",F120&lt;&gt;""),F120-D120-G120,"")</f>
        <v/>
      </c>
      <c r="I120" s="14">
        <f>IF(E120&lt;&gt;"", YEARFRAC(C120, E120) * 12, "")</f>
        <v/>
      </c>
      <c r="J120" s="2">
        <f>IF(I120="", "", IF(OR(AND(A120="Listed Equity Shares", I120&gt;12), AND(A120="Unlisted Equity Shares", I120&gt;24)), "Long Term", "Short Term"))</f>
        <v/>
      </c>
      <c r="K120" s="5">
        <f>IF(J120="", "", IF(J120="Long Term", 12.5%,"as per slab"))</f>
        <v/>
      </c>
      <c r="L120" s="3">
        <f>+IFERROR(IF(J120="","",H120*K120),"as per slab")</f>
        <v/>
      </c>
    </row>
    <row r="121">
      <c r="A121" s="7" t="n"/>
      <c r="B121" s="7" t="n"/>
      <c r="C121" s="8" t="n"/>
      <c r="D121" s="9" t="n"/>
      <c r="E121" s="8" t="n"/>
      <c r="F121" s="9" t="n"/>
      <c r="G121" s="9" t="n"/>
      <c r="H121" s="3">
        <f>IF(AND(D121&lt;&gt;"",F121&lt;&gt;""),F121-D121-G121,"")</f>
        <v/>
      </c>
      <c r="I121" s="14">
        <f>IF(E121&lt;&gt;"", YEARFRAC(C121, E121) * 12, "")</f>
        <v/>
      </c>
      <c r="J121" s="2">
        <f>IF(I121="", "", IF(OR(AND(A121="Listed Equity Shares", I121&gt;12), AND(A121="Unlisted Equity Shares", I121&gt;24)), "Long Term", "Short Term"))</f>
        <v/>
      </c>
      <c r="K121" s="5">
        <f>IF(J121="", "", IF(J121="Long Term", 12.5%,"as per slab"))</f>
        <v/>
      </c>
      <c r="L121" s="3">
        <f>+IFERROR(IF(J121="","",H121*K121),"as per slab")</f>
        <v/>
      </c>
    </row>
    <row r="122">
      <c r="A122" s="7" t="n"/>
      <c r="B122" s="7" t="n"/>
      <c r="C122" s="8" t="n"/>
      <c r="D122" s="9" t="n"/>
      <c r="E122" s="8" t="n"/>
      <c r="F122" s="9" t="n"/>
      <c r="G122" s="9" t="n"/>
      <c r="H122" s="3">
        <f>IF(AND(D122&lt;&gt;"",F122&lt;&gt;""),F122-D122-G122,"")</f>
        <v/>
      </c>
      <c r="I122" s="14">
        <f>IF(E122&lt;&gt;"", YEARFRAC(C122, E122) * 12, "")</f>
        <v/>
      </c>
      <c r="J122" s="2">
        <f>IF(I122="", "", IF(OR(AND(A122="Listed Equity Shares", I122&gt;12), AND(A122="Unlisted Equity Shares", I122&gt;24)), "Long Term", "Short Term"))</f>
        <v/>
      </c>
      <c r="K122" s="5">
        <f>IF(J122="", "", IF(J122="Long Term", 12.5%,"as per slab"))</f>
        <v/>
      </c>
      <c r="L122" s="3">
        <f>+IFERROR(IF(J122="","",H122*K122),"as per slab")</f>
        <v/>
      </c>
    </row>
    <row r="123">
      <c r="A123" s="7" t="n"/>
      <c r="B123" s="7" t="n"/>
      <c r="C123" s="8" t="n"/>
      <c r="D123" s="9" t="n"/>
      <c r="E123" s="8" t="n"/>
      <c r="F123" s="9" t="n"/>
      <c r="G123" s="9" t="n"/>
      <c r="H123" s="3">
        <f>IF(AND(D123&lt;&gt;"",F123&lt;&gt;""),F123-D123-G123,"")</f>
        <v/>
      </c>
      <c r="I123" s="14">
        <f>IF(E123&lt;&gt;"", YEARFRAC(C123, E123) * 12, "")</f>
        <v/>
      </c>
      <c r="J123" s="2">
        <f>IF(I123="", "", IF(OR(AND(A123="Listed Equity Shares", I123&gt;12), AND(A123="Unlisted Equity Shares", I123&gt;24)), "Long Term", "Short Term"))</f>
        <v/>
      </c>
      <c r="K123" s="5">
        <f>IF(J123="", "", IF(J123="Long Term", 12.5%,"as per slab"))</f>
        <v/>
      </c>
      <c r="L123" s="3">
        <f>+IFERROR(IF(J123="","",H123*K123),"as per slab")</f>
        <v/>
      </c>
    </row>
    <row r="124">
      <c r="A124" s="7" t="n"/>
      <c r="B124" s="7" t="n"/>
      <c r="C124" s="8" t="n"/>
      <c r="D124" s="9" t="n"/>
      <c r="E124" s="8" t="n"/>
      <c r="F124" s="9" t="n"/>
      <c r="G124" s="9" t="n"/>
      <c r="H124" s="3">
        <f>IF(AND(D124&lt;&gt;"",F124&lt;&gt;""),F124-D124-G124,"")</f>
        <v/>
      </c>
      <c r="I124" s="14">
        <f>IF(E124&lt;&gt;"", YEARFRAC(C124, E124) * 12, "")</f>
        <v/>
      </c>
      <c r="J124" s="2">
        <f>IF(I124="", "", IF(OR(AND(A124="Listed Equity Shares", I124&gt;12), AND(A124="Unlisted Equity Shares", I124&gt;24)), "Long Term", "Short Term"))</f>
        <v/>
      </c>
      <c r="K124" s="5">
        <f>IF(J124="", "", IF(J124="Long Term", 12.5%,"as per slab"))</f>
        <v/>
      </c>
      <c r="L124" s="3">
        <f>+IFERROR(IF(J124="","",H124*K124),"as per slab")</f>
        <v/>
      </c>
    </row>
    <row r="125">
      <c r="A125" s="7" t="n"/>
      <c r="B125" s="7" t="n"/>
      <c r="C125" s="8" t="n"/>
      <c r="D125" s="9" t="n"/>
      <c r="E125" s="8" t="n"/>
      <c r="F125" s="9" t="n"/>
      <c r="G125" s="9" t="n"/>
      <c r="H125" s="3">
        <f>IF(AND(D125&lt;&gt;"",F125&lt;&gt;""),F125-D125-G125,"")</f>
        <v/>
      </c>
      <c r="I125" s="14">
        <f>IF(E125&lt;&gt;"", YEARFRAC(C125, E125) * 12, "")</f>
        <v/>
      </c>
      <c r="J125" s="2">
        <f>IF(I125="", "", IF(OR(AND(A125="Listed Equity Shares", I125&gt;12), AND(A125="Unlisted Equity Shares", I125&gt;24)), "Long Term", "Short Term"))</f>
        <v/>
      </c>
      <c r="K125" s="5">
        <f>IF(J125="", "", IF(J125="Long Term", 12.5%,"as per slab"))</f>
        <v/>
      </c>
      <c r="L125" s="3">
        <f>+IFERROR(IF(J125="","",H125*K125),"as per slab")</f>
        <v/>
      </c>
    </row>
    <row r="126">
      <c r="A126" s="7" t="n"/>
      <c r="B126" s="7" t="n"/>
      <c r="C126" s="8" t="n"/>
      <c r="D126" s="9" t="n"/>
      <c r="E126" s="8" t="n"/>
      <c r="F126" s="9" t="n"/>
      <c r="G126" s="9" t="n"/>
      <c r="H126" s="3">
        <f>IF(AND(D126&lt;&gt;"",F126&lt;&gt;""),F126-D126-G126,"")</f>
        <v/>
      </c>
      <c r="I126" s="14">
        <f>IF(E126&lt;&gt;"", YEARFRAC(C126, E126) * 12, "")</f>
        <v/>
      </c>
      <c r="J126" s="2">
        <f>IF(I126="", "", IF(OR(AND(A126="Listed Equity Shares", I126&gt;12), AND(A126="Unlisted Equity Shares", I126&gt;24)), "Long Term", "Short Term"))</f>
        <v/>
      </c>
      <c r="K126" s="5">
        <f>IF(J126="", "", IF(J126="Long Term", 12.5%,"as per slab"))</f>
        <v/>
      </c>
      <c r="L126" s="3">
        <f>+IFERROR(IF(J126="","",H126*K126),"as per slab")</f>
        <v/>
      </c>
    </row>
    <row r="127">
      <c r="A127" s="7" t="n"/>
      <c r="B127" s="7" t="n"/>
      <c r="C127" s="8" t="n"/>
      <c r="D127" s="9" t="n"/>
      <c r="E127" s="8" t="n"/>
      <c r="F127" s="9" t="n"/>
      <c r="G127" s="9" t="n"/>
      <c r="H127" s="3">
        <f>IF(AND(D127&lt;&gt;"",F127&lt;&gt;""),F127-D127-G127,"")</f>
        <v/>
      </c>
      <c r="I127" s="14">
        <f>IF(E127&lt;&gt;"", YEARFRAC(C127, E127) * 12, "")</f>
        <v/>
      </c>
      <c r="J127" s="2">
        <f>IF(I127="", "", IF(OR(AND(A127="Listed Equity Shares", I127&gt;12), AND(A127="Unlisted Equity Shares", I127&gt;24)), "Long Term", "Short Term"))</f>
        <v/>
      </c>
      <c r="K127" s="5">
        <f>IF(J127="", "", IF(J127="Long Term", 12.5%,"as per slab"))</f>
        <v/>
      </c>
      <c r="L127" s="3">
        <f>+IFERROR(IF(J127="","",H127*K127),"as per slab")</f>
        <v/>
      </c>
    </row>
    <row r="128">
      <c r="A128" s="7" t="n"/>
      <c r="B128" s="7" t="n"/>
      <c r="C128" s="8" t="n"/>
      <c r="D128" s="9" t="n"/>
      <c r="E128" s="8" t="n"/>
      <c r="F128" s="9" t="n"/>
      <c r="G128" s="9" t="n"/>
      <c r="H128" s="3">
        <f>IF(AND(D128&lt;&gt;"",F128&lt;&gt;""),F128-D128-G128,"")</f>
        <v/>
      </c>
      <c r="I128" s="14">
        <f>IF(E128&lt;&gt;"", YEARFRAC(C128, E128) * 12, "")</f>
        <v/>
      </c>
      <c r="J128" s="2">
        <f>IF(I128="", "", IF(OR(AND(A128="Listed Equity Shares", I128&gt;12), AND(A128="Unlisted Equity Shares", I128&gt;24)), "Long Term", "Short Term"))</f>
        <v/>
      </c>
      <c r="K128" s="5">
        <f>IF(J128="", "", IF(J128="Long Term", 12.5%,"as per slab"))</f>
        <v/>
      </c>
      <c r="L128" s="3">
        <f>+IFERROR(IF(J128="","",H128*K128),"as per slab")</f>
        <v/>
      </c>
    </row>
    <row r="129">
      <c r="A129" s="7" t="n"/>
      <c r="B129" s="7" t="n"/>
      <c r="C129" s="8" t="n"/>
      <c r="D129" s="9" t="n"/>
      <c r="E129" s="8" t="n"/>
      <c r="F129" s="9" t="n"/>
      <c r="G129" s="9" t="n"/>
      <c r="H129" s="3">
        <f>IF(AND(D129&lt;&gt;"",F129&lt;&gt;""),F129-D129-G129,"")</f>
        <v/>
      </c>
      <c r="I129" s="14">
        <f>IF(E129&lt;&gt;"", YEARFRAC(C129, E129) * 12, "")</f>
        <v/>
      </c>
      <c r="J129" s="2">
        <f>IF(I129="", "", IF(OR(AND(A129="Listed Equity Shares", I129&gt;12), AND(A129="Unlisted Equity Shares", I129&gt;24)), "Long Term", "Short Term"))</f>
        <v/>
      </c>
      <c r="K129" s="5">
        <f>IF(J129="", "", IF(J129="Long Term", 12.5%,"as per slab"))</f>
        <v/>
      </c>
      <c r="L129" s="3">
        <f>+IFERROR(IF(J129="","",H129*K129),"as per slab")</f>
        <v/>
      </c>
    </row>
    <row r="130">
      <c r="A130" s="7" t="n"/>
      <c r="B130" s="7" t="n"/>
      <c r="C130" s="8" t="n"/>
      <c r="D130" s="9" t="n"/>
      <c r="E130" s="8" t="n"/>
      <c r="F130" s="9" t="n"/>
      <c r="G130" s="9" t="n"/>
      <c r="H130" s="3">
        <f>IF(AND(D130&lt;&gt;"",F130&lt;&gt;""),F130-D130-G130,"")</f>
        <v/>
      </c>
      <c r="I130" s="14">
        <f>IF(E130&lt;&gt;"", YEARFRAC(C130, E130) * 12, "")</f>
        <v/>
      </c>
      <c r="J130" s="2">
        <f>IF(I130="", "", IF(OR(AND(A130="Listed Equity Shares", I130&gt;12), AND(A130="Unlisted Equity Shares", I130&gt;24)), "Long Term", "Short Term"))</f>
        <v/>
      </c>
      <c r="K130" s="5">
        <f>IF(J130="", "", IF(J130="Long Term", 12.5%,"as per slab"))</f>
        <v/>
      </c>
      <c r="L130" s="3">
        <f>+IFERROR(IF(J130="","",H130*K130),"as per slab")</f>
        <v/>
      </c>
    </row>
    <row r="131">
      <c r="A131" s="7" t="n"/>
      <c r="B131" s="7" t="n"/>
      <c r="C131" s="8" t="n"/>
      <c r="D131" s="9" t="n"/>
      <c r="E131" s="8" t="n"/>
      <c r="F131" s="9" t="n"/>
      <c r="G131" s="9" t="n"/>
      <c r="H131" s="3">
        <f>IF(AND(D131&lt;&gt;"",F131&lt;&gt;""),F131-D131-G131,"")</f>
        <v/>
      </c>
      <c r="I131" s="14">
        <f>IF(E131&lt;&gt;"", YEARFRAC(C131, E131) * 12, "")</f>
        <v/>
      </c>
      <c r="J131" s="2">
        <f>IF(I131="", "", IF(OR(AND(A131="Listed Equity Shares", I131&gt;12), AND(A131="Unlisted Equity Shares", I131&gt;24)), "Long Term", "Short Term"))</f>
        <v/>
      </c>
      <c r="K131" s="5">
        <f>IF(J131="", "", IF(J131="Long Term", 12.5%,"as per slab"))</f>
        <v/>
      </c>
      <c r="L131" s="3">
        <f>+IFERROR(IF(J131="","",H131*K131),"as per slab")</f>
        <v/>
      </c>
    </row>
    <row r="132">
      <c r="A132" s="7" t="n"/>
      <c r="B132" s="7" t="n"/>
      <c r="C132" s="8" t="n"/>
      <c r="D132" s="9" t="n"/>
      <c r="E132" s="8" t="n"/>
      <c r="F132" s="9" t="n"/>
      <c r="G132" s="9" t="n"/>
      <c r="H132" s="3">
        <f>IF(AND(D132&lt;&gt;"",F132&lt;&gt;""),F132-D132-G132,"")</f>
        <v/>
      </c>
      <c r="I132" s="14">
        <f>IF(E132&lt;&gt;"", YEARFRAC(C132, E132) * 12, "")</f>
        <v/>
      </c>
      <c r="J132" s="2">
        <f>IF(I132="", "", IF(OR(AND(A132="Listed Equity Shares", I132&gt;12), AND(A132="Unlisted Equity Shares", I132&gt;24)), "Long Term", "Short Term"))</f>
        <v/>
      </c>
      <c r="K132" s="5">
        <f>IF(J132="", "", IF(J132="Long Term", 12.5%,"as per slab"))</f>
        <v/>
      </c>
      <c r="L132" s="3">
        <f>+IFERROR(IF(J132="","",H132*K132),"as per slab")</f>
        <v/>
      </c>
    </row>
    <row r="133">
      <c r="A133" s="7" t="n"/>
      <c r="B133" s="7" t="n"/>
      <c r="C133" s="8" t="n"/>
      <c r="D133" s="9" t="n"/>
      <c r="E133" s="8" t="n"/>
      <c r="F133" s="9" t="n"/>
      <c r="G133" s="9" t="n"/>
      <c r="H133" s="3">
        <f>IF(AND(D133&lt;&gt;"",F133&lt;&gt;""),F133-D133-G133,"")</f>
        <v/>
      </c>
      <c r="I133" s="14">
        <f>IF(E133&lt;&gt;"", YEARFRAC(C133, E133) * 12, "")</f>
        <v/>
      </c>
      <c r="J133" s="2">
        <f>IF(I133="", "", IF(OR(AND(A133="Listed Equity Shares", I133&gt;12), AND(A133="Unlisted Equity Shares", I133&gt;24)), "Long Term", "Short Term"))</f>
        <v/>
      </c>
      <c r="K133" s="5">
        <f>IF(J133="", "", IF(J133="Long Term", 12.5%,"as per slab"))</f>
        <v/>
      </c>
      <c r="L133" s="3">
        <f>+IFERROR(IF(J133="","",H133*K133),"as per slab")</f>
        <v/>
      </c>
    </row>
    <row r="134">
      <c r="A134" s="7" t="n"/>
      <c r="B134" s="7" t="n"/>
      <c r="C134" s="8" t="n"/>
      <c r="D134" s="9" t="n"/>
      <c r="E134" s="8" t="n"/>
      <c r="F134" s="9" t="n"/>
      <c r="G134" s="9" t="n"/>
      <c r="H134" s="3">
        <f>IF(AND(D134&lt;&gt;"",F134&lt;&gt;""),F134-D134-G134,"")</f>
        <v/>
      </c>
      <c r="I134" s="14">
        <f>IF(E134&lt;&gt;"", YEARFRAC(C134, E134) * 12, "")</f>
        <v/>
      </c>
      <c r="J134" s="2">
        <f>IF(I134="", "", IF(OR(AND(A134="Listed Equity Shares", I134&gt;12), AND(A134="Unlisted Equity Shares", I134&gt;24)), "Long Term", "Short Term"))</f>
        <v/>
      </c>
      <c r="K134" s="5">
        <f>IF(J134="", "", IF(J134="Long Term", 12.5%,"as per slab"))</f>
        <v/>
      </c>
      <c r="L134" s="3">
        <f>+IFERROR(IF(J134="","",H134*K134),"as per slab")</f>
        <v/>
      </c>
    </row>
    <row r="135">
      <c r="A135" s="7" t="n"/>
      <c r="B135" s="7" t="n"/>
      <c r="C135" s="8" t="n"/>
      <c r="D135" s="9" t="n"/>
      <c r="E135" s="8" t="n"/>
      <c r="F135" s="9" t="n"/>
      <c r="G135" s="9" t="n"/>
      <c r="H135" s="3">
        <f>IF(AND(D135&lt;&gt;"",F135&lt;&gt;""),F135-D135-G135,"")</f>
        <v/>
      </c>
      <c r="I135" s="14">
        <f>IF(E135&lt;&gt;"", YEARFRAC(C135, E135) * 12, "")</f>
        <v/>
      </c>
      <c r="J135" s="2">
        <f>IF(I135="", "", IF(OR(AND(A135="Listed Equity Shares", I135&gt;12), AND(A135="Unlisted Equity Shares", I135&gt;24)), "Long Term", "Short Term"))</f>
        <v/>
      </c>
      <c r="K135" s="5">
        <f>IF(J135="", "", IF(J135="Long Term", 12.5%,"as per slab"))</f>
        <v/>
      </c>
      <c r="L135" s="3">
        <f>+IFERROR(IF(J135="","",H135*K135),"as per slab")</f>
        <v/>
      </c>
    </row>
    <row r="136">
      <c r="A136" s="7" t="n"/>
      <c r="B136" s="7" t="n"/>
      <c r="C136" s="8" t="n"/>
      <c r="D136" s="9" t="n"/>
      <c r="E136" s="8" t="n"/>
      <c r="F136" s="9" t="n"/>
      <c r="G136" s="9" t="n"/>
      <c r="H136" s="3">
        <f>IF(AND(D136&lt;&gt;"",F136&lt;&gt;""),F136-D136-G136,"")</f>
        <v/>
      </c>
      <c r="I136" s="14">
        <f>IF(E136&lt;&gt;"", YEARFRAC(C136, E136) * 12, "")</f>
        <v/>
      </c>
      <c r="J136" s="2">
        <f>IF(I136="", "", IF(OR(AND(A136="Listed Equity Shares", I136&gt;12), AND(A136="Unlisted Equity Shares", I136&gt;24)), "Long Term", "Short Term"))</f>
        <v/>
      </c>
      <c r="K136" s="5">
        <f>IF(J136="", "", IF(J136="Long Term", 12.5%,"as per slab"))</f>
        <v/>
      </c>
      <c r="L136" s="3">
        <f>+IFERROR(IF(J136="","",H136*K136),"as per slab")</f>
        <v/>
      </c>
    </row>
    <row r="137">
      <c r="A137" s="7" t="n"/>
      <c r="B137" s="7" t="n"/>
      <c r="C137" s="8" t="n"/>
      <c r="D137" s="9" t="n"/>
      <c r="E137" s="8" t="n"/>
      <c r="F137" s="9" t="n"/>
      <c r="G137" s="9" t="n"/>
      <c r="H137" s="3">
        <f>IF(AND(D137&lt;&gt;"",F137&lt;&gt;""),F137-D137-G137,"")</f>
        <v/>
      </c>
      <c r="I137" s="14">
        <f>IF(E137&lt;&gt;"", YEARFRAC(C137, E137) * 12, "")</f>
        <v/>
      </c>
      <c r="J137" s="2">
        <f>IF(I137="", "", IF(OR(AND(A137="Listed Equity Shares", I137&gt;12), AND(A137="Unlisted Equity Shares", I137&gt;24)), "Long Term", "Short Term"))</f>
        <v/>
      </c>
      <c r="K137" s="5">
        <f>IF(J137="", "", IF(J137="Long Term", 12.5%,"as per slab"))</f>
        <v/>
      </c>
      <c r="L137" s="3">
        <f>+IFERROR(IF(J137="","",H137*K137),"as per slab")</f>
        <v/>
      </c>
    </row>
    <row r="138">
      <c r="A138" s="7" t="n"/>
      <c r="B138" s="7" t="n"/>
      <c r="C138" s="8" t="n"/>
      <c r="D138" s="9" t="n"/>
      <c r="E138" s="8" t="n"/>
      <c r="F138" s="9" t="n"/>
      <c r="G138" s="9" t="n"/>
      <c r="H138" s="3">
        <f>IF(AND(D138&lt;&gt;"",F138&lt;&gt;""),F138-D138-G138,"")</f>
        <v/>
      </c>
      <c r="I138" s="14">
        <f>IF(E138&lt;&gt;"", YEARFRAC(C138, E138) * 12, "")</f>
        <v/>
      </c>
      <c r="J138" s="2">
        <f>IF(I138="", "", IF(OR(AND(A138="Listed Equity Shares", I138&gt;12), AND(A138="Unlisted Equity Shares", I138&gt;24)), "Long Term", "Short Term"))</f>
        <v/>
      </c>
      <c r="K138" s="5">
        <f>IF(J138="", "", IF(J138="Long Term", 12.5%,"as per slab"))</f>
        <v/>
      </c>
      <c r="L138" s="3">
        <f>+IFERROR(IF(J138="","",H138*K138),"as per slab")</f>
        <v/>
      </c>
    </row>
    <row r="139">
      <c r="A139" s="7" t="n"/>
      <c r="B139" s="7" t="n"/>
      <c r="C139" s="8" t="n"/>
      <c r="D139" s="9" t="n"/>
      <c r="E139" s="8" t="n"/>
      <c r="F139" s="9" t="n"/>
      <c r="G139" s="9" t="n"/>
      <c r="H139" s="3">
        <f>IF(AND(D139&lt;&gt;"",F139&lt;&gt;""),F139-D139-G139,"")</f>
        <v/>
      </c>
      <c r="I139" s="14">
        <f>IF(E139&lt;&gt;"", YEARFRAC(C139, E139) * 12, "")</f>
        <v/>
      </c>
      <c r="J139" s="2">
        <f>IF(I139="", "", IF(OR(AND(A139="Listed Equity Shares", I139&gt;12), AND(A139="Unlisted Equity Shares", I139&gt;24)), "Long Term", "Short Term"))</f>
        <v/>
      </c>
      <c r="K139" s="5">
        <f>IF(J139="", "", IF(J139="Long Term", 12.5%,"as per slab"))</f>
        <v/>
      </c>
      <c r="L139" s="3">
        <f>+IFERROR(IF(J139="","",H139*K139),"as per slab")</f>
        <v/>
      </c>
    </row>
    <row r="140">
      <c r="A140" s="7" t="n"/>
      <c r="B140" s="7" t="n"/>
      <c r="C140" s="8" t="n"/>
      <c r="D140" s="9" t="n"/>
      <c r="E140" s="8" t="n"/>
      <c r="F140" s="9" t="n"/>
      <c r="G140" s="9" t="n"/>
      <c r="H140" s="3">
        <f>IF(AND(D140&lt;&gt;"",F140&lt;&gt;""),F140-D140-G140,"")</f>
        <v/>
      </c>
      <c r="I140" s="14">
        <f>IF(E140&lt;&gt;"", YEARFRAC(C140, E140) * 12, "")</f>
        <v/>
      </c>
      <c r="J140" s="2">
        <f>IF(I140="", "", IF(OR(AND(A140="Listed Equity Shares", I140&gt;12), AND(A140="Unlisted Equity Shares", I140&gt;24)), "Long Term", "Short Term"))</f>
        <v/>
      </c>
      <c r="K140" s="5">
        <f>IF(J140="", "", IF(J140="Long Term", 12.5%,"as per slab"))</f>
        <v/>
      </c>
      <c r="L140" s="3">
        <f>+IFERROR(IF(J140="","",H140*K140),"as per slab")</f>
        <v/>
      </c>
    </row>
    <row r="141">
      <c r="A141" s="7" t="n"/>
      <c r="B141" s="7" t="n"/>
      <c r="C141" s="8" t="n"/>
      <c r="D141" s="9" t="n"/>
      <c r="E141" s="8" t="n"/>
      <c r="F141" s="9" t="n"/>
      <c r="G141" s="9" t="n"/>
      <c r="H141" s="3">
        <f>IF(AND(D141&lt;&gt;"",F141&lt;&gt;""),F141-D141-G141,"")</f>
        <v/>
      </c>
      <c r="I141" s="14">
        <f>IF(E141&lt;&gt;"", YEARFRAC(C141, E141) * 12, "")</f>
        <v/>
      </c>
      <c r="J141" s="2">
        <f>IF(I141="", "", IF(OR(AND(A141="Listed Equity Shares", I141&gt;12), AND(A141="Unlisted Equity Shares", I141&gt;24)), "Long Term", "Short Term"))</f>
        <v/>
      </c>
      <c r="K141" s="5">
        <f>IF(J141="", "", IF(J141="Long Term", 12.5%,"as per slab"))</f>
        <v/>
      </c>
      <c r="L141" s="3">
        <f>+IFERROR(IF(J141="","",H141*K141),"as per slab")</f>
        <v/>
      </c>
    </row>
    <row r="142">
      <c r="A142" s="7" t="n"/>
      <c r="B142" s="7" t="n"/>
      <c r="C142" s="8" t="n"/>
      <c r="D142" s="9" t="n"/>
      <c r="E142" s="8" t="n"/>
      <c r="F142" s="9" t="n"/>
      <c r="G142" s="9" t="n"/>
      <c r="H142" s="3">
        <f>IF(AND(D142&lt;&gt;"",F142&lt;&gt;""),F142-D142-G142,"")</f>
        <v/>
      </c>
      <c r="I142" s="14">
        <f>IF(E142&lt;&gt;"", YEARFRAC(C142, E142) * 12, "")</f>
        <v/>
      </c>
      <c r="J142" s="2">
        <f>IF(I142="", "", IF(OR(AND(A142="Listed Equity Shares", I142&gt;12), AND(A142="Unlisted Equity Shares", I142&gt;24)), "Long Term", "Short Term"))</f>
        <v/>
      </c>
      <c r="K142" s="5">
        <f>IF(J142="", "", IF(J142="Long Term", 12.5%,"as per slab"))</f>
        <v/>
      </c>
      <c r="L142" s="3">
        <f>+IFERROR(IF(J142="","",H142*K142),"as per slab")</f>
        <v/>
      </c>
    </row>
    <row r="143">
      <c r="A143" s="7" t="n"/>
      <c r="B143" s="7" t="n"/>
      <c r="C143" s="8" t="n"/>
      <c r="D143" s="9" t="n"/>
      <c r="E143" s="8" t="n"/>
      <c r="F143" s="9" t="n"/>
      <c r="G143" s="9" t="n"/>
      <c r="H143" s="3">
        <f>IF(AND(D143&lt;&gt;"",F143&lt;&gt;""),F143-D143-G143,"")</f>
        <v/>
      </c>
      <c r="I143" s="14">
        <f>IF(E143&lt;&gt;"", YEARFRAC(C143, E143) * 12, "")</f>
        <v/>
      </c>
      <c r="J143" s="2">
        <f>IF(I143="", "", IF(OR(AND(A143="Listed Equity Shares", I143&gt;12), AND(A143="Unlisted Equity Shares", I143&gt;24)), "Long Term", "Short Term"))</f>
        <v/>
      </c>
      <c r="K143" s="5">
        <f>IF(J143="", "", IF(J143="Long Term", 12.5%,"as per slab"))</f>
        <v/>
      </c>
      <c r="L143" s="3">
        <f>+IFERROR(IF(J143="","",H143*K143),"as per slab")</f>
        <v/>
      </c>
    </row>
    <row r="144">
      <c r="A144" s="7" t="n"/>
      <c r="B144" s="7" t="n"/>
      <c r="C144" s="8" t="n"/>
      <c r="D144" s="9" t="n"/>
      <c r="E144" s="8" t="n"/>
      <c r="F144" s="9" t="n"/>
      <c r="G144" s="9" t="n"/>
      <c r="H144" s="3">
        <f>IF(AND(D144&lt;&gt;"",F144&lt;&gt;""),F144-D144-G144,"")</f>
        <v/>
      </c>
      <c r="I144" s="14">
        <f>IF(E144&lt;&gt;"", YEARFRAC(C144, E144) * 12, "")</f>
        <v/>
      </c>
      <c r="J144" s="2">
        <f>IF(I144="", "", IF(OR(AND(A144="Listed Equity Shares", I144&gt;12), AND(A144="Unlisted Equity Shares", I144&gt;24)), "Long Term", "Short Term"))</f>
        <v/>
      </c>
      <c r="K144" s="5">
        <f>IF(J144="", "", IF(J144="Long Term", 12.5%,"as per slab"))</f>
        <v/>
      </c>
      <c r="L144" s="3">
        <f>+IFERROR(IF(J144="","",H144*K144),"as per slab")</f>
        <v/>
      </c>
    </row>
    <row r="145">
      <c r="A145" s="7" t="n"/>
      <c r="B145" s="7" t="n"/>
      <c r="C145" s="8" t="n"/>
      <c r="D145" s="9" t="n"/>
      <c r="E145" s="8" t="n"/>
      <c r="F145" s="9" t="n"/>
      <c r="G145" s="9" t="n"/>
      <c r="H145" s="3">
        <f>IF(AND(D145&lt;&gt;"",F145&lt;&gt;""),F145-D145-G145,"")</f>
        <v/>
      </c>
      <c r="I145" s="14">
        <f>IF(E145&lt;&gt;"", YEARFRAC(C145, E145) * 12, "")</f>
        <v/>
      </c>
      <c r="J145" s="2">
        <f>IF(I145="", "", IF(OR(AND(A145="Listed Equity Shares", I145&gt;12), AND(A145="Unlisted Equity Shares", I145&gt;24)), "Long Term", "Short Term"))</f>
        <v/>
      </c>
      <c r="K145" s="5">
        <f>IF(J145="", "", IF(J145="Long Term", 12.5%,"as per slab"))</f>
        <v/>
      </c>
      <c r="L145" s="3">
        <f>+IFERROR(IF(J145="","",H145*K145),"as per slab")</f>
        <v/>
      </c>
    </row>
    <row r="146">
      <c r="A146" s="7" t="n"/>
      <c r="B146" s="7" t="n"/>
      <c r="C146" s="8" t="n"/>
      <c r="D146" s="9" t="n"/>
      <c r="E146" s="8" t="n"/>
      <c r="F146" s="9" t="n"/>
      <c r="G146" s="9" t="n"/>
      <c r="H146" s="3">
        <f>IF(AND(D146&lt;&gt;"",F146&lt;&gt;""),F146-D146-G146,"")</f>
        <v/>
      </c>
      <c r="I146" s="14">
        <f>IF(E146&lt;&gt;"", YEARFRAC(C146, E146) * 12, "")</f>
        <v/>
      </c>
      <c r="J146" s="2">
        <f>IF(I146="", "", IF(OR(AND(A146="Listed Equity Shares", I146&gt;12), AND(A146="Unlisted Equity Shares", I146&gt;24)), "Long Term", "Short Term"))</f>
        <v/>
      </c>
      <c r="K146" s="5">
        <f>IF(J146="", "", IF(J146="Long Term", 12.5%,"as per slab"))</f>
        <v/>
      </c>
      <c r="L146" s="3">
        <f>+IFERROR(IF(J146="","",H146*K146),"as per slab")</f>
        <v/>
      </c>
    </row>
    <row r="147">
      <c r="A147" s="7" t="n"/>
      <c r="B147" s="7" t="n"/>
      <c r="C147" s="8" t="n"/>
      <c r="D147" s="9" t="n"/>
      <c r="E147" s="8" t="n"/>
      <c r="F147" s="9" t="n"/>
      <c r="G147" s="9" t="n"/>
      <c r="H147" s="3">
        <f>IF(AND(D147&lt;&gt;"",F147&lt;&gt;""),F147-D147-G147,"")</f>
        <v/>
      </c>
      <c r="I147" s="14">
        <f>IF(E147&lt;&gt;"", YEARFRAC(C147, E147) * 12, "")</f>
        <v/>
      </c>
      <c r="J147" s="2">
        <f>IF(I147="", "", IF(OR(AND(A147="Listed Equity Shares", I147&gt;12), AND(A147="Unlisted Equity Shares", I147&gt;24)), "Long Term", "Short Term"))</f>
        <v/>
      </c>
      <c r="K147" s="5">
        <f>IF(J147="", "", IF(J147="Long Term", 12.5%,"as per slab"))</f>
        <v/>
      </c>
      <c r="L147" s="3">
        <f>+IFERROR(IF(J147="","",H147*K147),"as per slab")</f>
        <v/>
      </c>
    </row>
    <row r="148">
      <c r="A148" s="7" t="n"/>
      <c r="B148" s="7" t="n"/>
      <c r="C148" s="8" t="n"/>
      <c r="D148" s="9" t="n"/>
      <c r="E148" s="8" t="n"/>
      <c r="F148" s="9" t="n"/>
      <c r="G148" s="9" t="n"/>
      <c r="H148" s="3">
        <f>IF(AND(D148&lt;&gt;"",F148&lt;&gt;""),F148-D148-G148,"")</f>
        <v/>
      </c>
      <c r="I148" s="14">
        <f>IF(E148&lt;&gt;"", YEARFRAC(C148, E148) * 12, "")</f>
        <v/>
      </c>
      <c r="J148" s="2">
        <f>IF(I148="", "", IF(OR(AND(A148="Listed Equity Shares", I148&gt;12), AND(A148="Unlisted Equity Shares", I148&gt;24)), "Long Term", "Short Term"))</f>
        <v/>
      </c>
      <c r="K148" s="5">
        <f>IF(J148="", "", IF(J148="Long Term", 12.5%,"as per slab"))</f>
        <v/>
      </c>
      <c r="L148" s="3">
        <f>+IFERROR(IF(J148="","",H148*K148),"as per slab")</f>
        <v/>
      </c>
    </row>
    <row r="149">
      <c r="A149" s="7" t="n"/>
      <c r="B149" s="7" t="n"/>
      <c r="C149" s="8" t="n"/>
      <c r="D149" s="9" t="n"/>
      <c r="E149" s="8" t="n"/>
      <c r="F149" s="9" t="n"/>
      <c r="G149" s="9" t="n"/>
      <c r="H149" s="3">
        <f>IF(AND(D149&lt;&gt;"",F149&lt;&gt;""),F149-D149-G149,"")</f>
        <v/>
      </c>
      <c r="I149" s="14">
        <f>IF(E149&lt;&gt;"", YEARFRAC(C149, E149) * 12, "")</f>
        <v/>
      </c>
      <c r="J149" s="2">
        <f>IF(I149="", "", IF(OR(AND(A149="Listed Equity Shares", I149&gt;12), AND(A149="Unlisted Equity Shares", I149&gt;24)), "Long Term", "Short Term"))</f>
        <v/>
      </c>
      <c r="K149" s="5">
        <f>IF(J149="", "", IF(J149="Long Term", 12.5%,"as per slab"))</f>
        <v/>
      </c>
      <c r="L149" s="3">
        <f>+IFERROR(IF(J149="","",H149*K149),"as per slab")</f>
        <v/>
      </c>
    </row>
    <row r="150">
      <c r="A150" s="7" t="n"/>
      <c r="B150" s="7" t="n"/>
      <c r="C150" s="8" t="n"/>
      <c r="D150" s="9" t="n"/>
      <c r="E150" s="8" t="n"/>
      <c r="F150" s="9" t="n"/>
      <c r="G150" s="9" t="n"/>
      <c r="H150" s="3">
        <f>IF(AND(D150&lt;&gt;"",F150&lt;&gt;""),F150-D150-G150,"")</f>
        <v/>
      </c>
      <c r="I150" s="14">
        <f>IF(E150&lt;&gt;"", YEARFRAC(C150, E150) * 12, "")</f>
        <v/>
      </c>
      <c r="J150" s="2">
        <f>IF(I150="", "", IF(OR(AND(A150="Listed Equity Shares", I150&gt;12), AND(A150="Unlisted Equity Shares", I150&gt;24)), "Long Term", "Short Term"))</f>
        <v/>
      </c>
      <c r="K150" s="5">
        <f>IF(J150="", "", IF(J150="Long Term", 12.5%,"as per slab"))</f>
        <v/>
      </c>
      <c r="L150" s="3">
        <f>+IFERROR(IF(J150="","",H150*K150),"as per slab")</f>
        <v/>
      </c>
    </row>
    <row r="151">
      <c r="A151" s="7" t="n"/>
      <c r="B151" s="7" t="n"/>
      <c r="C151" s="8" t="n"/>
      <c r="D151" s="9" t="n"/>
      <c r="E151" s="8" t="n"/>
      <c r="F151" s="9" t="n"/>
      <c r="G151" s="9" t="n"/>
      <c r="H151" s="3">
        <f>IF(AND(D151&lt;&gt;"",F151&lt;&gt;""),F151-D151-G151,"")</f>
        <v/>
      </c>
      <c r="I151" s="14">
        <f>IF(E151&lt;&gt;"", YEARFRAC(C151, E151) * 12, "")</f>
        <v/>
      </c>
      <c r="J151" s="2">
        <f>IF(I151="", "", IF(OR(AND(A151="Listed Equity Shares", I151&gt;12), AND(A151="Unlisted Equity Shares", I151&gt;24)), "Long Term", "Short Term"))</f>
        <v/>
      </c>
      <c r="K151" s="5">
        <f>IF(J151="", "", IF(J151="Long Term", 12.5%,"as per slab"))</f>
        <v/>
      </c>
      <c r="L151" s="3">
        <f>+IFERROR(IF(J151="","",H151*K151),"as per slab")</f>
        <v/>
      </c>
    </row>
    <row r="152">
      <c r="A152" s="7" t="n"/>
      <c r="B152" s="7" t="n"/>
      <c r="C152" s="8" t="n"/>
      <c r="D152" s="9" t="n"/>
      <c r="E152" s="8" t="n"/>
      <c r="F152" s="9" t="n"/>
      <c r="G152" s="9" t="n"/>
      <c r="H152" s="3">
        <f>IF(AND(D152&lt;&gt;"",F152&lt;&gt;""),F152-D152-G152,"")</f>
        <v/>
      </c>
      <c r="I152" s="14">
        <f>IF(E152&lt;&gt;"", YEARFRAC(C152, E152) * 12, "")</f>
        <v/>
      </c>
      <c r="J152" s="2">
        <f>IF(I152="", "", IF(OR(AND(A152="Listed Equity Shares", I152&gt;12), AND(A152="Unlisted Equity Shares", I152&gt;24)), "Long Term", "Short Term"))</f>
        <v/>
      </c>
      <c r="K152" s="5">
        <f>IF(J152="", "", IF(J152="Long Term", 12.5%,"as per slab"))</f>
        <v/>
      </c>
      <c r="L152" s="3">
        <f>+IFERROR(IF(J152="","",H152*K152),"as per slab")</f>
        <v/>
      </c>
    </row>
    <row r="153">
      <c r="A153" s="7" t="n"/>
      <c r="B153" s="7" t="n"/>
      <c r="C153" s="8" t="n"/>
      <c r="D153" s="9" t="n"/>
      <c r="E153" s="8" t="n"/>
      <c r="F153" s="9" t="n"/>
      <c r="G153" s="9" t="n"/>
      <c r="H153" s="3">
        <f>IF(AND(D153&lt;&gt;"",F153&lt;&gt;""),F153-D153-G153,"")</f>
        <v/>
      </c>
      <c r="I153" s="14">
        <f>IF(E153&lt;&gt;"", YEARFRAC(C153, E153) * 12, "")</f>
        <v/>
      </c>
      <c r="J153" s="2">
        <f>IF(I153="", "", IF(OR(AND(A153="Listed Equity Shares", I153&gt;12), AND(A153="Unlisted Equity Shares", I153&gt;24)), "Long Term", "Short Term"))</f>
        <v/>
      </c>
      <c r="K153" s="5">
        <f>IF(J153="", "", IF(J153="Long Term", 12.5%,"as per slab"))</f>
        <v/>
      </c>
      <c r="L153" s="3">
        <f>+IFERROR(IF(J153="","",H153*K153),"as per slab")</f>
        <v/>
      </c>
    </row>
    <row r="154">
      <c r="A154" s="7" t="n"/>
      <c r="B154" s="7" t="n"/>
      <c r="C154" s="8" t="n"/>
      <c r="D154" s="9" t="n"/>
      <c r="E154" s="8" t="n"/>
      <c r="F154" s="9" t="n"/>
      <c r="G154" s="9" t="n"/>
      <c r="H154" s="3">
        <f>IF(AND(D154&lt;&gt;"",F154&lt;&gt;""),F154-D154-G154,"")</f>
        <v/>
      </c>
      <c r="I154" s="14">
        <f>IF(E154&lt;&gt;"", YEARFRAC(C154, E154) * 12, "")</f>
        <v/>
      </c>
      <c r="J154" s="2">
        <f>IF(I154="", "", IF(OR(AND(A154="Listed Equity Shares", I154&gt;12), AND(A154="Unlisted Equity Shares", I154&gt;24)), "Long Term", "Short Term"))</f>
        <v/>
      </c>
      <c r="K154" s="5">
        <f>IF(J154="", "", IF(J154="Long Term", 12.5%,"as per slab"))</f>
        <v/>
      </c>
      <c r="L154" s="3">
        <f>+IFERROR(IF(J154="","",H154*K154),"as per slab")</f>
        <v/>
      </c>
    </row>
    <row r="155">
      <c r="A155" s="7" t="n"/>
      <c r="B155" s="7" t="n"/>
      <c r="C155" s="8" t="n"/>
      <c r="D155" s="9" t="n"/>
      <c r="E155" s="8" t="n"/>
      <c r="F155" s="9" t="n"/>
      <c r="G155" s="9" t="n"/>
      <c r="H155" s="3">
        <f>IF(AND(D155&lt;&gt;"",F155&lt;&gt;""),F155-D155-G155,"")</f>
        <v/>
      </c>
      <c r="I155" s="14">
        <f>IF(E155&lt;&gt;"", YEARFRAC(C155, E155) * 12, "")</f>
        <v/>
      </c>
      <c r="J155" s="2">
        <f>IF(I155="", "", IF(OR(AND(A155="Listed Equity Shares", I155&gt;12), AND(A155="Unlisted Equity Shares", I155&gt;24)), "Long Term", "Short Term"))</f>
        <v/>
      </c>
      <c r="K155" s="5">
        <f>IF(J155="", "", IF(J155="Long Term", 12.5%,"as per slab"))</f>
        <v/>
      </c>
      <c r="L155" s="3">
        <f>+IFERROR(IF(J155="","",H155*K155),"as per slab")</f>
        <v/>
      </c>
    </row>
    <row r="156">
      <c r="A156" s="7" t="n"/>
      <c r="B156" s="7" t="n"/>
      <c r="C156" s="8" t="n"/>
      <c r="D156" s="9" t="n"/>
      <c r="E156" s="8" t="n"/>
      <c r="F156" s="9" t="n"/>
      <c r="G156" s="9" t="n"/>
      <c r="H156" s="3">
        <f>IF(AND(D156&lt;&gt;"",F156&lt;&gt;""),F156-D156-G156,"")</f>
        <v/>
      </c>
      <c r="I156" s="14">
        <f>IF(E156&lt;&gt;"", YEARFRAC(C156, E156) * 12, "")</f>
        <v/>
      </c>
      <c r="J156" s="2">
        <f>IF(I156="", "", IF(OR(AND(A156="Listed Equity Shares", I156&gt;12), AND(A156="Unlisted Equity Shares", I156&gt;24)), "Long Term", "Short Term"))</f>
        <v/>
      </c>
      <c r="K156" s="5">
        <f>IF(J156="", "", IF(J156="Long Term", 12.5%,"as per slab"))</f>
        <v/>
      </c>
      <c r="L156" s="3">
        <f>+IFERROR(IF(J156="","",H156*K156),"as per slab")</f>
        <v/>
      </c>
    </row>
    <row r="157">
      <c r="A157" s="7" t="n"/>
      <c r="B157" s="7" t="n"/>
      <c r="C157" s="8" t="n"/>
      <c r="D157" s="9" t="n"/>
      <c r="E157" s="8" t="n"/>
      <c r="F157" s="9" t="n"/>
      <c r="G157" s="9" t="n"/>
      <c r="H157" s="3">
        <f>IF(AND(D157&lt;&gt;"",F157&lt;&gt;""),F157-D157-G157,"")</f>
        <v/>
      </c>
      <c r="I157" s="14">
        <f>IF(E157&lt;&gt;"", YEARFRAC(C157, E157) * 12, "")</f>
        <v/>
      </c>
      <c r="J157" s="2">
        <f>IF(I157="", "", IF(OR(AND(A157="Listed Equity Shares", I157&gt;12), AND(A157="Unlisted Equity Shares", I157&gt;24)), "Long Term", "Short Term"))</f>
        <v/>
      </c>
      <c r="K157" s="5">
        <f>IF(J157="", "", IF(J157="Long Term", 12.5%,"as per slab"))</f>
        <v/>
      </c>
      <c r="L157" s="3">
        <f>+IFERROR(IF(J157="","",H157*K157),"as per slab")</f>
        <v/>
      </c>
    </row>
    <row r="158">
      <c r="A158" s="7" t="n"/>
      <c r="B158" s="7" t="n"/>
      <c r="C158" s="8" t="n"/>
      <c r="D158" s="9" t="n"/>
      <c r="E158" s="8" t="n"/>
      <c r="F158" s="9" t="n"/>
      <c r="G158" s="9" t="n"/>
      <c r="H158" s="3">
        <f>IF(AND(D158&lt;&gt;"",F158&lt;&gt;""),F158-D158-G158,"")</f>
        <v/>
      </c>
      <c r="I158" s="14">
        <f>IF(E158&lt;&gt;"", YEARFRAC(C158, E158) * 12, "")</f>
        <v/>
      </c>
      <c r="J158" s="2">
        <f>IF(I158="", "", IF(OR(AND(A158="Listed Equity Shares", I158&gt;12), AND(A158="Unlisted Equity Shares", I158&gt;24)), "Long Term", "Short Term"))</f>
        <v/>
      </c>
      <c r="K158" s="5">
        <f>IF(J158="", "", IF(J158="Long Term", 12.5%,"as per slab"))</f>
        <v/>
      </c>
      <c r="L158" s="3">
        <f>+IFERROR(IF(J158="","",H158*K158),"as per slab")</f>
        <v/>
      </c>
    </row>
    <row r="159">
      <c r="A159" s="7" t="n"/>
      <c r="B159" s="7" t="n"/>
      <c r="C159" s="8" t="n"/>
      <c r="D159" s="9" t="n"/>
      <c r="E159" s="8" t="n"/>
      <c r="F159" s="9" t="n"/>
      <c r="G159" s="9" t="n"/>
      <c r="H159" s="3">
        <f>IF(AND(D159&lt;&gt;"",F159&lt;&gt;""),F159-D159-G159,"")</f>
        <v/>
      </c>
      <c r="I159" s="14">
        <f>IF(E159&lt;&gt;"", YEARFRAC(C159, E159) * 12, "")</f>
        <v/>
      </c>
      <c r="J159" s="2">
        <f>IF(I159="", "", IF(OR(AND(A159="Listed Equity Shares", I159&gt;12), AND(A159="Unlisted Equity Shares", I159&gt;24)), "Long Term", "Short Term"))</f>
        <v/>
      </c>
      <c r="K159" s="5">
        <f>IF(J159="", "", IF(J159="Long Term", 12.5%,"as per slab"))</f>
        <v/>
      </c>
      <c r="L159" s="3">
        <f>+IFERROR(IF(J159="","",H159*K159),"as per slab")</f>
        <v/>
      </c>
    </row>
    <row r="160">
      <c r="A160" s="7" t="n"/>
      <c r="B160" s="7" t="n"/>
      <c r="C160" s="8" t="n"/>
      <c r="D160" s="9" t="n"/>
      <c r="E160" s="8" t="n"/>
      <c r="F160" s="9" t="n"/>
      <c r="G160" s="9" t="n"/>
      <c r="H160" s="3">
        <f>IF(AND(D160&lt;&gt;"",F160&lt;&gt;""),F160-D160-G160,"")</f>
        <v/>
      </c>
      <c r="I160" s="14">
        <f>IF(E160&lt;&gt;"", YEARFRAC(C160, E160) * 12, "")</f>
        <v/>
      </c>
      <c r="J160" s="2">
        <f>IF(I160="", "", IF(OR(AND(A160="Listed Equity Shares", I160&gt;12), AND(A160="Unlisted Equity Shares", I160&gt;24)), "Long Term", "Short Term"))</f>
        <v/>
      </c>
      <c r="K160" s="5">
        <f>IF(J160="", "", IF(J160="Long Term", 12.5%,"as per slab"))</f>
        <v/>
      </c>
      <c r="L160" s="3">
        <f>+IFERROR(IF(J160="","",H160*K160),"as per slab")</f>
        <v/>
      </c>
    </row>
    <row r="161">
      <c r="A161" s="7" t="n"/>
      <c r="B161" s="7" t="n"/>
      <c r="C161" s="8" t="n"/>
      <c r="D161" s="9" t="n"/>
      <c r="E161" s="8" t="n"/>
      <c r="F161" s="9" t="n"/>
      <c r="G161" s="9" t="n"/>
      <c r="H161" s="3">
        <f>IF(AND(D161&lt;&gt;"",F161&lt;&gt;""),F161-D161-G161,"")</f>
        <v/>
      </c>
      <c r="I161" s="14">
        <f>IF(E161&lt;&gt;"", YEARFRAC(C161, E161) * 12, "")</f>
        <v/>
      </c>
      <c r="J161" s="2">
        <f>IF(I161="", "", IF(OR(AND(A161="Listed Equity Shares", I161&gt;12), AND(A161="Unlisted Equity Shares", I161&gt;24)), "Long Term", "Short Term"))</f>
        <v/>
      </c>
      <c r="K161" s="5">
        <f>IF(J161="", "", IF(J161="Long Term", 12.5%,"as per slab"))</f>
        <v/>
      </c>
      <c r="L161" s="3">
        <f>+IFERROR(IF(J161="","",H161*K161),"as per slab")</f>
        <v/>
      </c>
    </row>
    <row r="162">
      <c r="A162" s="7" t="n"/>
      <c r="B162" s="7" t="n"/>
      <c r="C162" s="8" t="n"/>
      <c r="D162" s="9" t="n"/>
      <c r="E162" s="8" t="n"/>
      <c r="F162" s="9" t="n"/>
      <c r="G162" s="9" t="n"/>
      <c r="H162" s="3">
        <f>IF(AND(D162&lt;&gt;"",F162&lt;&gt;""),F162-D162-G162,"")</f>
        <v/>
      </c>
      <c r="I162" s="14">
        <f>IF(E162&lt;&gt;"", YEARFRAC(C162, E162) * 12, "")</f>
        <v/>
      </c>
      <c r="J162" s="2">
        <f>IF(I162="", "", IF(OR(AND(A162="Listed Equity Shares", I162&gt;12), AND(A162="Unlisted Equity Shares", I162&gt;24)), "Long Term", "Short Term"))</f>
        <v/>
      </c>
      <c r="K162" s="5">
        <f>IF(J162="", "", IF(J162="Long Term", 12.5%,"as per slab"))</f>
        <v/>
      </c>
      <c r="L162" s="3">
        <f>+IFERROR(IF(J162="","",H162*K162),"as per slab")</f>
        <v/>
      </c>
    </row>
    <row r="163">
      <c r="A163" s="7" t="n"/>
      <c r="B163" s="7" t="n"/>
      <c r="C163" s="8" t="n"/>
      <c r="D163" s="9" t="n"/>
      <c r="E163" s="8" t="n"/>
      <c r="F163" s="9" t="n"/>
      <c r="G163" s="9" t="n"/>
      <c r="H163" s="3">
        <f>IF(AND(D163&lt;&gt;"",F163&lt;&gt;""),F163-D163-G163,"")</f>
        <v/>
      </c>
      <c r="I163" s="14">
        <f>IF(E163&lt;&gt;"", YEARFRAC(C163, E163) * 12, "")</f>
        <v/>
      </c>
      <c r="J163" s="2">
        <f>IF(I163="", "", IF(OR(AND(A163="Listed Equity Shares", I163&gt;12), AND(A163="Unlisted Equity Shares", I163&gt;24)), "Long Term", "Short Term"))</f>
        <v/>
      </c>
      <c r="K163" s="5">
        <f>IF(J163="", "", IF(J163="Long Term", 12.5%,"as per slab"))</f>
        <v/>
      </c>
      <c r="L163" s="3">
        <f>+IFERROR(IF(J163="","",H163*K163),"as per slab")</f>
        <v/>
      </c>
    </row>
    <row r="164">
      <c r="A164" s="7" t="n"/>
      <c r="B164" s="7" t="n"/>
      <c r="C164" s="8" t="n"/>
      <c r="D164" s="9" t="n"/>
      <c r="E164" s="8" t="n"/>
      <c r="F164" s="9" t="n"/>
      <c r="G164" s="9" t="n"/>
      <c r="H164" s="3">
        <f>IF(AND(D164&lt;&gt;"",F164&lt;&gt;""),F164-D164-G164,"")</f>
        <v/>
      </c>
      <c r="I164" s="14">
        <f>IF(E164&lt;&gt;"", YEARFRAC(C164, E164) * 12, "")</f>
        <v/>
      </c>
      <c r="J164" s="2">
        <f>IF(I164="", "", IF(OR(AND(A164="Listed Equity Shares", I164&gt;12), AND(A164="Unlisted Equity Shares", I164&gt;24)), "Long Term", "Short Term"))</f>
        <v/>
      </c>
      <c r="K164" s="5">
        <f>IF(J164="", "", IF(J164="Long Term", 12.5%,"as per slab"))</f>
        <v/>
      </c>
      <c r="L164" s="3">
        <f>+IFERROR(IF(J164="","",H164*K164),"as per slab")</f>
        <v/>
      </c>
    </row>
    <row r="165">
      <c r="A165" s="7" t="n"/>
      <c r="B165" s="7" t="n"/>
      <c r="C165" s="8" t="n"/>
      <c r="D165" s="9" t="n"/>
      <c r="E165" s="8" t="n"/>
      <c r="F165" s="9" t="n"/>
      <c r="G165" s="9" t="n"/>
      <c r="H165" s="3">
        <f>IF(AND(D165&lt;&gt;"",F165&lt;&gt;""),F165-D165-G165,"")</f>
        <v/>
      </c>
      <c r="I165" s="14">
        <f>IF(E165&lt;&gt;"", YEARFRAC(C165, E165) * 12, "")</f>
        <v/>
      </c>
      <c r="J165" s="2">
        <f>IF(I165="", "", IF(OR(AND(A165="Listed Equity Shares", I165&gt;12), AND(A165="Unlisted Equity Shares", I165&gt;24)), "Long Term", "Short Term"))</f>
        <v/>
      </c>
      <c r="K165" s="5">
        <f>IF(J165="", "", IF(J165="Long Term", 12.5%,"as per slab"))</f>
        <v/>
      </c>
      <c r="L165" s="3">
        <f>+IFERROR(IF(J165="","",H165*K165),"as per slab")</f>
        <v/>
      </c>
    </row>
    <row r="166">
      <c r="A166" s="7" t="n"/>
      <c r="B166" s="7" t="n"/>
      <c r="C166" s="8" t="n"/>
      <c r="D166" s="9" t="n"/>
      <c r="E166" s="8" t="n"/>
      <c r="F166" s="9" t="n"/>
      <c r="G166" s="9" t="n"/>
      <c r="H166" s="3">
        <f>IF(AND(D166&lt;&gt;"",F166&lt;&gt;""),F166-D166-G166,"")</f>
        <v/>
      </c>
      <c r="I166" s="14">
        <f>IF(E166&lt;&gt;"", YEARFRAC(C166, E166) * 12, "")</f>
        <v/>
      </c>
      <c r="J166" s="2">
        <f>IF(I166="", "", IF(OR(AND(A166="Listed Equity Shares", I166&gt;12), AND(A166="Unlisted Equity Shares", I166&gt;24)), "Long Term", "Short Term"))</f>
        <v/>
      </c>
      <c r="K166" s="5">
        <f>IF(J166="", "", IF(J166="Long Term", 12.5%,"as per slab"))</f>
        <v/>
      </c>
      <c r="L166" s="3">
        <f>+IFERROR(IF(J166="","",H166*K166),"as per slab")</f>
        <v/>
      </c>
    </row>
    <row r="167">
      <c r="A167" s="7" t="n"/>
      <c r="B167" s="7" t="n"/>
      <c r="C167" s="8" t="n"/>
      <c r="D167" s="9" t="n"/>
      <c r="E167" s="8" t="n"/>
      <c r="F167" s="9" t="n"/>
      <c r="G167" s="9" t="n"/>
      <c r="H167" s="3">
        <f>IF(AND(D167&lt;&gt;"",F167&lt;&gt;""),F167-D167-G167,"")</f>
        <v/>
      </c>
      <c r="I167" s="14">
        <f>IF(E167&lt;&gt;"", YEARFRAC(C167, E167) * 12, "")</f>
        <v/>
      </c>
      <c r="J167" s="2">
        <f>IF(I167="", "", IF(OR(AND(A167="Listed Equity Shares", I167&gt;12), AND(A167="Unlisted Equity Shares", I167&gt;24)), "Long Term", "Short Term"))</f>
        <v/>
      </c>
      <c r="K167" s="5">
        <f>IF(J167="", "", IF(J167="Long Term", 12.5%,"as per slab"))</f>
        <v/>
      </c>
      <c r="L167" s="3">
        <f>+IFERROR(IF(J167="","",H167*K167),"as per slab")</f>
        <v/>
      </c>
    </row>
    <row r="168">
      <c r="A168" s="7" t="n"/>
      <c r="B168" s="7" t="n"/>
      <c r="C168" s="8" t="n"/>
      <c r="D168" s="9" t="n"/>
      <c r="E168" s="8" t="n"/>
      <c r="F168" s="9" t="n"/>
      <c r="G168" s="9" t="n"/>
      <c r="H168" s="3">
        <f>IF(AND(D168&lt;&gt;"",F168&lt;&gt;""),F168-D168-G168,"")</f>
        <v/>
      </c>
      <c r="I168" s="14">
        <f>IF(E168&lt;&gt;"", YEARFRAC(C168, E168) * 12, "")</f>
        <v/>
      </c>
      <c r="J168" s="2">
        <f>IF(I168="", "", IF(OR(AND(A168="Listed Equity Shares", I168&gt;12), AND(A168="Unlisted Equity Shares", I168&gt;24)), "Long Term", "Short Term"))</f>
        <v/>
      </c>
      <c r="K168" s="5">
        <f>IF(J168="", "", IF(J168="Long Term", 12.5%,"as per slab"))</f>
        <v/>
      </c>
      <c r="L168" s="3">
        <f>+IFERROR(IF(J168="","",H168*K168),"as per slab")</f>
        <v/>
      </c>
    </row>
    <row r="169">
      <c r="A169" s="7" t="n"/>
      <c r="B169" s="7" t="n"/>
      <c r="C169" s="8" t="n"/>
      <c r="D169" s="9" t="n"/>
      <c r="E169" s="8" t="n"/>
      <c r="F169" s="9" t="n"/>
      <c r="G169" s="9" t="n"/>
      <c r="H169" s="3">
        <f>IF(AND(D169&lt;&gt;"",F169&lt;&gt;""),F169-D169-G169,"")</f>
        <v/>
      </c>
      <c r="I169" s="14">
        <f>IF(E169&lt;&gt;"", YEARFRAC(C169, E169) * 12, "")</f>
        <v/>
      </c>
      <c r="J169" s="2">
        <f>IF(I169="", "", IF(OR(AND(A169="Listed Equity Shares", I169&gt;12), AND(A169="Unlisted Equity Shares", I169&gt;24)), "Long Term", "Short Term"))</f>
        <v/>
      </c>
      <c r="K169" s="5">
        <f>IF(J169="", "", IF(J169="Long Term", 12.5%,"as per slab"))</f>
        <v/>
      </c>
      <c r="L169" s="3">
        <f>+IFERROR(IF(J169="","",H169*K169),"as per slab")</f>
        <v/>
      </c>
    </row>
    <row r="170">
      <c r="A170" s="7" t="n"/>
      <c r="B170" s="7" t="n"/>
      <c r="C170" s="8" t="n"/>
      <c r="D170" s="9" t="n"/>
      <c r="E170" s="8" t="n"/>
      <c r="F170" s="9" t="n"/>
      <c r="G170" s="9" t="n"/>
      <c r="H170" s="3">
        <f>IF(AND(D170&lt;&gt;"",F170&lt;&gt;""),F170-D170-G170,"")</f>
        <v/>
      </c>
      <c r="I170" s="14">
        <f>IF(E170&lt;&gt;"", YEARFRAC(C170, E170) * 12, "")</f>
        <v/>
      </c>
      <c r="J170" s="2">
        <f>IF(I170="", "", IF(OR(AND(A170="Listed Equity Shares", I170&gt;12), AND(A170="Unlisted Equity Shares", I170&gt;24)), "Long Term", "Short Term"))</f>
        <v/>
      </c>
      <c r="K170" s="5">
        <f>IF(J170="", "", IF(J170="Long Term", 12.5%,"as per slab"))</f>
        <v/>
      </c>
      <c r="L170" s="3">
        <f>+IFERROR(IF(J170="","",H170*K170),"as per slab")</f>
        <v/>
      </c>
    </row>
    <row r="171">
      <c r="A171" s="7" t="n"/>
      <c r="B171" s="7" t="n"/>
      <c r="C171" s="8" t="n"/>
      <c r="D171" s="9" t="n"/>
      <c r="E171" s="8" t="n"/>
      <c r="F171" s="9" t="n"/>
      <c r="G171" s="9" t="n"/>
      <c r="H171" s="3">
        <f>IF(AND(D171&lt;&gt;"",F171&lt;&gt;""),F171-D171-G171,"")</f>
        <v/>
      </c>
      <c r="I171" s="14">
        <f>IF(E171&lt;&gt;"", YEARFRAC(C171, E171) * 12, "")</f>
        <v/>
      </c>
      <c r="J171" s="2">
        <f>IF(I171="", "", IF(OR(AND(A171="Listed Equity Shares", I171&gt;12), AND(A171="Unlisted Equity Shares", I171&gt;24)), "Long Term", "Short Term"))</f>
        <v/>
      </c>
      <c r="K171" s="5">
        <f>IF(J171="", "", IF(J171="Long Term", 12.5%,"as per slab"))</f>
        <v/>
      </c>
      <c r="L171" s="3">
        <f>+IFERROR(IF(J171="","",H171*K171),"as per slab")</f>
        <v/>
      </c>
    </row>
    <row r="172">
      <c r="A172" s="7" t="n"/>
      <c r="B172" s="7" t="n"/>
      <c r="C172" s="8" t="n"/>
      <c r="D172" s="9" t="n"/>
      <c r="E172" s="8" t="n"/>
      <c r="F172" s="9" t="n"/>
      <c r="G172" s="9" t="n"/>
      <c r="H172" s="3">
        <f>IF(AND(D172&lt;&gt;"",F172&lt;&gt;""),F172-D172-G172,"")</f>
        <v/>
      </c>
      <c r="I172" s="14">
        <f>IF(E172&lt;&gt;"", YEARFRAC(C172, E172) * 12, "")</f>
        <v/>
      </c>
      <c r="J172" s="2">
        <f>IF(I172="", "", IF(OR(AND(A172="Listed Equity Shares", I172&gt;12), AND(A172="Unlisted Equity Shares", I172&gt;24)), "Long Term", "Short Term"))</f>
        <v/>
      </c>
      <c r="K172" s="5">
        <f>IF(J172="", "", IF(J172="Long Term", 12.5%,"as per slab"))</f>
        <v/>
      </c>
      <c r="L172" s="3">
        <f>+IFERROR(IF(J172="","",H172*K172),"as per slab")</f>
        <v/>
      </c>
    </row>
    <row r="173">
      <c r="A173" s="7" t="n"/>
      <c r="B173" s="7" t="n"/>
      <c r="C173" s="8" t="n"/>
      <c r="D173" s="9" t="n"/>
      <c r="E173" s="8" t="n"/>
      <c r="F173" s="9" t="n"/>
      <c r="G173" s="9" t="n"/>
      <c r="H173" s="3">
        <f>IF(AND(D173&lt;&gt;"",F173&lt;&gt;""),F173-D173-G173,"")</f>
        <v/>
      </c>
      <c r="I173" s="14">
        <f>IF(E173&lt;&gt;"", YEARFRAC(C173, E173) * 12, "")</f>
        <v/>
      </c>
      <c r="J173" s="2">
        <f>IF(I173="", "", IF(OR(AND(A173="Listed Equity Shares", I173&gt;12), AND(A173="Unlisted Equity Shares", I173&gt;24)), "Long Term", "Short Term"))</f>
        <v/>
      </c>
      <c r="K173" s="5">
        <f>IF(J173="", "", IF(J173="Long Term", 12.5%,"as per slab"))</f>
        <v/>
      </c>
      <c r="L173" s="3">
        <f>+IFERROR(IF(J173="","",H173*K173),"as per slab")</f>
        <v/>
      </c>
    </row>
    <row r="174">
      <c r="A174" s="7" t="n"/>
      <c r="B174" s="7" t="n"/>
      <c r="C174" s="8" t="n"/>
      <c r="D174" s="9" t="n"/>
      <c r="E174" s="8" t="n"/>
      <c r="F174" s="9" t="n"/>
      <c r="G174" s="9" t="n"/>
      <c r="H174" s="3">
        <f>IF(AND(D174&lt;&gt;"",F174&lt;&gt;""),F174-D174-G174,"")</f>
        <v/>
      </c>
      <c r="I174" s="14">
        <f>IF(E174&lt;&gt;"", YEARFRAC(C174, E174) * 12, "")</f>
        <v/>
      </c>
      <c r="J174" s="2">
        <f>IF(I174="", "", IF(OR(AND(A174="Listed Equity Shares", I174&gt;12), AND(A174="Unlisted Equity Shares", I174&gt;24)), "Long Term", "Short Term"))</f>
        <v/>
      </c>
      <c r="K174" s="5">
        <f>IF(J174="", "", IF(J174="Long Term", 12.5%,"as per slab"))</f>
        <v/>
      </c>
      <c r="L174" s="3">
        <f>+IFERROR(IF(J174="","",H174*K174),"as per slab")</f>
        <v/>
      </c>
    </row>
    <row r="175">
      <c r="A175" s="7" t="n"/>
      <c r="B175" s="7" t="n"/>
      <c r="C175" s="8" t="n"/>
      <c r="D175" s="9" t="n"/>
      <c r="E175" s="8" t="n"/>
      <c r="F175" s="9" t="n"/>
      <c r="G175" s="9" t="n"/>
      <c r="H175" s="3">
        <f>IF(AND(D175&lt;&gt;"",F175&lt;&gt;""),F175-D175-G175,"")</f>
        <v/>
      </c>
      <c r="I175" s="14">
        <f>IF(E175&lt;&gt;"", YEARFRAC(C175, E175) * 12, "")</f>
        <v/>
      </c>
      <c r="J175" s="2">
        <f>IF(I175="", "", IF(OR(AND(A175="Listed Equity Shares", I175&gt;12), AND(A175="Unlisted Equity Shares", I175&gt;24)), "Long Term", "Short Term"))</f>
        <v/>
      </c>
      <c r="K175" s="5">
        <f>IF(J175="", "", IF(J175="Long Term", 12.5%,"as per slab"))</f>
        <v/>
      </c>
      <c r="L175" s="3">
        <f>+IFERROR(IF(J175="","",H175*K175),"as per slab")</f>
        <v/>
      </c>
    </row>
    <row r="176">
      <c r="A176" s="7" t="n"/>
      <c r="B176" s="7" t="n"/>
      <c r="C176" s="8" t="n"/>
      <c r="D176" s="9" t="n"/>
      <c r="E176" s="8" t="n"/>
      <c r="F176" s="9" t="n"/>
      <c r="G176" s="9" t="n"/>
      <c r="H176" s="3">
        <f>IF(AND(D176&lt;&gt;"",F176&lt;&gt;""),F176-D176-G176,"")</f>
        <v/>
      </c>
      <c r="I176" s="14">
        <f>IF(E176&lt;&gt;"", YEARFRAC(C176, E176) * 12, "")</f>
        <v/>
      </c>
      <c r="J176" s="2">
        <f>IF(I176="", "", IF(OR(AND(A176="Listed Equity Shares", I176&gt;12), AND(A176="Unlisted Equity Shares", I176&gt;24)), "Long Term", "Short Term"))</f>
        <v/>
      </c>
      <c r="K176" s="5">
        <f>IF(J176="", "", IF(J176="Long Term", 12.5%,"as per slab"))</f>
        <v/>
      </c>
      <c r="L176" s="3">
        <f>+IFERROR(IF(J176="","",H176*K176),"as per slab")</f>
        <v/>
      </c>
    </row>
    <row r="177">
      <c r="A177" s="7" t="n"/>
      <c r="B177" s="7" t="n"/>
      <c r="C177" s="8" t="n"/>
      <c r="D177" s="9" t="n"/>
      <c r="E177" s="8" t="n"/>
      <c r="F177" s="9" t="n"/>
      <c r="G177" s="9" t="n"/>
      <c r="H177" s="3">
        <f>IF(AND(D177&lt;&gt;"",F177&lt;&gt;""),F177-D177-G177,"")</f>
        <v/>
      </c>
      <c r="I177" s="14">
        <f>IF(E177&lt;&gt;"", YEARFRAC(C177, E177) * 12, "")</f>
        <v/>
      </c>
      <c r="J177" s="2">
        <f>IF(I177="", "", IF(OR(AND(A177="Listed Equity Shares", I177&gt;12), AND(A177="Unlisted Equity Shares", I177&gt;24)), "Long Term", "Short Term"))</f>
        <v/>
      </c>
      <c r="K177" s="5">
        <f>IF(J177="", "", IF(J177="Long Term", 12.5%,"as per slab"))</f>
        <v/>
      </c>
      <c r="L177" s="3">
        <f>+IFERROR(IF(J177="","",H177*K177),"as per slab")</f>
        <v/>
      </c>
    </row>
    <row r="178">
      <c r="A178" s="7" t="n"/>
      <c r="B178" s="7" t="n"/>
      <c r="C178" s="8" t="n"/>
      <c r="D178" s="9" t="n"/>
      <c r="E178" s="8" t="n"/>
      <c r="F178" s="9" t="n"/>
      <c r="G178" s="9" t="n"/>
      <c r="H178" s="3">
        <f>IF(AND(D178&lt;&gt;"",F178&lt;&gt;""),F178-D178-G178,"")</f>
        <v/>
      </c>
      <c r="I178" s="14">
        <f>IF(E178&lt;&gt;"", YEARFRAC(C178, E178) * 12, "")</f>
        <v/>
      </c>
      <c r="J178" s="2">
        <f>IF(I178="", "", IF(OR(AND(A178="Listed Equity Shares", I178&gt;12), AND(A178="Unlisted Equity Shares", I178&gt;24)), "Long Term", "Short Term"))</f>
        <v/>
      </c>
      <c r="K178" s="5">
        <f>IF(J178="", "", IF(J178="Long Term", 12.5%,"as per slab"))</f>
        <v/>
      </c>
      <c r="L178" s="3">
        <f>+IFERROR(IF(J178="","",H178*K178),"as per slab")</f>
        <v/>
      </c>
    </row>
    <row r="179">
      <c r="A179" s="7" t="n"/>
      <c r="B179" s="7" t="n"/>
      <c r="C179" s="8" t="n"/>
      <c r="D179" s="9" t="n"/>
      <c r="E179" s="8" t="n"/>
      <c r="F179" s="9" t="n"/>
      <c r="G179" s="9" t="n"/>
      <c r="H179" s="3">
        <f>IF(AND(D179&lt;&gt;"",F179&lt;&gt;""),F179-D179-G179,"")</f>
        <v/>
      </c>
      <c r="I179" s="14">
        <f>IF(E179&lt;&gt;"", YEARFRAC(C179, E179) * 12, "")</f>
        <v/>
      </c>
      <c r="J179" s="2">
        <f>IF(I179="", "", IF(OR(AND(A179="Listed Equity Shares", I179&gt;12), AND(A179="Unlisted Equity Shares", I179&gt;24)), "Long Term", "Short Term"))</f>
        <v/>
      </c>
      <c r="K179" s="5">
        <f>IF(J179="", "", IF(J179="Long Term", 12.5%,"as per slab"))</f>
        <v/>
      </c>
      <c r="L179" s="3">
        <f>+IFERROR(IF(J179="","",H179*K179),"as per slab")</f>
        <v/>
      </c>
    </row>
    <row r="180">
      <c r="A180" s="7" t="n"/>
      <c r="B180" s="7" t="n"/>
      <c r="C180" s="8" t="n"/>
      <c r="D180" s="9" t="n"/>
      <c r="E180" s="8" t="n"/>
      <c r="F180" s="9" t="n"/>
      <c r="G180" s="9" t="n"/>
      <c r="H180" s="3">
        <f>IF(AND(D180&lt;&gt;"",F180&lt;&gt;""),F180-D180-G180,"")</f>
        <v/>
      </c>
      <c r="I180" s="14">
        <f>IF(E180&lt;&gt;"", YEARFRAC(C180, E180) * 12, "")</f>
        <v/>
      </c>
      <c r="J180" s="2">
        <f>IF(I180="", "", IF(OR(AND(A180="Listed Equity Shares", I180&gt;12), AND(A180="Unlisted Equity Shares", I180&gt;24)), "Long Term", "Short Term"))</f>
        <v/>
      </c>
      <c r="K180" s="5">
        <f>IF(J180="", "", IF(J180="Long Term", 12.5%,"as per slab"))</f>
        <v/>
      </c>
      <c r="L180" s="3">
        <f>+IFERROR(IF(J180="","",H180*K180),"as per slab")</f>
        <v/>
      </c>
    </row>
    <row r="181">
      <c r="A181" s="7" t="n"/>
      <c r="B181" s="7" t="n"/>
      <c r="C181" s="8" t="n"/>
      <c r="D181" s="9" t="n"/>
      <c r="E181" s="8" t="n"/>
      <c r="F181" s="9" t="n"/>
      <c r="G181" s="9" t="n"/>
      <c r="H181" s="3">
        <f>IF(AND(D181&lt;&gt;"",F181&lt;&gt;""),F181-D181-G181,"")</f>
        <v/>
      </c>
      <c r="I181" s="14">
        <f>IF(E181&lt;&gt;"", YEARFRAC(C181, E181) * 12, "")</f>
        <v/>
      </c>
      <c r="J181" s="2">
        <f>IF(I181="", "", IF(OR(AND(A181="Listed Equity Shares", I181&gt;12), AND(A181="Unlisted Equity Shares", I181&gt;24)), "Long Term", "Short Term"))</f>
        <v/>
      </c>
      <c r="K181" s="5">
        <f>IF(J181="", "", IF(J181="Long Term", 12.5%,"as per slab"))</f>
        <v/>
      </c>
      <c r="L181" s="3">
        <f>+IFERROR(IF(J181="","",H181*K181),"as per slab")</f>
        <v/>
      </c>
    </row>
    <row r="182">
      <c r="A182" s="7" t="n"/>
      <c r="B182" s="7" t="n"/>
      <c r="C182" s="8" t="n"/>
      <c r="D182" s="9" t="n"/>
      <c r="E182" s="8" t="n"/>
      <c r="F182" s="9" t="n"/>
      <c r="G182" s="9" t="n"/>
      <c r="H182" s="3">
        <f>IF(AND(D182&lt;&gt;"",F182&lt;&gt;""),F182-D182-G182,"")</f>
        <v/>
      </c>
      <c r="I182" s="14">
        <f>IF(E182&lt;&gt;"", YEARFRAC(C182, E182) * 12, "")</f>
        <v/>
      </c>
      <c r="J182" s="2">
        <f>IF(I182="", "", IF(OR(AND(A182="Listed Equity Shares", I182&gt;12), AND(A182="Unlisted Equity Shares", I182&gt;24)), "Long Term", "Short Term"))</f>
        <v/>
      </c>
      <c r="K182" s="5">
        <f>IF(J182="", "", IF(J182="Long Term", 12.5%,"as per slab"))</f>
        <v/>
      </c>
      <c r="L182" s="3">
        <f>+IFERROR(IF(J182="","",H182*K182),"as per slab")</f>
        <v/>
      </c>
    </row>
    <row r="183">
      <c r="A183" s="7" t="n"/>
      <c r="B183" s="7" t="n"/>
      <c r="C183" s="8" t="n"/>
      <c r="D183" s="9" t="n"/>
      <c r="E183" s="8" t="n"/>
      <c r="F183" s="9" t="n"/>
      <c r="G183" s="9" t="n"/>
      <c r="H183" s="3">
        <f>IF(AND(D183&lt;&gt;"",F183&lt;&gt;""),F183-D183-G183,"")</f>
        <v/>
      </c>
      <c r="I183" s="14">
        <f>IF(E183&lt;&gt;"", YEARFRAC(C183, E183) * 12, "")</f>
        <v/>
      </c>
      <c r="J183" s="2">
        <f>IF(I183="", "", IF(OR(AND(A183="Listed Equity Shares", I183&gt;12), AND(A183="Unlisted Equity Shares", I183&gt;24)), "Long Term", "Short Term"))</f>
        <v/>
      </c>
      <c r="K183" s="5">
        <f>IF(J183="", "", IF(J183="Long Term", 12.5%,"as per slab"))</f>
        <v/>
      </c>
      <c r="L183" s="3">
        <f>+IFERROR(IF(J183="","",H183*K183),"as per slab")</f>
        <v/>
      </c>
    </row>
    <row r="184">
      <c r="A184" s="7" t="n"/>
      <c r="B184" s="7" t="n"/>
      <c r="C184" s="8" t="n"/>
      <c r="D184" s="9" t="n"/>
      <c r="E184" s="8" t="n"/>
      <c r="F184" s="9" t="n"/>
      <c r="G184" s="9" t="n"/>
      <c r="H184" s="3">
        <f>IF(AND(D184&lt;&gt;"",F184&lt;&gt;""),F184-D184-G184,"")</f>
        <v/>
      </c>
      <c r="I184" s="14">
        <f>IF(E184&lt;&gt;"", YEARFRAC(C184, E184) * 12, "")</f>
        <v/>
      </c>
      <c r="J184" s="2">
        <f>IF(I184="", "", IF(OR(AND(A184="Listed Equity Shares", I184&gt;12), AND(A184="Unlisted Equity Shares", I184&gt;24)), "Long Term", "Short Term"))</f>
        <v/>
      </c>
      <c r="K184" s="5">
        <f>IF(J184="", "", IF(J184="Long Term", 12.5%,"as per slab"))</f>
        <v/>
      </c>
      <c r="L184" s="3">
        <f>+IFERROR(IF(J184="","",H184*K184),"as per slab")</f>
        <v/>
      </c>
    </row>
    <row r="185">
      <c r="A185" s="7" t="n"/>
      <c r="B185" s="7" t="n"/>
      <c r="C185" s="8" t="n"/>
      <c r="D185" s="9" t="n"/>
      <c r="E185" s="8" t="n"/>
      <c r="F185" s="9" t="n"/>
      <c r="G185" s="9" t="n"/>
      <c r="H185" s="3">
        <f>IF(AND(D185&lt;&gt;"",F185&lt;&gt;""),F185-D185-G185,"")</f>
        <v/>
      </c>
      <c r="I185" s="14">
        <f>IF(E185&lt;&gt;"", YEARFRAC(C185, E185) * 12, "")</f>
        <v/>
      </c>
      <c r="J185" s="2">
        <f>IF(I185="", "", IF(OR(AND(A185="Listed Equity Shares", I185&gt;12), AND(A185="Unlisted Equity Shares", I185&gt;24)), "Long Term", "Short Term"))</f>
        <v/>
      </c>
      <c r="K185" s="5">
        <f>IF(J185="", "", IF(J185="Long Term", 12.5%,"as per slab"))</f>
        <v/>
      </c>
      <c r="L185" s="3">
        <f>+IFERROR(IF(J185="","",H185*K185),"as per slab")</f>
        <v/>
      </c>
    </row>
    <row r="186">
      <c r="A186" s="7" t="n"/>
      <c r="B186" s="7" t="n"/>
      <c r="C186" s="8" t="n"/>
      <c r="D186" s="9" t="n"/>
      <c r="E186" s="8" t="n"/>
      <c r="F186" s="9" t="n"/>
      <c r="G186" s="9" t="n"/>
      <c r="H186" s="3">
        <f>IF(AND(D186&lt;&gt;"",F186&lt;&gt;""),F186-D186-G186,"")</f>
        <v/>
      </c>
      <c r="I186" s="14">
        <f>IF(E186&lt;&gt;"", YEARFRAC(C186, E186) * 12, "")</f>
        <v/>
      </c>
      <c r="J186" s="2">
        <f>IF(I186="", "", IF(OR(AND(A186="Listed Equity Shares", I186&gt;12), AND(A186="Unlisted Equity Shares", I186&gt;24)), "Long Term", "Short Term"))</f>
        <v/>
      </c>
      <c r="K186" s="5">
        <f>IF(J186="", "", IF(J186="Long Term", 12.5%,"as per slab"))</f>
        <v/>
      </c>
      <c r="L186" s="3">
        <f>+IFERROR(IF(J186="","",H186*K186),"as per slab")</f>
        <v/>
      </c>
    </row>
    <row r="187">
      <c r="A187" s="7" t="n"/>
      <c r="B187" s="7" t="n"/>
      <c r="C187" s="8" t="n"/>
      <c r="D187" s="9" t="n"/>
      <c r="E187" s="8" t="n"/>
      <c r="F187" s="9" t="n"/>
      <c r="G187" s="9" t="n"/>
      <c r="H187" s="3">
        <f>IF(AND(D187&lt;&gt;"",F187&lt;&gt;""),F187-D187-G187,"")</f>
        <v/>
      </c>
      <c r="I187" s="14">
        <f>IF(E187&lt;&gt;"", YEARFRAC(C187, E187) * 12, "")</f>
        <v/>
      </c>
      <c r="J187" s="2">
        <f>IF(I187="", "", IF(OR(AND(A187="Listed Equity Shares", I187&gt;12), AND(A187="Unlisted Equity Shares", I187&gt;24)), "Long Term", "Short Term"))</f>
        <v/>
      </c>
      <c r="K187" s="5">
        <f>IF(J187="", "", IF(J187="Long Term", 12.5%,"as per slab"))</f>
        <v/>
      </c>
      <c r="L187" s="3">
        <f>+IFERROR(IF(J187="","",H187*K187),"as per slab")</f>
        <v/>
      </c>
    </row>
    <row r="188">
      <c r="A188" s="7" t="n"/>
      <c r="B188" s="7" t="n"/>
      <c r="C188" s="8" t="n"/>
      <c r="D188" s="9" t="n"/>
      <c r="E188" s="8" t="n"/>
      <c r="F188" s="9" t="n"/>
      <c r="G188" s="9" t="n"/>
      <c r="H188" s="3">
        <f>IF(AND(D188&lt;&gt;"",F188&lt;&gt;""),F188-D188-G188,"")</f>
        <v/>
      </c>
      <c r="I188" s="14">
        <f>IF(E188&lt;&gt;"", YEARFRAC(C188, E188) * 12, "")</f>
        <v/>
      </c>
      <c r="J188" s="2">
        <f>IF(I188="", "", IF(OR(AND(A188="Listed Equity Shares", I188&gt;12), AND(A188="Unlisted Equity Shares", I188&gt;24)), "Long Term", "Short Term"))</f>
        <v/>
      </c>
      <c r="K188" s="5">
        <f>IF(J188="", "", IF(J188="Long Term", 12.5%,"as per slab"))</f>
        <v/>
      </c>
      <c r="L188" s="3">
        <f>+IFERROR(IF(J188="","",H188*K188),"as per slab")</f>
        <v/>
      </c>
    </row>
    <row r="189">
      <c r="A189" s="7" t="n"/>
      <c r="B189" s="7" t="n"/>
      <c r="C189" s="8" t="n"/>
      <c r="D189" s="9" t="n"/>
      <c r="E189" s="8" t="n"/>
      <c r="F189" s="9" t="n"/>
      <c r="G189" s="9" t="n"/>
      <c r="H189" s="3">
        <f>IF(AND(D189&lt;&gt;"",F189&lt;&gt;""),F189-D189-G189,"")</f>
        <v/>
      </c>
      <c r="I189" s="14">
        <f>IF(E189&lt;&gt;"", YEARFRAC(C189, E189) * 12, "")</f>
        <v/>
      </c>
      <c r="J189" s="2">
        <f>IF(I189="", "", IF(OR(AND(A189="Listed Equity Shares", I189&gt;12), AND(A189="Unlisted Equity Shares", I189&gt;24)), "Long Term", "Short Term"))</f>
        <v/>
      </c>
      <c r="K189" s="5">
        <f>IF(J189="", "", IF(J189="Long Term", 12.5%,"as per slab"))</f>
        <v/>
      </c>
      <c r="L189" s="3">
        <f>+IFERROR(IF(J189="","",H189*K189),"as per slab")</f>
        <v/>
      </c>
    </row>
    <row r="190">
      <c r="A190" s="7" t="n"/>
      <c r="B190" s="7" t="n"/>
      <c r="C190" s="8" t="n"/>
      <c r="D190" s="9" t="n"/>
      <c r="E190" s="8" t="n"/>
      <c r="F190" s="9" t="n"/>
      <c r="G190" s="9" t="n"/>
      <c r="H190" s="3">
        <f>IF(AND(D190&lt;&gt;"",F190&lt;&gt;""),F190-D190-G190,"")</f>
        <v/>
      </c>
      <c r="I190" s="14">
        <f>IF(E190&lt;&gt;"", YEARFRAC(C190, E190) * 12, "")</f>
        <v/>
      </c>
      <c r="J190" s="2">
        <f>IF(I190="", "", IF(OR(AND(A190="Listed Equity Shares", I190&gt;12), AND(A190="Unlisted Equity Shares", I190&gt;24)), "Long Term", "Short Term"))</f>
        <v/>
      </c>
      <c r="K190" s="5">
        <f>IF(J190="", "", IF(J190="Long Term", 12.5%,"as per slab"))</f>
        <v/>
      </c>
      <c r="L190" s="3">
        <f>+IFERROR(IF(J190="","",H190*K190),"as per slab")</f>
        <v/>
      </c>
    </row>
    <row r="191">
      <c r="A191" s="7" t="n"/>
      <c r="B191" s="7" t="n"/>
      <c r="C191" s="8" t="n"/>
      <c r="D191" s="9" t="n"/>
      <c r="E191" s="8" t="n"/>
      <c r="F191" s="9" t="n"/>
      <c r="G191" s="9" t="n"/>
      <c r="H191" s="3">
        <f>IF(AND(D191&lt;&gt;"",F191&lt;&gt;""),F191-D191-G191,"")</f>
        <v/>
      </c>
      <c r="I191" s="14">
        <f>IF(E191&lt;&gt;"", YEARFRAC(C191, E191) * 12, "")</f>
        <v/>
      </c>
      <c r="J191" s="2">
        <f>IF(I191="", "", IF(OR(AND(A191="Listed Equity Shares", I191&gt;12), AND(A191="Unlisted Equity Shares", I191&gt;24)), "Long Term", "Short Term"))</f>
        <v/>
      </c>
      <c r="K191" s="5">
        <f>IF(J191="", "", IF(J191="Long Term", 12.5%,"as per slab"))</f>
        <v/>
      </c>
      <c r="L191" s="3">
        <f>+IFERROR(IF(J191="","",H191*K191),"as per slab")</f>
        <v/>
      </c>
    </row>
    <row r="192">
      <c r="A192" s="7" t="n"/>
      <c r="B192" s="7" t="n"/>
      <c r="C192" s="8" t="n"/>
      <c r="D192" s="9" t="n"/>
      <c r="E192" s="8" t="n"/>
      <c r="F192" s="9" t="n"/>
      <c r="G192" s="9" t="n"/>
      <c r="H192" s="3">
        <f>IF(AND(D192&lt;&gt;"",F192&lt;&gt;""),F192-D192-G192,"")</f>
        <v/>
      </c>
      <c r="I192" s="14">
        <f>IF(E192&lt;&gt;"", YEARFRAC(C192, E192) * 12, "")</f>
        <v/>
      </c>
      <c r="J192" s="2">
        <f>IF(I192="", "", IF(OR(AND(A192="Listed Equity Shares", I192&gt;12), AND(A192="Unlisted Equity Shares", I192&gt;24)), "Long Term", "Short Term"))</f>
        <v/>
      </c>
      <c r="K192" s="5">
        <f>IF(J192="", "", IF(J192="Long Term", 12.5%,"as per slab"))</f>
        <v/>
      </c>
      <c r="L192" s="3">
        <f>+IFERROR(IF(J192="","",H192*K192),"as per slab")</f>
        <v/>
      </c>
    </row>
    <row r="193">
      <c r="A193" s="7" t="n"/>
      <c r="B193" s="7" t="n"/>
      <c r="C193" s="8" t="n"/>
      <c r="D193" s="9" t="n"/>
      <c r="E193" s="8" t="n"/>
      <c r="F193" s="9" t="n"/>
      <c r="G193" s="9" t="n"/>
      <c r="H193" s="3">
        <f>IF(AND(D193&lt;&gt;"",F193&lt;&gt;""),F193-D193-G193,"")</f>
        <v/>
      </c>
      <c r="I193" s="14">
        <f>IF(E193&lt;&gt;"", YEARFRAC(C193, E193) * 12, "")</f>
        <v/>
      </c>
      <c r="J193" s="2">
        <f>IF(I193="", "", IF(OR(AND(A193="Listed Equity Shares", I193&gt;12), AND(A193="Unlisted Equity Shares", I193&gt;24)), "Long Term", "Short Term"))</f>
        <v/>
      </c>
      <c r="K193" s="5">
        <f>IF(J193="", "", IF(J193="Long Term", 12.5%,"as per slab"))</f>
        <v/>
      </c>
      <c r="L193" s="3">
        <f>+IFERROR(IF(J193="","",H193*K193),"as per slab")</f>
        <v/>
      </c>
    </row>
    <row r="194">
      <c r="A194" s="7" t="n"/>
      <c r="B194" s="7" t="n"/>
      <c r="C194" s="8" t="n"/>
      <c r="D194" s="9" t="n"/>
      <c r="E194" s="8" t="n"/>
      <c r="F194" s="9" t="n"/>
      <c r="G194" s="9" t="n"/>
      <c r="H194" s="3">
        <f>IF(AND(D194&lt;&gt;"",F194&lt;&gt;""),F194-D194-G194,"")</f>
        <v/>
      </c>
      <c r="I194" s="14">
        <f>IF(E194&lt;&gt;"", YEARFRAC(C194, E194) * 12, "")</f>
        <v/>
      </c>
      <c r="J194" s="2">
        <f>IF(I194="", "", IF(OR(AND(A194="Listed Equity Shares", I194&gt;12), AND(A194="Unlisted Equity Shares", I194&gt;24)), "Long Term", "Short Term"))</f>
        <v/>
      </c>
      <c r="K194" s="5">
        <f>IF(J194="", "", IF(J194="Long Term", 12.5%,"as per slab"))</f>
        <v/>
      </c>
      <c r="L194" s="3">
        <f>+IFERROR(IF(J194="","",H194*K194),"as per slab")</f>
        <v/>
      </c>
    </row>
    <row r="195">
      <c r="A195" s="7" t="n"/>
      <c r="B195" s="7" t="n"/>
      <c r="C195" s="8" t="n"/>
      <c r="D195" s="9" t="n"/>
      <c r="E195" s="8" t="n"/>
      <c r="F195" s="9" t="n"/>
      <c r="G195" s="9" t="n"/>
      <c r="H195" s="3">
        <f>IF(AND(D195&lt;&gt;"",F195&lt;&gt;""),F195-D195-G195,"")</f>
        <v/>
      </c>
      <c r="I195" s="14">
        <f>IF(E195&lt;&gt;"", YEARFRAC(C195, E195) * 12, "")</f>
        <v/>
      </c>
      <c r="J195" s="2">
        <f>IF(I195="", "", IF(OR(AND(A195="Listed Equity Shares", I195&gt;12), AND(A195="Unlisted Equity Shares", I195&gt;24)), "Long Term", "Short Term"))</f>
        <v/>
      </c>
      <c r="K195" s="5">
        <f>IF(J195="", "", IF(J195="Long Term", 12.5%,"as per slab"))</f>
        <v/>
      </c>
      <c r="L195" s="3">
        <f>+IFERROR(IF(J195="","",H195*K195),"as per slab")</f>
        <v/>
      </c>
    </row>
    <row r="196">
      <c r="A196" s="7" t="n"/>
      <c r="B196" s="7" t="n"/>
      <c r="C196" s="8" t="n"/>
      <c r="D196" s="9" t="n"/>
      <c r="E196" s="8" t="n"/>
      <c r="F196" s="9" t="n"/>
      <c r="G196" s="9" t="n"/>
      <c r="H196" s="3">
        <f>IF(AND(D196&lt;&gt;"",F196&lt;&gt;""),F196-D196-G196,"")</f>
        <v/>
      </c>
      <c r="I196" s="14">
        <f>IF(E196&lt;&gt;"", YEARFRAC(C196, E196) * 12, "")</f>
        <v/>
      </c>
      <c r="J196" s="2">
        <f>IF(I196="", "", IF(OR(AND(A196="Listed Equity Shares", I196&gt;12), AND(A196="Unlisted Equity Shares", I196&gt;24)), "Long Term", "Short Term"))</f>
        <v/>
      </c>
      <c r="K196" s="5">
        <f>IF(J196="", "", IF(J196="Long Term", 12.5%,"as per slab"))</f>
        <v/>
      </c>
      <c r="L196" s="3">
        <f>+IFERROR(IF(J196="","",H196*K196),"as per slab")</f>
        <v/>
      </c>
    </row>
    <row r="197">
      <c r="A197" s="7" t="n"/>
      <c r="B197" s="7" t="n"/>
      <c r="C197" s="8" t="n"/>
      <c r="D197" s="9" t="n"/>
      <c r="E197" s="8" t="n"/>
      <c r="F197" s="9" t="n"/>
      <c r="G197" s="9" t="n"/>
      <c r="H197" s="3">
        <f>IF(AND(D197&lt;&gt;"",F197&lt;&gt;""),F197-D197-G197,"")</f>
        <v/>
      </c>
      <c r="I197" s="14">
        <f>IF(E197&lt;&gt;"", YEARFRAC(C197, E197) * 12, "")</f>
        <v/>
      </c>
      <c r="J197" s="2">
        <f>IF(I197="", "", IF(OR(AND(A197="Listed Equity Shares", I197&gt;12), AND(A197="Unlisted Equity Shares", I197&gt;24)), "Long Term", "Short Term"))</f>
        <v/>
      </c>
      <c r="K197" s="5">
        <f>IF(J197="", "", IF(J197="Long Term", 12.5%,"as per slab"))</f>
        <v/>
      </c>
      <c r="L197" s="3">
        <f>+IFERROR(IF(J197="","",H197*K197),"as per slab")</f>
        <v/>
      </c>
    </row>
    <row r="198">
      <c r="A198" s="7" t="n"/>
      <c r="B198" s="7" t="n"/>
      <c r="C198" s="8" t="n"/>
      <c r="D198" s="9" t="n"/>
      <c r="E198" s="8" t="n"/>
      <c r="F198" s="9" t="n"/>
      <c r="G198" s="9" t="n"/>
      <c r="H198" s="3">
        <f>IF(AND(D198&lt;&gt;"",F198&lt;&gt;""),F198-D198-G198,"")</f>
        <v/>
      </c>
      <c r="I198" s="14">
        <f>IF(E198&lt;&gt;"", YEARFRAC(C198, E198) * 12, "")</f>
        <v/>
      </c>
      <c r="J198" s="2">
        <f>IF(I198="", "", IF(OR(AND(A198="Listed Equity Shares", I198&gt;12), AND(A198="Unlisted Equity Shares", I198&gt;24)), "Long Term", "Short Term"))</f>
        <v/>
      </c>
      <c r="K198" s="5">
        <f>IF(J198="", "", IF(J198="Long Term", 12.5%,"as per slab"))</f>
        <v/>
      </c>
      <c r="L198" s="3">
        <f>+IFERROR(IF(J198="","",H198*K198),"as per slab")</f>
        <v/>
      </c>
    </row>
    <row r="199">
      <c r="A199" s="7" t="n"/>
      <c r="B199" s="7" t="n"/>
      <c r="C199" s="8" t="n"/>
      <c r="D199" s="9" t="n"/>
      <c r="E199" s="8" t="n"/>
      <c r="F199" s="9" t="n"/>
      <c r="G199" s="9" t="n"/>
      <c r="H199" s="3">
        <f>IF(AND(D199&lt;&gt;"",F199&lt;&gt;""),F199-D199-G199,"")</f>
        <v/>
      </c>
      <c r="I199" s="14">
        <f>IF(E199&lt;&gt;"", YEARFRAC(C199, E199) * 12, "")</f>
        <v/>
      </c>
      <c r="J199" s="2">
        <f>IF(I199="", "", IF(OR(AND(A199="Listed Equity Shares", I199&gt;12), AND(A199="Unlisted Equity Shares", I199&gt;24)), "Long Term", "Short Term"))</f>
        <v/>
      </c>
      <c r="K199" s="5">
        <f>IF(J199="", "", IF(J199="Long Term", 12.5%,"as per slab"))</f>
        <v/>
      </c>
      <c r="L199" s="3">
        <f>+IFERROR(IF(J199="","",H199*K199),"as per slab")</f>
        <v/>
      </c>
    </row>
    <row r="200">
      <c r="A200" s="7" t="n"/>
      <c r="B200" s="7" t="n"/>
      <c r="C200" s="8" t="n"/>
      <c r="D200" s="9" t="n"/>
      <c r="E200" s="8" t="n"/>
      <c r="F200" s="9" t="n"/>
      <c r="G200" s="9" t="n"/>
      <c r="H200" s="3">
        <f>IF(AND(D200&lt;&gt;"",F200&lt;&gt;""),F200-D200-G200,"")</f>
        <v/>
      </c>
      <c r="I200" s="14">
        <f>IF(E200&lt;&gt;"", YEARFRAC(C200, E200) * 12, "")</f>
        <v/>
      </c>
      <c r="J200" s="2">
        <f>IF(I200="", "", IF(OR(AND(A200="Listed Equity Shares", I200&gt;12), AND(A200="Unlisted Equity Shares", I200&gt;24)), "Long Term", "Short Term"))</f>
        <v/>
      </c>
      <c r="K200" s="5">
        <f>IF(J200="", "", IF(J200="Long Term", 12.5%,"as per slab"))</f>
        <v/>
      </c>
      <c r="L200" s="3">
        <f>+IFERROR(IF(J200="","",H200*K200),"as per slab")</f>
        <v/>
      </c>
    </row>
    <row r="201">
      <c r="A201" s="7" t="n"/>
      <c r="B201" s="7" t="n"/>
      <c r="C201" s="8" t="n"/>
      <c r="D201" s="9" t="n"/>
      <c r="E201" s="8" t="n"/>
      <c r="F201" s="9" t="n"/>
      <c r="G201" s="9" t="n"/>
      <c r="H201" s="3">
        <f>IF(AND(D201&lt;&gt;"",F201&lt;&gt;""),F201-D201-G201,"")</f>
        <v/>
      </c>
      <c r="I201" s="14">
        <f>IF(E201&lt;&gt;"", YEARFRAC(C201, E201) * 12, "")</f>
        <v/>
      </c>
      <c r="J201" s="2">
        <f>IF(I201="", "", IF(OR(AND(A201="Listed Equity Shares", I201&gt;12), AND(A201="Unlisted Equity Shares", I201&gt;24)), "Long Term", "Short Term"))</f>
        <v/>
      </c>
      <c r="K201" s="5">
        <f>IF(J201="", "", IF(J201="Long Term", 12.5%,"as per slab"))</f>
        <v/>
      </c>
      <c r="L201" s="3">
        <f>+IFERROR(IF(J201="","",H201*K201),"as per slab")</f>
        <v/>
      </c>
    </row>
    <row r="202">
      <c r="A202" s="7" t="n"/>
      <c r="B202" s="7" t="n"/>
      <c r="C202" s="8" t="n"/>
      <c r="D202" s="9" t="n"/>
      <c r="E202" s="8" t="n"/>
      <c r="F202" s="9" t="n"/>
      <c r="G202" s="9" t="n"/>
      <c r="H202" s="3">
        <f>IF(AND(D202&lt;&gt;"",F202&lt;&gt;""),F202-D202-G202,"")</f>
        <v/>
      </c>
      <c r="I202" s="14">
        <f>IF(E202&lt;&gt;"", YEARFRAC(C202, E202) * 12, "")</f>
        <v/>
      </c>
      <c r="J202" s="2">
        <f>IF(I202="", "", IF(OR(AND(A202="Listed Equity Shares", I202&gt;12), AND(A202="Unlisted Equity Shares", I202&gt;24)), "Long Term", "Short Term"))</f>
        <v/>
      </c>
      <c r="K202" s="5">
        <f>IF(J202="", "", IF(J202="Long Term", 12.5%,"as per slab"))</f>
        <v/>
      </c>
      <c r="L202" s="3">
        <f>+IFERROR(IF(J202="","",H202*K202),"as per slab")</f>
        <v/>
      </c>
    </row>
    <row r="203">
      <c r="A203" s="7" t="n"/>
      <c r="B203" s="7" t="n"/>
      <c r="C203" s="8" t="n"/>
      <c r="D203" s="9" t="n"/>
      <c r="E203" s="8" t="n"/>
      <c r="F203" s="9" t="n"/>
      <c r="G203" s="9" t="n"/>
      <c r="H203" s="3">
        <f>IF(AND(D203&lt;&gt;"",F203&lt;&gt;""),F203-D203-G203,"")</f>
        <v/>
      </c>
      <c r="I203" s="14">
        <f>IF(E203&lt;&gt;"", YEARFRAC(C203, E203) * 12, "")</f>
        <v/>
      </c>
      <c r="J203" s="2">
        <f>IF(I203="", "", IF(OR(AND(A203="Listed Equity Shares", I203&gt;12), AND(A203="Unlisted Equity Shares", I203&gt;24)), "Long Term", "Short Term"))</f>
        <v/>
      </c>
      <c r="K203" s="5">
        <f>IF(J203="", "", IF(J203="Long Term", 12.5%,"as per slab"))</f>
        <v/>
      </c>
      <c r="L203" s="3">
        <f>+IFERROR(IF(J203="","",H203*K203),"as per slab")</f>
        <v/>
      </c>
    </row>
    <row r="204">
      <c r="A204" s="7" t="n"/>
      <c r="B204" s="7" t="n"/>
      <c r="C204" s="8" t="n"/>
      <c r="D204" s="9" t="n"/>
      <c r="E204" s="8" t="n"/>
      <c r="F204" s="9" t="n"/>
      <c r="G204" s="9" t="n"/>
      <c r="H204" s="3">
        <f>IF(AND(D204&lt;&gt;"",F204&lt;&gt;""),F204-D204-G204,"")</f>
        <v/>
      </c>
      <c r="I204" s="14">
        <f>IF(E204&lt;&gt;"", YEARFRAC(C204, E204) * 12, "")</f>
        <v/>
      </c>
      <c r="J204" s="2">
        <f>IF(I204="", "", IF(OR(AND(A204="Listed Equity Shares", I204&gt;12), AND(A204="Unlisted Equity Shares", I204&gt;24)), "Long Term", "Short Term"))</f>
        <v/>
      </c>
      <c r="K204" s="5">
        <f>IF(J204="", "", IF(J204="Long Term", 12.5%,"as per slab"))</f>
        <v/>
      </c>
      <c r="L204" s="3">
        <f>+IFERROR(IF(J204="","",H204*K204),"as per slab")</f>
        <v/>
      </c>
    </row>
    <row r="205">
      <c r="A205" s="7" t="n"/>
      <c r="B205" s="7" t="n"/>
      <c r="C205" s="8" t="n"/>
      <c r="D205" s="9" t="n"/>
      <c r="E205" s="8" t="n"/>
      <c r="F205" s="9" t="n"/>
      <c r="G205" s="9" t="n"/>
      <c r="H205" s="3">
        <f>IF(AND(D205&lt;&gt;"",F205&lt;&gt;""),F205-D205-G205,"")</f>
        <v/>
      </c>
      <c r="I205" s="14">
        <f>IF(E205&lt;&gt;"", YEARFRAC(C205, E205) * 12, "")</f>
        <v/>
      </c>
      <c r="J205" s="2">
        <f>IF(I205="", "", IF(OR(AND(A205="Listed Equity Shares", I205&gt;12), AND(A205="Unlisted Equity Shares", I205&gt;24)), "Long Term", "Short Term"))</f>
        <v/>
      </c>
      <c r="K205" s="5">
        <f>IF(J205="", "", IF(J205="Long Term", 12.5%,"as per slab"))</f>
        <v/>
      </c>
      <c r="L205" s="3">
        <f>+IFERROR(IF(J205="","",H205*K205),"as per slab")</f>
        <v/>
      </c>
    </row>
    <row r="206">
      <c r="A206" s="7" t="n"/>
      <c r="B206" s="7" t="n"/>
      <c r="C206" s="8" t="n"/>
      <c r="D206" s="9" t="n"/>
      <c r="E206" s="8" t="n"/>
      <c r="F206" s="9" t="n"/>
      <c r="G206" s="9" t="n"/>
      <c r="H206" s="3">
        <f>IF(AND(D206&lt;&gt;"",F206&lt;&gt;""),F206-D206-G206,"")</f>
        <v/>
      </c>
      <c r="I206" s="14">
        <f>IF(E206&lt;&gt;"", YEARFRAC(C206, E206) * 12, "")</f>
        <v/>
      </c>
      <c r="J206" s="2">
        <f>IF(I206="", "", IF(OR(AND(A206="Listed Equity Shares", I206&gt;12), AND(A206="Unlisted Equity Shares", I206&gt;24)), "Long Term", "Short Term"))</f>
        <v/>
      </c>
      <c r="K206" s="5">
        <f>IF(J206="", "", IF(J206="Long Term", 12.5%,"as per slab"))</f>
        <v/>
      </c>
      <c r="L206" s="3">
        <f>+IFERROR(IF(J206="","",H206*K206),"as per slab")</f>
        <v/>
      </c>
    </row>
    <row r="207">
      <c r="A207" s="7" t="n"/>
      <c r="B207" s="7" t="n"/>
      <c r="C207" s="8" t="n"/>
      <c r="D207" s="9" t="n"/>
      <c r="E207" s="8" t="n"/>
      <c r="F207" s="9" t="n"/>
      <c r="G207" s="9" t="n"/>
      <c r="H207" s="3">
        <f>IF(AND(D207&lt;&gt;"",F207&lt;&gt;""),F207-D207-G207,"")</f>
        <v/>
      </c>
      <c r="I207" s="14">
        <f>IF(E207&lt;&gt;"", YEARFRAC(C207, E207) * 12, "")</f>
        <v/>
      </c>
      <c r="J207" s="2">
        <f>IF(I207="", "", IF(OR(AND(A207="Listed Equity Shares", I207&gt;12), AND(A207="Unlisted Equity Shares", I207&gt;24)), "Long Term", "Short Term"))</f>
        <v/>
      </c>
      <c r="K207" s="5">
        <f>IF(J207="", "", IF(J207="Long Term", 12.5%,"as per slab"))</f>
        <v/>
      </c>
      <c r="L207" s="3">
        <f>+IFERROR(IF(J207="","",H207*K207),"as per slab")</f>
        <v/>
      </c>
    </row>
    <row r="208">
      <c r="A208" s="7" t="n"/>
      <c r="B208" s="7" t="n"/>
      <c r="C208" s="8" t="n"/>
      <c r="D208" s="9" t="n"/>
      <c r="E208" s="8" t="n"/>
      <c r="F208" s="9" t="n"/>
      <c r="G208" s="9" t="n"/>
      <c r="H208" s="3">
        <f>IF(AND(D208&lt;&gt;"",F208&lt;&gt;""),F208-D208-G208,"")</f>
        <v/>
      </c>
      <c r="I208" s="14">
        <f>IF(E208&lt;&gt;"", YEARFRAC(C208, E208) * 12, "")</f>
        <v/>
      </c>
      <c r="J208" s="2">
        <f>IF(I208="", "", IF(OR(AND(A208="Listed Equity Shares", I208&gt;12), AND(A208="Unlisted Equity Shares", I208&gt;24)), "Long Term", "Short Term"))</f>
        <v/>
      </c>
      <c r="K208" s="5">
        <f>IF(J208="", "", IF(J208="Long Term", 12.5%,"as per slab"))</f>
        <v/>
      </c>
      <c r="L208" s="3">
        <f>+IFERROR(IF(J208="","",H208*K208),"as per slab")</f>
        <v/>
      </c>
    </row>
    <row r="209">
      <c r="A209" s="7" t="n"/>
      <c r="B209" s="7" t="n"/>
      <c r="C209" s="8" t="n"/>
      <c r="D209" s="9" t="n"/>
      <c r="E209" s="8" t="n"/>
      <c r="F209" s="9" t="n"/>
      <c r="G209" s="9" t="n"/>
      <c r="H209" s="3">
        <f>IF(AND(D209&lt;&gt;"",F209&lt;&gt;""),F209-D209-G209,"")</f>
        <v/>
      </c>
      <c r="I209" s="14">
        <f>IF(E209&lt;&gt;"", YEARFRAC(C209, E209) * 12, "")</f>
        <v/>
      </c>
      <c r="J209" s="2">
        <f>IF(I209="", "", IF(OR(AND(A209="Listed Equity Shares", I209&gt;12), AND(A209="Unlisted Equity Shares", I209&gt;24)), "Long Term", "Short Term"))</f>
        <v/>
      </c>
      <c r="K209" s="5">
        <f>IF(J209="", "", IF(J209="Long Term", 12.5%,"as per slab"))</f>
        <v/>
      </c>
      <c r="L209" s="3">
        <f>+IFERROR(IF(J209="","",H209*K209),"as per slab")</f>
        <v/>
      </c>
    </row>
    <row r="210">
      <c r="A210" s="7" t="n"/>
      <c r="B210" s="7" t="n"/>
      <c r="C210" s="8" t="n"/>
      <c r="D210" s="9" t="n"/>
      <c r="E210" s="8" t="n"/>
      <c r="F210" s="9" t="n"/>
      <c r="G210" s="9" t="n"/>
      <c r="H210" s="3">
        <f>IF(AND(D210&lt;&gt;"",F210&lt;&gt;""),F210-D210-G210,"")</f>
        <v/>
      </c>
      <c r="I210" s="14">
        <f>IF(E210&lt;&gt;"", YEARFRAC(C210, E210) * 12, "")</f>
        <v/>
      </c>
      <c r="J210" s="2">
        <f>IF(I210="", "", IF(OR(AND(A210="Listed Equity Shares", I210&gt;12), AND(A210="Unlisted Equity Shares", I210&gt;24)), "Long Term", "Short Term"))</f>
        <v/>
      </c>
      <c r="K210" s="5">
        <f>IF(J210="", "", IF(J210="Long Term", 12.5%,"as per slab"))</f>
        <v/>
      </c>
      <c r="L210" s="3">
        <f>+IFERROR(IF(J210="","",H210*K210),"as per slab")</f>
        <v/>
      </c>
    </row>
    <row r="211">
      <c r="A211" s="7" t="n"/>
      <c r="B211" s="7" t="n"/>
      <c r="C211" s="8" t="n"/>
      <c r="D211" s="9" t="n"/>
      <c r="E211" s="8" t="n"/>
      <c r="F211" s="9" t="n"/>
      <c r="G211" s="9" t="n"/>
      <c r="H211" s="3">
        <f>IF(AND(D211&lt;&gt;"",F211&lt;&gt;""),F211-D211-G211,"")</f>
        <v/>
      </c>
      <c r="I211" s="14">
        <f>IF(E211&lt;&gt;"", YEARFRAC(C211, E211) * 12, "")</f>
        <v/>
      </c>
      <c r="J211" s="2">
        <f>IF(I211="", "", IF(OR(AND(A211="Listed Equity Shares", I211&gt;12), AND(A211="Unlisted Equity Shares", I211&gt;24)), "Long Term", "Short Term"))</f>
        <v/>
      </c>
      <c r="K211" s="5">
        <f>IF(J211="", "", IF(J211="Long Term", 12.5%,"as per slab"))</f>
        <v/>
      </c>
      <c r="L211" s="3">
        <f>+IFERROR(IF(J211="","",H211*K211),"as per slab")</f>
        <v/>
      </c>
    </row>
    <row r="212">
      <c r="A212" s="7" t="n"/>
      <c r="B212" s="7" t="n"/>
      <c r="C212" s="8" t="n"/>
      <c r="D212" s="9" t="n"/>
      <c r="E212" s="8" t="n"/>
      <c r="F212" s="9" t="n"/>
      <c r="G212" s="9" t="n"/>
      <c r="H212" s="3">
        <f>IF(AND(D212&lt;&gt;"",F212&lt;&gt;""),F212-D212-G212,"")</f>
        <v/>
      </c>
      <c r="I212" s="14">
        <f>IF(E212&lt;&gt;"", YEARFRAC(C212, E212) * 12, "")</f>
        <v/>
      </c>
      <c r="J212" s="2">
        <f>IF(I212="", "", IF(OR(AND(A212="Listed Equity Shares", I212&gt;12), AND(A212="Unlisted Equity Shares", I212&gt;24)), "Long Term", "Short Term"))</f>
        <v/>
      </c>
      <c r="K212" s="5">
        <f>IF(J212="", "", IF(J212="Long Term", 12.5%,"as per slab"))</f>
        <v/>
      </c>
      <c r="L212" s="3">
        <f>+IFERROR(IF(J212="","",H212*K212),"as per slab")</f>
        <v/>
      </c>
    </row>
    <row r="213">
      <c r="A213" s="7" t="n"/>
      <c r="B213" s="7" t="n"/>
      <c r="C213" s="8" t="n"/>
      <c r="D213" s="9" t="n"/>
      <c r="E213" s="8" t="n"/>
      <c r="F213" s="9" t="n"/>
      <c r="G213" s="9" t="n"/>
      <c r="H213" s="3">
        <f>IF(AND(D213&lt;&gt;"",F213&lt;&gt;""),F213-D213-G213,"")</f>
        <v/>
      </c>
      <c r="I213" s="14">
        <f>IF(E213&lt;&gt;"", YEARFRAC(C213, E213) * 12, "")</f>
        <v/>
      </c>
      <c r="J213" s="2">
        <f>IF(I213="", "", IF(OR(AND(A213="Listed Equity Shares", I213&gt;12), AND(A213="Unlisted Equity Shares", I213&gt;24)), "Long Term", "Short Term"))</f>
        <v/>
      </c>
      <c r="K213" s="5">
        <f>IF(J213="", "", IF(J213="Long Term", 12.5%,"as per slab"))</f>
        <v/>
      </c>
      <c r="L213" s="3">
        <f>+IFERROR(IF(J213="","",H213*K213),"as per slab")</f>
        <v/>
      </c>
    </row>
    <row r="214">
      <c r="A214" s="7" t="n"/>
      <c r="B214" s="7" t="n"/>
      <c r="C214" s="8" t="n"/>
      <c r="D214" s="9" t="n"/>
      <c r="E214" s="8" t="n"/>
      <c r="F214" s="9" t="n"/>
      <c r="G214" s="9" t="n"/>
      <c r="H214" s="3">
        <f>IF(AND(D214&lt;&gt;"",F214&lt;&gt;""),F214-D214-G214,"")</f>
        <v/>
      </c>
      <c r="I214" s="14">
        <f>IF(E214&lt;&gt;"", YEARFRAC(C214, E214) * 12, "")</f>
        <v/>
      </c>
      <c r="J214" s="2">
        <f>IF(I214="", "", IF(OR(AND(A214="Listed Equity Shares", I214&gt;12), AND(A214="Unlisted Equity Shares", I214&gt;24)), "Long Term", "Short Term"))</f>
        <v/>
      </c>
      <c r="K214" s="5">
        <f>IF(J214="", "", IF(J214="Long Term", 12.5%,"as per slab"))</f>
        <v/>
      </c>
      <c r="L214" s="3">
        <f>+IFERROR(IF(J214="","",H214*K214),"as per slab")</f>
        <v/>
      </c>
    </row>
    <row r="215">
      <c r="A215" s="7" t="n"/>
      <c r="B215" s="7" t="n"/>
      <c r="C215" s="8" t="n"/>
      <c r="D215" s="9" t="n"/>
      <c r="E215" s="8" t="n"/>
      <c r="F215" s="9" t="n"/>
      <c r="G215" s="9" t="n"/>
      <c r="H215" s="3">
        <f>IF(AND(D215&lt;&gt;"",F215&lt;&gt;""),F215-D215-G215,"")</f>
        <v/>
      </c>
      <c r="I215" s="14">
        <f>IF(E215&lt;&gt;"", YEARFRAC(C215, E215) * 12, "")</f>
        <v/>
      </c>
      <c r="J215" s="2">
        <f>IF(I215="", "", IF(OR(AND(A215="Listed Equity Shares", I215&gt;12), AND(A215="Unlisted Equity Shares", I215&gt;24)), "Long Term", "Short Term"))</f>
        <v/>
      </c>
      <c r="K215" s="5">
        <f>IF(J215="", "", IF(J215="Long Term", 12.5%,"as per slab"))</f>
        <v/>
      </c>
      <c r="L215" s="3">
        <f>+IFERROR(IF(J215="","",H215*K215),"as per slab")</f>
        <v/>
      </c>
    </row>
    <row r="216">
      <c r="A216" s="7" t="n"/>
      <c r="B216" s="7" t="n"/>
      <c r="C216" s="8" t="n"/>
      <c r="D216" s="9" t="n"/>
      <c r="E216" s="8" t="n"/>
      <c r="F216" s="9" t="n"/>
      <c r="G216" s="9" t="n"/>
      <c r="H216" s="3">
        <f>IF(AND(D216&lt;&gt;"",F216&lt;&gt;""),F216-D216-G216,"")</f>
        <v/>
      </c>
      <c r="I216" s="14">
        <f>IF(E216&lt;&gt;"", YEARFRAC(C216, E216) * 12, "")</f>
        <v/>
      </c>
      <c r="J216" s="2">
        <f>IF(I216="", "", IF(OR(AND(A216="Listed Equity Shares", I216&gt;12), AND(A216="Unlisted Equity Shares", I216&gt;24)), "Long Term", "Short Term"))</f>
        <v/>
      </c>
      <c r="K216" s="5">
        <f>IF(J216="", "", IF(J216="Long Term", 12.5%,"as per slab"))</f>
        <v/>
      </c>
      <c r="L216" s="3">
        <f>+IFERROR(IF(J216="","",H216*K216),"as per slab")</f>
        <v/>
      </c>
    </row>
    <row r="217">
      <c r="A217" s="7" t="n"/>
      <c r="B217" s="7" t="n"/>
      <c r="C217" s="8" t="n"/>
      <c r="D217" s="9" t="n"/>
      <c r="E217" s="8" t="n"/>
      <c r="F217" s="9" t="n"/>
      <c r="G217" s="9" t="n"/>
      <c r="H217" s="3">
        <f>IF(AND(D217&lt;&gt;"",F217&lt;&gt;""),F217-D217-G217,"")</f>
        <v/>
      </c>
      <c r="I217" s="14">
        <f>IF(E217&lt;&gt;"", YEARFRAC(C217, E217) * 12, "")</f>
        <v/>
      </c>
      <c r="J217" s="2">
        <f>IF(I217="", "", IF(OR(AND(A217="Listed Equity Shares", I217&gt;12), AND(A217="Unlisted Equity Shares", I217&gt;24)), "Long Term", "Short Term"))</f>
        <v/>
      </c>
      <c r="K217" s="5">
        <f>IF(J217="", "", IF(J217="Long Term", 12.5%,"as per slab"))</f>
        <v/>
      </c>
      <c r="L217" s="3">
        <f>+IFERROR(IF(J217="","",H217*K217),"as per slab")</f>
        <v/>
      </c>
    </row>
    <row r="218">
      <c r="A218" s="7" t="n"/>
      <c r="B218" s="7" t="n"/>
      <c r="C218" s="8" t="n"/>
      <c r="D218" s="9" t="n"/>
      <c r="E218" s="8" t="n"/>
      <c r="F218" s="9" t="n"/>
      <c r="G218" s="9" t="n"/>
      <c r="H218" s="3">
        <f>IF(AND(D218&lt;&gt;"",F218&lt;&gt;""),F218-D218-G218,"")</f>
        <v/>
      </c>
      <c r="I218" s="14">
        <f>IF(E218&lt;&gt;"", YEARFRAC(C218, E218) * 12, "")</f>
        <v/>
      </c>
      <c r="J218" s="2">
        <f>IF(I218="", "", IF(OR(AND(A218="Listed Equity Shares", I218&gt;12), AND(A218="Unlisted Equity Shares", I218&gt;24)), "Long Term", "Short Term"))</f>
        <v/>
      </c>
      <c r="K218" s="5">
        <f>IF(J218="", "", IF(J218="Long Term", 12.5%,"as per slab"))</f>
        <v/>
      </c>
      <c r="L218" s="3">
        <f>+IFERROR(IF(J218="","",H218*K218),"as per slab")</f>
        <v/>
      </c>
    </row>
    <row r="219">
      <c r="A219" s="7" t="n"/>
      <c r="B219" s="7" t="n"/>
      <c r="C219" s="8" t="n"/>
      <c r="D219" s="9" t="n"/>
      <c r="E219" s="8" t="n"/>
      <c r="F219" s="9" t="n"/>
      <c r="G219" s="9" t="n"/>
      <c r="H219" s="3">
        <f>IF(AND(D219&lt;&gt;"",F219&lt;&gt;""),F219-D219-G219,"")</f>
        <v/>
      </c>
      <c r="I219" s="14">
        <f>IF(E219&lt;&gt;"", YEARFRAC(C219, E219) * 12, "")</f>
        <v/>
      </c>
      <c r="J219" s="2">
        <f>IF(I219="", "", IF(OR(AND(A219="Listed Equity Shares", I219&gt;12), AND(A219="Unlisted Equity Shares", I219&gt;24)), "Long Term", "Short Term"))</f>
        <v/>
      </c>
      <c r="K219" s="5">
        <f>IF(J219="", "", IF(J219="Long Term", 12.5%,"as per slab"))</f>
        <v/>
      </c>
      <c r="L219" s="3">
        <f>+IFERROR(IF(J219="","",H219*K219),"as per slab")</f>
        <v/>
      </c>
    </row>
    <row r="220">
      <c r="A220" s="7" t="n"/>
      <c r="B220" s="7" t="n"/>
      <c r="C220" s="8" t="n"/>
      <c r="D220" s="9" t="n"/>
      <c r="E220" s="8" t="n"/>
      <c r="F220" s="9" t="n"/>
      <c r="G220" s="9" t="n"/>
      <c r="H220" s="3">
        <f>IF(AND(D220&lt;&gt;"",F220&lt;&gt;""),F220-D220-G220,"")</f>
        <v/>
      </c>
      <c r="I220" s="14">
        <f>IF(E220&lt;&gt;"", YEARFRAC(C220, E220) * 12, "")</f>
        <v/>
      </c>
      <c r="J220" s="2">
        <f>IF(I220="", "", IF(OR(AND(A220="Listed Equity Shares", I220&gt;12), AND(A220="Unlisted Equity Shares", I220&gt;24)), "Long Term", "Short Term"))</f>
        <v/>
      </c>
      <c r="K220" s="5">
        <f>IF(J220="", "", IF(J220="Long Term", 12.5%,"as per slab"))</f>
        <v/>
      </c>
      <c r="L220" s="3">
        <f>+IFERROR(IF(J220="","",H220*K220),"as per slab")</f>
        <v/>
      </c>
    </row>
    <row r="221">
      <c r="A221" s="7" t="n"/>
      <c r="B221" s="7" t="n"/>
      <c r="C221" s="8" t="n"/>
      <c r="D221" s="9" t="n"/>
      <c r="E221" s="8" t="n"/>
      <c r="F221" s="9" t="n"/>
      <c r="G221" s="9" t="n"/>
      <c r="H221" s="3">
        <f>IF(AND(D221&lt;&gt;"",F221&lt;&gt;""),F221-D221-G221,"")</f>
        <v/>
      </c>
      <c r="I221" s="14">
        <f>IF(E221&lt;&gt;"", YEARFRAC(C221, E221) * 12, "")</f>
        <v/>
      </c>
      <c r="J221" s="2">
        <f>IF(I221="", "", IF(OR(AND(A221="Listed Equity Shares", I221&gt;12), AND(A221="Unlisted Equity Shares", I221&gt;24)), "Long Term", "Short Term"))</f>
        <v/>
      </c>
      <c r="K221" s="5">
        <f>IF(J221="", "", IF(J221="Long Term", 12.5%,"as per slab"))</f>
        <v/>
      </c>
      <c r="L221" s="3">
        <f>+IFERROR(IF(J221="","",H221*K221),"as per slab")</f>
        <v/>
      </c>
    </row>
    <row r="222">
      <c r="A222" s="7" t="n"/>
      <c r="B222" s="7" t="n"/>
      <c r="C222" s="8" t="n"/>
      <c r="D222" s="9" t="n"/>
      <c r="E222" s="8" t="n"/>
      <c r="F222" s="9" t="n"/>
      <c r="G222" s="9" t="n"/>
      <c r="H222" s="3">
        <f>IF(AND(D222&lt;&gt;"",F222&lt;&gt;""),F222-D222-G222,"")</f>
        <v/>
      </c>
      <c r="I222" s="14">
        <f>IF(E222&lt;&gt;"", YEARFRAC(C222, E222) * 12, "")</f>
        <v/>
      </c>
      <c r="J222" s="2">
        <f>IF(I222="", "", IF(OR(AND(A222="Listed Equity Shares", I222&gt;12), AND(A222="Unlisted Equity Shares", I222&gt;24)), "Long Term", "Short Term"))</f>
        <v/>
      </c>
      <c r="K222" s="5">
        <f>IF(J222="", "", IF(J222="Long Term", 12.5%,"as per slab"))</f>
        <v/>
      </c>
      <c r="L222" s="3">
        <f>+IFERROR(IF(J222="","",H222*K222),"as per slab")</f>
        <v/>
      </c>
    </row>
    <row r="223">
      <c r="A223" s="7" t="n"/>
      <c r="B223" s="7" t="n"/>
      <c r="C223" s="8" t="n"/>
      <c r="D223" s="9" t="n"/>
      <c r="E223" s="8" t="n"/>
      <c r="F223" s="9" t="n"/>
      <c r="G223" s="9" t="n"/>
      <c r="H223" s="3">
        <f>IF(AND(D223&lt;&gt;"",F223&lt;&gt;""),F223-D223-G223,"")</f>
        <v/>
      </c>
      <c r="I223" s="14">
        <f>IF(E223&lt;&gt;"", YEARFRAC(C223, E223) * 12, "")</f>
        <v/>
      </c>
      <c r="J223" s="2">
        <f>IF(I223="", "", IF(OR(AND(A223="Listed Equity Shares", I223&gt;12), AND(A223="Unlisted Equity Shares", I223&gt;24)), "Long Term", "Short Term"))</f>
        <v/>
      </c>
      <c r="K223" s="5">
        <f>IF(J223="", "", IF(J223="Long Term", 12.5%,"as per slab"))</f>
        <v/>
      </c>
      <c r="L223" s="3">
        <f>+IFERROR(IF(J223="","",H223*K223),"as per slab")</f>
        <v/>
      </c>
    </row>
    <row r="224">
      <c r="A224" s="7" t="n"/>
      <c r="B224" s="7" t="n"/>
      <c r="C224" s="8" t="n"/>
      <c r="D224" s="9" t="n"/>
      <c r="E224" s="8" t="n"/>
      <c r="F224" s="9" t="n"/>
      <c r="G224" s="9" t="n"/>
      <c r="H224" s="3">
        <f>IF(AND(D224&lt;&gt;"",F224&lt;&gt;""),F224-D224-G224,"")</f>
        <v/>
      </c>
      <c r="I224" s="14">
        <f>IF(E224&lt;&gt;"", YEARFRAC(C224, E224) * 12, "")</f>
        <v/>
      </c>
      <c r="J224" s="2">
        <f>IF(I224="", "", IF(OR(AND(A224="Listed Equity Shares", I224&gt;12), AND(A224="Unlisted Equity Shares", I224&gt;24)), "Long Term", "Short Term"))</f>
        <v/>
      </c>
      <c r="K224" s="5">
        <f>IF(J224="", "", IF(J224="Long Term", 12.5%,"as per slab"))</f>
        <v/>
      </c>
      <c r="L224" s="3">
        <f>+IFERROR(IF(J224="","",H224*K224),"as per slab")</f>
        <v/>
      </c>
    </row>
    <row r="225">
      <c r="A225" s="7" t="n"/>
      <c r="B225" s="7" t="n"/>
      <c r="C225" s="8" t="n"/>
      <c r="D225" s="9" t="n"/>
      <c r="E225" s="8" t="n"/>
      <c r="F225" s="9" t="n"/>
      <c r="G225" s="9" t="n"/>
      <c r="H225" s="3">
        <f>IF(AND(D225&lt;&gt;"",F225&lt;&gt;""),F225-D225-G225,"")</f>
        <v/>
      </c>
      <c r="I225" s="14">
        <f>IF(E225&lt;&gt;"", YEARFRAC(C225, E225) * 12, "")</f>
        <v/>
      </c>
      <c r="J225" s="2">
        <f>IF(I225="", "", IF(OR(AND(A225="Listed Equity Shares", I225&gt;12), AND(A225="Unlisted Equity Shares", I225&gt;24)), "Long Term", "Short Term"))</f>
        <v/>
      </c>
      <c r="K225" s="5">
        <f>IF(J225="", "", IF(J225="Long Term", 12.5%,"as per slab"))</f>
        <v/>
      </c>
      <c r="L225" s="3">
        <f>+IFERROR(IF(J225="","",H225*K225),"as per slab")</f>
        <v/>
      </c>
    </row>
    <row r="226">
      <c r="A226" s="7" t="n"/>
      <c r="B226" s="7" t="n"/>
      <c r="C226" s="8" t="n"/>
      <c r="D226" s="9" t="n"/>
      <c r="E226" s="8" t="n"/>
      <c r="F226" s="9" t="n"/>
      <c r="G226" s="9" t="n"/>
      <c r="H226" s="3">
        <f>IF(AND(D226&lt;&gt;"",F226&lt;&gt;""),F226-D226-G226,"")</f>
        <v/>
      </c>
      <c r="I226" s="14">
        <f>IF(E226&lt;&gt;"", YEARFRAC(C226, E226) * 12, "")</f>
        <v/>
      </c>
      <c r="J226" s="2">
        <f>IF(I226="", "", IF(OR(AND(A226="Listed Equity Shares", I226&gt;12), AND(A226="Unlisted Equity Shares", I226&gt;24)), "Long Term", "Short Term"))</f>
        <v/>
      </c>
      <c r="K226" s="5">
        <f>IF(J226="", "", IF(J226="Long Term", 12.5%,"as per slab"))</f>
        <v/>
      </c>
      <c r="L226" s="3">
        <f>+IFERROR(IF(J226="","",H226*K226),"as per slab")</f>
        <v/>
      </c>
    </row>
    <row r="227">
      <c r="A227" s="7" t="n"/>
      <c r="B227" s="7" t="n"/>
      <c r="C227" s="8" t="n"/>
      <c r="D227" s="9" t="n"/>
      <c r="E227" s="8" t="n"/>
      <c r="F227" s="9" t="n"/>
      <c r="G227" s="9" t="n"/>
      <c r="H227" s="3">
        <f>IF(AND(D227&lt;&gt;"",F227&lt;&gt;""),F227-D227-G227,"")</f>
        <v/>
      </c>
      <c r="I227" s="14">
        <f>IF(E227&lt;&gt;"", YEARFRAC(C227, E227) * 12, "")</f>
        <v/>
      </c>
      <c r="J227" s="2">
        <f>IF(I227="", "", IF(OR(AND(A227="Listed Equity Shares", I227&gt;12), AND(A227="Unlisted Equity Shares", I227&gt;24)), "Long Term", "Short Term"))</f>
        <v/>
      </c>
      <c r="K227" s="5">
        <f>IF(J227="", "", IF(J227="Long Term", 12.5%,"as per slab"))</f>
        <v/>
      </c>
      <c r="L227" s="3">
        <f>+IFERROR(IF(J227="","",H227*K227),"as per slab")</f>
        <v/>
      </c>
    </row>
    <row r="228">
      <c r="A228" s="7" t="n"/>
      <c r="B228" s="7" t="n"/>
      <c r="C228" s="8" t="n"/>
      <c r="D228" s="9" t="n"/>
      <c r="E228" s="8" t="n"/>
      <c r="F228" s="9" t="n"/>
      <c r="G228" s="9" t="n"/>
      <c r="H228" s="3">
        <f>IF(AND(D228&lt;&gt;"",F228&lt;&gt;""),F228-D228-G228,"")</f>
        <v/>
      </c>
      <c r="I228" s="14">
        <f>IF(E228&lt;&gt;"", YEARFRAC(C228, E228) * 12, "")</f>
        <v/>
      </c>
      <c r="J228" s="2">
        <f>IF(I228="", "", IF(OR(AND(A228="Listed Equity Shares", I228&gt;12), AND(A228="Unlisted Equity Shares", I228&gt;24)), "Long Term", "Short Term"))</f>
        <v/>
      </c>
      <c r="K228" s="5">
        <f>IF(J228="", "", IF(J228="Long Term", 12.5%,"as per slab"))</f>
        <v/>
      </c>
      <c r="L228" s="3">
        <f>+IFERROR(IF(J228="","",H228*K228),"as per slab")</f>
        <v/>
      </c>
    </row>
    <row r="229">
      <c r="A229" s="7" t="n"/>
      <c r="B229" s="7" t="n"/>
      <c r="C229" s="8" t="n"/>
      <c r="D229" s="9" t="n"/>
      <c r="E229" s="8" t="n"/>
      <c r="F229" s="9" t="n"/>
      <c r="G229" s="9" t="n"/>
      <c r="H229" s="3">
        <f>IF(AND(D229&lt;&gt;"",F229&lt;&gt;""),F229-D229-G229,"")</f>
        <v/>
      </c>
      <c r="I229" s="14">
        <f>IF(E229&lt;&gt;"", YEARFRAC(C229, E229) * 12, "")</f>
        <v/>
      </c>
      <c r="J229" s="2">
        <f>IF(I229="", "", IF(OR(AND(A229="Listed Equity Shares", I229&gt;12), AND(A229="Unlisted Equity Shares", I229&gt;24)), "Long Term", "Short Term"))</f>
        <v/>
      </c>
      <c r="K229" s="5">
        <f>IF(J229="", "", IF(J229="Long Term", 12.5%,"as per slab"))</f>
        <v/>
      </c>
      <c r="L229" s="3">
        <f>+IFERROR(IF(J229="","",H229*K229),"as per slab")</f>
        <v/>
      </c>
    </row>
    <row r="230">
      <c r="A230" s="7" t="n"/>
      <c r="B230" s="7" t="n"/>
      <c r="C230" s="8" t="n"/>
      <c r="D230" s="9" t="n"/>
      <c r="E230" s="8" t="n"/>
      <c r="F230" s="9" t="n"/>
      <c r="G230" s="9" t="n"/>
      <c r="H230" s="3">
        <f>IF(AND(D230&lt;&gt;"",F230&lt;&gt;""),F230-D230-G230,"")</f>
        <v/>
      </c>
      <c r="I230" s="14">
        <f>IF(E230&lt;&gt;"", YEARFRAC(C230, E230) * 12, "")</f>
        <v/>
      </c>
      <c r="J230" s="2">
        <f>IF(I230="", "", IF(OR(AND(A230="Listed Equity Shares", I230&gt;12), AND(A230="Unlisted Equity Shares", I230&gt;24)), "Long Term", "Short Term"))</f>
        <v/>
      </c>
      <c r="K230" s="5">
        <f>IF(J230="", "", IF(J230="Long Term", 12.5%,"as per slab"))</f>
        <v/>
      </c>
      <c r="L230" s="3">
        <f>+IFERROR(IF(J230="","",H230*K230),"as per slab")</f>
        <v/>
      </c>
    </row>
    <row r="231">
      <c r="A231" s="7" t="n"/>
      <c r="B231" s="7" t="n"/>
      <c r="C231" s="8" t="n"/>
      <c r="D231" s="9" t="n"/>
      <c r="E231" s="8" t="n"/>
      <c r="F231" s="9" t="n"/>
      <c r="G231" s="9" t="n"/>
      <c r="H231" s="3">
        <f>IF(AND(D231&lt;&gt;"",F231&lt;&gt;""),F231-D231-G231,"")</f>
        <v/>
      </c>
      <c r="I231" s="14">
        <f>IF(E231&lt;&gt;"", YEARFRAC(C231, E231) * 12, "")</f>
        <v/>
      </c>
      <c r="J231" s="2">
        <f>IF(I231="", "", IF(OR(AND(A231="Listed Equity Shares", I231&gt;12), AND(A231="Unlisted Equity Shares", I231&gt;24)), "Long Term", "Short Term"))</f>
        <v/>
      </c>
      <c r="K231" s="5">
        <f>IF(J231="", "", IF(J231="Long Term", 12.5%,"as per slab"))</f>
        <v/>
      </c>
      <c r="L231" s="3">
        <f>+IFERROR(IF(J231="","",H231*K231),"as per slab")</f>
        <v/>
      </c>
    </row>
    <row r="232">
      <c r="A232" s="7" t="n"/>
      <c r="B232" s="7" t="n"/>
      <c r="C232" s="8" t="n"/>
      <c r="D232" s="9" t="n"/>
      <c r="E232" s="8" t="n"/>
      <c r="F232" s="9" t="n"/>
      <c r="G232" s="9" t="n"/>
      <c r="H232" s="3">
        <f>IF(AND(D232&lt;&gt;"",F232&lt;&gt;""),F232-D232-G232,"")</f>
        <v/>
      </c>
      <c r="I232" s="14">
        <f>IF(E232&lt;&gt;"", YEARFRAC(C232, E232) * 12, "")</f>
        <v/>
      </c>
      <c r="J232" s="2">
        <f>IF(I232="", "", IF(OR(AND(A232="Listed Equity Shares", I232&gt;12), AND(A232="Unlisted Equity Shares", I232&gt;24)), "Long Term", "Short Term"))</f>
        <v/>
      </c>
      <c r="K232" s="5">
        <f>IF(J232="", "", IF(J232="Long Term", 12.5%,"as per slab"))</f>
        <v/>
      </c>
      <c r="L232" s="3">
        <f>+IFERROR(IF(J232="","",H232*K232),"as per slab")</f>
        <v/>
      </c>
    </row>
    <row r="233">
      <c r="A233" s="7" t="n"/>
      <c r="B233" s="7" t="n"/>
      <c r="C233" s="8" t="n"/>
      <c r="D233" s="9" t="n"/>
      <c r="E233" s="8" t="n"/>
      <c r="F233" s="9" t="n"/>
      <c r="G233" s="9" t="n"/>
      <c r="H233" s="3">
        <f>IF(AND(D233&lt;&gt;"",F233&lt;&gt;""),F233-D233-G233,"")</f>
        <v/>
      </c>
      <c r="I233" s="14">
        <f>IF(E233&lt;&gt;"", YEARFRAC(C233, E233) * 12, "")</f>
        <v/>
      </c>
      <c r="J233" s="2">
        <f>IF(I233="", "", IF(OR(AND(A233="Listed Equity Shares", I233&gt;12), AND(A233="Unlisted Equity Shares", I233&gt;24)), "Long Term", "Short Term"))</f>
        <v/>
      </c>
      <c r="K233" s="5">
        <f>IF(J233="", "", IF(J233="Long Term", 12.5%,"as per slab"))</f>
        <v/>
      </c>
      <c r="L233" s="3">
        <f>+IFERROR(IF(J233="","",H233*K233),"as per slab")</f>
        <v/>
      </c>
    </row>
    <row r="234">
      <c r="A234" s="7" t="n"/>
      <c r="B234" s="7" t="n"/>
      <c r="C234" s="8" t="n"/>
      <c r="D234" s="9" t="n"/>
      <c r="E234" s="8" t="n"/>
      <c r="F234" s="9" t="n"/>
      <c r="G234" s="9" t="n"/>
      <c r="H234" s="3">
        <f>IF(AND(D234&lt;&gt;"",F234&lt;&gt;""),F234-D234-G234,"")</f>
        <v/>
      </c>
      <c r="I234" s="14">
        <f>IF(E234&lt;&gt;"", YEARFRAC(C234, E234) * 12, "")</f>
        <v/>
      </c>
      <c r="J234" s="2">
        <f>IF(I234="", "", IF(OR(AND(A234="Listed Equity Shares", I234&gt;12), AND(A234="Unlisted Equity Shares", I234&gt;24)), "Long Term", "Short Term"))</f>
        <v/>
      </c>
      <c r="K234" s="5">
        <f>IF(J234="", "", IF(J234="Long Term", 12.5%,"as per slab"))</f>
        <v/>
      </c>
      <c r="L234" s="3">
        <f>+IFERROR(IF(J234="","",H234*K234),"as per slab")</f>
        <v/>
      </c>
    </row>
    <row r="235">
      <c r="A235" s="7" t="n"/>
      <c r="B235" s="7" t="n"/>
      <c r="C235" s="8" t="n"/>
      <c r="D235" s="9" t="n"/>
      <c r="E235" s="8" t="n"/>
      <c r="F235" s="9" t="n"/>
      <c r="G235" s="9" t="n"/>
      <c r="H235" s="3">
        <f>IF(AND(D235&lt;&gt;"",F235&lt;&gt;""),F235-D235-G235,"")</f>
        <v/>
      </c>
      <c r="I235" s="14">
        <f>IF(E235&lt;&gt;"", YEARFRAC(C235, E235) * 12, "")</f>
        <v/>
      </c>
      <c r="J235" s="2">
        <f>IF(I235="", "", IF(OR(AND(A235="Listed Equity Shares", I235&gt;12), AND(A235="Unlisted Equity Shares", I235&gt;24)), "Long Term", "Short Term"))</f>
        <v/>
      </c>
      <c r="K235" s="5">
        <f>IF(J235="", "", IF(J235="Long Term", 12.5%,"as per slab"))</f>
        <v/>
      </c>
      <c r="L235" s="3">
        <f>+IFERROR(IF(J235="","",H235*K235),"as per slab")</f>
        <v/>
      </c>
    </row>
    <row r="236">
      <c r="A236" s="7" t="n"/>
      <c r="B236" s="7" t="n"/>
      <c r="C236" s="8" t="n"/>
      <c r="D236" s="9" t="n"/>
      <c r="E236" s="8" t="n"/>
      <c r="F236" s="9" t="n"/>
      <c r="G236" s="9" t="n"/>
      <c r="H236" s="3">
        <f>IF(AND(D236&lt;&gt;"",F236&lt;&gt;""),F236-D236-G236,"")</f>
        <v/>
      </c>
      <c r="I236" s="14">
        <f>IF(E236&lt;&gt;"", YEARFRAC(C236, E236) * 12, "")</f>
        <v/>
      </c>
      <c r="J236" s="2">
        <f>IF(I236="", "", IF(OR(AND(A236="Listed Equity Shares", I236&gt;12), AND(A236="Unlisted Equity Shares", I236&gt;24)), "Long Term", "Short Term"))</f>
        <v/>
      </c>
      <c r="K236" s="5">
        <f>IF(J236="", "", IF(J236="Long Term", 12.5%,"as per slab"))</f>
        <v/>
      </c>
      <c r="L236" s="3">
        <f>+IFERROR(IF(J236="","",H236*K236),"as per slab")</f>
        <v/>
      </c>
    </row>
    <row r="237">
      <c r="A237" s="7" t="n"/>
      <c r="B237" s="7" t="n"/>
      <c r="C237" s="8" t="n"/>
      <c r="D237" s="9" t="n"/>
      <c r="E237" s="8" t="n"/>
      <c r="F237" s="9" t="n"/>
      <c r="G237" s="9" t="n"/>
      <c r="H237" s="3">
        <f>IF(AND(D237&lt;&gt;"",F237&lt;&gt;""),F237-D237-G237,"")</f>
        <v/>
      </c>
      <c r="I237" s="14">
        <f>IF(E237&lt;&gt;"", YEARFRAC(C237, E237) * 12, "")</f>
        <v/>
      </c>
      <c r="J237" s="2">
        <f>IF(I237="", "", IF(OR(AND(A237="Listed Equity Shares", I237&gt;12), AND(A237="Unlisted Equity Shares", I237&gt;24)), "Long Term", "Short Term"))</f>
        <v/>
      </c>
      <c r="K237" s="5">
        <f>IF(J237="", "", IF(J237="Long Term", 12.5%,"as per slab"))</f>
        <v/>
      </c>
      <c r="L237" s="3">
        <f>+IFERROR(IF(J237="","",H237*K237),"as per slab")</f>
        <v/>
      </c>
    </row>
    <row r="238">
      <c r="A238" s="7" t="n"/>
      <c r="B238" s="7" t="n"/>
      <c r="C238" s="8" t="n"/>
      <c r="D238" s="9" t="n"/>
      <c r="E238" s="8" t="n"/>
      <c r="F238" s="9" t="n"/>
      <c r="G238" s="9" t="n"/>
      <c r="H238" s="3">
        <f>IF(AND(D238&lt;&gt;"",F238&lt;&gt;""),F238-D238-G238,"")</f>
        <v/>
      </c>
      <c r="I238" s="14">
        <f>IF(E238&lt;&gt;"", YEARFRAC(C238, E238) * 12, "")</f>
        <v/>
      </c>
      <c r="J238" s="2">
        <f>IF(I238="", "", IF(OR(AND(A238="Listed Equity Shares", I238&gt;12), AND(A238="Unlisted Equity Shares", I238&gt;24)), "Long Term", "Short Term"))</f>
        <v/>
      </c>
      <c r="K238" s="5">
        <f>IF(J238="", "", IF(J238="Long Term", 12.5%,"as per slab"))</f>
        <v/>
      </c>
      <c r="L238" s="3">
        <f>+IFERROR(IF(J238="","",H238*K238),"as per slab")</f>
        <v/>
      </c>
    </row>
    <row r="239">
      <c r="A239" s="7" t="n"/>
      <c r="B239" s="7" t="n"/>
      <c r="C239" s="8" t="n"/>
      <c r="D239" s="9" t="n"/>
      <c r="E239" s="8" t="n"/>
      <c r="F239" s="9" t="n"/>
      <c r="G239" s="9" t="n"/>
      <c r="H239" s="3">
        <f>IF(AND(D239&lt;&gt;"",F239&lt;&gt;""),F239-D239-G239,"")</f>
        <v/>
      </c>
      <c r="I239" s="14">
        <f>IF(E239&lt;&gt;"", YEARFRAC(C239, E239) * 12, "")</f>
        <v/>
      </c>
      <c r="J239" s="2">
        <f>IF(I239="", "", IF(OR(AND(A239="Listed Equity Shares", I239&gt;12), AND(A239="Unlisted Equity Shares", I239&gt;24)), "Long Term", "Short Term"))</f>
        <v/>
      </c>
      <c r="K239" s="5">
        <f>IF(J239="", "", IF(J239="Long Term", 12.5%,"as per slab"))</f>
        <v/>
      </c>
      <c r="L239" s="3">
        <f>+IFERROR(IF(J239="","",H239*K239),"as per slab")</f>
        <v/>
      </c>
    </row>
    <row r="240">
      <c r="A240" s="7" t="n"/>
      <c r="B240" s="7" t="n"/>
      <c r="C240" s="8" t="n"/>
      <c r="D240" s="9" t="n"/>
      <c r="E240" s="8" t="n"/>
      <c r="F240" s="9" t="n"/>
      <c r="G240" s="9" t="n"/>
      <c r="H240" s="3">
        <f>IF(AND(D240&lt;&gt;"",F240&lt;&gt;""),F240-D240-G240,"")</f>
        <v/>
      </c>
      <c r="I240" s="14">
        <f>IF(E240&lt;&gt;"", YEARFRAC(C240, E240) * 12, "")</f>
        <v/>
      </c>
      <c r="J240" s="2">
        <f>IF(I240="", "", IF(OR(AND(A240="Listed Equity Shares", I240&gt;12), AND(A240="Unlisted Equity Shares", I240&gt;24)), "Long Term", "Short Term"))</f>
        <v/>
      </c>
      <c r="K240" s="5">
        <f>IF(J240="", "", IF(J240="Long Term", 12.5%,"as per slab"))</f>
        <v/>
      </c>
      <c r="L240" s="3">
        <f>+IFERROR(IF(J240="","",H240*K240),"as per slab")</f>
        <v/>
      </c>
    </row>
    <row r="241">
      <c r="A241" s="7" t="n"/>
      <c r="B241" s="7" t="n"/>
      <c r="C241" s="8" t="n"/>
      <c r="D241" s="9" t="n"/>
      <c r="E241" s="8" t="n"/>
      <c r="F241" s="9" t="n"/>
      <c r="G241" s="9" t="n"/>
      <c r="H241" s="3">
        <f>IF(AND(D241&lt;&gt;"",F241&lt;&gt;""),F241-D241-G241,"")</f>
        <v/>
      </c>
      <c r="I241" s="14">
        <f>IF(E241&lt;&gt;"", YEARFRAC(C241, E241) * 12, "")</f>
        <v/>
      </c>
      <c r="J241" s="2">
        <f>IF(I241="", "", IF(OR(AND(A241="Listed Equity Shares", I241&gt;12), AND(A241="Unlisted Equity Shares", I241&gt;24)), "Long Term", "Short Term"))</f>
        <v/>
      </c>
      <c r="K241" s="5">
        <f>IF(J241="", "", IF(J241="Long Term", 12.5%,"as per slab"))</f>
        <v/>
      </c>
      <c r="L241" s="3">
        <f>+IFERROR(IF(J241="","",H241*K241),"as per slab")</f>
        <v/>
      </c>
    </row>
    <row r="242">
      <c r="A242" s="7" t="n"/>
      <c r="B242" s="7" t="n"/>
      <c r="C242" s="8" t="n"/>
      <c r="D242" s="9" t="n"/>
      <c r="E242" s="8" t="n"/>
      <c r="F242" s="9" t="n"/>
      <c r="G242" s="9" t="n"/>
      <c r="H242" s="3">
        <f>IF(AND(D242&lt;&gt;"",F242&lt;&gt;""),F242-D242-G242,"")</f>
        <v/>
      </c>
      <c r="I242" s="14">
        <f>IF(E242&lt;&gt;"", YEARFRAC(C242, E242) * 12, "")</f>
        <v/>
      </c>
      <c r="J242" s="2">
        <f>IF(I242="", "", IF(OR(AND(A242="Listed Equity Shares", I242&gt;12), AND(A242="Unlisted Equity Shares", I242&gt;24)), "Long Term", "Short Term"))</f>
        <v/>
      </c>
      <c r="K242" s="5">
        <f>IF(J242="", "", IF(J242="Long Term", 12.5%,"as per slab"))</f>
        <v/>
      </c>
      <c r="L242" s="3">
        <f>+IFERROR(IF(J242="","",H242*K242),"as per slab")</f>
        <v/>
      </c>
    </row>
    <row r="243">
      <c r="A243" s="7" t="n"/>
      <c r="B243" s="7" t="n"/>
      <c r="C243" s="8" t="n"/>
      <c r="D243" s="9" t="n"/>
      <c r="E243" s="8" t="n"/>
      <c r="F243" s="9" t="n"/>
      <c r="G243" s="9" t="n"/>
      <c r="H243" s="3">
        <f>IF(AND(D243&lt;&gt;"",F243&lt;&gt;""),F243-D243-G243,"")</f>
        <v/>
      </c>
      <c r="I243" s="14">
        <f>IF(E243&lt;&gt;"", YEARFRAC(C243, E243) * 12, "")</f>
        <v/>
      </c>
      <c r="J243" s="2">
        <f>IF(I243="", "", IF(OR(AND(A243="Listed Equity Shares", I243&gt;12), AND(A243="Unlisted Equity Shares", I243&gt;24)), "Long Term", "Short Term"))</f>
        <v/>
      </c>
      <c r="K243" s="5">
        <f>IF(J243="", "", IF(J243="Long Term", 12.5%,"as per slab"))</f>
        <v/>
      </c>
      <c r="L243" s="3">
        <f>+IFERROR(IF(J243="","",H243*K243),"as per slab")</f>
        <v/>
      </c>
    </row>
    <row r="244">
      <c r="A244" s="7" t="n"/>
      <c r="B244" s="7" t="n"/>
      <c r="C244" s="8" t="n"/>
      <c r="D244" s="9" t="n"/>
      <c r="E244" s="8" t="n"/>
      <c r="F244" s="9" t="n"/>
      <c r="G244" s="9" t="n"/>
      <c r="H244" s="3">
        <f>IF(AND(D244&lt;&gt;"",F244&lt;&gt;""),F244-D244-G244,"")</f>
        <v/>
      </c>
      <c r="I244" s="14">
        <f>IF(E244&lt;&gt;"", YEARFRAC(C244, E244) * 12, "")</f>
        <v/>
      </c>
      <c r="J244" s="2">
        <f>IF(I244="", "", IF(OR(AND(A244="Listed Equity Shares", I244&gt;12), AND(A244="Unlisted Equity Shares", I244&gt;24)), "Long Term", "Short Term"))</f>
        <v/>
      </c>
      <c r="K244" s="5">
        <f>IF(J244="", "", IF(J244="Long Term", 12.5%,"as per slab"))</f>
        <v/>
      </c>
      <c r="L244" s="3">
        <f>+IFERROR(IF(J244="","",H244*K244),"as per slab")</f>
        <v/>
      </c>
    </row>
    <row r="245">
      <c r="A245" s="7" t="n"/>
      <c r="B245" s="7" t="n"/>
      <c r="C245" s="8" t="n"/>
      <c r="D245" s="9" t="n"/>
      <c r="E245" s="8" t="n"/>
      <c r="F245" s="9" t="n"/>
      <c r="G245" s="9" t="n"/>
      <c r="H245" s="3">
        <f>IF(AND(D245&lt;&gt;"",F245&lt;&gt;""),F245-D245-G245,"")</f>
        <v/>
      </c>
      <c r="I245" s="14">
        <f>IF(E245&lt;&gt;"", YEARFRAC(C245, E245) * 12, "")</f>
        <v/>
      </c>
      <c r="J245" s="2">
        <f>IF(I245="", "", IF(OR(AND(A245="Listed Equity Shares", I245&gt;12), AND(A245="Unlisted Equity Shares", I245&gt;24)), "Long Term", "Short Term"))</f>
        <v/>
      </c>
      <c r="K245" s="5">
        <f>IF(J245="", "", IF(J245="Long Term", 12.5%,"as per slab"))</f>
        <v/>
      </c>
      <c r="L245" s="3">
        <f>+IFERROR(IF(J245="","",H245*K245),"as per slab")</f>
        <v/>
      </c>
    </row>
    <row r="246">
      <c r="A246" s="7" t="n"/>
      <c r="B246" s="7" t="n"/>
      <c r="C246" s="8" t="n"/>
      <c r="D246" s="9" t="n"/>
      <c r="E246" s="8" t="n"/>
      <c r="F246" s="9" t="n"/>
      <c r="G246" s="9" t="n"/>
      <c r="H246" s="3">
        <f>IF(AND(D246&lt;&gt;"",F246&lt;&gt;""),F246-D246-G246,"")</f>
        <v/>
      </c>
      <c r="I246" s="14">
        <f>IF(E246&lt;&gt;"", YEARFRAC(C246, E246) * 12, "")</f>
        <v/>
      </c>
      <c r="J246" s="2">
        <f>IF(I246="", "", IF(OR(AND(A246="Listed Equity Shares", I246&gt;12), AND(A246="Unlisted Equity Shares", I246&gt;24)), "Long Term", "Short Term"))</f>
        <v/>
      </c>
      <c r="K246" s="5">
        <f>IF(J246="", "", IF(J246="Long Term", 12.5%,"as per slab"))</f>
        <v/>
      </c>
      <c r="L246" s="3">
        <f>+IFERROR(IF(J246="","",H246*K246),"as per slab")</f>
        <v/>
      </c>
    </row>
    <row r="247">
      <c r="A247" s="7" t="n"/>
      <c r="B247" s="7" t="n"/>
      <c r="C247" s="8" t="n"/>
      <c r="D247" s="9" t="n"/>
      <c r="E247" s="8" t="n"/>
      <c r="F247" s="9" t="n"/>
      <c r="G247" s="9" t="n"/>
      <c r="H247" s="3">
        <f>IF(AND(D247&lt;&gt;"",F247&lt;&gt;""),F247-D247-G247,"")</f>
        <v/>
      </c>
      <c r="I247" s="14">
        <f>IF(E247&lt;&gt;"", YEARFRAC(C247, E247) * 12, "")</f>
        <v/>
      </c>
      <c r="J247" s="2">
        <f>IF(I247="", "", IF(OR(AND(A247="Listed Equity Shares", I247&gt;12), AND(A247="Unlisted Equity Shares", I247&gt;24)), "Long Term", "Short Term"))</f>
        <v/>
      </c>
      <c r="K247" s="5">
        <f>IF(J247="", "", IF(J247="Long Term", 12.5%,"as per slab"))</f>
        <v/>
      </c>
      <c r="L247" s="3">
        <f>+IFERROR(IF(J247="","",H247*K247),"as per slab")</f>
        <v/>
      </c>
    </row>
    <row r="248">
      <c r="A248" s="7" t="n"/>
      <c r="B248" s="7" t="n"/>
      <c r="C248" s="8" t="n"/>
      <c r="D248" s="9" t="n"/>
      <c r="E248" s="8" t="n"/>
      <c r="F248" s="9" t="n"/>
      <c r="G248" s="9" t="n"/>
      <c r="H248" s="3">
        <f>IF(AND(D248&lt;&gt;"",F248&lt;&gt;""),F248-D248-G248,"")</f>
        <v/>
      </c>
      <c r="I248" s="14">
        <f>IF(E248&lt;&gt;"", YEARFRAC(C248, E248) * 12, "")</f>
        <v/>
      </c>
      <c r="J248" s="2">
        <f>IF(I248="", "", IF(OR(AND(A248="Listed Equity Shares", I248&gt;12), AND(A248="Unlisted Equity Shares", I248&gt;24)), "Long Term", "Short Term"))</f>
        <v/>
      </c>
      <c r="K248" s="5">
        <f>IF(J248="", "", IF(J248="Long Term", 12.5%,"as per slab"))</f>
        <v/>
      </c>
      <c r="L248" s="3">
        <f>+IFERROR(IF(J248="","",H248*K248),"as per slab")</f>
        <v/>
      </c>
    </row>
    <row r="249">
      <c r="A249" s="7" t="n"/>
      <c r="B249" s="7" t="n"/>
      <c r="C249" s="8" t="n"/>
      <c r="D249" s="9" t="n"/>
      <c r="E249" s="8" t="n"/>
      <c r="F249" s="9" t="n"/>
      <c r="G249" s="9" t="n"/>
      <c r="H249" s="3">
        <f>IF(AND(D249&lt;&gt;"",F249&lt;&gt;""),F249-D249-G249,"")</f>
        <v/>
      </c>
      <c r="I249" s="14">
        <f>IF(E249&lt;&gt;"", YEARFRAC(C249, E249) * 12, "")</f>
        <v/>
      </c>
      <c r="J249" s="2">
        <f>IF(I249="", "", IF(OR(AND(A249="Listed Equity Shares", I249&gt;12), AND(A249="Unlisted Equity Shares", I249&gt;24)), "Long Term", "Short Term"))</f>
        <v/>
      </c>
      <c r="K249" s="5">
        <f>IF(J249="", "", IF(J249="Long Term", 12.5%,"as per slab"))</f>
        <v/>
      </c>
      <c r="L249" s="3">
        <f>+IFERROR(IF(J249="","",H249*K249),"as per slab")</f>
        <v/>
      </c>
    </row>
    <row r="250">
      <c r="A250" s="7" t="n"/>
      <c r="B250" s="7" t="n"/>
      <c r="C250" s="8" t="n"/>
      <c r="D250" s="9" t="n"/>
      <c r="E250" s="8" t="n"/>
      <c r="F250" s="9" t="n"/>
      <c r="G250" s="9" t="n"/>
      <c r="H250" s="3">
        <f>IF(AND(D250&lt;&gt;"",F250&lt;&gt;""),F250-D250-G250,"")</f>
        <v/>
      </c>
      <c r="I250" s="14">
        <f>IF(E250&lt;&gt;"", YEARFRAC(C250, E250) * 12, "")</f>
        <v/>
      </c>
      <c r="J250" s="2">
        <f>IF(I250="", "", IF(OR(AND(A250="Listed Equity Shares", I250&gt;12), AND(A250="Unlisted Equity Shares", I250&gt;24)), "Long Term", "Short Term"))</f>
        <v/>
      </c>
      <c r="K250" s="5">
        <f>IF(J250="", "", IF(J250="Long Term", 12.5%,"as per slab"))</f>
        <v/>
      </c>
      <c r="L250" s="3">
        <f>+IFERROR(IF(J250="","",H250*K250),"as per slab")</f>
        <v/>
      </c>
    </row>
    <row r="251">
      <c r="A251" s="7" t="n"/>
      <c r="B251" s="7" t="n"/>
      <c r="C251" s="8" t="n"/>
      <c r="D251" s="9" t="n"/>
      <c r="E251" s="8" t="n"/>
      <c r="F251" s="9" t="n"/>
      <c r="G251" s="9" t="n"/>
      <c r="H251" s="3">
        <f>IF(AND(D251&lt;&gt;"",F251&lt;&gt;""),F251-D251-G251,"")</f>
        <v/>
      </c>
      <c r="I251" s="14">
        <f>IF(E251&lt;&gt;"", YEARFRAC(C251, E251) * 12, "")</f>
        <v/>
      </c>
      <c r="J251" s="2">
        <f>IF(I251="", "", IF(OR(AND(A251="Listed Equity Shares", I251&gt;12), AND(A251="Unlisted Equity Shares", I251&gt;24)), "Long Term", "Short Term"))</f>
        <v/>
      </c>
      <c r="K251" s="5">
        <f>IF(J251="", "", IF(J251="Long Term", 12.5%,"as per slab"))</f>
        <v/>
      </c>
      <c r="L251" s="3">
        <f>+IFERROR(IF(J251="","",H251*K251),"as per slab")</f>
        <v/>
      </c>
    </row>
    <row r="252">
      <c r="A252" s="7" t="n"/>
      <c r="B252" s="7" t="n"/>
      <c r="C252" s="8" t="n"/>
      <c r="D252" s="9" t="n"/>
      <c r="E252" s="8" t="n"/>
      <c r="F252" s="9" t="n"/>
      <c r="G252" s="9" t="n"/>
      <c r="H252" s="3">
        <f>IF(AND(D252&lt;&gt;"",F252&lt;&gt;""),F252-D252-G252,"")</f>
        <v/>
      </c>
      <c r="I252" s="14">
        <f>IF(E252&lt;&gt;"", YEARFRAC(C252, E252) * 12, "")</f>
        <v/>
      </c>
      <c r="J252" s="2">
        <f>IF(I252="", "", IF(OR(AND(A252="Listed Equity Shares", I252&gt;12), AND(A252="Unlisted Equity Shares", I252&gt;24)), "Long Term", "Short Term"))</f>
        <v/>
      </c>
      <c r="K252" s="5">
        <f>IF(J252="", "", IF(J252="Long Term", 12.5%,"as per slab"))</f>
        <v/>
      </c>
      <c r="L252" s="3">
        <f>+IFERROR(IF(J252="","",H252*K252),"as per slab")</f>
        <v/>
      </c>
    </row>
    <row r="253">
      <c r="A253" s="7" t="n"/>
      <c r="B253" s="7" t="n"/>
      <c r="C253" s="8" t="n"/>
      <c r="D253" s="9" t="n"/>
      <c r="E253" s="8" t="n"/>
      <c r="F253" s="9" t="n"/>
      <c r="G253" s="9" t="n"/>
      <c r="H253" s="3">
        <f>IF(AND(D253&lt;&gt;"",F253&lt;&gt;""),F253-D253-G253,"")</f>
        <v/>
      </c>
      <c r="I253" s="14">
        <f>IF(E253&lt;&gt;"", YEARFRAC(C253, E253) * 12, "")</f>
        <v/>
      </c>
      <c r="J253" s="2">
        <f>IF(I253="", "", IF(OR(AND(A253="Listed Equity Shares", I253&gt;12), AND(A253="Unlisted Equity Shares", I253&gt;24)), "Long Term", "Short Term"))</f>
        <v/>
      </c>
      <c r="K253" s="5">
        <f>IF(J253="", "", IF(J253="Long Term", 12.5%,"as per slab"))</f>
        <v/>
      </c>
      <c r="L253" s="3">
        <f>+IFERROR(IF(J253="","",H253*K253),"as per slab")</f>
        <v/>
      </c>
    </row>
    <row r="254">
      <c r="A254" s="7" t="n"/>
      <c r="B254" s="7" t="n"/>
      <c r="C254" s="8" t="n"/>
      <c r="D254" s="9" t="n"/>
      <c r="E254" s="8" t="n"/>
      <c r="F254" s="9" t="n"/>
      <c r="G254" s="9" t="n"/>
      <c r="H254" s="3">
        <f>IF(AND(D254&lt;&gt;"",F254&lt;&gt;""),F254-D254-G254,"")</f>
        <v/>
      </c>
      <c r="I254" s="14">
        <f>IF(E254&lt;&gt;"", YEARFRAC(C254, E254) * 12, "")</f>
        <v/>
      </c>
      <c r="J254" s="2">
        <f>IF(I254="", "", IF(OR(AND(A254="Listed Equity Shares", I254&gt;12), AND(A254="Unlisted Equity Shares", I254&gt;24)), "Long Term", "Short Term"))</f>
        <v/>
      </c>
      <c r="K254" s="5">
        <f>IF(J254="", "", IF(J254="Long Term", 12.5%,"as per slab"))</f>
        <v/>
      </c>
      <c r="L254" s="3">
        <f>+IFERROR(IF(J254="","",H254*K254),"as per slab")</f>
        <v/>
      </c>
    </row>
    <row r="255">
      <c r="A255" s="7" t="n"/>
      <c r="B255" s="7" t="n"/>
      <c r="C255" s="8" t="n"/>
      <c r="D255" s="9" t="n"/>
      <c r="E255" s="8" t="n"/>
      <c r="F255" s="9" t="n"/>
      <c r="G255" s="9" t="n"/>
      <c r="H255" s="3">
        <f>IF(AND(D255&lt;&gt;"",F255&lt;&gt;""),F255-D255-G255,"")</f>
        <v/>
      </c>
      <c r="I255" s="14">
        <f>IF(E255&lt;&gt;"", YEARFRAC(C255, E255) * 12, "")</f>
        <v/>
      </c>
      <c r="J255" s="2">
        <f>IF(I255="", "", IF(OR(AND(A255="Listed Equity Shares", I255&gt;12), AND(A255="Unlisted Equity Shares", I255&gt;24)), "Long Term", "Short Term"))</f>
        <v/>
      </c>
      <c r="K255" s="5">
        <f>IF(J255="", "", IF(J255="Long Term", 12.5%,"as per slab"))</f>
        <v/>
      </c>
      <c r="L255" s="3">
        <f>+IFERROR(IF(J255="","",H255*K255),"as per slab")</f>
        <v/>
      </c>
    </row>
    <row r="256">
      <c r="A256" s="7" t="n"/>
      <c r="B256" s="7" t="n"/>
      <c r="C256" s="8" t="n"/>
      <c r="D256" s="9" t="n"/>
      <c r="E256" s="8" t="n"/>
      <c r="F256" s="9" t="n"/>
      <c r="G256" s="9" t="n"/>
      <c r="H256" s="3">
        <f>IF(AND(D256&lt;&gt;"",F256&lt;&gt;""),F256-D256-G256,"")</f>
        <v/>
      </c>
      <c r="I256" s="14">
        <f>IF(E256&lt;&gt;"", YEARFRAC(C256, E256) * 12, "")</f>
        <v/>
      </c>
      <c r="J256" s="2">
        <f>IF(I256="", "", IF(OR(AND(A256="Listed Equity Shares", I256&gt;12), AND(A256="Unlisted Equity Shares", I256&gt;24)), "Long Term", "Short Term"))</f>
        <v/>
      </c>
      <c r="K256" s="5">
        <f>IF(J256="", "", IF(J256="Long Term", 12.5%,"as per slab"))</f>
        <v/>
      </c>
      <c r="L256" s="3">
        <f>+IFERROR(IF(J256="","",H256*K256),"as per slab")</f>
        <v/>
      </c>
    </row>
    <row r="257">
      <c r="A257" s="7" t="n"/>
      <c r="B257" s="7" t="n"/>
      <c r="C257" s="8" t="n"/>
      <c r="D257" s="9" t="n"/>
      <c r="E257" s="8" t="n"/>
      <c r="F257" s="9" t="n"/>
      <c r="G257" s="9" t="n"/>
      <c r="H257" s="3">
        <f>IF(AND(D257&lt;&gt;"",F257&lt;&gt;""),F257-D257-G257,"")</f>
        <v/>
      </c>
      <c r="I257" s="14">
        <f>IF(E257&lt;&gt;"", YEARFRAC(C257, E257) * 12, "")</f>
        <v/>
      </c>
      <c r="J257" s="2">
        <f>IF(I257="", "", IF(OR(AND(A257="Listed Equity Shares", I257&gt;12), AND(A257="Unlisted Equity Shares", I257&gt;24)), "Long Term", "Short Term"))</f>
        <v/>
      </c>
      <c r="K257" s="5">
        <f>IF(J257="", "", IF(J257="Long Term", 12.5%,"as per slab"))</f>
        <v/>
      </c>
      <c r="L257" s="3">
        <f>+IFERROR(IF(J257="","",H257*K257),"as per slab")</f>
        <v/>
      </c>
    </row>
    <row r="258">
      <c r="A258" s="7" t="n"/>
      <c r="B258" s="7" t="n"/>
      <c r="C258" s="8" t="n"/>
      <c r="D258" s="9" t="n"/>
      <c r="E258" s="8" t="n"/>
      <c r="F258" s="9" t="n"/>
      <c r="G258" s="9" t="n"/>
      <c r="H258" s="3">
        <f>IF(AND(D258&lt;&gt;"",F258&lt;&gt;""),F258-D258-G258,"")</f>
        <v/>
      </c>
      <c r="I258" s="14">
        <f>IF(E258&lt;&gt;"", YEARFRAC(C258, E258) * 12, "")</f>
        <v/>
      </c>
      <c r="J258" s="2">
        <f>IF(I258="", "", IF(OR(AND(A258="Listed Equity Shares", I258&gt;12), AND(A258="Unlisted Equity Shares", I258&gt;24)), "Long Term", "Short Term"))</f>
        <v/>
      </c>
      <c r="K258" s="5">
        <f>IF(J258="", "", IF(J258="Long Term", 12.5%,"as per slab"))</f>
        <v/>
      </c>
      <c r="L258" s="3">
        <f>+IFERROR(IF(J258="","",H258*K258),"as per slab")</f>
        <v/>
      </c>
    </row>
    <row r="259">
      <c r="A259" s="7" t="n"/>
      <c r="B259" s="7" t="n"/>
      <c r="C259" s="8" t="n"/>
      <c r="D259" s="9" t="n"/>
      <c r="E259" s="8" t="n"/>
      <c r="F259" s="9" t="n"/>
      <c r="G259" s="9" t="n"/>
      <c r="H259" s="3">
        <f>IF(AND(D259&lt;&gt;"",F259&lt;&gt;""),F259-D259-G259,"")</f>
        <v/>
      </c>
      <c r="I259" s="14">
        <f>IF(E259&lt;&gt;"", YEARFRAC(C259, E259) * 12, "")</f>
        <v/>
      </c>
      <c r="J259" s="2">
        <f>IF(I259="", "", IF(OR(AND(A259="Listed Equity Shares", I259&gt;12), AND(A259="Unlisted Equity Shares", I259&gt;24)), "Long Term", "Short Term"))</f>
        <v/>
      </c>
      <c r="K259" s="5">
        <f>IF(J259="", "", IF(J259="Long Term", 12.5%,"as per slab"))</f>
        <v/>
      </c>
      <c r="L259" s="3">
        <f>+IFERROR(IF(J259="","",H259*K259),"as per slab")</f>
        <v/>
      </c>
    </row>
    <row r="260">
      <c r="A260" s="7" t="n"/>
      <c r="B260" s="7" t="n"/>
      <c r="C260" s="8" t="n"/>
      <c r="D260" s="9" t="n"/>
      <c r="E260" s="8" t="n"/>
      <c r="F260" s="9" t="n"/>
      <c r="G260" s="9" t="n"/>
      <c r="H260" s="3">
        <f>IF(AND(D260&lt;&gt;"",F260&lt;&gt;""),F260-D260-G260,"")</f>
        <v/>
      </c>
      <c r="I260" s="14">
        <f>IF(E260&lt;&gt;"", YEARFRAC(C260, E260) * 12, "")</f>
        <v/>
      </c>
      <c r="J260" s="2">
        <f>IF(I260="", "", IF(OR(AND(A260="Listed Equity Shares", I260&gt;12), AND(A260="Unlisted Equity Shares", I260&gt;24)), "Long Term", "Short Term"))</f>
        <v/>
      </c>
      <c r="K260" s="5">
        <f>IF(J260="", "", IF(J260="Long Term", 12.5%,"as per slab"))</f>
        <v/>
      </c>
      <c r="L260" s="3">
        <f>+IFERROR(IF(J260="","",H260*K260),"as per slab")</f>
        <v/>
      </c>
    </row>
    <row r="261">
      <c r="A261" s="7" t="n"/>
      <c r="B261" s="7" t="n"/>
      <c r="C261" s="8" t="n"/>
      <c r="D261" s="9" t="n"/>
      <c r="E261" s="8" t="n"/>
      <c r="F261" s="9" t="n"/>
      <c r="G261" s="9" t="n"/>
      <c r="H261" s="3">
        <f>IF(AND(D261&lt;&gt;"",F261&lt;&gt;""),F261-D261-G261,"")</f>
        <v/>
      </c>
      <c r="I261" s="14">
        <f>IF(E261&lt;&gt;"", YEARFRAC(C261, E261) * 12, "")</f>
        <v/>
      </c>
      <c r="J261" s="2">
        <f>IF(I261="", "", IF(OR(AND(A261="Listed Equity Shares", I261&gt;12), AND(A261="Unlisted Equity Shares", I261&gt;24)), "Long Term", "Short Term"))</f>
        <v/>
      </c>
      <c r="K261" s="5">
        <f>IF(J261="", "", IF(J261="Long Term", 12.5%,"as per slab"))</f>
        <v/>
      </c>
      <c r="L261" s="3">
        <f>+IFERROR(IF(J261="","",H261*K261),"as per slab")</f>
        <v/>
      </c>
    </row>
    <row r="262">
      <c r="A262" s="7" t="n"/>
      <c r="B262" s="7" t="n"/>
      <c r="C262" s="8" t="n"/>
      <c r="D262" s="9" t="n"/>
      <c r="E262" s="8" t="n"/>
      <c r="F262" s="9" t="n"/>
      <c r="G262" s="9" t="n"/>
      <c r="H262" s="3">
        <f>IF(AND(D262&lt;&gt;"",F262&lt;&gt;""),F262-D262-G262,"")</f>
        <v/>
      </c>
      <c r="I262" s="14">
        <f>IF(E262&lt;&gt;"", YEARFRAC(C262, E262) * 12, "")</f>
        <v/>
      </c>
      <c r="J262" s="2">
        <f>IF(I262="", "", IF(OR(AND(A262="Listed Equity Shares", I262&gt;12), AND(A262="Unlisted Equity Shares", I262&gt;24)), "Long Term", "Short Term"))</f>
        <v/>
      </c>
      <c r="K262" s="5">
        <f>IF(J262="", "", IF(J262="Long Term", 12.5%,"as per slab"))</f>
        <v/>
      </c>
      <c r="L262" s="3">
        <f>+IFERROR(IF(J262="","",H262*K262),"as per slab")</f>
        <v/>
      </c>
    </row>
    <row r="263">
      <c r="A263" s="7" t="n"/>
      <c r="B263" s="7" t="n"/>
      <c r="C263" s="8" t="n"/>
      <c r="D263" s="9" t="n"/>
      <c r="E263" s="8" t="n"/>
      <c r="F263" s="9" t="n"/>
      <c r="G263" s="9" t="n"/>
      <c r="H263" s="3">
        <f>IF(AND(D263&lt;&gt;"",F263&lt;&gt;""),F263-D263-G263,"")</f>
        <v/>
      </c>
      <c r="I263" s="14">
        <f>IF(E263&lt;&gt;"", YEARFRAC(C263, E263) * 12, "")</f>
        <v/>
      </c>
      <c r="J263" s="2">
        <f>IF(I263="", "", IF(OR(AND(A263="Listed Equity Shares", I263&gt;12), AND(A263="Unlisted Equity Shares", I263&gt;24)), "Long Term", "Short Term"))</f>
        <v/>
      </c>
      <c r="K263" s="5">
        <f>IF(J263="", "", IF(J263="Long Term", 12.5%,"as per slab"))</f>
        <v/>
      </c>
      <c r="L263" s="3">
        <f>+IFERROR(IF(J263="","",H263*K263),"as per slab")</f>
        <v/>
      </c>
    </row>
    <row r="264">
      <c r="A264" s="7" t="n"/>
      <c r="B264" s="7" t="n"/>
      <c r="C264" s="8" t="n"/>
      <c r="D264" s="9" t="n"/>
      <c r="E264" s="8" t="n"/>
      <c r="F264" s="9" t="n"/>
      <c r="G264" s="9" t="n"/>
      <c r="H264" s="3">
        <f>IF(AND(D264&lt;&gt;"",F264&lt;&gt;""),F264-D264-G264,"")</f>
        <v/>
      </c>
      <c r="I264" s="14">
        <f>IF(E264&lt;&gt;"", YEARFRAC(C264, E264) * 12, "")</f>
        <v/>
      </c>
      <c r="J264" s="2">
        <f>IF(I264="", "", IF(OR(AND(A264="Listed Equity Shares", I264&gt;12), AND(A264="Unlisted Equity Shares", I264&gt;24)), "Long Term", "Short Term"))</f>
        <v/>
      </c>
      <c r="K264" s="5">
        <f>IF(J264="", "", IF(J264="Long Term", 12.5%,"as per slab"))</f>
        <v/>
      </c>
      <c r="L264" s="3">
        <f>+IFERROR(IF(J264="","",H264*K264),"as per slab")</f>
        <v/>
      </c>
    </row>
    <row r="265">
      <c r="A265" s="7" t="n"/>
      <c r="B265" s="7" t="n"/>
      <c r="C265" s="8" t="n"/>
      <c r="D265" s="9" t="n"/>
      <c r="E265" s="8" t="n"/>
      <c r="F265" s="9" t="n"/>
      <c r="G265" s="9" t="n"/>
      <c r="H265" s="3">
        <f>IF(AND(D265&lt;&gt;"",F265&lt;&gt;""),F265-D265-G265,"")</f>
        <v/>
      </c>
      <c r="I265" s="14">
        <f>IF(E265&lt;&gt;"", YEARFRAC(C265, E265) * 12, "")</f>
        <v/>
      </c>
      <c r="J265" s="2">
        <f>IF(I265="", "", IF(OR(AND(A265="Listed Equity Shares", I265&gt;12), AND(A265="Unlisted Equity Shares", I265&gt;24)), "Long Term", "Short Term"))</f>
        <v/>
      </c>
      <c r="K265" s="5">
        <f>IF(J265="", "", IF(J265="Long Term", 12.5%,"as per slab"))</f>
        <v/>
      </c>
      <c r="L265" s="3">
        <f>+IFERROR(IF(J265="","",H265*K265),"as per slab")</f>
        <v/>
      </c>
    </row>
    <row r="266">
      <c r="A266" s="7" t="n"/>
      <c r="B266" s="7" t="n"/>
      <c r="C266" s="8" t="n"/>
      <c r="D266" s="9" t="n"/>
      <c r="E266" s="8" t="n"/>
      <c r="F266" s="9" t="n"/>
      <c r="G266" s="9" t="n"/>
      <c r="H266" s="3">
        <f>IF(AND(D266&lt;&gt;"",F266&lt;&gt;""),F266-D266-G266,"")</f>
        <v/>
      </c>
      <c r="I266" s="14">
        <f>IF(E266&lt;&gt;"", YEARFRAC(C266, E266) * 12, "")</f>
        <v/>
      </c>
      <c r="J266" s="2">
        <f>IF(I266="", "", IF(OR(AND(A266="Listed Equity Shares", I266&gt;12), AND(A266="Unlisted Equity Shares", I266&gt;24)), "Long Term", "Short Term"))</f>
        <v/>
      </c>
      <c r="K266" s="5">
        <f>IF(J266="", "", IF(J266="Long Term", 12.5%,"as per slab"))</f>
        <v/>
      </c>
      <c r="L266" s="3">
        <f>+IFERROR(IF(J266="","",H266*K266),"as per slab")</f>
        <v/>
      </c>
    </row>
    <row r="267">
      <c r="A267" s="7" t="n"/>
      <c r="B267" s="7" t="n"/>
      <c r="C267" s="8" t="n"/>
      <c r="D267" s="9" t="n"/>
      <c r="E267" s="8" t="n"/>
      <c r="F267" s="9" t="n"/>
      <c r="G267" s="9" t="n"/>
      <c r="H267" s="3">
        <f>IF(AND(D267&lt;&gt;"",F267&lt;&gt;""),F267-D267-G267,"")</f>
        <v/>
      </c>
      <c r="I267" s="14">
        <f>IF(E267&lt;&gt;"", YEARFRAC(C267, E267) * 12, "")</f>
        <v/>
      </c>
      <c r="J267" s="2">
        <f>IF(I267="", "", IF(OR(AND(A267="Listed Equity Shares", I267&gt;12), AND(A267="Unlisted Equity Shares", I267&gt;24)), "Long Term", "Short Term"))</f>
        <v/>
      </c>
      <c r="K267" s="5">
        <f>IF(J267="", "", IF(J267="Long Term", 12.5%,"as per slab"))</f>
        <v/>
      </c>
      <c r="L267" s="3">
        <f>+IFERROR(IF(J267="","",H267*K267),"as per slab")</f>
        <v/>
      </c>
    </row>
    <row r="268">
      <c r="A268" s="7" t="n"/>
      <c r="B268" s="7" t="n"/>
      <c r="C268" s="8" t="n"/>
      <c r="D268" s="9" t="n"/>
      <c r="E268" s="8" t="n"/>
      <c r="F268" s="9" t="n"/>
      <c r="G268" s="9" t="n"/>
      <c r="H268" s="3">
        <f>IF(AND(D268&lt;&gt;"",F268&lt;&gt;""),F268-D268-G268,"")</f>
        <v/>
      </c>
      <c r="I268" s="14">
        <f>IF(E268&lt;&gt;"", YEARFRAC(C268, E268) * 12, "")</f>
        <v/>
      </c>
      <c r="J268" s="2">
        <f>IF(I268="", "", IF(OR(AND(A268="Listed Equity Shares", I268&gt;12), AND(A268="Unlisted Equity Shares", I268&gt;24)), "Long Term", "Short Term"))</f>
        <v/>
      </c>
      <c r="K268" s="5">
        <f>IF(J268="", "", IF(J268="Long Term", 12.5%,"as per slab"))</f>
        <v/>
      </c>
      <c r="L268" s="3">
        <f>+IFERROR(IF(J268="","",H268*K268),"as per slab")</f>
        <v/>
      </c>
    </row>
    <row r="269">
      <c r="A269" s="7" t="n"/>
      <c r="B269" s="7" t="n"/>
      <c r="C269" s="8" t="n"/>
      <c r="D269" s="9" t="n"/>
      <c r="E269" s="8" t="n"/>
      <c r="F269" s="9" t="n"/>
      <c r="G269" s="9" t="n"/>
      <c r="H269" s="3">
        <f>IF(AND(D269&lt;&gt;"",F269&lt;&gt;""),F269-D269-G269,"")</f>
        <v/>
      </c>
      <c r="I269" s="14">
        <f>IF(E269&lt;&gt;"", YEARFRAC(C269, E269) * 12, "")</f>
        <v/>
      </c>
      <c r="J269" s="2">
        <f>IF(I269="", "", IF(OR(AND(A269="Listed Equity Shares", I269&gt;12), AND(A269="Unlisted Equity Shares", I269&gt;24)), "Long Term", "Short Term"))</f>
        <v/>
      </c>
      <c r="K269" s="5">
        <f>IF(J269="", "", IF(J269="Long Term", 12.5%,"as per slab"))</f>
        <v/>
      </c>
      <c r="L269" s="3">
        <f>+IFERROR(IF(J269="","",H269*K269),"as per slab")</f>
        <v/>
      </c>
    </row>
    <row r="270">
      <c r="A270" s="7" t="n"/>
      <c r="B270" s="7" t="n"/>
      <c r="C270" s="8" t="n"/>
      <c r="D270" s="9" t="n"/>
      <c r="E270" s="8" t="n"/>
      <c r="F270" s="9" t="n"/>
      <c r="G270" s="9" t="n"/>
      <c r="H270" s="3">
        <f>IF(AND(D270&lt;&gt;"",F270&lt;&gt;""),F270-D270-G270,"")</f>
        <v/>
      </c>
      <c r="I270" s="14">
        <f>IF(E270&lt;&gt;"", YEARFRAC(C270, E270) * 12, "")</f>
        <v/>
      </c>
      <c r="J270" s="2">
        <f>IF(I270="", "", IF(OR(AND(A270="Listed Equity Shares", I270&gt;12), AND(A270="Unlisted Equity Shares", I270&gt;24)), "Long Term", "Short Term"))</f>
        <v/>
      </c>
      <c r="K270" s="5">
        <f>IF(J270="", "", IF(J270="Long Term", 12.5%,"as per slab"))</f>
        <v/>
      </c>
      <c r="L270" s="3">
        <f>+IFERROR(IF(J270="","",H270*K270),"as per slab")</f>
        <v/>
      </c>
    </row>
    <row r="271">
      <c r="A271" s="7" t="n"/>
      <c r="B271" s="7" t="n"/>
      <c r="C271" s="8" t="n"/>
      <c r="D271" s="9" t="n"/>
      <c r="E271" s="8" t="n"/>
      <c r="F271" s="9" t="n"/>
      <c r="G271" s="9" t="n"/>
      <c r="H271" s="3">
        <f>IF(AND(D271&lt;&gt;"",F271&lt;&gt;""),F271-D271-G271,"")</f>
        <v/>
      </c>
      <c r="I271" s="14">
        <f>IF(E271&lt;&gt;"", YEARFRAC(C271, E271) * 12, "")</f>
        <v/>
      </c>
      <c r="J271" s="2">
        <f>IF(I271="", "", IF(OR(AND(A271="Listed Equity Shares", I271&gt;12), AND(A271="Unlisted Equity Shares", I271&gt;24)), "Long Term", "Short Term"))</f>
        <v/>
      </c>
      <c r="K271" s="5">
        <f>IF(J271="", "", IF(J271="Long Term", 12.5%,"as per slab"))</f>
        <v/>
      </c>
      <c r="L271" s="3">
        <f>+IFERROR(IF(J271="","",H271*K271),"as per slab")</f>
        <v/>
      </c>
    </row>
    <row r="272">
      <c r="A272" s="7" t="n"/>
      <c r="B272" s="7" t="n"/>
      <c r="C272" s="8" t="n"/>
      <c r="D272" s="9" t="n"/>
      <c r="E272" s="8" t="n"/>
      <c r="F272" s="9" t="n"/>
      <c r="G272" s="9" t="n"/>
      <c r="H272" s="3">
        <f>IF(AND(D272&lt;&gt;"",F272&lt;&gt;""),F272-D272-G272,"")</f>
        <v/>
      </c>
      <c r="I272" s="14">
        <f>IF(E272&lt;&gt;"", YEARFRAC(C272, E272) * 12, "")</f>
        <v/>
      </c>
      <c r="J272" s="2">
        <f>IF(I272="", "", IF(OR(AND(A272="Listed Equity Shares", I272&gt;12), AND(A272="Unlisted Equity Shares", I272&gt;24)), "Long Term", "Short Term"))</f>
        <v/>
      </c>
      <c r="K272" s="5">
        <f>IF(J272="", "", IF(J272="Long Term", 12.5%,"as per slab"))</f>
        <v/>
      </c>
      <c r="L272" s="3">
        <f>+IFERROR(IF(J272="","",H272*K272),"as per slab")</f>
        <v/>
      </c>
    </row>
    <row r="273">
      <c r="A273" s="7" t="n"/>
      <c r="B273" s="7" t="n"/>
      <c r="C273" s="8" t="n"/>
      <c r="D273" s="9" t="n"/>
      <c r="E273" s="8" t="n"/>
      <c r="F273" s="9" t="n"/>
      <c r="G273" s="9" t="n"/>
      <c r="H273" s="3">
        <f>IF(AND(D273&lt;&gt;"",F273&lt;&gt;""),F273-D273-G273,"")</f>
        <v/>
      </c>
      <c r="I273" s="14">
        <f>IF(E273&lt;&gt;"", YEARFRAC(C273, E273) * 12, "")</f>
        <v/>
      </c>
      <c r="J273" s="2">
        <f>IF(I273="", "", IF(OR(AND(A273="Listed Equity Shares", I273&gt;12), AND(A273="Unlisted Equity Shares", I273&gt;24)), "Long Term", "Short Term"))</f>
        <v/>
      </c>
      <c r="K273" s="5">
        <f>IF(J273="", "", IF(J273="Long Term", 12.5%,"as per slab"))</f>
        <v/>
      </c>
      <c r="L273" s="3">
        <f>+IFERROR(IF(J273="","",H273*K273),"as per slab")</f>
        <v/>
      </c>
    </row>
    <row r="274">
      <c r="A274" s="7" t="n"/>
      <c r="B274" s="7" t="n"/>
      <c r="C274" s="8" t="n"/>
      <c r="D274" s="9" t="n"/>
      <c r="E274" s="8" t="n"/>
      <c r="F274" s="9" t="n"/>
      <c r="G274" s="9" t="n"/>
      <c r="H274" s="3">
        <f>IF(AND(D274&lt;&gt;"",F274&lt;&gt;""),F274-D274-G274,"")</f>
        <v/>
      </c>
      <c r="I274" s="14">
        <f>IF(E274&lt;&gt;"", YEARFRAC(C274, E274) * 12, "")</f>
        <v/>
      </c>
      <c r="J274" s="2">
        <f>IF(I274="", "", IF(OR(AND(A274="Listed Equity Shares", I274&gt;12), AND(A274="Unlisted Equity Shares", I274&gt;24)), "Long Term", "Short Term"))</f>
        <v/>
      </c>
      <c r="K274" s="5">
        <f>IF(J274="", "", IF(J274="Long Term", 12.5%,"as per slab"))</f>
        <v/>
      </c>
      <c r="L274" s="3">
        <f>+IFERROR(IF(J274="","",H274*K274),"as per slab")</f>
        <v/>
      </c>
    </row>
    <row r="275">
      <c r="A275" s="7" t="n"/>
      <c r="B275" s="7" t="n"/>
      <c r="C275" s="8" t="n"/>
      <c r="D275" s="9" t="n"/>
      <c r="E275" s="8" t="n"/>
      <c r="F275" s="9" t="n"/>
      <c r="G275" s="9" t="n"/>
      <c r="H275" s="3">
        <f>IF(AND(D275&lt;&gt;"",F275&lt;&gt;""),F275-D275-G275,"")</f>
        <v/>
      </c>
      <c r="I275" s="14">
        <f>IF(E275&lt;&gt;"", YEARFRAC(C275, E275) * 12, "")</f>
        <v/>
      </c>
      <c r="J275" s="2">
        <f>IF(I275="", "", IF(OR(AND(A275="Listed Equity Shares", I275&gt;12), AND(A275="Unlisted Equity Shares", I275&gt;24)), "Long Term", "Short Term"))</f>
        <v/>
      </c>
      <c r="K275" s="5">
        <f>IF(J275="", "", IF(J275="Long Term", 12.5%,"as per slab"))</f>
        <v/>
      </c>
      <c r="L275" s="3">
        <f>+IFERROR(IF(J275="","",H275*K275),"as per slab")</f>
        <v/>
      </c>
    </row>
    <row r="276">
      <c r="A276" s="7" t="n"/>
      <c r="B276" s="7" t="n"/>
      <c r="C276" s="8" t="n"/>
      <c r="D276" s="9" t="n"/>
      <c r="E276" s="8" t="n"/>
      <c r="F276" s="9" t="n"/>
      <c r="G276" s="9" t="n"/>
      <c r="H276" s="3">
        <f>IF(AND(D276&lt;&gt;"",F276&lt;&gt;""),F276-D276-G276,"")</f>
        <v/>
      </c>
      <c r="I276" s="14">
        <f>IF(E276&lt;&gt;"", YEARFRAC(C276, E276) * 12, "")</f>
        <v/>
      </c>
      <c r="J276" s="2">
        <f>IF(I276="", "", IF(OR(AND(A276="Listed Equity Shares", I276&gt;12), AND(A276="Unlisted Equity Shares", I276&gt;24)), "Long Term", "Short Term"))</f>
        <v/>
      </c>
      <c r="K276" s="5">
        <f>IF(J276="", "", IF(J276="Long Term", 12.5%,"as per slab"))</f>
        <v/>
      </c>
      <c r="L276" s="3">
        <f>+IFERROR(IF(J276="","",H276*K276),"as per slab")</f>
        <v/>
      </c>
    </row>
    <row r="277">
      <c r="A277" s="7" t="n"/>
      <c r="B277" s="7" t="n"/>
      <c r="C277" s="8" t="n"/>
      <c r="D277" s="9" t="n"/>
      <c r="E277" s="8" t="n"/>
      <c r="F277" s="9" t="n"/>
      <c r="G277" s="9" t="n"/>
      <c r="H277" s="3">
        <f>IF(AND(D277&lt;&gt;"",F277&lt;&gt;""),F277-D277-G277,"")</f>
        <v/>
      </c>
      <c r="I277" s="14">
        <f>IF(E277&lt;&gt;"", YEARFRAC(C277, E277) * 12, "")</f>
        <v/>
      </c>
      <c r="J277" s="2">
        <f>IF(I277="", "", IF(OR(AND(A277="Listed Equity Shares", I277&gt;12), AND(A277="Unlisted Equity Shares", I277&gt;24)), "Long Term", "Short Term"))</f>
        <v/>
      </c>
      <c r="K277" s="5">
        <f>IF(J277="", "", IF(J277="Long Term", 12.5%,"as per slab"))</f>
        <v/>
      </c>
      <c r="L277" s="3">
        <f>+IFERROR(IF(J277="","",H277*K277),"as per slab")</f>
        <v/>
      </c>
    </row>
    <row r="278">
      <c r="A278" s="7" t="n"/>
      <c r="B278" s="7" t="n"/>
      <c r="C278" s="8" t="n"/>
      <c r="D278" s="9" t="n"/>
      <c r="E278" s="8" t="n"/>
      <c r="F278" s="9" t="n"/>
      <c r="G278" s="9" t="n"/>
      <c r="H278" s="3">
        <f>IF(AND(D278&lt;&gt;"",F278&lt;&gt;""),F278-D278-G278,"")</f>
        <v/>
      </c>
      <c r="I278" s="14">
        <f>IF(E278&lt;&gt;"", YEARFRAC(C278, E278) * 12, "")</f>
        <v/>
      </c>
      <c r="J278" s="2">
        <f>IF(I278="", "", IF(OR(AND(A278="Listed Equity Shares", I278&gt;12), AND(A278="Unlisted Equity Shares", I278&gt;24)), "Long Term", "Short Term"))</f>
        <v/>
      </c>
      <c r="K278" s="5">
        <f>IF(J278="", "", IF(J278="Long Term", 12.5%,"as per slab"))</f>
        <v/>
      </c>
      <c r="L278" s="3">
        <f>+IFERROR(IF(J278="","",H278*K278),"as per slab")</f>
        <v/>
      </c>
    </row>
    <row r="279">
      <c r="A279" s="7" t="n"/>
      <c r="B279" s="7" t="n"/>
      <c r="C279" s="8" t="n"/>
      <c r="D279" s="9" t="n"/>
      <c r="E279" s="8" t="n"/>
      <c r="F279" s="9" t="n"/>
      <c r="G279" s="9" t="n"/>
      <c r="H279" s="3">
        <f>IF(AND(D279&lt;&gt;"",F279&lt;&gt;""),F279-D279-G279,"")</f>
        <v/>
      </c>
      <c r="I279" s="14">
        <f>IF(E279&lt;&gt;"", YEARFRAC(C279, E279) * 12, "")</f>
        <v/>
      </c>
      <c r="J279" s="2">
        <f>IF(I279="", "", IF(OR(AND(A279="Listed Equity Shares", I279&gt;12), AND(A279="Unlisted Equity Shares", I279&gt;24)), "Long Term", "Short Term"))</f>
        <v/>
      </c>
      <c r="K279" s="5">
        <f>IF(J279="", "", IF(J279="Long Term", 12.5%,"as per slab"))</f>
        <v/>
      </c>
      <c r="L279" s="3">
        <f>+IFERROR(IF(J279="","",H279*K279),"as per slab")</f>
        <v/>
      </c>
    </row>
    <row r="280">
      <c r="A280" s="7" t="n"/>
      <c r="B280" s="7" t="n"/>
      <c r="C280" s="8" t="n"/>
      <c r="D280" s="9" t="n"/>
      <c r="E280" s="8" t="n"/>
      <c r="F280" s="9" t="n"/>
      <c r="G280" s="9" t="n"/>
      <c r="H280" s="3">
        <f>IF(AND(D280&lt;&gt;"",F280&lt;&gt;""),F280-D280-G280,"")</f>
        <v/>
      </c>
      <c r="I280" s="14">
        <f>IF(E280&lt;&gt;"", YEARFRAC(C280, E280) * 12, "")</f>
        <v/>
      </c>
      <c r="J280" s="2">
        <f>IF(I280="", "", IF(OR(AND(A280="Listed Equity Shares", I280&gt;12), AND(A280="Unlisted Equity Shares", I280&gt;24)), "Long Term", "Short Term"))</f>
        <v/>
      </c>
      <c r="K280" s="5">
        <f>IF(J280="", "", IF(J280="Long Term", 12.5%,"as per slab"))</f>
        <v/>
      </c>
      <c r="L280" s="3">
        <f>+IFERROR(IF(J280="","",H280*K280),"as per slab")</f>
        <v/>
      </c>
    </row>
    <row r="281">
      <c r="A281" s="7" t="n"/>
      <c r="B281" s="7" t="n"/>
      <c r="C281" s="8" t="n"/>
      <c r="D281" s="9" t="n"/>
      <c r="E281" s="8" t="n"/>
      <c r="F281" s="9" t="n"/>
      <c r="G281" s="9" t="n"/>
      <c r="H281" s="3">
        <f>IF(AND(D281&lt;&gt;"",F281&lt;&gt;""),F281-D281-G281,"")</f>
        <v/>
      </c>
      <c r="I281" s="14">
        <f>IF(E281&lt;&gt;"", YEARFRAC(C281, E281) * 12, "")</f>
        <v/>
      </c>
      <c r="J281" s="2">
        <f>IF(I281="", "", IF(OR(AND(A281="Listed Equity Shares", I281&gt;12), AND(A281="Unlisted Equity Shares", I281&gt;24)), "Long Term", "Short Term"))</f>
        <v/>
      </c>
      <c r="K281" s="5">
        <f>IF(J281="", "", IF(J281="Long Term", 12.5%,"as per slab"))</f>
        <v/>
      </c>
      <c r="L281" s="3">
        <f>+IFERROR(IF(J281="","",H281*K281),"as per slab")</f>
        <v/>
      </c>
    </row>
    <row r="282">
      <c r="A282" s="7" t="n"/>
      <c r="B282" s="7" t="n"/>
      <c r="C282" s="8" t="n"/>
      <c r="D282" s="9" t="n"/>
      <c r="E282" s="8" t="n"/>
      <c r="F282" s="9" t="n"/>
      <c r="G282" s="9" t="n"/>
      <c r="H282" s="3">
        <f>IF(AND(D282&lt;&gt;"",F282&lt;&gt;""),F282-D282-G282,"")</f>
        <v/>
      </c>
      <c r="I282" s="14">
        <f>IF(E282&lt;&gt;"", YEARFRAC(C282, E282) * 12, "")</f>
        <v/>
      </c>
      <c r="J282" s="2">
        <f>IF(I282="", "", IF(OR(AND(A282="Listed Equity Shares", I282&gt;12), AND(A282="Unlisted Equity Shares", I282&gt;24)), "Long Term", "Short Term"))</f>
        <v/>
      </c>
      <c r="K282" s="5">
        <f>IF(J282="", "", IF(J282="Long Term", 12.5%,"as per slab"))</f>
        <v/>
      </c>
      <c r="L282" s="3">
        <f>+IFERROR(IF(J282="","",H282*K282),"as per slab")</f>
        <v/>
      </c>
    </row>
    <row r="283">
      <c r="A283" s="7" t="n"/>
      <c r="B283" s="7" t="n"/>
      <c r="C283" s="8" t="n"/>
      <c r="D283" s="9" t="n"/>
      <c r="E283" s="8" t="n"/>
      <c r="F283" s="9" t="n"/>
      <c r="G283" s="9" t="n"/>
      <c r="H283" s="3">
        <f>IF(AND(D283&lt;&gt;"",F283&lt;&gt;""),F283-D283-G283,"")</f>
        <v/>
      </c>
      <c r="I283" s="14">
        <f>IF(E283&lt;&gt;"", YEARFRAC(C283, E283) * 12, "")</f>
        <v/>
      </c>
      <c r="J283" s="2">
        <f>IF(I283="", "", IF(OR(AND(A283="Listed Equity Shares", I283&gt;12), AND(A283="Unlisted Equity Shares", I283&gt;24)), "Long Term", "Short Term"))</f>
        <v/>
      </c>
      <c r="K283" s="5">
        <f>IF(J283="", "", IF(J283="Long Term", 12.5%,"as per slab"))</f>
        <v/>
      </c>
      <c r="L283" s="3">
        <f>+IFERROR(IF(J283="","",H283*K283),"as per slab")</f>
        <v/>
      </c>
    </row>
    <row r="284">
      <c r="A284" s="7" t="n"/>
      <c r="B284" s="7" t="n"/>
      <c r="C284" s="8" t="n"/>
      <c r="D284" s="9" t="n"/>
      <c r="E284" s="8" t="n"/>
      <c r="F284" s="9" t="n"/>
      <c r="G284" s="9" t="n"/>
      <c r="H284" s="3">
        <f>IF(AND(D284&lt;&gt;"",F284&lt;&gt;""),F284-D284-G284,"")</f>
        <v/>
      </c>
      <c r="I284" s="14">
        <f>IF(E284&lt;&gt;"", YEARFRAC(C284, E284) * 12, "")</f>
        <v/>
      </c>
      <c r="J284" s="2">
        <f>IF(I284="", "", IF(OR(AND(A284="Listed Equity Shares", I284&gt;12), AND(A284="Unlisted Equity Shares", I284&gt;24)), "Long Term", "Short Term"))</f>
        <v/>
      </c>
      <c r="K284" s="5">
        <f>IF(J284="", "", IF(J284="Long Term", 12.5%,"as per slab"))</f>
        <v/>
      </c>
      <c r="L284" s="3">
        <f>+IFERROR(IF(J284="","",H284*K284),"as per slab")</f>
        <v/>
      </c>
    </row>
    <row r="285">
      <c r="A285" s="7" t="n"/>
      <c r="B285" s="7" t="n"/>
      <c r="C285" s="8" t="n"/>
      <c r="D285" s="9" t="n"/>
      <c r="E285" s="8" t="n"/>
      <c r="F285" s="9" t="n"/>
      <c r="G285" s="9" t="n"/>
      <c r="H285" s="3">
        <f>IF(AND(D285&lt;&gt;"",F285&lt;&gt;""),F285-D285-G285,"")</f>
        <v/>
      </c>
      <c r="I285" s="14">
        <f>IF(E285&lt;&gt;"", YEARFRAC(C285, E285) * 12, "")</f>
        <v/>
      </c>
      <c r="J285" s="2">
        <f>IF(I285="", "", IF(OR(AND(A285="Listed Equity Shares", I285&gt;12), AND(A285="Unlisted Equity Shares", I285&gt;24)), "Long Term", "Short Term"))</f>
        <v/>
      </c>
      <c r="K285" s="5">
        <f>IF(J285="", "", IF(J285="Long Term", 12.5%,"as per slab"))</f>
        <v/>
      </c>
      <c r="L285" s="3">
        <f>+IFERROR(IF(J285="","",H285*K285),"as per slab")</f>
        <v/>
      </c>
    </row>
    <row r="286">
      <c r="A286" s="7" t="n"/>
      <c r="B286" s="7" t="n"/>
      <c r="C286" s="8" t="n"/>
      <c r="D286" s="9" t="n"/>
      <c r="E286" s="8" t="n"/>
      <c r="F286" s="9" t="n"/>
      <c r="G286" s="9" t="n"/>
      <c r="H286" s="3">
        <f>IF(AND(D286&lt;&gt;"",F286&lt;&gt;""),F286-D286-G286,"")</f>
        <v/>
      </c>
      <c r="I286" s="14">
        <f>IF(E286&lt;&gt;"", YEARFRAC(C286, E286) * 12, "")</f>
        <v/>
      </c>
      <c r="J286" s="2">
        <f>IF(I286="", "", IF(OR(AND(A286="Listed Equity Shares", I286&gt;12), AND(A286="Unlisted Equity Shares", I286&gt;24)), "Long Term", "Short Term"))</f>
        <v/>
      </c>
      <c r="K286" s="5">
        <f>IF(J286="", "", IF(J286="Long Term", 12.5%,"as per slab"))</f>
        <v/>
      </c>
      <c r="L286" s="3">
        <f>+IFERROR(IF(J286="","",H286*K286),"as per slab")</f>
        <v/>
      </c>
    </row>
    <row r="287">
      <c r="A287" s="7" t="n"/>
      <c r="B287" s="7" t="n"/>
      <c r="C287" s="8" t="n"/>
      <c r="D287" s="9" t="n"/>
      <c r="E287" s="8" t="n"/>
      <c r="F287" s="9" t="n"/>
      <c r="G287" s="9" t="n"/>
      <c r="H287" s="3">
        <f>IF(AND(D287&lt;&gt;"",F287&lt;&gt;""),F287-D287-G287,"")</f>
        <v/>
      </c>
      <c r="I287" s="14">
        <f>IF(E287&lt;&gt;"", YEARFRAC(C287, E287) * 12, "")</f>
        <v/>
      </c>
      <c r="J287" s="2">
        <f>IF(I287="", "", IF(OR(AND(A287="Listed Equity Shares", I287&gt;12), AND(A287="Unlisted Equity Shares", I287&gt;24)), "Long Term", "Short Term"))</f>
        <v/>
      </c>
      <c r="K287" s="5">
        <f>IF(J287="", "", IF(J287="Long Term", 12.5%,"as per slab"))</f>
        <v/>
      </c>
      <c r="L287" s="3">
        <f>+IFERROR(IF(J287="","",H287*K287),"as per slab")</f>
        <v/>
      </c>
    </row>
    <row r="288">
      <c r="A288" s="7" t="n"/>
      <c r="B288" s="7" t="n"/>
      <c r="C288" s="8" t="n"/>
      <c r="D288" s="9" t="n"/>
      <c r="E288" s="8" t="n"/>
      <c r="F288" s="9" t="n"/>
      <c r="G288" s="9" t="n"/>
      <c r="H288" s="3">
        <f>IF(AND(D288&lt;&gt;"",F288&lt;&gt;""),F288-D288-G288,"")</f>
        <v/>
      </c>
      <c r="I288" s="14">
        <f>IF(E288&lt;&gt;"", YEARFRAC(C288, E288) * 12, "")</f>
        <v/>
      </c>
      <c r="J288" s="2">
        <f>IF(I288="", "", IF(OR(AND(A288="Listed Equity Shares", I288&gt;12), AND(A288="Unlisted Equity Shares", I288&gt;24)), "Long Term", "Short Term"))</f>
        <v/>
      </c>
      <c r="K288" s="5">
        <f>IF(J288="", "", IF(J288="Long Term", 12.5%,"as per slab"))</f>
        <v/>
      </c>
      <c r="L288" s="3">
        <f>+IFERROR(IF(J288="","",H288*K288),"as per slab")</f>
        <v/>
      </c>
    </row>
    <row r="289">
      <c r="A289" s="7" t="n"/>
      <c r="B289" s="7" t="n"/>
      <c r="C289" s="8" t="n"/>
      <c r="D289" s="9" t="n"/>
      <c r="E289" s="8" t="n"/>
      <c r="F289" s="9" t="n"/>
      <c r="G289" s="9" t="n"/>
      <c r="H289" s="3">
        <f>IF(AND(D289&lt;&gt;"",F289&lt;&gt;""),F289-D289-G289,"")</f>
        <v/>
      </c>
      <c r="I289" s="14">
        <f>IF(E289&lt;&gt;"", YEARFRAC(C289, E289) * 12, "")</f>
        <v/>
      </c>
      <c r="J289" s="2">
        <f>IF(I289="", "", IF(OR(AND(A289="Listed Equity Shares", I289&gt;12), AND(A289="Unlisted Equity Shares", I289&gt;24)), "Long Term", "Short Term"))</f>
        <v/>
      </c>
      <c r="K289" s="5">
        <f>IF(J289="", "", IF(J289="Long Term", 12.5%,"as per slab"))</f>
        <v/>
      </c>
      <c r="L289" s="3">
        <f>+IFERROR(IF(J289="","",H289*K289),"as per slab")</f>
        <v/>
      </c>
    </row>
    <row r="290">
      <c r="A290" s="7" t="n"/>
      <c r="B290" s="7" t="n"/>
      <c r="C290" s="8" t="n"/>
      <c r="D290" s="9" t="n"/>
      <c r="E290" s="8" t="n"/>
      <c r="F290" s="9" t="n"/>
      <c r="G290" s="9" t="n"/>
      <c r="H290" s="3">
        <f>IF(AND(D290&lt;&gt;"",F290&lt;&gt;""),F290-D290-G290,"")</f>
        <v/>
      </c>
      <c r="I290" s="14">
        <f>IF(E290&lt;&gt;"", YEARFRAC(C290, E290) * 12, "")</f>
        <v/>
      </c>
      <c r="J290" s="2">
        <f>IF(I290="", "", IF(OR(AND(A290="Listed Equity Shares", I290&gt;12), AND(A290="Unlisted Equity Shares", I290&gt;24)), "Long Term", "Short Term"))</f>
        <v/>
      </c>
      <c r="K290" s="5">
        <f>IF(J290="", "", IF(J290="Long Term", 12.5%,"as per slab"))</f>
        <v/>
      </c>
      <c r="L290" s="3">
        <f>+IFERROR(IF(J290="","",H290*K290),"as per slab")</f>
        <v/>
      </c>
    </row>
    <row r="291">
      <c r="A291" s="7" t="n"/>
      <c r="B291" s="7" t="n"/>
      <c r="C291" s="8" t="n"/>
      <c r="D291" s="9" t="n"/>
      <c r="E291" s="8" t="n"/>
      <c r="F291" s="9" t="n"/>
      <c r="G291" s="9" t="n"/>
      <c r="H291" s="3">
        <f>IF(AND(D291&lt;&gt;"",F291&lt;&gt;""),F291-D291-G291,"")</f>
        <v/>
      </c>
      <c r="I291" s="14">
        <f>IF(E291&lt;&gt;"", YEARFRAC(C291, E291) * 12, "")</f>
        <v/>
      </c>
      <c r="J291" s="2">
        <f>IF(I291="", "", IF(OR(AND(A291="Listed Equity Shares", I291&gt;12), AND(A291="Unlisted Equity Shares", I291&gt;24)), "Long Term", "Short Term"))</f>
        <v/>
      </c>
      <c r="K291" s="5">
        <f>IF(J291="", "", IF(J291="Long Term", 12.5%,"as per slab"))</f>
        <v/>
      </c>
      <c r="L291" s="3">
        <f>+IFERROR(IF(J291="","",H291*K291),"as per slab")</f>
        <v/>
      </c>
    </row>
    <row r="292">
      <c r="A292" s="7" t="n"/>
      <c r="B292" s="7" t="n"/>
      <c r="C292" s="8" t="n"/>
      <c r="D292" s="9" t="n"/>
      <c r="E292" s="8" t="n"/>
      <c r="F292" s="9" t="n"/>
      <c r="G292" s="9" t="n"/>
      <c r="H292" s="3">
        <f>IF(AND(D292&lt;&gt;"",F292&lt;&gt;""),F292-D292-G292,"")</f>
        <v/>
      </c>
      <c r="I292" s="14">
        <f>IF(E292&lt;&gt;"", YEARFRAC(C292, E292) * 12, "")</f>
        <v/>
      </c>
      <c r="J292" s="2">
        <f>IF(I292="", "", IF(OR(AND(A292="Listed Equity Shares", I292&gt;12), AND(A292="Unlisted Equity Shares", I292&gt;24)), "Long Term", "Short Term"))</f>
        <v/>
      </c>
      <c r="K292" s="5">
        <f>IF(J292="", "", IF(J292="Long Term", 12.5%,"as per slab"))</f>
        <v/>
      </c>
      <c r="L292" s="3">
        <f>+IFERROR(IF(J292="","",H292*K292),"as per slab")</f>
        <v/>
      </c>
    </row>
    <row r="293">
      <c r="A293" s="7" t="n"/>
      <c r="B293" s="7" t="n"/>
      <c r="C293" s="8" t="n"/>
      <c r="D293" s="9" t="n"/>
      <c r="E293" s="8" t="n"/>
      <c r="F293" s="9" t="n"/>
      <c r="G293" s="9" t="n"/>
      <c r="H293" s="3">
        <f>IF(AND(D293&lt;&gt;"",F293&lt;&gt;""),F293-D293-G293,"")</f>
        <v/>
      </c>
      <c r="I293" s="14">
        <f>IF(E293&lt;&gt;"", YEARFRAC(C293, E293) * 12, "")</f>
        <v/>
      </c>
      <c r="J293" s="2">
        <f>IF(I293="", "", IF(OR(AND(A293="Listed Equity Shares", I293&gt;12), AND(A293="Unlisted Equity Shares", I293&gt;24)), "Long Term", "Short Term"))</f>
        <v/>
      </c>
      <c r="K293" s="5">
        <f>IF(J293="", "", IF(J293="Long Term", 12.5%,"as per slab"))</f>
        <v/>
      </c>
      <c r="L293" s="3">
        <f>+IFERROR(IF(J293="","",H293*K293),"as per slab")</f>
        <v/>
      </c>
    </row>
    <row r="294">
      <c r="A294" s="7" t="n"/>
      <c r="B294" s="7" t="n"/>
      <c r="C294" s="8" t="n"/>
      <c r="D294" s="9" t="n"/>
      <c r="E294" s="8" t="n"/>
      <c r="F294" s="9" t="n"/>
      <c r="G294" s="9" t="n"/>
      <c r="H294" s="3">
        <f>IF(AND(D294&lt;&gt;"",F294&lt;&gt;""),F294-D294-G294,"")</f>
        <v/>
      </c>
      <c r="I294" s="14">
        <f>IF(E294&lt;&gt;"", YEARFRAC(C294, E294) * 12, "")</f>
        <v/>
      </c>
      <c r="J294" s="2">
        <f>IF(I294="", "", IF(OR(AND(A294="Listed Equity Shares", I294&gt;12), AND(A294="Unlisted Equity Shares", I294&gt;24)), "Long Term", "Short Term"))</f>
        <v/>
      </c>
      <c r="K294" s="5">
        <f>IF(J294="", "", IF(J294="Long Term", 12.5%,"as per slab"))</f>
        <v/>
      </c>
      <c r="L294" s="3">
        <f>+IFERROR(IF(J294="","",H294*K294),"as per slab")</f>
        <v/>
      </c>
    </row>
    <row r="295">
      <c r="A295" s="7" t="n"/>
      <c r="B295" s="7" t="n"/>
      <c r="C295" s="8" t="n"/>
      <c r="D295" s="9" t="n"/>
      <c r="E295" s="8" t="n"/>
      <c r="F295" s="9" t="n"/>
      <c r="G295" s="9" t="n"/>
      <c r="H295" s="3">
        <f>IF(AND(D295&lt;&gt;"",F295&lt;&gt;""),F295-D295-G295,"")</f>
        <v/>
      </c>
      <c r="I295" s="14">
        <f>IF(E295&lt;&gt;"", YEARFRAC(C295, E295) * 12, "")</f>
        <v/>
      </c>
      <c r="J295" s="2">
        <f>IF(I295="", "", IF(OR(AND(A295="Listed Equity Shares", I295&gt;12), AND(A295="Unlisted Equity Shares", I295&gt;24)), "Long Term", "Short Term"))</f>
        <v/>
      </c>
      <c r="K295" s="5">
        <f>IF(J295="", "", IF(J295="Long Term", 12.5%,"as per slab"))</f>
        <v/>
      </c>
      <c r="L295" s="3">
        <f>+IFERROR(IF(J295="","",H295*K295),"as per slab")</f>
        <v/>
      </c>
    </row>
    <row r="296">
      <c r="A296" s="7" t="n"/>
      <c r="B296" s="7" t="n"/>
      <c r="C296" s="8" t="n"/>
      <c r="D296" s="9" t="n"/>
      <c r="E296" s="8" t="n"/>
      <c r="F296" s="9" t="n"/>
      <c r="G296" s="9" t="n"/>
      <c r="H296" s="3">
        <f>IF(AND(D296&lt;&gt;"",F296&lt;&gt;""),F296-D296-G296,"")</f>
        <v/>
      </c>
      <c r="I296" s="14">
        <f>IF(E296&lt;&gt;"", YEARFRAC(C296, E296) * 12, "")</f>
        <v/>
      </c>
      <c r="J296" s="2">
        <f>IF(I296="", "", IF(OR(AND(A296="Listed Equity Shares", I296&gt;12), AND(A296="Unlisted Equity Shares", I296&gt;24)), "Long Term", "Short Term"))</f>
        <v/>
      </c>
      <c r="K296" s="5">
        <f>IF(J296="", "", IF(J296="Long Term", 12.5%,"as per slab"))</f>
        <v/>
      </c>
      <c r="L296" s="3">
        <f>+IFERROR(IF(J296="","",H296*K296),"as per slab")</f>
        <v/>
      </c>
    </row>
    <row r="297">
      <c r="A297" s="7" t="n"/>
      <c r="B297" s="7" t="n"/>
      <c r="C297" s="8" t="n"/>
      <c r="D297" s="9" t="n"/>
      <c r="E297" s="8" t="n"/>
      <c r="F297" s="9" t="n"/>
      <c r="G297" s="9" t="n"/>
      <c r="H297" s="3">
        <f>IF(AND(D297&lt;&gt;"",F297&lt;&gt;""),F297-D297-G297,"")</f>
        <v/>
      </c>
      <c r="I297" s="14">
        <f>IF(E297&lt;&gt;"", YEARFRAC(C297, E297) * 12, "")</f>
        <v/>
      </c>
      <c r="J297" s="2">
        <f>IF(I297="", "", IF(OR(AND(A297="Listed Equity Shares", I297&gt;12), AND(A297="Unlisted Equity Shares", I297&gt;24)), "Long Term", "Short Term"))</f>
        <v/>
      </c>
      <c r="K297" s="5">
        <f>IF(J297="", "", IF(J297="Long Term", 12.5%,"as per slab"))</f>
        <v/>
      </c>
      <c r="L297" s="3">
        <f>+IFERROR(IF(J297="","",H297*K297),"as per slab")</f>
        <v/>
      </c>
    </row>
    <row r="298">
      <c r="A298" s="7" t="n"/>
      <c r="B298" s="7" t="n"/>
      <c r="C298" s="8" t="n"/>
      <c r="D298" s="9" t="n"/>
      <c r="E298" s="8" t="n"/>
      <c r="F298" s="9" t="n"/>
      <c r="G298" s="9" t="n"/>
      <c r="H298" s="3">
        <f>IF(AND(D298&lt;&gt;"",F298&lt;&gt;""),F298-D298-G298,"")</f>
        <v/>
      </c>
      <c r="I298" s="14">
        <f>IF(E298&lt;&gt;"", YEARFRAC(C298, E298) * 12, "")</f>
        <v/>
      </c>
      <c r="J298" s="2">
        <f>IF(I298="", "", IF(OR(AND(A298="Listed Equity Shares", I298&gt;12), AND(A298="Unlisted Equity Shares", I298&gt;24)), "Long Term", "Short Term"))</f>
        <v/>
      </c>
      <c r="K298" s="5">
        <f>IF(J298="", "", IF(J298="Long Term", 12.5%,"as per slab"))</f>
        <v/>
      </c>
      <c r="L298" s="3">
        <f>+IFERROR(IF(J298="","",H298*K298),"as per slab")</f>
        <v/>
      </c>
    </row>
    <row r="299">
      <c r="A299" s="7" t="n"/>
      <c r="B299" s="7" t="n"/>
      <c r="C299" s="8" t="n"/>
      <c r="D299" s="9" t="n"/>
      <c r="E299" s="8" t="n"/>
      <c r="F299" s="9" t="n"/>
      <c r="G299" s="9" t="n"/>
      <c r="H299" s="3">
        <f>IF(AND(D299&lt;&gt;"",F299&lt;&gt;""),F299-D299-G299,"")</f>
        <v/>
      </c>
      <c r="I299" s="14">
        <f>IF(E299&lt;&gt;"", YEARFRAC(C299, E299) * 12, "")</f>
        <v/>
      </c>
      <c r="J299" s="2">
        <f>IF(I299="", "", IF(OR(AND(A299="Listed Equity Shares", I299&gt;12), AND(A299="Unlisted Equity Shares", I299&gt;24)), "Long Term", "Short Term"))</f>
        <v/>
      </c>
      <c r="K299" s="5">
        <f>IF(J299="", "", IF(J299="Long Term", 12.5%,"as per slab"))</f>
        <v/>
      </c>
      <c r="L299" s="3">
        <f>+IFERROR(IF(J299="","",H299*K299),"as per slab")</f>
        <v/>
      </c>
    </row>
    <row r="300">
      <c r="A300" s="7" t="n"/>
      <c r="B300" s="7" t="n"/>
      <c r="C300" s="8" t="n"/>
      <c r="D300" s="9" t="n"/>
      <c r="E300" s="8" t="n"/>
      <c r="F300" s="9" t="n"/>
      <c r="G300" s="9" t="n"/>
      <c r="H300" s="3">
        <f>IF(AND(D300&lt;&gt;"",F300&lt;&gt;""),F300-D300-G300,"")</f>
        <v/>
      </c>
      <c r="I300" s="14">
        <f>IF(E300&lt;&gt;"", YEARFRAC(C300, E300) * 12, "")</f>
        <v/>
      </c>
      <c r="J300" s="2">
        <f>IF(I300="", "", IF(OR(AND(A300="Listed Equity Shares", I300&gt;12), AND(A300="Unlisted Equity Shares", I300&gt;24)), "Long Term", "Short Term"))</f>
        <v/>
      </c>
      <c r="K300" s="5">
        <f>IF(J300="", "", IF(J300="Long Term", 12.5%,"as per slab"))</f>
        <v/>
      </c>
      <c r="L300" s="3">
        <f>+IFERROR(IF(J300="","",H300*K300),"as per slab")</f>
        <v/>
      </c>
    </row>
    <row r="301">
      <c r="A301" s="7" t="n"/>
      <c r="B301" s="7" t="n"/>
      <c r="C301" s="8" t="n"/>
      <c r="D301" s="9" t="n"/>
      <c r="E301" s="8" t="n"/>
      <c r="F301" s="9" t="n"/>
      <c r="G301" s="9" t="n"/>
      <c r="H301" s="3">
        <f>IF(AND(D301&lt;&gt;"",F301&lt;&gt;""),F301-D301-G301,"")</f>
        <v/>
      </c>
      <c r="I301" s="14">
        <f>IF(E301&lt;&gt;"", YEARFRAC(C301, E301) * 12, "")</f>
        <v/>
      </c>
      <c r="J301" s="2">
        <f>IF(I301="", "", IF(OR(AND(A301="Listed Equity Shares", I301&gt;12), AND(A301="Unlisted Equity Shares", I301&gt;24)), "Long Term", "Short Term"))</f>
        <v/>
      </c>
      <c r="K301" s="5">
        <f>IF(J301="", "", IF(J301="Long Term", 12.5%,"as per slab"))</f>
        <v/>
      </c>
      <c r="L301" s="3">
        <f>+IFERROR(IF(J301="","",H301*K301),"as per slab")</f>
        <v/>
      </c>
    </row>
    <row r="302">
      <c r="A302" s="7" t="n"/>
      <c r="B302" s="7" t="n"/>
      <c r="C302" s="8" t="n"/>
      <c r="D302" s="9" t="n"/>
      <c r="E302" s="8" t="n"/>
      <c r="F302" s="9" t="n"/>
      <c r="G302" s="9" t="n"/>
      <c r="H302" s="3">
        <f>IF(AND(D302&lt;&gt;"",F302&lt;&gt;""),F302-D302-G302,"")</f>
        <v/>
      </c>
      <c r="I302" s="14">
        <f>IF(E302&lt;&gt;"", YEARFRAC(C302, E302) * 12, "")</f>
        <v/>
      </c>
      <c r="J302" s="2">
        <f>IF(I302="", "", IF(OR(AND(A302="Listed Equity Shares", I302&gt;12), AND(A302="Unlisted Equity Shares", I302&gt;24)), "Long Term", "Short Term"))</f>
        <v/>
      </c>
      <c r="K302" s="5">
        <f>IF(J302="", "", IF(J302="Long Term", 12.5%,"as per slab"))</f>
        <v/>
      </c>
      <c r="L302" s="3">
        <f>+IFERROR(IF(J302="","",H302*K302),"as per slab")</f>
        <v/>
      </c>
    </row>
    <row r="303">
      <c r="A303" s="7" t="n"/>
      <c r="B303" s="7" t="n"/>
      <c r="C303" s="8" t="n"/>
      <c r="D303" s="9" t="n"/>
      <c r="E303" s="8" t="n"/>
      <c r="F303" s="9" t="n"/>
      <c r="G303" s="9" t="n"/>
      <c r="H303" s="3">
        <f>IF(AND(D303&lt;&gt;"",F303&lt;&gt;""),F303-D303-G303,"")</f>
        <v/>
      </c>
      <c r="I303" s="14">
        <f>IF(E303&lt;&gt;"", YEARFRAC(C303, E303) * 12, "")</f>
        <v/>
      </c>
      <c r="J303" s="2">
        <f>IF(I303="", "", IF(OR(AND(A303="Listed Equity Shares", I303&gt;12), AND(A303="Unlisted Equity Shares", I303&gt;24)), "Long Term", "Short Term"))</f>
        <v/>
      </c>
      <c r="K303" s="5">
        <f>IF(J303="", "", IF(J303="Long Term", 12.5%,"as per slab"))</f>
        <v/>
      </c>
      <c r="L303" s="3">
        <f>+IFERROR(IF(J303="","",H303*K303),"as per slab")</f>
        <v/>
      </c>
    </row>
    <row r="304">
      <c r="A304" s="7" t="n"/>
      <c r="B304" s="7" t="n"/>
      <c r="C304" s="8" t="n"/>
      <c r="D304" s="9" t="n"/>
      <c r="E304" s="8" t="n"/>
      <c r="F304" s="9" t="n"/>
      <c r="G304" s="9" t="n"/>
      <c r="H304" s="3">
        <f>IF(AND(D304&lt;&gt;"",F304&lt;&gt;""),F304-D304-G304,"")</f>
        <v/>
      </c>
      <c r="I304" s="14">
        <f>IF(E304&lt;&gt;"", YEARFRAC(C304, E304) * 12, "")</f>
        <v/>
      </c>
      <c r="J304" s="2">
        <f>IF(I304="", "", IF(OR(AND(A304="Listed Equity Shares", I304&gt;12), AND(A304="Unlisted Equity Shares", I304&gt;24)), "Long Term", "Short Term"))</f>
        <v/>
      </c>
      <c r="K304" s="5">
        <f>IF(J304="", "", IF(J304="Long Term", 12.5%,"as per slab"))</f>
        <v/>
      </c>
      <c r="L304" s="3">
        <f>+IFERROR(IF(J304="","",H304*K304),"as per slab")</f>
        <v/>
      </c>
    </row>
    <row r="305">
      <c r="A305" s="7" t="n"/>
      <c r="B305" s="7" t="n"/>
      <c r="C305" s="8" t="n"/>
      <c r="D305" s="9" t="n"/>
      <c r="E305" s="8" t="n"/>
      <c r="F305" s="9" t="n"/>
      <c r="G305" s="9" t="n"/>
      <c r="H305" s="3">
        <f>IF(AND(D305&lt;&gt;"",F305&lt;&gt;""),F305-D305-G305,"")</f>
        <v/>
      </c>
      <c r="I305" s="14">
        <f>IF(E305&lt;&gt;"", YEARFRAC(C305, E305) * 12, "")</f>
        <v/>
      </c>
      <c r="J305" s="2">
        <f>IF(I305="", "", IF(OR(AND(A305="Listed Equity Shares", I305&gt;12), AND(A305="Unlisted Equity Shares", I305&gt;24)), "Long Term", "Short Term"))</f>
        <v/>
      </c>
      <c r="K305" s="5">
        <f>IF(J305="", "", IF(J305="Long Term", 12.5%,"as per slab"))</f>
        <v/>
      </c>
      <c r="L305" s="3">
        <f>+IFERROR(IF(J305="","",H305*K305),"as per slab")</f>
        <v/>
      </c>
    </row>
    <row r="306">
      <c r="A306" s="7" t="n"/>
      <c r="B306" s="7" t="n"/>
      <c r="C306" s="8" t="n"/>
      <c r="D306" s="9" t="n"/>
      <c r="E306" s="8" t="n"/>
      <c r="F306" s="9" t="n"/>
      <c r="G306" s="9" t="n"/>
      <c r="H306" s="3">
        <f>IF(AND(D306&lt;&gt;"",F306&lt;&gt;""),F306-D306-G306,"")</f>
        <v/>
      </c>
      <c r="I306" s="14">
        <f>IF(E306&lt;&gt;"", YEARFRAC(C306, E306) * 12, "")</f>
        <v/>
      </c>
      <c r="J306" s="2">
        <f>IF(I306="", "", IF(OR(AND(A306="Listed Equity Shares", I306&gt;12), AND(A306="Unlisted Equity Shares", I306&gt;24)), "Long Term", "Short Term"))</f>
        <v/>
      </c>
      <c r="K306" s="5">
        <f>IF(J306="", "", IF(J306="Long Term", 12.5%,"as per slab"))</f>
        <v/>
      </c>
      <c r="L306" s="3">
        <f>+IFERROR(IF(J306="","",H306*K306),"as per slab")</f>
        <v/>
      </c>
    </row>
    <row r="307">
      <c r="A307" s="7" t="n"/>
      <c r="B307" s="7" t="n"/>
      <c r="C307" s="8" t="n"/>
      <c r="D307" s="9" t="n"/>
      <c r="E307" s="8" t="n"/>
      <c r="F307" s="9" t="n"/>
      <c r="G307" s="9" t="n"/>
      <c r="H307" s="3">
        <f>IF(AND(D307&lt;&gt;"",F307&lt;&gt;""),F307-D307-G307,"")</f>
        <v/>
      </c>
      <c r="I307" s="14">
        <f>IF(E307&lt;&gt;"", YEARFRAC(C307, E307) * 12, "")</f>
        <v/>
      </c>
      <c r="J307" s="2">
        <f>IF(I307="", "", IF(OR(AND(A307="Listed Equity Shares", I307&gt;12), AND(A307="Unlisted Equity Shares", I307&gt;24)), "Long Term", "Short Term"))</f>
        <v/>
      </c>
      <c r="K307" s="5">
        <f>IF(J307="", "", IF(J307="Long Term", 12.5%,"as per slab"))</f>
        <v/>
      </c>
      <c r="L307" s="3">
        <f>+IFERROR(IF(J307="","",H307*K307),"as per slab")</f>
        <v/>
      </c>
    </row>
    <row r="308">
      <c r="A308" s="7" t="n"/>
      <c r="B308" s="7" t="n"/>
      <c r="C308" s="8" t="n"/>
      <c r="D308" s="9" t="n"/>
      <c r="E308" s="8" t="n"/>
      <c r="F308" s="9" t="n"/>
      <c r="G308" s="9" t="n"/>
      <c r="H308" s="3">
        <f>IF(AND(D308&lt;&gt;"",F308&lt;&gt;""),F308-D308-G308,"")</f>
        <v/>
      </c>
      <c r="I308" s="14">
        <f>IF(E308&lt;&gt;"", YEARFRAC(C308, E308) * 12, "")</f>
        <v/>
      </c>
      <c r="J308" s="2">
        <f>IF(I308="", "", IF(OR(AND(A308="Listed Equity Shares", I308&gt;12), AND(A308="Unlisted Equity Shares", I308&gt;24)), "Long Term", "Short Term"))</f>
        <v/>
      </c>
      <c r="K308" s="5">
        <f>IF(J308="", "", IF(J308="Long Term", 12.5%,"as per slab"))</f>
        <v/>
      </c>
      <c r="L308" s="3">
        <f>+IFERROR(IF(J308="","",H308*K308),"as per slab")</f>
        <v/>
      </c>
    </row>
    <row r="309">
      <c r="A309" s="7" t="n"/>
      <c r="B309" s="7" t="n"/>
      <c r="C309" s="8" t="n"/>
      <c r="D309" s="9" t="n"/>
      <c r="E309" s="8" t="n"/>
      <c r="F309" s="9" t="n"/>
      <c r="G309" s="9" t="n"/>
      <c r="H309" s="3">
        <f>IF(AND(D309&lt;&gt;"",F309&lt;&gt;""),F309-D309-G309,"")</f>
        <v/>
      </c>
      <c r="I309" s="14">
        <f>IF(E309&lt;&gt;"", YEARFRAC(C309, E309) * 12, "")</f>
        <v/>
      </c>
      <c r="J309" s="2">
        <f>IF(I309="", "", IF(OR(AND(A309="Listed Equity Shares", I309&gt;12), AND(A309="Unlisted Equity Shares", I309&gt;24)), "Long Term", "Short Term"))</f>
        <v/>
      </c>
      <c r="K309" s="5">
        <f>IF(J309="", "", IF(J309="Long Term", 12.5%,"as per slab"))</f>
        <v/>
      </c>
      <c r="L309" s="3">
        <f>+IFERROR(IF(J309="","",H309*K309),"as per slab")</f>
        <v/>
      </c>
    </row>
    <row r="310">
      <c r="A310" s="7" t="n"/>
      <c r="B310" s="7" t="n"/>
      <c r="C310" s="8" t="n"/>
      <c r="D310" s="9" t="n"/>
      <c r="E310" s="8" t="n"/>
      <c r="F310" s="9" t="n"/>
      <c r="G310" s="9" t="n"/>
      <c r="H310" s="3">
        <f>IF(AND(D310&lt;&gt;"",F310&lt;&gt;""),F310-D310-G310,"")</f>
        <v/>
      </c>
      <c r="I310" s="14">
        <f>IF(E310&lt;&gt;"", YEARFRAC(C310, E310) * 12, "")</f>
        <v/>
      </c>
      <c r="J310" s="2">
        <f>IF(I310="", "", IF(OR(AND(A310="Listed Equity Shares", I310&gt;12), AND(A310="Unlisted Equity Shares", I310&gt;24)), "Long Term", "Short Term"))</f>
        <v/>
      </c>
      <c r="K310" s="5">
        <f>IF(J310="", "", IF(J310="Long Term", 12.5%,"as per slab"))</f>
        <v/>
      </c>
      <c r="L310" s="3">
        <f>+IFERROR(IF(J310="","",H310*K310),"as per slab")</f>
        <v/>
      </c>
    </row>
    <row r="311">
      <c r="A311" s="7" t="n"/>
      <c r="B311" s="7" t="n"/>
      <c r="C311" s="8" t="n"/>
      <c r="D311" s="9" t="n"/>
      <c r="E311" s="8" t="n"/>
      <c r="F311" s="9" t="n"/>
      <c r="G311" s="9" t="n"/>
      <c r="H311" s="3">
        <f>IF(AND(D311&lt;&gt;"",F311&lt;&gt;""),F311-D311-G311,"")</f>
        <v/>
      </c>
      <c r="I311" s="14">
        <f>IF(E311&lt;&gt;"", YEARFRAC(C311, E311) * 12, "")</f>
        <v/>
      </c>
      <c r="J311" s="2">
        <f>IF(I311="", "", IF(OR(AND(A311="Listed Equity Shares", I311&gt;12), AND(A311="Unlisted Equity Shares", I311&gt;24)), "Long Term", "Short Term"))</f>
        <v/>
      </c>
      <c r="K311" s="5">
        <f>IF(J311="", "", IF(J311="Long Term", 12.5%,"as per slab"))</f>
        <v/>
      </c>
      <c r="L311" s="3">
        <f>+IFERROR(IF(J311="","",H311*K311),"as per slab")</f>
        <v/>
      </c>
    </row>
    <row r="312">
      <c r="A312" s="7" t="n"/>
      <c r="B312" s="7" t="n"/>
      <c r="C312" s="8" t="n"/>
      <c r="D312" s="9" t="n"/>
      <c r="E312" s="8" t="n"/>
      <c r="F312" s="9" t="n"/>
      <c r="G312" s="9" t="n"/>
      <c r="H312" s="3">
        <f>IF(AND(D312&lt;&gt;"",F312&lt;&gt;""),F312-D312-G312,"")</f>
        <v/>
      </c>
      <c r="I312" s="14">
        <f>IF(E312&lt;&gt;"", YEARFRAC(C312, E312) * 12, "")</f>
        <v/>
      </c>
      <c r="J312" s="2">
        <f>IF(I312="", "", IF(OR(AND(A312="Listed Equity Shares", I312&gt;12), AND(A312="Unlisted Equity Shares", I312&gt;24)), "Long Term", "Short Term"))</f>
        <v/>
      </c>
      <c r="K312" s="5">
        <f>IF(J312="", "", IF(J312="Long Term", 12.5%,"as per slab"))</f>
        <v/>
      </c>
      <c r="L312" s="3">
        <f>+IFERROR(IF(J312="","",H312*K312),"as per slab")</f>
        <v/>
      </c>
    </row>
    <row r="313">
      <c r="A313" s="7" t="n"/>
      <c r="B313" s="7" t="n"/>
      <c r="C313" s="8" t="n"/>
      <c r="D313" s="9" t="n"/>
      <c r="E313" s="8" t="n"/>
      <c r="F313" s="9" t="n"/>
      <c r="G313" s="9" t="n"/>
      <c r="H313" s="3">
        <f>IF(AND(D313&lt;&gt;"",F313&lt;&gt;""),F313-D313-G313,"")</f>
        <v/>
      </c>
      <c r="I313" s="14">
        <f>IF(E313&lt;&gt;"", YEARFRAC(C313, E313) * 12, "")</f>
        <v/>
      </c>
      <c r="J313" s="2">
        <f>IF(I313="", "", IF(OR(AND(A313="Listed Equity Shares", I313&gt;12), AND(A313="Unlisted Equity Shares", I313&gt;24)), "Long Term", "Short Term"))</f>
        <v/>
      </c>
      <c r="K313" s="5">
        <f>IF(J313="", "", IF(J313="Long Term", 12.5%,"as per slab"))</f>
        <v/>
      </c>
      <c r="L313" s="3">
        <f>+IFERROR(IF(J313="","",H313*K313),"as per slab")</f>
        <v/>
      </c>
    </row>
    <row r="314">
      <c r="A314" s="7" t="n"/>
      <c r="B314" s="7" t="n"/>
      <c r="C314" s="8" t="n"/>
      <c r="D314" s="9" t="n"/>
      <c r="E314" s="8" t="n"/>
      <c r="F314" s="9" t="n"/>
      <c r="G314" s="9" t="n"/>
      <c r="H314" s="3">
        <f>IF(AND(D314&lt;&gt;"",F314&lt;&gt;""),F314-D314-G314,"")</f>
        <v/>
      </c>
      <c r="I314" s="14">
        <f>IF(E314&lt;&gt;"", YEARFRAC(C314, E314) * 12, "")</f>
        <v/>
      </c>
      <c r="J314" s="2">
        <f>IF(I314="", "", IF(OR(AND(A314="Listed Equity Shares", I314&gt;12), AND(A314="Unlisted Equity Shares", I314&gt;24)), "Long Term", "Short Term"))</f>
        <v/>
      </c>
      <c r="K314" s="5">
        <f>IF(J314="", "", IF(J314="Long Term", 12.5%,"as per slab"))</f>
        <v/>
      </c>
      <c r="L314" s="3">
        <f>+IFERROR(IF(J314="","",H314*K314),"as per slab")</f>
        <v/>
      </c>
    </row>
    <row r="315">
      <c r="A315" s="7" t="n"/>
      <c r="B315" s="7" t="n"/>
      <c r="C315" s="8" t="n"/>
      <c r="D315" s="9" t="n"/>
      <c r="E315" s="8" t="n"/>
      <c r="F315" s="9" t="n"/>
      <c r="G315" s="9" t="n"/>
      <c r="H315" s="3">
        <f>IF(AND(D315&lt;&gt;"",F315&lt;&gt;""),F315-D315-G315,"")</f>
        <v/>
      </c>
      <c r="I315" s="14">
        <f>IF(E315&lt;&gt;"", YEARFRAC(C315, E315) * 12, "")</f>
        <v/>
      </c>
      <c r="J315" s="2">
        <f>IF(I315="", "", IF(OR(AND(A315="Listed Equity Shares", I315&gt;12), AND(A315="Unlisted Equity Shares", I315&gt;24)), "Long Term", "Short Term"))</f>
        <v/>
      </c>
      <c r="K315" s="5">
        <f>IF(J315="", "", IF(J315="Long Term", 12.5%,"as per slab"))</f>
        <v/>
      </c>
      <c r="L315" s="3">
        <f>+IFERROR(IF(J315="","",H315*K315),"as per slab")</f>
        <v/>
      </c>
    </row>
    <row r="316">
      <c r="A316" s="7" t="n"/>
      <c r="B316" s="7" t="n"/>
      <c r="C316" s="8" t="n"/>
      <c r="D316" s="9" t="n"/>
      <c r="E316" s="8" t="n"/>
      <c r="F316" s="9" t="n"/>
      <c r="G316" s="9" t="n"/>
      <c r="H316" s="3">
        <f>IF(AND(D316&lt;&gt;"",F316&lt;&gt;""),F316-D316-G316,"")</f>
        <v/>
      </c>
      <c r="I316" s="14">
        <f>IF(E316&lt;&gt;"", YEARFRAC(C316, E316) * 12, "")</f>
        <v/>
      </c>
      <c r="J316" s="2">
        <f>IF(I316="", "", IF(OR(AND(A316="Listed Equity Shares", I316&gt;12), AND(A316="Unlisted Equity Shares", I316&gt;24)), "Long Term", "Short Term"))</f>
        <v/>
      </c>
      <c r="K316" s="5">
        <f>IF(J316="", "", IF(J316="Long Term", 12.5%,"as per slab"))</f>
        <v/>
      </c>
      <c r="L316" s="3">
        <f>+IFERROR(IF(J316="","",H316*K316),"as per slab")</f>
        <v/>
      </c>
    </row>
    <row r="317">
      <c r="A317" s="7" t="n"/>
      <c r="B317" s="7" t="n"/>
      <c r="C317" s="8" t="n"/>
      <c r="D317" s="9" t="n"/>
      <c r="E317" s="8" t="n"/>
      <c r="F317" s="9" t="n"/>
      <c r="G317" s="9" t="n"/>
      <c r="H317" s="3">
        <f>IF(AND(D317&lt;&gt;"",F317&lt;&gt;""),F317-D317-G317,"")</f>
        <v/>
      </c>
      <c r="I317" s="14">
        <f>IF(E317&lt;&gt;"", YEARFRAC(C317, E317) * 12, "")</f>
        <v/>
      </c>
      <c r="J317" s="2">
        <f>IF(I317="", "", IF(OR(AND(A317="Listed Equity Shares", I317&gt;12), AND(A317="Unlisted Equity Shares", I317&gt;24)), "Long Term", "Short Term"))</f>
        <v/>
      </c>
      <c r="K317" s="5">
        <f>IF(J317="", "", IF(J317="Long Term", 12.5%,"as per slab"))</f>
        <v/>
      </c>
      <c r="L317" s="3">
        <f>+IFERROR(IF(J317="","",H317*K317),"as per slab")</f>
        <v/>
      </c>
    </row>
    <row r="318">
      <c r="A318" s="7" t="n"/>
      <c r="B318" s="7" t="n"/>
      <c r="C318" s="8" t="n"/>
      <c r="D318" s="9" t="n"/>
      <c r="E318" s="8" t="n"/>
      <c r="F318" s="9" t="n"/>
      <c r="G318" s="9" t="n"/>
      <c r="H318" s="3">
        <f>IF(AND(D318&lt;&gt;"",F318&lt;&gt;""),F318-D318-G318,"")</f>
        <v/>
      </c>
      <c r="I318" s="14">
        <f>IF(E318&lt;&gt;"", YEARFRAC(C318, E318) * 12, "")</f>
        <v/>
      </c>
      <c r="J318" s="2">
        <f>IF(I318="", "", IF(OR(AND(A318="Listed Equity Shares", I318&gt;12), AND(A318="Unlisted Equity Shares", I318&gt;24)), "Long Term", "Short Term"))</f>
        <v/>
      </c>
      <c r="K318" s="5">
        <f>IF(J318="", "", IF(J318="Long Term", 12.5%,"as per slab"))</f>
        <v/>
      </c>
      <c r="L318" s="3">
        <f>+IFERROR(IF(J318="","",H318*K318),"as per slab")</f>
        <v/>
      </c>
    </row>
    <row r="319">
      <c r="A319" s="7" t="n"/>
      <c r="B319" s="7" t="n"/>
      <c r="C319" s="8" t="n"/>
      <c r="D319" s="9" t="n"/>
      <c r="E319" s="8" t="n"/>
      <c r="F319" s="9" t="n"/>
      <c r="G319" s="9" t="n"/>
      <c r="H319" s="3">
        <f>IF(AND(D319&lt;&gt;"",F319&lt;&gt;""),F319-D319-G319,"")</f>
        <v/>
      </c>
      <c r="I319" s="14">
        <f>IF(E319&lt;&gt;"", YEARFRAC(C319, E319) * 12, "")</f>
        <v/>
      </c>
      <c r="J319" s="2">
        <f>IF(I319="", "", IF(OR(AND(A319="Listed Equity Shares", I319&gt;12), AND(A319="Unlisted Equity Shares", I319&gt;24)), "Long Term", "Short Term"))</f>
        <v/>
      </c>
      <c r="K319" s="5">
        <f>IF(J319="", "", IF(J319="Long Term", 12.5%,"as per slab"))</f>
        <v/>
      </c>
      <c r="L319" s="3">
        <f>+IFERROR(IF(J319="","",H319*K319),"as per slab")</f>
        <v/>
      </c>
    </row>
    <row r="320">
      <c r="A320" s="7" t="n"/>
      <c r="B320" s="7" t="n"/>
      <c r="C320" s="8" t="n"/>
      <c r="D320" s="9" t="n"/>
      <c r="E320" s="8" t="n"/>
      <c r="F320" s="9" t="n"/>
      <c r="G320" s="9" t="n"/>
      <c r="H320" s="3">
        <f>IF(AND(D320&lt;&gt;"",F320&lt;&gt;""),F320-D320-G320,"")</f>
        <v/>
      </c>
      <c r="I320" s="14">
        <f>IF(E320&lt;&gt;"", YEARFRAC(C320, E320) * 12, "")</f>
        <v/>
      </c>
      <c r="J320" s="2">
        <f>IF(I320="", "", IF(OR(AND(A320="Listed Equity Shares", I320&gt;12), AND(A320="Unlisted Equity Shares", I320&gt;24)), "Long Term", "Short Term"))</f>
        <v/>
      </c>
      <c r="K320" s="5">
        <f>IF(J320="", "", IF(J320="Long Term", 12.5%,"as per slab"))</f>
        <v/>
      </c>
      <c r="L320" s="3">
        <f>+IFERROR(IF(J320="","",H320*K320),"as per slab")</f>
        <v/>
      </c>
    </row>
    <row r="321">
      <c r="A321" s="7" t="n"/>
      <c r="B321" s="7" t="n"/>
      <c r="C321" s="8" t="n"/>
      <c r="D321" s="9" t="n"/>
      <c r="E321" s="8" t="n"/>
      <c r="F321" s="9" t="n"/>
      <c r="G321" s="9" t="n"/>
      <c r="H321" s="3">
        <f>IF(AND(D321&lt;&gt;"",F321&lt;&gt;""),F321-D321-G321,"")</f>
        <v/>
      </c>
      <c r="I321" s="14">
        <f>IF(E321&lt;&gt;"", YEARFRAC(C321, E321) * 12, "")</f>
        <v/>
      </c>
      <c r="J321" s="2">
        <f>IF(I321="", "", IF(OR(AND(A321="Listed Equity Shares", I321&gt;12), AND(A321="Unlisted Equity Shares", I321&gt;24)), "Long Term", "Short Term"))</f>
        <v/>
      </c>
      <c r="K321" s="5">
        <f>IF(J321="", "", IF(J321="Long Term", 12.5%,"as per slab"))</f>
        <v/>
      </c>
      <c r="L321" s="3">
        <f>+IFERROR(IF(J321="","",H321*K321),"as per slab")</f>
        <v/>
      </c>
    </row>
    <row r="322">
      <c r="A322" s="7" t="n"/>
      <c r="B322" s="7" t="n"/>
      <c r="C322" s="8" t="n"/>
      <c r="D322" s="9" t="n"/>
      <c r="E322" s="8" t="n"/>
      <c r="F322" s="9" t="n"/>
      <c r="G322" s="9" t="n"/>
      <c r="H322" s="3">
        <f>IF(AND(D322&lt;&gt;"",F322&lt;&gt;""),F322-D322-G322,"")</f>
        <v/>
      </c>
      <c r="I322" s="14">
        <f>IF(E322&lt;&gt;"", YEARFRAC(C322, E322) * 12, "")</f>
        <v/>
      </c>
      <c r="J322" s="2">
        <f>IF(I322="", "", IF(OR(AND(A322="Listed Equity Shares", I322&gt;12), AND(A322="Unlisted Equity Shares", I322&gt;24)), "Long Term", "Short Term"))</f>
        <v/>
      </c>
      <c r="K322" s="5">
        <f>IF(J322="", "", IF(J322="Long Term", 12.5%,"as per slab"))</f>
        <v/>
      </c>
      <c r="L322" s="3">
        <f>+IFERROR(IF(J322="","",H322*K322),"as per slab")</f>
        <v/>
      </c>
    </row>
    <row r="323">
      <c r="A323" s="7" t="n"/>
      <c r="B323" s="7" t="n"/>
      <c r="C323" s="8" t="n"/>
      <c r="D323" s="9" t="n"/>
      <c r="E323" s="8" t="n"/>
      <c r="F323" s="9" t="n"/>
      <c r="G323" s="9" t="n"/>
      <c r="H323" s="3">
        <f>IF(AND(D323&lt;&gt;"",F323&lt;&gt;""),F323-D323-G323,"")</f>
        <v/>
      </c>
      <c r="I323" s="14">
        <f>IF(E323&lt;&gt;"", YEARFRAC(C323, E323) * 12, "")</f>
        <v/>
      </c>
      <c r="J323" s="2">
        <f>IF(I323="", "", IF(OR(AND(A323="Listed Equity Shares", I323&gt;12), AND(A323="Unlisted Equity Shares", I323&gt;24)), "Long Term", "Short Term"))</f>
        <v/>
      </c>
      <c r="K323" s="5">
        <f>IF(J323="", "", IF(J323="Long Term", 12.5%,"as per slab"))</f>
        <v/>
      </c>
      <c r="L323" s="3">
        <f>+IFERROR(IF(J323="","",H323*K323),"as per slab")</f>
        <v/>
      </c>
    </row>
    <row r="324">
      <c r="A324" s="7" t="n"/>
      <c r="B324" s="7" t="n"/>
      <c r="C324" s="8" t="n"/>
      <c r="D324" s="9" t="n"/>
      <c r="E324" s="8" t="n"/>
      <c r="F324" s="9" t="n"/>
      <c r="G324" s="9" t="n"/>
      <c r="H324" s="3">
        <f>IF(AND(D324&lt;&gt;"",F324&lt;&gt;""),F324-D324-G324,"")</f>
        <v/>
      </c>
      <c r="I324" s="14">
        <f>IF(E324&lt;&gt;"", YEARFRAC(C324, E324) * 12, "")</f>
        <v/>
      </c>
      <c r="J324" s="2">
        <f>IF(I324="", "", IF(OR(AND(A324="Listed Equity Shares", I324&gt;12), AND(A324="Unlisted Equity Shares", I324&gt;24)), "Long Term", "Short Term"))</f>
        <v/>
      </c>
      <c r="K324" s="5">
        <f>IF(J324="", "", IF(J324="Long Term", 12.5%,"as per slab"))</f>
        <v/>
      </c>
      <c r="L324" s="3">
        <f>+IFERROR(IF(J324="","",H324*K324),"as per slab")</f>
        <v/>
      </c>
    </row>
    <row r="325">
      <c r="A325" s="7" t="n"/>
      <c r="B325" s="7" t="n"/>
      <c r="C325" s="8" t="n"/>
      <c r="D325" s="9" t="n"/>
      <c r="E325" s="8" t="n"/>
      <c r="F325" s="9" t="n"/>
      <c r="G325" s="9" t="n"/>
      <c r="H325" s="3">
        <f>IF(AND(D325&lt;&gt;"",F325&lt;&gt;""),F325-D325-G325,"")</f>
        <v/>
      </c>
      <c r="I325" s="14">
        <f>IF(E325&lt;&gt;"", YEARFRAC(C325, E325) * 12, "")</f>
        <v/>
      </c>
      <c r="J325" s="2">
        <f>IF(I325="", "", IF(OR(AND(A325="Listed Equity Shares", I325&gt;12), AND(A325="Unlisted Equity Shares", I325&gt;24)), "Long Term", "Short Term"))</f>
        <v/>
      </c>
      <c r="K325" s="5">
        <f>IF(J325="", "", IF(J325="Long Term", 12.5%,"as per slab"))</f>
        <v/>
      </c>
      <c r="L325" s="3">
        <f>+IFERROR(IF(J325="","",H325*K325),"as per slab")</f>
        <v/>
      </c>
    </row>
    <row r="326">
      <c r="A326" s="7" t="n"/>
      <c r="B326" s="7" t="n"/>
      <c r="C326" s="8" t="n"/>
      <c r="D326" s="9" t="n"/>
      <c r="E326" s="8" t="n"/>
      <c r="F326" s="9" t="n"/>
      <c r="G326" s="9" t="n"/>
      <c r="H326" s="3">
        <f>IF(AND(D326&lt;&gt;"",F326&lt;&gt;""),F326-D326-G326,"")</f>
        <v/>
      </c>
      <c r="I326" s="14">
        <f>IF(E326&lt;&gt;"", YEARFRAC(C326, E326) * 12, "")</f>
        <v/>
      </c>
      <c r="J326" s="2">
        <f>IF(I326="", "", IF(OR(AND(A326="Listed Equity Shares", I326&gt;12), AND(A326="Unlisted Equity Shares", I326&gt;24)), "Long Term", "Short Term"))</f>
        <v/>
      </c>
      <c r="K326" s="5">
        <f>IF(J326="", "", IF(J326="Long Term", 12.5%,"as per slab"))</f>
        <v/>
      </c>
      <c r="L326" s="3">
        <f>+IFERROR(IF(J326="","",H326*K326),"as per slab")</f>
        <v/>
      </c>
    </row>
    <row r="327">
      <c r="A327" s="7" t="n"/>
      <c r="B327" s="7" t="n"/>
      <c r="C327" s="8" t="n"/>
      <c r="D327" s="9" t="n"/>
      <c r="E327" s="8" t="n"/>
      <c r="F327" s="9" t="n"/>
      <c r="G327" s="9" t="n"/>
      <c r="H327" s="3">
        <f>IF(AND(D327&lt;&gt;"",F327&lt;&gt;""),F327-D327-G327,"")</f>
        <v/>
      </c>
      <c r="I327" s="14">
        <f>IF(E327&lt;&gt;"", YEARFRAC(C327, E327) * 12, "")</f>
        <v/>
      </c>
      <c r="J327" s="2">
        <f>IF(I327="", "", IF(OR(AND(A327="Listed Equity Shares", I327&gt;12), AND(A327="Unlisted Equity Shares", I327&gt;24)), "Long Term", "Short Term"))</f>
        <v/>
      </c>
      <c r="K327" s="5">
        <f>IF(J327="", "", IF(J327="Long Term", 12.5%,"as per slab"))</f>
        <v/>
      </c>
      <c r="L327" s="3">
        <f>+IFERROR(IF(J327="","",H327*K327),"as per slab")</f>
        <v/>
      </c>
    </row>
    <row r="328">
      <c r="A328" s="7" t="n"/>
      <c r="B328" s="7" t="n"/>
      <c r="C328" s="8" t="n"/>
      <c r="D328" s="9" t="n"/>
      <c r="E328" s="8" t="n"/>
      <c r="F328" s="9" t="n"/>
      <c r="G328" s="9" t="n"/>
      <c r="H328" s="3">
        <f>IF(AND(D328&lt;&gt;"",F328&lt;&gt;""),F328-D328-G328,"")</f>
        <v/>
      </c>
      <c r="I328" s="14">
        <f>IF(E328&lt;&gt;"", YEARFRAC(C328, E328) * 12, "")</f>
        <v/>
      </c>
      <c r="J328" s="2">
        <f>IF(I328="", "", IF(OR(AND(A328="Listed Equity Shares", I328&gt;12), AND(A328="Unlisted Equity Shares", I328&gt;24)), "Long Term", "Short Term"))</f>
        <v/>
      </c>
      <c r="K328" s="5">
        <f>IF(J328="", "", IF(J328="Long Term", 12.5%,"as per slab"))</f>
        <v/>
      </c>
      <c r="L328" s="3">
        <f>+IFERROR(IF(J328="","",H328*K328),"as per slab")</f>
        <v/>
      </c>
    </row>
    <row r="329">
      <c r="A329" s="7" t="n"/>
      <c r="B329" s="7" t="n"/>
      <c r="C329" s="8" t="n"/>
      <c r="D329" s="9" t="n"/>
      <c r="E329" s="8" t="n"/>
      <c r="F329" s="9" t="n"/>
      <c r="G329" s="9" t="n"/>
      <c r="H329" s="3">
        <f>IF(AND(D329&lt;&gt;"",F329&lt;&gt;""),F329-D329-G329,"")</f>
        <v/>
      </c>
      <c r="I329" s="14">
        <f>IF(E329&lt;&gt;"", YEARFRAC(C329, E329) * 12, "")</f>
        <v/>
      </c>
      <c r="J329" s="2">
        <f>IF(I329="", "", IF(OR(AND(A329="Listed Equity Shares", I329&gt;12), AND(A329="Unlisted Equity Shares", I329&gt;24)), "Long Term", "Short Term"))</f>
        <v/>
      </c>
      <c r="K329" s="5">
        <f>IF(J329="", "", IF(J329="Long Term", 12.5%,"as per slab"))</f>
        <v/>
      </c>
      <c r="L329" s="3">
        <f>+IFERROR(IF(J329="","",H329*K329),"as per slab")</f>
        <v/>
      </c>
    </row>
    <row r="330">
      <c r="A330" s="7" t="n"/>
      <c r="B330" s="7" t="n"/>
      <c r="C330" s="8" t="n"/>
      <c r="D330" s="9" t="n"/>
      <c r="E330" s="8" t="n"/>
      <c r="F330" s="9" t="n"/>
      <c r="G330" s="9" t="n"/>
      <c r="H330" s="3">
        <f>IF(AND(D330&lt;&gt;"",F330&lt;&gt;""),F330-D330-G330,"")</f>
        <v/>
      </c>
      <c r="I330" s="14">
        <f>IF(E330&lt;&gt;"", YEARFRAC(C330, E330) * 12, "")</f>
        <v/>
      </c>
      <c r="J330" s="2">
        <f>IF(I330="", "", IF(OR(AND(A330="Listed Equity Shares", I330&gt;12), AND(A330="Unlisted Equity Shares", I330&gt;24)), "Long Term", "Short Term"))</f>
        <v/>
      </c>
      <c r="K330" s="5">
        <f>IF(J330="", "", IF(J330="Long Term", 12.5%,"as per slab"))</f>
        <v/>
      </c>
      <c r="L330" s="3">
        <f>+IFERROR(IF(J330="","",H330*K330),"as per slab")</f>
        <v/>
      </c>
    </row>
    <row r="331">
      <c r="A331" s="7" t="n"/>
      <c r="B331" s="7" t="n"/>
      <c r="C331" s="8" t="n"/>
      <c r="D331" s="9" t="n"/>
      <c r="E331" s="8" t="n"/>
      <c r="F331" s="9" t="n"/>
      <c r="G331" s="9" t="n"/>
      <c r="H331" s="3">
        <f>IF(AND(D331&lt;&gt;"",F331&lt;&gt;""),F331-D331-G331,"")</f>
        <v/>
      </c>
      <c r="I331" s="14">
        <f>IF(E331&lt;&gt;"", YEARFRAC(C331, E331) * 12, "")</f>
        <v/>
      </c>
      <c r="J331" s="2">
        <f>IF(I331="", "", IF(OR(AND(A331="Listed Equity Shares", I331&gt;12), AND(A331="Unlisted Equity Shares", I331&gt;24)), "Long Term", "Short Term"))</f>
        <v/>
      </c>
      <c r="K331" s="5">
        <f>IF(J331="", "", IF(J331="Long Term", 12.5%,"as per slab"))</f>
        <v/>
      </c>
      <c r="L331" s="3">
        <f>+IFERROR(IF(J331="","",H331*K331),"as per slab")</f>
        <v/>
      </c>
    </row>
    <row r="332">
      <c r="A332" s="7" t="n"/>
      <c r="B332" s="7" t="n"/>
      <c r="C332" s="8" t="n"/>
      <c r="D332" s="9" t="n"/>
      <c r="E332" s="8" t="n"/>
      <c r="F332" s="9" t="n"/>
      <c r="G332" s="9" t="n"/>
      <c r="H332" s="3">
        <f>IF(AND(D332&lt;&gt;"",F332&lt;&gt;""),F332-D332-G332,"")</f>
        <v/>
      </c>
      <c r="I332" s="14">
        <f>IF(E332&lt;&gt;"", YEARFRAC(C332, E332) * 12, "")</f>
        <v/>
      </c>
      <c r="J332" s="2">
        <f>IF(I332="", "", IF(OR(AND(A332="Listed Equity Shares", I332&gt;12), AND(A332="Unlisted Equity Shares", I332&gt;24)), "Long Term", "Short Term"))</f>
        <v/>
      </c>
      <c r="K332" s="5">
        <f>IF(J332="", "", IF(J332="Long Term", 12.5%,"as per slab"))</f>
        <v/>
      </c>
      <c r="L332" s="3">
        <f>+IFERROR(IF(J332="","",H332*K332),"as per slab")</f>
        <v/>
      </c>
    </row>
    <row r="333">
      <c r="A333" s="7" t="n"/>
      <c r="B333" s="7" t="n"/>
      <c r="C333" s="8" t="n"/>
      <c r="D333" s="9" t="n"/>
      <c r="E333" s="8" t="n"/>
      <c r="F333" s="9" t="n"/>
      <c r="G333" s="9" t="n"/>
      <c r="H333" s="3">
        <f>IF(AND(D333&lt;&gt;"",F333&lt;&gt;""),F333-D333-G333,"")</f>
        <v/>
      </c>
      <c r="I333" s="14">
        <f>IF(E333&lt;&gt;"", YEARFRAC(C333, E333) * 12, "")</f>
        <v/>
      </c>
      <c r="J333" s="2">
        <f>IF(I333="", "", IF(OR(AND(A333="Listed Equity Shares", I333&gt;12), AND(A333="Unlisted Equity Shares", I333&gt;24)), "Long Term", "Short Term"))</f>
        <v/>
      </c>
      <c r="K333" s="5">
        <f>IF(J333="", "", IF(J333="Long Term", 12.5%,"as per slab"))</f>
        <v/>
      </c>
      <c r="L333" s="3">
        <f>+IFERROR(IF(J333="","",H333*K333),"as per slab")</f>
        <v/>
      </c>
    </row>
    <row r="334">
      <c r="A334" s="7" t="n"/>
      <c r="B334" s="7" t="n"/>
      <c r="C334" s="8" t="n"/>
      <c r="D334" s="9" t="n"/>
      <c r="E334" s="8" t="n"/>
      <c r="F334" s="9" t="n"/>
      <c r="G334" s="9" t="n"/>
      <c r="H334" s="3">
        <f>IF(AND(D334&lt;&gt;"",F334&lt;&gt;""),F334-D334-G334,"")</f>
        <v/>
      </c>
      <c r="I334" s="14">
        <f>IF(E334&lt;&gt;"", YEARFRAC(C334, E334) * 12, "")</f>
        <v/>
      </c>
      <c r="J334" s="2">
        <f>IF(I334="", "", IF(OR(AND(A334="Listed Equity Shares", I334&gt;12), AND(A334="Unlisted Equity Shares", I334&gt;24)), "Long Term", "Short Term"))</f>
        <v/>
      </c>
      <c r="K334" s="5">
        <f>IF(J334="", "", IF(J334="Long Term", 12.5%,"as per slab"))</f>
        <v/>
      </c>
      <c r="L334" s="3">
        <f>+IFERROR(IF(J334="","",H334*K334),"as per slab")</f>
        <v/>
      </c>
    </row>
    <row r="335">
      <c r="A335" s="7" t="n"/>
      <c r="B335" s="7" t="n"/>
      <c r="C335" s="8" t="n"/>
      <c r="D335" s="9" t="n"/>
      <c r="E335" s="8" t="n"/>
      <c r="F335" s="9" t="n"/>
      <c r="G335" s="9" t="n"/>
      <c r="H335" s="3">
        <f>IF(AND(D335&lt;&gt;"",F335&lt;&gt;""),F335-D335-G335,"")</f>
        <v/>
      </c>
      <c r="I335" s="14">
        <f>IF(E335&lt;&gt;"", YEARFRAC(C335, E335) * 12, "")</f>
        <v/>
      </c>
      <c r="J335" s="2">
        <f>IF(I335="", "", IF(OR(AND(A335="Listed Equity Shares", I335&gt;12), AND(A335="Unlisted Equity Shares", I335&gt;24)), "Long Term", "Short Term"))</f>
        <v/>
      </c>
      <c r="K335" s="5">
        <f>IF(J335="", "", IF(J335="Long Term", 12.5%,"as per slab"))</f>
        <v/>
      </c>
      <c r="L335" s="3">
        <f>+IFERROR(IF(J335="","",H335*K335),"as per slab")</f>
        <v/>
      </c>
    </row>
    <row r="336">
      <c r="A336" s="7" t="n"/>
      <c r="B336" s="7" t="n"/>
      <c r="C336" s="8" t="n"/>
      <c r="D336" s="9" t="n"/>
      <c r="E336" s="8" t="n"/>
      <c r="F336" s="9" t="n"/>
      <c r="G336" s="9" t="n"/>
      <c r="H336" s="3">
        <f>IF(AND(D336&lt;&gt;"",F336&lt;&gt;""),F336-D336-G336,"")</f>
        <v/>
      </c>
      <c r="I336" s="14">
        <f>IF(E336&lt;&gt;"", YEARFRAC(C336, E336) * 12, "")</f>
        <v/>
      </c>
      <c r="J336" s="2">
        <f>IF(I336="", "", IF(OR(AND(A336="Listed Equity Shares", I336&gt;12), AND(A336="Unlisted Equity Shares", I336&gt;24)), "Long Term", "Short Term"))</f>
        <v/>
      </c>
      <c r="K336" s="5">
        <f>IF(J336="", "", IF(J336="Long Term", 12.5%,"as per slab"))</f>
        <v/>
      </c>
      <c r="L336" s="3">
        <f>+IFERROR(IF(J336="","",H336*K336),"as per slab")</f>
        <v/>
      </c>
    </row>
    <row r="337">
      <c r="A337" s="7" t="n"/>
      <c r="B337" s="7" t="n"/>
      <c r="C337" s="8" t="n"/>
      <c r="D337" s="9" t="n"/>
      <c r="E337" s="8" t="n"/>
      <c r="F337" s="9" t="n"/>
      <c r="G337" s="9" t="n"/>
      <c r="H337" s="3">
        <f>IF(AND(D337&lt;&gt;"",F337&lt;&gt;""),F337-D337-G337,"")</f>
        <v/>
      </c>
      <c r="I337" s="14">
        <f>IF(E337&lt;&gt;"", YEARFRAC(C337, E337) * 12, "")</f>
        <v/>
      </c>
      <c r="J337" s="2">
        <f>IF(I337="", "", IF(OR(AND(A337="Listed Equity Shares", I337&gt;12), AND(A337="Unlisted Equity Shares", I337&gt;24)), "Long Term", "Short Term"))</f>
        <v/>
      </c>
      <c r="K337" s="5">
        <f>IF(J337="", "", IF(J337="Long Term", 12.5%,"as per slab"))</f>
        <v/>
      </c>
      <c r="L337" s="3">
        <f>+IFERROR(IF(J337="","",H337*K337),"as per slab")</f>
        <v/>
      </c>
    </row>
    <row r="338">
      <c r="A338" s="7" t="n"/>
      <c r="B338" s="7" t="n"/>
      <c r="C338" s="8" t="n"/>
      <c r="D338" s="9" t="n"/>
      <c r="E338" s="8" t="n"/>
      <c r="F338" s="9" t="n"/>
      <c r="G338" s="9" t="n"/>
      <c r="H338" s="3">
        <f>IF(AND(D338&lt;&gt;"",F338&lt;&gt;""),F338-D338-G338,"")</f>
        <v/>
      </c>
      <c r="I338" s="14">
        <f>IF(E338&lt;&gt;"", YEARFRAC(C338, E338) * 12, "")</f>
        <v/>
      </c>
      <c r="J338" s="2">
        <f>IF(I338="", "", IF(OR(AND(A338="Listed Equity Shares", I338&gt;12), AND(A338="Unlisted Equity Shares", I338&gt;24)), "Long Term", "Short Term"))</f>
        <v/>
      </c>
      <c r="K338" s="5">
        <f>IF(J338="", "", IF(J338="Long Term", 12.5%,"as per slab"))</f>
        <v/>
      </c>
      <c r="L338" s="3">
        <f>+IFERROR(IF(J338="","",H338*K338),"as per slab")</f>
        <v/>
      </c>
    </row>
    <row r="339">
      <c r="A339" s="7" t="n"/>
      <c r="B339" s="7" t="n"/>
      <c r="C339" s="8" t="n"/>
      <c r="D339" s="9" t="n"/>
      <c r="E339" s="8" t="n"/>
      <c r="F339" s="9" t="n"/>
      <c r="G339" s="9" t="n"/>
      <c r="H339" s="3">
        <f>IF(AND(D339&lt;&gt;"",F339&lt;&gt;""),F339-D339-G339,"")</f>
        <v/>
      </c>
      <c r="I339" s="14">
        <f>IF(E339&lt;&gt;"", YEARFRAC(C339, E339) * 12, "")</f>
        <v/>
      </c>
      <c r="J339" s="2">
        <f>IF(I339="", "", IF(OR(AND(A339="Listed Equity Shares", I339&gt;12), AND(A339="Unlisted Equity Shares", I339&gt;24)), "Long Term", "Short Term"))</f>
        <v/>
      </c>
      <c r="K339" s="5">
        <f>IF(J339="", "", IF(J339="Long Term", 12.5%,"as per slab"))</f>
        <v/>
      </c>
      <c r="L339" s="3">
        <f>+IFERROR(IF(J339="","",H339*K339),"as per slab")</f>
        <v/>
      </c>
    </row>
    <row r="340">
      <c r="A340" s="7" t="n"/>
      <c r="B340" s="7" t="n"/>
      <c r="C340" s="8" t="n"/>
      <c r="D340" s="9" t="n"/>
      <c r="E340" s="8" t="n"/>
      <c r="F340" s="9" t="n"/>
      <c r="G340" s="9" t="n"/>
      <c r="H340" s="3">
        <f>IF(AND(D340&lt;&gt;"",F340&lt;&gt;""),F340-D340-G340,"")</f>
        <v/>
      </c>
      <c r="I340" s="14">
        <f>IF(E340&lt;&gt;"", YEARFRAC(C340, E340) * 12, "")</f>
        <v/>
      </c>
      <c r="J340" s="2">
        <f>IF(I340="", "", IF(OR(AND(A340="Listed Equity Shares", I340&gt;12), AND(A340="Unlisted Equity Shares", I340&gt;24)), "Long Term", "Short Term"))</f>
        <v/>
      </c>
      <c r="K340" s="5">
        <f>IF(J340="", "", IF(J340="Long Term", 12.5%,"as per slab"))</f>
        <v/>
      </c>
      <c r="L340" s="3">
        <f>+IFERROR(IF(J340="","",H340*K340),"as per slab")</f>
        <v/>
      </c>
    </row>
    <row r="341">
      <c r="A341" s="7" t="n"/>
      <c r="B341" s="7" t="n"/>
      <c r="C341" s="8" t="n"/>
      <c r="D341" s="9" t="n"/>
      <c r="E341" s="8" t="n"/>
      <c r="F341" s="9" t="n"/>
      <c r="G341" s="9" t="n"/>
      <c r="H341" s="3">
        <f>IF(AND(D341&lt;&gt;"",F341&lt;&gt;""),F341-D341-G341,"")</f>
        <v/>
      </c>
      <c r="I341" s="14">
        <f>IF(E341&lt;&gt;"", YEARFRAC(C341, E341) * 12, "")</f>
        <v/>
      </c>
      <c r="J341" s="2">
        <f>IF(I341="", "", IF(OR(AND(A341="Listed Equity Shares", I341&gt;12), AND(A341="Unlisted Equity Shares", I341&gt;24)), "Long Term", "Short Term"))</f>
        <v/>
      </c>
      <c r="K341" s="5">
        <f>IF(J341="", "", IF(J341="Long Term", 12.5%,"as per slab"))</f>
        <v/>
      </c>
      <c r="L341" s="3">
        <f>+IFERROR(IF(J341="","",H341*K341),"as per slab")</f>
        <v/>
      </c>
    </row>
    <row r="342">
      <c r="A342" s="7" t="n"/>
      <c r="B342" s="7" t="n"/>
      <c r="C342" s="8" t="n"/>
      <c r="D342" s="9" t="n"/>
      <c r="E342" s="8" t="n"/>
      <c r="F342" s="9" t="n"/>
      <c r="G342" s="9" t="n"/>
      <c r="H342" s="3">
        <f>IF(AND(D342&lt;&gt;"",F342&lt;&gt;""),F342-D342-G342,"")</f>
        <v/>
      </c>
      <c r="I342" s="14">
        <f>IF(E342&lt;&gt;"", YEARFRAC(C342, E342) * 12, "")</f>
        <v/>
      </c>
      <c r="J342" s="2">
        <f>IF(I342="", "", IF(OR(AND(A342="Listed Equity Shares", I342&gt;12), AND(A342="Unlisted Equity Shares", I342&gt;24)), "Long Term", "Short Term"))</f>
        <v/>
      </c>
      <c r="K342" s="5">
        <f>IF(J342="", "", IF(J342="Long Term", 12.5%,"as per slab"))</f>
        <v/>
      </c>
      <c r="L342" s="3">
        <f>+IFERROR(IF(J342="","",H342*K342),"as per slab")</f>
        <v/>
      </c>
    </row>
    <row r="343">
      <c r="A343" s="7" t="n"/>
      <c r="B343" s="7" t="n"/>
      <c r="C343" s="8" t="n"/>
      <c r="D343" s="9" t="n"/>
      <c r="E343" s="8" t="n"/>
      <c r="F343" s="9" t="n"/>
      <c r="G343" s="9" t="n"/>
      <c r="H343" s="3">
        <f>IF(AND(D343&lt;&gt;"",F343&lt;&gt;""),F343-D343-G343,"")</f>
        <v/>
      </c>
      <c r="I343" s="14">
        <f>IF(E343&lt;&gt;"", YEARFRAC(C343, E343) * 12, "")</f>
        <v/>
      </c>
      <c r="J343" s="2">
        <f>IF(I343="", "", IF(OR(AND(A343="Listed Equity Shares", I343&gt;12), AND(A343="Unlisted Equity Shares", I343&gt;24)), "Long Term", "Short Term"))</f>
        <v/>
      </c>
      <c r="K343" s="5">
        <f>IF(J343="", "", IF(J343="Long Term", 12.5%,"as per slab"))</f>
        <v/>
      </c>
      <c r="L343" s="3">
        <f>+IFERROR(IF(J343="","",H343*K343),"as per slab")</f>
        <v/>
      </c>
    </row>
    <row r="344">
      <c r="A344" s="7" t="n"/>
      <c r="B344" s="7" t="n"/>
      <c r="C344" s="8" t="n"/>
      <c r="D344" s="9" t="n"/>
      <c r="E344" s="8" t="n"/>
      <c r="F344" s="9" t="n"/>
      <c r="G344" s="9" t="n"/>
      <c r="H344" s="3">
        <f>IF(AND(D344&lt;&gt;"",F344&lt;&gt;""),F344-D344-G344,"")</f>
        <v/>
      </c>
      <c r="I344" s="14">
        <f>IF(E344&lt;&gt;"", YEARFRAC(C344, E344) * 12, "")</f>
        <v/>
      </c>
      <c r="J344" s="2">
        <f>IF(I344="", "", IF(OR(AND(A344="Listed Equity Shares", I344&gt;12), AND(A344="Unlisted Equity Shares", I344&gt;24)), "Long Term", "Short Term"))</f>
        <v/>
      </c>
      <c r="K344" s="5">
        <f>IF(J344="", "", IF(J344="Long Term", 12.5%,"as per slab"))</f>
        <v/>
      </c>
      <c r="L344" s="3">
        <f>+IFERROR(IF(J344="","",H344*K344),"as per slab")</f>
        <v/>
      </c>
    </row>
    <row r="345">
      <c r="A345" s="7" t="n"/>
      <c r="B345" s="7" t="n"/>
      <c r="C345" s="8" t="n"/>
      <c r="D345" s="9" t="n"/>
      <c r="E345" s="8" t="n"/>
      <c r="F345" s="9" t="n"/>
      <c r="G345" s="9" t="n"/>
      <c r="H345" s="3">
        <f>IF(AND(D345&lt;&gt;"",F345&lt;&gt;""),F345-D345-G345,"")</f>
        <v/>
      </c>
      <c r="I345" s="14">
        <f>IF(E345&lt;&gt;"", YEARFRAC(C345, E345) * 12, "")</f>
        <v/>
      </c>
      <c r="J345" s="2">
        <f>IF(I345="", "", IF(OR(AND(A345="Listed Equity Shares", I345&gt;12), AND(A345="Unlisted Equity Shares", I345&gt;24)), "Long Term", "Short Term"))</f>
        <v/>
      </c>
      <c r="K345" s="5">
        <f>IF(J345="", "", IF(J345="Long Term", 12.5%,"as per slab"))</f>
        <v/>
      </c>
      <c r="L345" s="3">
        <f>+IFERROR(IF(J345="","",H345*K345),"as per slab")</f>
        <v/>
      </c>
    </row>
    <row r="346">
      <c r="A346" s="7" t="n"/>
      <c r="B346" s="7" t="n"/>
      <c r="C346" s="8" t="n"/>
      <c r="D346" s="9" t="n"/>
      <c r="E346" s="8" t="n"/>
      <c r="F346" s="9" t="n"/>
      <c r="G346" s="9" t="n"/>
      <c r="H346" s="3">
        <f>IF(AND(D346&lt;&gt;"",F346&lt;&gt;""),F346-D346-G346,"")</f>
        <v/>
      </c>
      <c r="I346" s="14">
        <f>IF(E346&lt;&gt;"", YEARFRAC(C346, E346) * 12, "")</f>
        <v/>
      </c>
      <c r="J346" s="2">
        <f>IF(I346="", "", IF(OR(AND(A346="Listed Equity Shares", I346&gt;12), AND(A346="Unlisted Equity Shares", I346&gt;24)), "Long Term", "Short Term"))</f>
        <v/>
      </c>
      <c r="K346" s="5">
        <f>IF(J346="", "", IF(J346="Long Term", 12.5%,"as per slab"))</f>
        <v/>
      </c>
      <c r="L346" s="3">
        <f>+IFERROR(IF(J346="","",H346*K346),"as per slab")</f>
        <v/>
      </c>
    </row>
    <row r="347">
      <c r="A347" s="7" t="n"/>
      <c r="B347" s="7" t="n"/>
      <c r="C347" s="8" t="n"/>
      <c r="D347" s="9" t="n"/>
      <c r="E347" s="8" t="n"/>
      <c r="F347" s="9" t="n"/>
      <c r="G347" s="9" t="n"/>
      <c r="H347" s="3">
        <f>IF(AND(D347&lt;&gt;"",F347&lt;&gt;""),F347-D347-G347,"")</f>
        <v/>
      </c>
      <c r="I347" s="14">
        <f>IF(E347&lt;&gt;"", YEARFRAC(C347, E347) * 12, "")</f>
        <v/>
      </c>
      <c r="J347" s="2">
        <f>IF(I347="", "", IF(OR(AND(A347="Listed Equity Shares", I347&gt;12), AND(A347="Unlisted Equity Shares", I347&gt;24)), "Long Term", "Short Term"))</f>
        <v/>
      </c>
      <c r="K347" s="5">
        <f>IF(J347="", "", IF(J347="Long Term", 12.5%,"as per slab"))</f>
        <v/>
      </c>
      <c r="L347" s="3">
        <f>+IFERROR(IF(J347="","",H347*K347),"as per slab")</f>
        <v/>
      </c>
    </row>
    <row r="348">
      <c r="A348" s="7" t="n"/>
      <c r="B348" s="7" t="n"/>
      <c r="C348" s="8" t="n"/>
      <c r="D348" s="9" t="n"/>
      <c r="E348" s="8" t="n"/>
      <c r="F348" s="9" t="n"/>
      <c r="G348" s="9" t="n"/>
      <c r="H348" s="3">
        <f>IF(AND(D348&lt;&gt;"",F348&lt;&gt;""),F348-D348-G348,"")</f>
        <v/>
      </c>
      <c r="I348" s="14">
        <f>IF(E348&lt;&gt;"", YEARFRAC(C348, E348) * 12, "")</f>
        <v/>
      </c>
      <c r="J348" s="2">
        <f>IF(I348="", "", IF(OR(AND(A348="Listed Equity Shares", I348&gt;12), AND(A348="Unlisted Equity Shares", I348&gt;24)), "Long Term", "Short Term"))</f>
        <v/>
      </c>
      <c r="K348" s="5">
        <f>IF(J348="", "", IF(J348="Long Term", 12.5%,"as per slab"))</f>
        <v/>
      </c>
      <c r="L348" s="3">
        <f>+IFERROR(IF(J348="","",H348*K348),"as per slab")</f>
        <v/>
      </c>
    </row>
    <row r="349">
      <c r="A349" s="7" t="n"/>
      <c r="B349" s="7" t="n"/>
      <c r="C349" s="8" t="n"/>
      <c r="D349" s="9" t="n"/>
      <c r="E349" s="8" t="n"/>
      <c r="F349" s="9" t="n"/>
      <c r="G349" s="9" t="n"/>
      <c r="H349" s="3">
        <f>IF(AND(D349&lt;&gt;"",F349&lt;&gt;""),F349-D349-G349,"")</f>
        <v/>
      </c>
      <c r="I349" s="14">
        <f>IF(E349&lt;&gt;"", YEARFRAC(C349, E349) * 12, "")</f>
        <v/>
      </c>
      <c r="J349" s="2">
        <f>IF(I349="", "", IF(OR(AND(A349="Listed Equity Shares", I349&gt;12), AND(A349="Unlisted Equity Shares", I349&gt;24)), "Long Term", "Short Term"))</f>
        <v/>
      </c>
      <c r="K349" s="5">
        <f>IF(J349="", "", IF(J349="Long Term", 12.5%,"as per slab"))</f>
        <v/>
      </c>
      <c r="L349" s="3">
        <f>+IFERROR(IF(J349="","",H349*K349),"as per slab")</f>
        <v/>
      </c>
    </row>
    <row r="350">
      <c r="A350" s="7" t="n"/>
      <c r="B350" s="7" t="n"/>
      <c r="C350" s="8" t="n"/>
      <c r="D350" s="9" t="n"/>
      <c r="E350" s="8" t="n"/>
      <c r="F350" s="9" t="n"/>
      <c r="G350" s="9" t="n"/>
      <c r="H350" s="3">
        <f>IF(AND(D350&lt;&gt;"",F350&lt;&gt;""),F350-D350-G350,"")</f>
        <v/>
      </c>
      <c r="I350" s="14">
        <f>IF(E350&lt;&gt;"", YEARFRAC(C350, E350) * 12, "")</f>
        <v/>
      </c>
      <c r="J350" s="2">
        <f>IF(I350="", "", IF(OR(AND(A350="Listed Equity Shares", I350&gt;12), AND(A350="Unlisted Equity Shares", I350&gt;24)), "Long Term", "Short Term"))</f>
        <v/>
      </c>
      <c r="K350" s="5">
        <f>IF(J350="", "", IF(J350="Long Term", 12.5%,"as per slab"))</f>
        <v/>
      </c>
      <c r="L350" s="3">
        <f>+IFERROR(IF(J350="","",H350*K350),"as per slab")</f>
        <v/>
      </c>
    </row>
    <row r="351">
      <c r="A351" s="7" t="n"/>
      <c r="B351" s="7" t="n"/>
      <c r="C351" s="8" t="n"/>
      <c r="D351" s="9" t="n"/>
      <c r="E351" s="8" t="n"/>
      <c r="F351" s="9" t="n"/>
      <c r="G351" s="9" t="n"/>
      <c r="H351" s="3">
        <f>IF(AND(D351&lt;&gt;"",F351&lt;&gt;""),F351-D351-G351,"")</f>
        <v/>
      </c>
      <c r="I351" s="14">
        <f>IF(E351&lt;&gt;"", YEARFRAC(C351, E351) * 12, "")</f>
        <v/>
      </c>
      <c r="J351" s="2">
        <f>IF(I351="", "", IF(OR(AND(A351="Listed Equity Shares", I351&gt;12), AND(A351="Unlisted Equity Shares", I351&gt;24)), "Long Term", "Short Term"))</f>
        <v/>
      </c>
      <c r="K351" s="5">
        <f>IF(J351="", "", IF(J351="Long Term", 12.5%,"as per slab"))</f>
        <v/>
      </c>
      <c r="L351" s="3">
        <f>+IFERROR(IF(J351="","",H351*K351),"as per slab")</f>
        <v/>
      </c>
    </row>
    <row r="352">
      <c r="A352" s="7" t="n"/>
      <c r="B352" s="7" t="n"/>
      <c r="C352" s="8" t="n"/>
      <c r="D352" s="9" t="n"/>
      <c r="E352" s="8" t="n"/>
      <c r="F352" s="9" t="n"/>
      <c r="G352" s="9" t="n"/>
      <c r="H352" s="3">
        <f>IF(AND(D352&lt;&gt;"",F352&lt;&gt;""),F352-D352-G352,"")</f>
        <v/>
      </c>
      <c r="I352" s="14">
        <f>IF(E352&lt;&gt;"", YEARFRAC(C352, E352) * 12, "")</f>
        <v/>
      </c>
      <c r="J352" s="2">
        <f>IF(I352="", "", IF(OR(AND(A352="Listed Equity Shares", I352&gt;12), AND(A352="Unlisted Equity Shares", I352&gt;24)), "Long Term", "Short Term"))</f>
        <v/>
      </c>
      <c r="K352" s="5">
        <f>IF(J352="", "", IF(J352="Long Term", 12.5%,"as per slab"))</f>
        <v/>
      </c>
      <c r="L352" s="3">
        <f>+IFERROR(IF(J352="","",H352*K352),"as per slab")</f>
        <v/>
      </c>
    </row>
    <row r="353">
      <c r="A353" s="7" t="n"/>
      <c r="B353" s="7" t="n"/>
      <c r="C353" s="8" t="n"/>
      <c r="D353" s="9" t="n"/>
      <c r="E353" s="8" t="n"/>
      <c r="F353" s="9" t="n"/>
      <c r="G353" s="9" t="n"/>
      <c r="H353" s="3">
        <f>IF(AND(D353&lt;&gt;"",F353&lt;&gt;""),F353-D353-G353,"")</f>
        <v/>
      </c>
      <c r="I353" s="14">
        <f>IF(E353&lt;&gt;"", YEARFRAC(C353, E353) * 12, "")</f>
        <v/>
      </c>
      <c r="J353" s="2">
        <f>IF(I353="", "", IF(OR(AND(A353="Listed Equity Shares", I353&gt;12), AND(A353="Unlisted Equity Shares", I353&gt;24)), "Long Term", "Short Term"))</f>
        <v/>
      </c>
      <c r="K353" s="5">
        <f>IF(J353="", "", IF(J353="Long Term", 12.5%,"as per slab"))</f>
        <v/>
      </c>
      <c r="L353" s="3">
        <f>+IFERROR(IF(J353="","",H353*K353),"as per slab")</f>
        <v/>
      </c>
    </row>
    <row r="354">
      <c r="A354" s="7" t="n"/>
      <c r="B354" s="7" t="n"/>
      <c r="C354" s="8" t="n"/>
      <c r="D354" s="9" t="n"/>
      <c r="E354" s="8" t="n"/>
      <c r="F354" s="9" t="n"/>
      <c r="G354" s="9" t="n"/>
      <c r="H354" s="3">
        <f>IF(AND(D354&lt;&gt;"",F354&lt;&gt;""),F354-D354-G354,"")</f>
        <v/>
      </c>
      <c r="I354" s="14">
        <f>IF(E354&lt;&gt;"", YEARFRAC(C354, E354) * 12, "")</f>
        <v/>
      </c>
      <c r="J354" s="2">
        <f>IF(I354="", "", IF(OR(AND(A354="Listed Equity Shares", I354&gt;12), AND(A354="Unlisted Equity Shares", I354&gt;24)), "Long Term", "Short Term"))</f>
        <v/>
      </c>
      <c r="K354" s="5">
        <f>IF(J354="", "", IF(J354="Long Term", 12.5%,"as per slab"))</f>
        <v/>
      </c>
      <c r="L354" s="3">
        <f>+IFERROR(IF(J354="","",H354*K354),"as per slab")</f>
        <v/>
      </c>
    </row>
    <row r="355">
      <c r="A355" s="7" t="n"/>
      <c r="B355" s="7" t="n"/>
      <c r="C355" s="8" t="n"/>
      <c r="D355" s="9" t="n"/>
      <c r="E355" s="8" t="n"/>
      <c r="F355" s="9" t="n"/>
      <c r="G355" s="9" t="n"/>
      <c r="H355" s="3">
        <f>IF(AND(D355&lt;&gt;"",F355&lt;&gt;""),F355-D355-G355,"")</f>
        <v/>
      </c>
      <c r="I355" s="14">
        <f>IF(E355&lt;&gt;"", YEARFRAC(C355, E355) * 12, "")</f>
        <v/>
      </c>
      <c r="J355" s="2">
        <f>IF(I355="", "", IF(OR(AND(A355="Listed Equity Shares", I355&gt;12), AND(A355="Unlisted Equity Shares", I355&gt;24)), "Long Term", "Short Term"))</f>
        <v/>
      </c>
      <c r="K355" s="5">
        <f>IF(J355="", "", IF(J355="Long Term", 12.5%,"as per slab"))</f>
        <v/>
      </c>
      <c r="L355" s="3">
        <f>+IFERROR(IF(J355="","",H355*K355),"as per slab")</f>
        <v/>
      </c>
    </row>
    <row r="356">
      <c r="A356" s="7" t="n"/>
      <c r="B356" s="7" t="n"/>
      <c r="C356" s="8" t="n"/>
      <c r="D356" s="9" t="n"/>
      <c r="E356" s="8" t="n"/>
      <c r="F356" s="9" t="n"/>
      <c r="G356" s="9" t="n"/>
      <c r="H356" s="3">
        <f>IF(AND(D356&lt;&gt;"",F356&lt;&gt;""),F356-D356-G356,"")</f>
        <v/>
      </c>
      <c r="I356" s="14">
        <f>IF(E356&lt;&gt;"", YEARFRAC(C356, E356) * 12, "")</f>
        <v/>
      </c>
      <c r="J356" s="2">
        <f>IF(I356="", "", IF(OR(AND(A356="Listed Equity Shares", I356&gt;12), AND(A356="Unlisted Equity Shares", I356&gt;24)), "Long Term", "Short Term"))</f>
        <v/>
      </c>
      <c r="K356" s="5">
        <f>IF(J356="", "", IF(J356="Long Term", 12.5%,"as per slab"))</f>
        <v/>
      </c>
      <c r="L356" s="3">
        <f>+IFERROR(IF(J356="","",H356*K356),"as per slab")</f>
        <v/>
      </c>
    </row>
    <row r="357">
      <c r="A357" s="7" t="n"/>
      <c r="B357" s="7" t="n"/>
      <c r="C357" s="8" t="n"/>
      <c r="D357" s="9" t="n"/>
      <c r="E357" s="8" t="n"/>
      <c r="F357" s="9" t="n"/>
      <c r="G357" s="9" t="n"/>
      <c r="H357" s="3">
        <f>IF(AND(D357&lt;&gt;"",F357&lt;&gt;""),F357-D357-G357,"")</f>
        <v/>
      </c>
      <c r="I357" s="14">
        <f>IF(E357&lt;&gt;"", YEARFRAC(C357, E357) * 12, "")</f>
        <v/>
      </c>
      <c r="J357" s="2">
        <f>IF(I357="", "", IF(OR(AND(A357="Listed Equity Shares", I357&gt;12), AND(A357="Unlisted Equity Shares", I357&gt;24)), "Long Term", "Short Term"))</f>
        <v/>
      </c>
      <c r="K357" s="5">
        <f>IF(J357="", "", IF(J357="Long Term", 12.5%,"as per slab"))</f>
        <v/>
      </c>
      <c r="L357" s="3">
        <f>+IFERROR(IF(J357="","",H357*K357),"as per slab")</f>
        <v/>
      </c>
    </row>
    <row r="358">
      <c r="A358" s="7" t="n"/>
      <c r="B358" s="7" t="n"/>
      <c r="C358" s="8" t="n"/>
      <c r="D358" s="9" t="n"/>
      <c r="E358" s="8" t="n"/>
      <c r="F358" s="9" t="n"/>
      <c r="G358" s="9" t="n"/>
      <c r="H358" s="3">
        <f>IF(AND(D358&lt;&gt;"",F358&lt;&gt;""),F358-D358-G358,"")</f>
        <v/>
      </c>
      <c r="I358" s="14">
        <f>IF(E358&lt;&gt;"", YEARFRAC(C358, E358) * 12, "")</f>
        <v/>
      </c>
      <c r="J358" s="2">
        <f>IF(I358="", "", IF(OR(AND(A358="Listed Equity Shares", I358&gt;12), AND(A358="Unlisted Equity Shares", I358&gt;24)), "Long Term", "Short Term"))</f>
        <v/>
      </c>
      <c r="K358" s="5">
        <f>IF(J358="", "", IF(J358="Long Term", 12.5%,"as per slab"))</f>
        <v/>
      </c>
      <c r="L358" s="3">
        <f>+IFERROR(IF(J358="","",H358*K358),"as per slab")</f>
        <v/>
      </c>
    </row>
    <row r="359">
      <c r="A359" s="7" t="n"/>
      <c r="B359" s="7" t="n"/>
      <c r="C359" s="8" t="n"/>
      <c r="D359" s="9" t="n"/>
      <c r="E359" s="8" t="n"/>
      <c r="F359" s="9" t="n"/>
      <c r="G359" s="9" t="n"/>
      <c r="H359" s="3">
        <f>IF(AND(D359&lt;&gt;"",F359&lt;&gt;""),F359-D359-G359,"")</f>
        <v/>
      </c>
      <c r="I359" s="14">
        <f>IF(E359&lt;&gt;"", YEARFRAC(C359, E359) * 12, "")</f>
        <v/>
      </c>
      <c r="J359" s="2">
        <f>IF(I359="", "", IF(OR(AND(A359="Listed Equity Shares", I359&gt;12), AND(A359="Unlisted Equity Shares", I359&gt;24)), "Long Term", "Short Term"))</f>
        <v/>
      </c>
      <c r="K359" s="5">
        <f>IF(J359="", "", IF(J359="Long Term", 12.5%,"as per slab"))</f>
        <v/>
      </c>
      <c r="L359" s="3">
        <f>+IFERROR(IF(J359="","",H359*K359),"as per slab")</f>
        <v/>
      </c>
    </row>
    <row r="360">
      <c r="A360" s="7" t="n"/>
      <c r="B360" s="7" t="n"/>
      <c r="C360" s="8" t="n"/>
      <c r="D360" s="9" t="n"/>
      <c r="E360" s="8" t="n"/>
      <c r="F360" s="9" t="n"/>
      <c r="G360" s="9" t="n"/>
      <c r="H360" s="3">
        <f>IF(AND(D360&lt;&gt;"",F360&lt;&gt;""),F360-D360-G360,"")</f>
        <v/>
      </c>
      <c r="I360" s="14">
        <f>IF(E360&lt;&gt;"", YEARFRAC(C360, E360) * 12, "")</f>
        <v/>
      </c>
      <c r="J360" s="2">
        <f>IF(I360="", "", IF(OR(AND(A360="Listed Equity Shares", I360&gt;12), AND(A360="Unlisted Equity Shares", I360&gt;24)), "Long Term", "Short Term"))</f>
        <v/>
      </c>
      <c r="K360" s="5">
        <f>IF(J360="", "", IF(J360="Long Term", 12.5%,"as per slab"))</f>
        <v/>
      </c>
      <c r="L360" s="3">
        <f>+IFERROR(IF(J360="","",H360*K360),"as per slab")</f>
        <v/>
      </c>
    </row>
    <row r="361">
      <c r="A361" s="7" t="n"/>
      <c r="B361" s="7" t="n"/>
      <c r="C361" s="8" t="n"/>
      <c r="D361" s="9" t="n"/>
      <c r="E361" s="8" t="n"/>
      <c r="F361" s="9" t="n"/>
      <c r="G361" s="9" t="n"/>
      <c r="H361" s="3">
        <f>IF(AND(D361&lt;&gt;"",F361&lt;&gt;""),F361-D361-G361,"")</f>
        <v/>
      </c>
      <c r="I361" s="14">
        <f>IF(E361&lt;&gt;"", YEARFRAC(C361, E361) * 12, "")</f>
        <v/>
      </c>
      <c r="J361" s="2">
        <f>IF(I361="", "", IF(OR(AND(A361="Listed Equity Shares", I361&gt;12), AND(A361="Unlisted Equity Shares", I361&gt;24)), "Long Term", "Short Term"))</f>
        <v/>
      </c>
      <c r="K361" s="5">
        <f>IF(J361="", "", IF(J361="Long Term", 12.5%,"as per slab"))</f>
        <v/>
      </c>
      <c r="L361" s="3">
        <f>+IFERROR(IF(J361="","",H361*K361),"as per slab")</f>
        <v/>
      </c>
    </row>
    <row r="362">
      <c r="A362" s="7" t="n"/>
      <c r="B362" s="7" t="n"/>
      <c r="C362" s="8" t="n"/>
      <c r="D362" s="9" t="n"/>
      <c r="E362" s="8" t="n"/>
      <c r="F362" s="9" t="n"/>
      <c r="G362" s="9" t="n"/>
      <c r="H362" s="3">
        <f>IF(AND(D362&lt;&gt;"",F362&lt;&gt;""),F362-D362-G362,"")</f>
        <v/>
      </c>
      <c r="I362" s="14">
        <f>IF(E362&lt;&gt;"", YEARFRAC(C362, E362) * 12, "")</f>
        <v/>
      </c>
      <c r="J362" s="2">
        <f>IF(I362="", "", IF(OR(AND(A362="Listed Equity Shares", I362&gt;12), AND(A362="Unlisted Equity Shares", I362&gt;24)), "Long Term", "Short Term"))</f>
        <v/>
      </c>
      <c r="K362" s="5">
        <f>IF(J362="", "", IF(J362="Long Term", 12.5%,"as per slab"))</f>
        <v/>
      </c>
      <c r="L362" s="3">
        <f>+IFERROR(IF(J362="","",H362*K362),"as per slab")</f>
        <v/>
      </c>
    </row>
    <row r="363">
      <c r="A363" s="7" t="n"/>
      <c r="B363" s="7" t="n"/>
      <c r="C363" s="8" t="n"/>
      <c r="D363" s="9" t="n"/>
      <c r="E363" s="8" t="n"/>
      <c r="F363" s="9" t="n"/>
      <c r="G363" s="9" t="n"/>
      <c r="H363" s="3">
        <f>IF(AND(D363&lt;&gt;"",F363&lt;&gt;""),F363-D363-G363,"")</f>
        <v/>
      </c>
      <c r="I363" s="14">
        <f>IF(E363&lt;&gt;"", YEARFRAC(C363, E363) * 12, "")</f>
        <v/>
      </c>
      <c r="J363" s="2">
        <f>IF(I363="", "", IF(OR(AND(A363="Listed Equity Shares", I363&gt;12), AND(A363="Unlisted Equity Shares", I363&gt;24)), "Long Term", "Short Term"))</f>
        <v/>
      </c>
      <c r="K363" s="5">
        <f>IF(J363="", "", IF(J363="Long Term", 12.5%,"as per slab"))</f>
        <v/>
      </c>
      <c r="L363" s="3">
        <f>+IFERROR(IF(J363="","",H363*K363),"as per slab")</f>
        <v/>
      </c>
    </row>
    <row r="364">
      <c r="A364" s="7" t="n"/>
      <c r="B364" s="7" t="n"/>
      <c r="C364" s="8" t="n"/>
      <c r="D364" s="9" t="n"/>
      <c r="E364" s="8" t="n"/>
      <c r="F364" s="9" t="n"/>
      <c r="G364" s="9" t="n"/>
      <c r="H364" s="3">
        <f>IF(AND(D364&lt;&gt;"",F364&lt;&gt;""),F364-D364-G364,"")</f>
        <v/>
      </c>
      <c r="I364" s="14">
        <f>IF(E364&lt;&gt;"", YEARFRAC(C364, E364) * 12, "")</f>
        <v/>
      </c>
      <c r="J364" s="2">
        <f>IF(I364="", "", IF(OR(AND(A364="Listed Equity Shares", I364&gt;12), AND(A364="Unlisted Equity Shares", I364&gt;24)), "Long Term", "Short Term"))</f>
        <v/>
      </c>
      <c r="K364" s="5">
        <f>IF(J364="", "", IF(J364="Long Term", 12.5%,"as per slab"))</f>
        <v/>
      </c>
      <c r="L364" s="3">
        <f>+IFERROR(IF(J364="","",H364*K364),"as per slab")</f>
        <v/>
      </c>
    </row>
    <row r="365">
      <c r="A365" s="7" t="n"/>
      <c r="B365" s="7" t="n"/>
      <c r="C365" s="8" t="n"/>
      <c r="D365" s="9" t="n"/>
      <c r="E365" s="8" t="n"/>
      <c r="F365" s="9" t="n"/>
      <c r="G365" s="9" t="n"/>
      <c r="H365" s="3">
        <f>IF(AND(D365&lt;&gt;"",F365&lt;&gt;""),F365-D365-G365,"")</f>
        <v/>
      </c>
      <c r="I365" s="14">
        <f>IF(E365&lt;&gt;"", YEARFRAC(C365, E365) * 12, "")</f>
        <v/>
      </c>
      <c r="J365" s="2">
        <f>IF(I365="", "", IF(OR(AND(A365="Listed Equity Shares", I365&gt;12), AND(A365="Unlisted Equity Shares", I365&gt;24)), "Long Term", "Short Term"))</f>
        <v/>
      </c>
      <c r="K365" s="5">
        <f>IF(J365="", "", IF(J365="Long Term", 12.5%,"as per slab"))</f>
        <v/>
      </c>
      <c r="L365" s="3">
        <f>+IFERROR(IF(J365="","",H365*K365),"as per slab")</f>
        <v/>
      </c>
    </row>
    <row r="366">
      <c r="A366" s="7" t="n"/>
      <c r="B366" s="7" t="n"/>
      <c r="C366" s="8" t="n"/>
      <c r="D366" s="9" t="n"/>
      <c r="E366" s="8" t="n"/>
      <c r="F366" s="9" t="n"/>
      <c r="G366" s="9" t="n"/>
      <c r="H366" s="3">
        <f>IF(AND(D366&lt;&gt;"",F366&lt;&gt;""),F366-D366-G366,"")</f>
        <v/>
      </c>
      <c r="I366" s="14">
        <f>IF(E366&lt;&gt;"", YEARFRAC(C366, E366) * 12, "")</f>
        <v/>
      </c>
      <c r="J366" s="2">
        <f>IF(I366="", "", IF(OR(AND(A366="Listed Equity Shares", I366&gt;12), AND(A366="Unlisted Equity Shares", I366&gt;24)), "Long Term", "Short Term"))</f>
        <v/>
      </c>
      <c r="K366" s="5">
        <f>IF(J366="", "", IF(J366="Long Term", 12.5%,"as per slab"))</f>
        <v/>
      </c>
      <c r="L366" s="3">
        <f>+IFERROR(IF(J366="","",H366*K366),"as per slab")</f>
        <v/>
      </c>
    </row>
    <row r="367">
      <c r="A367" s="7" t="n"/>
      <c r="B367" s="7" t="n"/>
      <c r="C367" s="8" t="n"/>
      <c r="D367" s="9" t="n"/>
      <c r="E367" s="8" t="n"/>
      <c r="F367" s="9" t="n"/>
      <c r="G367" s="9" t="n"/>
      <c r="H367" s="3">
        <f>IF(AND(D367&lt;&gt;"",F367&lt;&gt;""),F367-D367-G367,"")</f>
        <v/>
      </c>
      <c r="I367" s="14">
        <f>IF(E367&lt;&gt;"", YEARFRAC(C367, E367) * 12, "")</f>
        <v/>
      </c>
      <c r="J367" s="2">
        <f>IF(I367="", "", IF(OR(AND(A367="Listed Equity Shares", I367&gt;12), AND(A367="Unlisted Equity Shares", I367&gt;24)), "Long Term", "Short Term"))</f>
        <v/>
      </c>
      <c r="K367" s="5">
        <f>IF(J367="", "", IF(J367="Long Term", 12.5%,"as per slab"))</f>
        <v/>
      </c>
      <c r="L367" s="3">
        <f>+IFERROR(IF(J367="","",H367*K367),"as per slab")</f>
        <v/>
      </c>
    </row>
    <row r="368">
      <c r="A368" s="7" t="n"/>
      <c r="B368" s="7" t="n"/>
      <c r="C368" s="8" t="n"/>
      <c r="D368" s="9" t="n"/>
      <c r="E368" s="8" t="n"/>
      <c r="F368" s="9" t="n"/>
      <c r="G368" s="9" t="n"/>
      <c r="H368" s="3">
        <f>IF(AND(D368&lt;&gt;"",F368&lt;&gt;""),F368-D368-G368,"")</f>
        <v/>
      </c>
      <c r="I368" s="14">
        <f>IF(E368&lt;&gt;"", YEARFRAC(C368, E368) * 12, "")</f>
        <v/>
      </c>
      <c r="J368" s="2">
        <f>IF(I368="", "", IF(OR(AND(A368="Listed Equity Shares", I368&gt;12), AND(A368="Unlisted Equity Shares", I368&gt;24)), "Long Term", "Short Term"))</f>
        <v/>
      </c>
      <c r="K368" s="5">
        <f>IF(J368="", "", IF(J368="Long Term", 12.5%,"as per slab"))</f>
        <v/>
      </c>
      <c r="L368" s="3">
        <f>+IFERROR(IF(J368="","",H368*K368),"as per slab")</f>
        <v/>
      </c>
    </row>
    <row r="369">
      <c r="A369" s="7" t="n"/>
      <c r="B369" s="7" t="n"/>
      <c r="C369" s="8" t="n"/>
      <c r="D369" s="9" t="n"/>
      <c r="E369" s="8" t="n"/>
      <c r="F369" s="9" t="n"/>
      <c r="G369" s="9" t="n"/>
      <c r="H369" s="3">
        <f>IF(AND(D369&lt;&gt;"",F369&lt;&gt;""),F369-D369-G369,"")</f>
        <v/>
      </c>
      <c r="I369" s="14">
        <f>IF(E369&lt;&gt;"", YEARFRAC(C369, E369) * 12, "")</f>
        <v/>
      </c>
      <c r="J369" s="2">
        <f>IF(I369="", "", IF(OR(AND(A369="Listed Equity Shares", I369&gt;12), AND(A369="Unlisted Equity Shares", I369&gt;24)), "Long Term", "Short Term"))</f>
        <v/>
      </c>
      <c r="K369" s="5">
        <f>IF(J369="", "", IF(J369="Long Term", 12.5%,"as per slab"))</f>
        <v/>
      </c>
      <c r="L369" s="3">
        <f>+IFERROR(IF(J369="","",H369*K369),"as per slab")</f>
        <v/>
      </c>
    </row>
    <row r="370">
      <c r="A370" s="7" t="n"/>
      <c r="B370" s="7" t="n"/>
      <c r="C370" s="8" t="n"/>
      <c r="D370" s="9" t="n"/>
      <c r="E370" s="8" t="n"/>
      <c r="F370" s="9" t="n"/>
      <c r="G370" s="9" t="n"/>
      <c r="H370" s="3">
        <f>IF(AND(D370&lt;&gt;"",F370&lt;&gt;""),F370-D370-G370,"")</f>
        <v/>
      </c>
      <c r="I370" s="14">
        <f>IF(E370&lt;&gt;"", YEARFRAC(C370, E370) * 12, "")</f>
        <v/>
      </c>
      <c r="J370" s="2">
        <f>IF(I370="", "", IF(OR(AND(A370="Listed Equity Shares", I370&gt;12), AND(A370="Unlisted Equity Shares", I370&gt;24)), "Long Term", "Short Term"))</f>
        <v/>
      </c>
      <c r="K370" s="5">
        <f>IF(J370="", "", IF(J370="Long Term", 12.5%,"as per slab"))</f>
        <v/>
      </c>
      <c r="L370" s="3">
        <f>+IFERROR(IF(J370="","",H370*K370),"as per slab")</f>
        <v/>
      </c>
    </row>
    <row r="371">
      <c r="A371" s="7" t="n"/>
      <c r="B371" s="7" t="n"/>
      <c r="C371" s="8" t="n"/>
      <c r="D371" s="9" t="n"/>
      <c r="E371" s="8" t="n"/>
      <c r="F371" s="9" t="n"/>
      <c r="G371" s="9" t="n"/>
      <c r="H371" s="3">
        <f>IF(AND(D371&lt;&gt;"",F371&lt;&gt;""),F371-D371-G371,"")</f>
        <v/>
      </c>
      <c r="I371" s="14">
        <f>IF(E371&lt;&gt;"", YEARFRAC(C371, E371) * 12, "")</f>
        <v/>
      </c>
      <c r="J371" s="2">
        <f>IF(I371="", "", IF(OR(AND(A371="Listed Equity Shares", I371&gt;12), AND(A371="Unlisted Equity Shares", I371&gt;24)), "Long Term", "Short Term"))</f>
        <v/>
      </c>
      <c r="K371" s="5">
        <f>IF(J371="", "", IF(J371="Long Term", 12.5%,"as per slab"))</f>
        <v/>
      </c>
      <c r="L371" s="3">
        <f>+IFERROR(IF(J371="","",H371*K371),"as per slab")</f>
        <v/>
      </c>
    </row>
    <row r="372">
      <c r="A372" s="7" t="n"/>
      <c r="B372" s="7" t="n"/>
      <c r="C372" s="8" t="n"/>
      <c r="D372" s="9" t="n"/>
      <c r="E372" s="8" t="n"/>
      <c r="F372" s="9" t="n"/>
      <c r="G372" s="9" t="n"/>
      <c r="H372" s="3">
        <f>IF(AND(D372&lt;&gt;"",F372&lt;&gt;""),F372-D372-G372,"")</f>
        <v/>
      </c>
      <c r="I372" s="14">
        <f>IF(E372&lt;&gt;"", YEARFRAC(C372, E372) * 12, "")</f>
        <v/>
      </c>
      <c r="J372" s="2">
        <f>IF(I372="", "", IF(OR(AND(A372="Listed Equity Shares", I372&gt;12), AND(A372="Unlisted Equity Shares", I372&gt;24)), "Long Term", "Short Term"))</f>
        <v/>
      </c>
      <c r="K372" s="5">
        <f>IF(J372="", "", IF(J372="Long Term", 12.5%,"as per slab"))</f>
        <v/>
      </c>
      <c r="L372" s="3">
        <f>+IFERROR(IF(J372="","",H372*K372),"as per slab")</f>
        <v/>
      </c>
    </row>
    <row r="373">
      <c r="A373" s="7" t="n"/>
      <c r="B373" s="7" t="n"/>
      <c r="C373" s="8" t="n"/>
      <c r="D373" s="9" t="n"/>
      <c r="E373" s="8" t="n"/>
      <c r="F373" s="9" t="n"/>
      <c r="G373" s="9" t="n"/>
      <c r="H373" s="3">
        <f>IF(AND(D373&lt;&gt;"",F373&lt;&gt;""),F373-D373-G373,"")</f>
        <v/>
      </c>
      <c r="I373" s="14">
        <f>IF(E373&lt;&gt;"", YEARFRAC(C373, E373) * 12, "")</f>
        <v/>
      </c>
      <c r="J373" s="2">
        <f>IF(I373="", "", IF(OR(AND(A373="Listed Equity Shares", I373&gt;12), AND(A373="Unlisted Equity Shares", I373&gt;24)), "Long Term", "Short Term"))</f>
        <v/>
      </c>
      <c r="K373" s="5">
        <f>IF(J373="", "", IF(J373="Long Term", 12.5%,"as per slab"))</f>
        <v/>
      </c>
      <c r="L373" s="3">
        <f>+IFERROR(IF(J373="","",H373*K373),"as per slab")</f>
        <v/>
      </c>
    </row>
    <row r="374">
      <c r="A374" s="7" t="n"/>
      <c r="B374" s="7" t="n"/>
      <c r="C374" s="8" t="n"/>
      <c r="D374" s="9" t="n"/>
      <c r="E374" s="8" t="n"/>
      <c r="F374" s="9" t="n"/>
      <c r="G374" s="9" t="n"/>
      <c r="H374" s="3">
        <f>IF(AND(D374&lt;&gt;"",F374&lt;&gt;""),F374-D374-G374,"")</f>
        <v/>
      </c>
      <c r="I374" s="14">
        <f>IF(E374&lt;&gt;"", YEARFRAC(C374, E374) * 12, "")</f>
        <v/>
      </c>
      <c r="J374" s="2">
        <f>IF(I374="", "", IF(OR(AND(A374="Listed Equity Shares", I374&gt;12), AND(A374="Unlisted Equity Shares", I374&gt;24)), "Long Term", "Short Term"))</f>
        <v/>
      </c>
      <c r="K374" s="5">
        <f>IF(J374="", "", IF(J374="Long Term", 12.5%,"as per slab"))</f>
        <v/>
      </c>
      <c r="L374" s="3">
        <f>+IFERROR(IF(J374="","",H374*K374),"as per slab")</f>
        <v/>
      </c>
    </row>
    <row r="375">
      <c r="A375" s="7" t="n"/>
      <c r="B375" s="7" t="n"/>
      <c r="C375" s="8" t="n"/>
      <c r="D375" s="9" t="n"/>
      <c r="E375" s="8" t="n"/>
      <c r="F375" s="9" t="n"/>
      <c r="G375" s="9" t="n"/>
      <c r="H375" s="3">
        <f>IF(AND(D375&lt;&gt;"",F375&lt;&gt;""),F375-D375-G375,"")</f>
        <v/>
      </c>
      <c r="I375" s="14">
        <f>IF(E375&lt;&gt;"", YEARFRAC(C375, E375) * 12, "")</f>
        <v/>
      </c>
      <c r="J375" s="2">
        <f>IF(I375="", "", IF(OR(AND(A375="Listed Equity Shares", I375&gt;12), AND(A375="Unlisted Equity Shares", I375&gt;24)), "Long Term", "Short Term"))</f>
        <v/>
      </c>
      <c r="K375" s="5">
        <f>IF(J375="", "", IF(J375="Long Term", 12.5%,"as per slab"))</f>
        <v/>
      </c>
      <c r="L375" s="3">
        <f>+IFERROR(IF(J375="","",H375*K375),"as per slab")</f>
        <v/>
      </c>
    </row>
    <row r="376">
      <c r="A376" s="7" t="n"/>
      <c r="B376" s="7" t="n"/>
      <c r="C376" s="8" t="n"/>
      <c r="D376" s="9" t="n"/>
      <c r="E376" s="8" t="n"/>
      <c r="F376" s="9" t="n"/>
      <c r="G376" s="9" t="n"/>
      <c r="H376" s="3">
        <f>IF(AND(D376&lt;&gt;"",F376&lt;&gt;""),F376-D376-G376,"")</f>
        <v/>
      </c>
      <c r="I376" s="14">
        <f>IF(E376&lt;&gt;"", YEARFRAC(C376, E376) * 12, "")</f>
        <v/>
      </c>
      <c r="J376" s="2">
        <f>IF(I376="", "", IF(OR(AND(A376="Listed Equity Shares", I376&gt;12), AND(A376="Unlisted Equity Shares", I376&gt;24)), "Long Term", "Short Term"))</f>
        <v/>
      </c>
      <c r="K376" s="5">
        <f>IF(J376="", "", IF(J376="Long Term", 12.5%,"as per slab"))</f>
        <v/>
      </c>
      <c r="L376" s="3">
        <f>+IFERROR(IF(J376="","",H376*K376),"as per slab")</f>
        <v/>
      </c>
    </row>
    <row r="377">
      <c r="A377" s="7" t="n"/>
      <c r="B377" s="7" t="n"/>
      <c r="C377" s="8" t="n"/>
      <c r="D377" s="9" t="n"/>
      <c r="E377" s="8" t="n"/>
      <c r="F377" s="9" t="n"/>
      <c r="G377" s="9" t="n"/>
      <c r="H377" s="3">
        <f>IF(AND(D377&lt;&gt;"",F377&lt;&gt;""),F377-D377-G377,"")</f>
        <v/>
      </c>
      <c r="I377" s="14">
        <f>IF(E377&lt;&gt;"", YEARFRAC(C377, E377) * 12, "")</f>
        <v/>
      </c>
      <c r="J377" s="2">
        <f>IF(I377="", "", IF(OR(AND(A377="Listed Equity Shares", I377&gt;12), AND(A377="Unlisted Equity Shares", I377&gt;24)), "Long Term", "Short Term"))</f>
        <v/>
      </c>
      <c r="K377" s="5">
        <f>IF(J377="", "", IF(J377="Long Term", 12.5%,"as per slab"))</f>
        <v/>
      </c>
      <c r="L377" s="3">
        <f>+IFERROR(IF(J377="","",H377*K377),"as per slab")</f>
        <v/>
      </c>
    </row>
    <row r="378">
      <c r="A378" s="7" t="n"/>
      <c r="B378" s="7" t="n"/>
      <c r="C378" s="8" t="n"/>
      <c r="D378" s="9" t="n"/>
      <c r="E378" s="8" t="n"/>
      <c r="F378" s="9" t="n"/>
      <c r="G378" s="9" t="n"/>
      <c r="H378" s="3">
        <f>IF(AND(D378&lt;&gt;"",F378&lt;&gt;""),F378-D378-G378,"")</f>
        <v/>
      </c>
      <c r="I378" s="14">
        <f>IF(E378&lt;&gt;"", YEARFRAC(C378, E378) * 12, "")</f>
        <v/>
      </c>
      <c r="J378" s="2">
        <f>IF(I378="", "", IF(OR(AND(A378="Listed Equity Shares", I378&gt;12), AND(A378="Unlisted Equity Shares", I378&gt;24)), "Long Term", "Short Term"))</f>
        <v/>
      </c>
      <c r="K378" s="5">
        <f>IF(J378="", "", IF(J378="Long Term", 12.5%,"as per slab"))</f>
        <v/>
      </c>
      <c r="L378" s="3">
        <f>+IFERROR(IF(J378="","",H378*K378),"as per slab")</f>
        <v/>
      </c>
    </row>
    <row r="379">
      <c r="A379" s="7" t="n"/>
      <c r="B379" s="7" t="n"/>
      <c r="C379" s="8" t="n"/>
      <c r="D379" s="9" t="n"/>
      <c r="E379" s="8" t="n"/>
      <c r="F379" s="9" t="n"/>
      <c r="G379" s="9" t="n"/>
      <c r="H379" s="3">
        <f>IF(AND(D379&lt;&gt;"",F379&lt;&gt;""),F379-D379-G379,"")</f>
        <v/>
      </c>
      <c r="I379" s="14">
        <f>IF(E379&lt;&gt;"", YEARFRAC(C379, E379) * 12, "")</f>
        <v/>
      </c>
      <c r="J379" s="2">
        <f>IF(I379="", "", IF(OR(AND(A379="Listed Equity Shares", I379&gt;12), AND(A379="Unlisted Equity Shares", I379&gt;24)), "Long Term", "Short Term"))</f>
        <v/>
      </c>
      <c r="K379" s="5">
        <f>IF(J379="", "", IF(J379="Long Term", 12.5%,"as per slab"))</f>
        <v/>
      </c>
      <c r="L379" s="3">
        <f>+IFERROR(IF(J379="","",H379*K379),"as per slab")</f>
        <v/>
      </c>
    </row>
    <row r="380">
      <c r="A380" s="7" t="n"/>
      <c r="B380" s="7" t="n"/>
      <c r="C380" s="8" t="n"/>
      <c r="D380" s="9" t="n"/>
      <c r="E380" s="8" t="n"/>
      <c r="F380" s="9" t="n"/>
      <c r="G380" s="9" t="n"/>
      <c r="H380" s="3">
        <f>IF(AND(D380&lt;&gt;"",F380&lt;&gt;""),F380-D380-G380,"")</f>
        <v/>
      </c>
      <c r="I380" s="14">
        <f>IF(E380&lt;&gt;"", YEARFRAC(C380, E380) * 12, "")</f>
        <v/>
      </c>
      <c r="J380" s="2">
        <f>IF(I380="", "", IF(OR(AND(A380="Listed Equity Shares", I380&gt;12), AND(A380="Unlisted Equity Shares", I380&gt;24)), "Long Term", "Short Term"))</f>
        <v/>
      </c>
      <c r="K380" s="5">
        <f>IF(J380="", "", IF(J380="Long Term", 12.5%,"as per slab"))</f>
        <v/>
      </c>
      <c r="L380" s="3">
        <f>+IFERROR(IF(J380="","",H380*K380),"as per slab")</f>
        <v/>
      </c>
    </row>
    <row r="381">
      <c r="A381" s="7" t="n"/>
      <c r="B381" s="7" t="n"/>
      <c r="C381" s="8" t="n"/>
      <c r="D381" s="9" t="n"/>
      <c r="E381" s="8" t="n"/>
      <c r="F381" s="9" t="n"/>
      <c r="G381" s="9" t="n"/>
      <c r="H381" s="3">
        <f>IF(AND(D381&lt;&gt;"",F381&lt;&gt;""),F381-D381-G381,"")</f>
        <v/>
      </c>
      <c r="I381" s="14">
        <f>IF(E381&lt;&gt;"", YEARFRAC(C381, E381) * 12, "")</f>
        <v/>
      </c>
      <c r="J381" s="2">
        <f>IF(I381="", "", IF(OR(AND(A381="Listed Equity Shares", I381&gt;12), AND(A381="Unlisted Equity Shares", I381&gt;24)), "Long Term", "Short Term"))</f>
        <v/>
      </c>
      <c r="K381" s="5">
        <f>IF(J381="", "", IF(J381="Long Term", 12.5%,"as per slab"))</f>
        <v/>
      </c>
      <c r="L381" s="3">
        <f>+IFERROR(IF(J381="","",H381*K381),"as per slab")</f>
        <v/>
      </c>
    </row>
    <row r="382">
      <c r="A382" s="7" t="n"/>
      <c r="B382" s="7" t="n"/>
      <c r="C382" s="8" t="n"/>
      <c r="D382" s="9" t="n"/>
      <c r="E382" s="8" t="n"/>
      <c r="F382" s="9" t="n"/>
      <c r="G382" s="9" t="n"/>
      <c r="H382" s="3">
        <f>IF(AND(D382&lt;&gt;"",F382&lt;&gt;""),F382-D382-G382,"")</f>
        <v/>
      </c>
      <c r="I382" s="14">
        <f>IF(E382&lt;&gt;"", YEARFRAC(C382, E382) * 12, "")</f>
        <v/>
      </c>
      <c r="J382" s="2">
        <f>IF(I382="", "", IF(OR(AND(A382="Listed Equity Shares", I382&gt;12), AND(A382="Unlisted Equity Shares", I382&gt;24)), "Long Term", "Short Term"))</f>
        <v/>
      </c>
      <c r="K382" s="5">
        <f>IF(J382="", "", IF(J382="Long Term", 12.5%,"as per slab"))</f>
        <v/>
      </c>
      <c r="L382" s="3">
        <f>+IFERROR(IF(J382="","",H382*K382),"as per slab")</f>
        <v/>
      </c>
    </row>
    <row r="383">
      <c r="A383" s="7" t="n"/>
      <c r="B383" s="7" t="n"/>
      <c r="C383" s="8" t="n"/>
      <c r="D383" s="9" t="n"/>
      <c r="E383" s="8" t="n"/>
      <c r="F383" s="9" t="n"/>
      <c r="G383" s="9" t="n"/>
      <c r="H383" s="3">
        <f>IF(AND(D383&lt;&gt;"",F383&lt;&gt;""),F383-D383-G383,"")</f>
        <v/>
      </c>
      <c r="I383" s="14">
        <f>IF(E383&lt;&gt;"", YEARFRAC(C383, E383) * 12, "")</f>
        <v/>
      </c>
      <c r="J383" s="2">
        <f>IF(I383="", "", IF(OR(AND(A383="Listed Equity Shares", I383&gt;12), AND(A383="Unlisted Equity Shares", I383&gt;24)), "Long Term", "Short Term"))</f>
        <v/>
      </c>
      <c r="K383" s="5">
        <f>IF(J383="", "", IF(J383="Long Term", 12.5%,"as per slab"))</f>
        <v/>
      </c>
      <c r="L383" s="3">
        <f>+IFERROR(IF(J383="","",H383*K383),"as per slab")</f>
        <v/>
      </c>
    </row>
    <row r="384">
      <c r="A384" s="7" t="n"/>
      <c r="B384" s="7" t="n"/>
      <c r="C384" s="8" t="n"/>
      <c r="D384" s="9" t="n"/>
      <c r="E384" s="8" t="n"/>
      <c r="F384" s="9" t="n"/>
      <c r="G384" s="9" t="n"/>
      <c r="H384" s="3">
        <f>IF(AND(D384&lt;&gt;"",F384&lt;&gt;""),F384-D384-G384,"")</f>
        <v/>
      </c>
      <c r="I384" s="14">
        <f>IF(E384&lt;&gt;"", YEARFRAC(C384, E384) * 12, "")</f>
        <v/>
      </c>
      <c r="J384" s="2">
        <f>IF(I384="", "", IF(OR(AND(A384="Listed Equity Shares", I384&gt;12), AND(A384="Unlisted Equity Shares", I384&gt;24)), "Long Term", "Short Term"))</f>
        <v/>
      </c>
      <c r="K384" s="5">
        <f>IF(J384="", "", IF(J384="Long Term", 12.5%,"as per slab"))</f>
        <v/>
      </c>
      <c r="L384" s="3">
        <f>+IFERROR(IF(J384="","",H384*K384),"as per slab")</f>
        <v/>
      </c>
    </row>
    <row r="385">
      <c r="A385" s="7" t="n"/>
      <c r="B385" s="7" t="n"/>
      <c r="C385" s="8" t="n"/>
      <c r="D385" s="9" t="n"/>
      <c r="E385" s="8" t="n"/>
      <c r="F385" s="9" t="n"/>
      <c r="G385" s="9" t="n"/>
      <c r="H385" s="3">
        <f>IF(AND(D385&lt;&gt;"",F385&lt;&gt;""),F385-D385-G385,"")</f>
        <v/>
      </c>
      <c r="I385" s="14">
        <f>IF(E385&lt;&gt;"", YEARFRAC(C385, E385) * 12, "")</f>
        <v/>
      </c>
      <c r="J385" s="2">
        <f>IF(I385="", "", IF(OR(AND(A385="Listed Equity Shares", I385&gt;12), AND(A385="Unlisted Equity Shares", I385&gt;24)), "Long Term", "Short Term"))</f>
        <v/>
      </c>
      <c r="K385" s="5">
        <f>IF(J385="", "", IF(J385="Long Term", 12.5%,"as per slab"))</f>
        <v/>
      </c>
      <c r="L385" s="3">
        <f>+IFERROR(IF(J385="","",H385*K385),"as per slab")</f>
        <v/>
      </c>
    </row>
    <row r="386">
      <c r="A386" s="7" t="n"/>
      <c r="B386" s="7" t="n"/>
      <c r="C386" s="8" t="n"/>
      <c r="D386" s="9" t="n"/>
      <c r="E386" s="8" t="n"/>
      <c r="F386" s="9" t="n"/>
      <c r="G386" s="9" t="n"/>
      <c r="H386" s="3">
        <f>IF(AND(D386&lt;&gt;"",F386&lt;&gt;""),F386-D386-G386,"")</f>
        <v/>
      </c>
      <c r="I386" s="14">
        <f>IF(E386&lt;&gt;"", YEARFRAC(C386, E386) * 12, "")</f>
        <v/>
      </c>
      <c r="J386" s="2">
        <f>IF(I386="", "", IF(OR(AND(A386="Listed Equity Shares", I386&gt;12), AND(A386="Unlisted Equity Shares", I386&gt;24)), "Long Term", "Short Term"))</f>
        <v/>
      </c>
      <c r="K386" s="5">
        <f>IF(J386="", "", IF(J386="Long Term", 12.5%,"as per slab"))</f>
        <v/>
      </c>
      <c r="L386" s="3">
        <f>+IFERROR(IF(J386="","",H386*K386),"as per slab")</f>
        <v/>
      </c>
    </row>
    <row r="387">
      <c r="A387" s="7" t="n"/>
      <c r="B387" s="7" t="n"/>
      <c r="C387" s="8" t="n"/>
      <c r="D387" s="9" t="n"/>
      <c r="E387" s="8" t="n"/>
      <c r="F387" s="9" t="n"/>
      <c r="G387" s="9" t="n"/>
      <c r="H387" s="3">
        <f>IF(AND(D387&lt;&gt;"",F387&lt;&gt;""),F387-D387-G387,"")</f>
        <v/>
      </c>
      <c r="I387" s="14">
        <f>IF(E387&lt;&gt;"", YEARFRAC(C387, E387) * 12, "")</f>
        <v/>
      </c>
      <c r="J387" s="2">
        <f>IF(I387="", "", IF(OR(AND(A387="Listed Equity Shares", I387&gt;12), AND(A387="Unlisted Equity Shares", I387&gt;24)), "Long Term", "Short Term"))</f>
        <v/>
      </c>
      <c r="K387" s="5">
        <f>IF(J387="", "", IF(J387="Long Term", 12.5%,"as per slab"))</f>
        <v/>
      </c>
      <c r="L387" s="3">
        <f>+IFERROR(IF(J387="","",H387*K387),"as per slab")</f>
        <v/>
      </c>
    </row>
    <row r="388">
      <c r="A388" s="7" t="n"/>
      <c r="B388" s="7" t="n"/>
      <c r="C388" s="8" t="n"/>
      <c r="D388" s="9" t="n"/>
      <c r="E388" s="8" t="n"/>
      <c r="F388" s="9" t="n"/>
      <c r="G388" s="9" t="n"/>
      <c r="H388" s="3">
        <f>IF(AND(D388&lt;&gt;"",F388&lt;&gt;""),F388-D388-G388,"")</f>
        <v/>
      </c>
      <c r="I388" s="14">
        <f>IF(E388&lt;&gt;"", YEARFRAC(C388, E388) * 12, "")</f>
        <v/>
      </c>
      <c r="J388" s="2">
        <f>IF(I388="", "", IF(OR(AND(A388="Listed Equity Shares", I388&gt;12), AND(A388="Unlisted Equity Shares", I388&gt;24)), "Long Term", "Short Term"))</f>
        <v/>
      </c>
      <c r="K388" s="5">
        <f>IF(J388="", "", IF(J388="Long Term", 12.5%,"as per slab"))</f>
        <v/>
      </c>
      <c r="L388" s="3">
        <f>+IFERROR(IF(J388="","",H388*K388),"as per slab")</f>
        <v/>
      </c>
    </row>
    <row r="389">
      <c r="A389" s="7" t="n"/>
      <c r="B389" s="7" t="n"/>
      <c r="C389" s="8" t="n"/>
      <c r="D389" s="9" t="n"/>
      <c r="E389" s="8" t="n"/>
      <c r="F389" s="9" t="n"/>
      <c r="G389" s="9" t="n"/>
      <c r="H389" s="3">
        <f>IF(AND(D389&lt;&gt;"",F389&lt;&gt;""),F389-D389-G389,"")</f>
        <v/>
      </c>
      <c r="I389" s="14">
        <f>IF(E389&lt;&gt;"", YEARFRAC(C389, E389) * 12, "")</f>
        <v/>
      </c>
      <c r="J389" s="2">
        <f>IF(I389="", "", IF(OR(AND(A389="Listed Equity Shares", I389&gt;12), AND(A389="Unlisted Equity Shares", I389&gt;24)), "Long Term", "Short Term"))</f>
        <v/>
      </c>
      <c r="K389" s="5">
        <f>IF(J389="", "", IF(J389="Long Term", 12.5%,"as per slab"))</f>
        <v/>
      </c>
      <c r="L389" s="3">
        <f>+IFERROR(IF(J389="","",H389*K389),"as per slab")</f>
        <v/>
      </c>
    </row>
    <row r="390">
      <c r="A390" s="7" t="n"/>
      <c r="B390" s="7" t="n"/>
      <c r="C390" s="8" t="n"/>
      <c r="D390" s="9" t="n"/>
      <c r="E390" s="8" t="n"/>
      <c r="F390" s="9" t="n"/>
      <c r="G390" s="9" t="n"/>
      <c r="H390" s="3">
        <f>IF(AND(D390&lt;&gt;"",F390&lt;&gt;""),F390-D390-G390,"")</f>
        <v/>
      </c>
      <c r="I390" s="14">
        <f>IF(E390&lt;&gt;"", YEARFRAC(C390, E390) * 12, "")</f>
        <v/>
      </c>
      <c r="J390" s="2">
        <f>IF(I390="", "", IF(OR(AND(A390="Listed Equity Shares", I390&gt;12), AND(A390="Unlisted Equity Shares", I390&gt;24)), "Long Term", "Short Term"))</f>
        <v/>
      </c>
      <c r="K390" s="5">
        <f>IF(J390="", "", IF(J390="Long Term", 12.5%,"as per slab"))</f>
        <v/>
      </c>
      <c r="L390" s="3">
        <f>+IFERROR(IF(J390="","",H390*K390),"as per slab")</f>
        <v/>
      </c>
    </row>
    <row r="391">
      <c r="A391" s="7" t="n"/>
      <c r="B391" s="7" t="n"/>
      <c r="C391" s="8" t="n"/>
      <c r="D391" s="9" t="n"/>
      <c r="E391" s="8" t="n"/>
      <c r="F391" s="9" t="n"/>
      <c r="G391" s="9" t="n"/>
      <c r="H391" s="3">
        <f>IF(AND(D391&lt;&gt;"",F391&lt;&gt;""),F391-D391-G391,"")</f>
        <v/>
      </c>
      <c r="I391" s="14">
        <f>IF(E391&lt;&gt;"", YEARFRAC(C391, E391) * 12, "")</f>
        <v/>
      </c>
      <c r="J391" s="2">
        <f>IF(I391="", "", IF(OR(AND(A391="Listed Equity Shares", I391&gt;12), AND(A391="Unlisted Equity Shares", I391&gt;24)), "Long Term", "Short Term"))</f>
        <v/>
      </c>
      <c r="K391" s="5">
        <f>IF(J391="", "", IF(J391="Long Term", 12.5%,"as per slab"))</f>
        <v/>
      </c>
      <c r="L391" s="3">
        <f>+IFERROR(IF(J391="","",H391*K391),"as per slab")</f>
        <v/>
      </c>
    </row>
    <row r="392">
      <c r="A392" s="7" t="n"/>
      <c r="B392" s="7" t="n"/>
      <c r="C392" s="8" t="n"/>
      <c r="D392" s="9" t="n"/>
      <c r="E392" s="8" t="n"/>
      <c r="F392" s="9" t="n"/>
      <c r="G392" s="9" t="n"/>
      <c r="H392" s="3">
        <f>IF(AND(D392&lt;&gt;"",F392&lt;&gt;""),F392-D392-G392,"")</f>
        <v/>
      </c>
      <c r="I392" s="14">
        <f>IF(E392&lt;&gt;"", YEARFRAC(C392, E392) * 12, "")</f>
        <v/>
      </c>
      <c r="J392" s="2">
        <f>IF(I392="", "", IF(OR(AND(A392="Listed Equity Shares", I392&gt;12), AND(A392="Unlisted Equity Shares", I392&gt;24)), "Long Term", "Short Term"))</f>
        <v/>
      </c>
      <c r="K392" s="5">
        <f>IF(J392="", "", IF(J392="Long Term", 12.5%,"as per slab"))</f>
        <v/>
      </c>
      <c r="L392" s="3">
        <f>+IFERROR(IF(J392="","",H392*K392),"as per slab")</f>
        <v/>
      </c>
    </row>
    <row r="393">
      <c r="A393" s="7" t="n"/>
      <c r="B393" s="7" t="n"/>
      <c r="C393" s="8" t="n"/>
      <c r="D393" s="9" t="n"/>
      <c r="E393" s="8" t="n"/>
      <c r="F393" s="9" t="n"/>
      <c r="G393" s="9" t="n"/>
      <c r="H393" s="3">
        <f>IF(AND(D393&lt;&gt;"",F393&lt;&gt;""),F393-D393-G393,"")</f>
        <v/>
      </c>
      <c r="I393" s="14">
        <f>IF(E393&lt;&gt;"", YEARFRAC(C393, E393) * 12, "")</f>
        <v/>
      </c>
      <c r="J393" s="2">
        <f>IF(I393="", "", IF(OR(AND(A393="Listed Equity Shares", I393&gt;12), AND(A393="Unlisted Equity Shares", I393&gt;24)), "Long Term", "Short Term"))</f>
        <v/>
      </c>
      <c r="K393" s="5">
        <f>IF(J393="", "", IF(J393="Long Term", 12.5%,"as per slab"))</f>
        <v/>
      </c>
      <c r="L393" s="3">
        <f>+IFERROR(IF(J393="","",H393*K393),"as per slab")</f>
        <v/>
      </c>
    </row>
    <row r="394">
      <c r="A394" s="7" t="n"/>
      <c r="B394" s="7" t="n"/>
      <c r="C394" s="8" t="n"/>
      <c r="D394" s="9" t="n"/>
      <c r="E394" s="8" t="n"/>
      <c r="F394" s="9" t="n"/>
      <c r="G394" s="9" t="n"/>
      <c r="H394" s="3">
        <f>IF(AND(D394&lt;&gt;"",F394&lt;&gt;""),F394-D394-G394,"")</f>
        <v/>
      </c>
      <c r="I394" s="14">
        <f>IF(E394&lt;&gt;"", YEARFRAC(C394, E394) * 12, "")</f>
        <v/>
      </c>
      <c r="J394" s="2">
        <f>IF(I394="", "", IF(OR(AND(A394="Listed Equity Shares", I394&gt;12), AND(A394="Unlisted Equity Shares", I394&gt;24)), "Long Term", "Short Term"))</f>
        <v/>
      </c>
      <c r="K394" s="5">
        <f>IF(J394="", "", IF(J394="Long Term", 12.5%,"as per slab"))</f>
        <v/>
      </c>
      <c r="L394" s="3">
        <f>+IFERROR(IF(J394="","",H394*K394),"as per slab")</f>
        <v/>
      </c>
    </row>
    <row r="395">
      <c r="A395" s="7" t="n"/>
      <c r="B395" s="7" t="n"/>
      <c r="C395" s="8" t="n"/>
      <c r="D395" s="9" t="n"/>
      <c r="E395" s="8" t="n"/>
      <c r="F395" s="9" t="n"/>
      <c r="G395" s="9" t="n"/>
      <c r="H395" s="3">
        <f>IF(AND(D395&lt;&gt;"",F395&lt;&gt;""),F395-D395-G395,"")</f>
        <v/>
      </c>
      <c r="I395" s="14">
        <f>IF(E395&lt;&gt;"", YEARFRAC(C395, E395) * 12, "")</f>
        <v/>
      </c>
      <c r="J395" s="2">
        <f>IF(I395="", "", IF(OR(AND(A395="Listed Equity Shares", I395&gt;12), AND(A395="Unlisted Equity Shares", I395&gt;24)), "Long Term", "Short Term"))</f>
        <v/>
      </c>
      <c r="K395" s="5">
        <f>IF(J395="", "", IF(J395="Long Term", 12.5%,"as per slab"))</f>
        <v/>
      </c>
      <c r="L395" s="3">
        <f>+IFERROR(IF(J395="","",H395*K395),"as per slab")</f>
        <v/>
      </c>
    </row>
    <row r="396">
      <c r="A396" s="7" t="n"/>
      <c r="B396" s="7" t="n"/>
      <c r="C396" s="8" t="n"/>
      <c r="D396" s="9" t="n"/>
      <c r="E396" s="8" t="n"/>
      <c r="F396" s="9" t="n"/>
      <c r="G396" s="9" t="n"/>
      <c r="H396" s="3">
        <f>IF(AND(D396&lt;&gt;"",F396&lt;&gt;""),F396-D396-G396,"")</f>
        <v/>
      </c>
      <c r="I396" s="14">
        <f>IF(E396&lt;&gt;"", YEARFRAC(C396, E396) * 12, "")</f>
        <v/>
      </c>
      <c r="J396" s="2">
        <f>IF(I396="", "", IF(OR(AND(A396="Listed Equity Shares", I396&gt;12), AND(A396="Unlisted Equity Shares", I396&gt;24)), "Long Term", "Short Term"))</f>
        <v/>
      </c>
      <c r="K396" s="5">
        <f>IF(J396="", "", IF(J396="Long Term", 12.5%,"as per slab"))</f>
        <v/>
      </c>
      <c r="L396" s="3">
        <f>+IFERROR(IF(J396="","",H396*K396),"as per slab")</f>
        <v/>
      </c>
    </row>
    <row r="397">
      <c r="A397" s="7" t="n"/>
      <c r="B397" s="7" t="n"/>
      <c r="C397" s="8" t="n"/>
      <c r="D397" s="9" t="n"/>
      <c r="E397" s="8" t="n"/>
      <c r="F397" s="9" t="n"/>
      <c r="G397" s="9" t="n"/>
      <c r="H397" s="3">
        <f>IF(AND(D397&lt;&gt;"",F397&lt;&gt;""),F397-D397-G397,"")</f>
        <v/>
      </c>
      <c r="I397" s="14">
        <f>IF(E397&lt;&gt;"", YEARFRAC(C397, E397) * 12, "")</f>
        <v/>
      </c>
      <c r="J397" s="2">
        <f>IF(I397="", "", IF(OR(AND(A397="Listed Equity Shares", I397&gt;12), AND(A397="Unlisted Equity Shares", I397&gt;24)), "Long Term", "Short Term"))</f>
        <v/>
      </c>
      <c r="K397" s="5">
        <f>IF(J397="", "", IF(J397="Long Term", 12.5%,"as per slab"))</f>
        <v/>
      </c>
      <c r="L397" s="3">
        <f>+IFERROR(IF(J397="","",H397*K397),"as per slab")</f>
        <v/>
      </c>
    </row>
    <row r="398">
      <c r="A398" s="7" t="n"/>
      <c r="B398" s="7" t="n"/>
      <c r="C398" s="8" t="n"/>
      <c r="D398" s="9" t="n"/>
      <c r="E398" s="8" t="n"/>
      <c r="F398" s="9" t="n"/>
      <c r="G398" s="9" t="n"/>
      <c r="H398" s="3">
        <f>IF(AND(D398&lt;&gt;"",F398&lt;&gt;""),F398-D398-G398,"")</f>
        <v/>
      </c>
      <c r="I398" s="14">
        <f>IF(E398&lt;&gt;"", YEARFRAC(C398, E398) * 12, "")</f>
        <v/>
      </c>
      <c r="J398" s="2">
        <f>IF(I398="", "", IF(OR(AND(A398="Listed Equity Shares", I398&gt;12), AND(A398="Unlisted Equity Shares", I398&gt;24)), "Long Term", "Short Term"))</f>
        <v/>
      </c>
      <c r="K398" s="5">
        <f>IF(J398="", "", IF(J398="Long Term", 12.5%,"as per slab"))</f>
        <v/>
      </c>
      <c r="L398" s="3">
        <f>+IFERROR(IF(J398="","",H398*K398),"as per slab")</f>
        <v/>
      </c>
    </row>
    <row r="399">
      <c r="A399" s="7" t="n"/>
      <c r="B399" s="7" t="n"/>
      <c r="C399" s="8" t="n"/>
      <c r="D399" s="9" t="n"/>
      <c r="E399" s="8" t="n"/>
      <c r="F399" s="9" t="n"/>
      <c r="G399" s="9" t="n"/>
      <c r="H399" s="3">
        <f>IF(AND(D399&lt;&gt;"",F399&lt;&gt;""),F399-D399-G399,"")</f>
        <v/>
      </c>
      <c r="I399" s="14">
        <f>IF(E399&lt;&gt;"", YEARFRAC(C399, E399) * 12, "")</f>
        <v/>
      </c>
      <c r="J399" s="2">
        <f>IF(I399="", "", IF(OR(AND(A399="Listed Equity Shares", I399&gt;12), AND(A399="Unlisted Equity Shares", I399&gt;24)), "Long Term", "Short Term"))</f>
        <v/>
      </c>
      <c r="K399" s="5">
        <f>IF(J399="", "", IF(J399="Long Term", 12.5%,"as per slab"))</f>
        <v/>
      </c>
      <c r="L399" s="3">
        <f>+IFERROR(IF(J399="","",H399*K399),"as per slab")</f>
        <v/>
      </c>
    </row>
    <row r="400">
      <c r="A400" s="7" t="n"/>
      <c r="B400" s="7" t="n"/>
      <c r="C400" s="8" t="n"/>
      <c r="D400" s="9" t="n"/>
      <c r="E400" s="8" t="n"/>
      <c r="F400" s="9" t="n"/>
      <c r="G400" s="9" t="n"/>
      <c r="H400" s="3">
        <f>IF(AND(D400&lt;&gt;"",F400&lt;&gt;""),F400-D400-G400,"")</f>
        <v/>
      </c>
      <c r="I400" s="14">
        <f>IF(E400&lt;&gt;"", YEARFRAC(C400, E400) * 12, "")</f>
        <v/>
      </c>
      <c r="J400" s="2">
        <f>IF(I400="", "", IF(OR(AND(A400="Listed Equity Shares", I400&gt;12), AND(A400="Unlisted Equity Shares", I400&gt;24)), "Long Term", "Short Term"))</f>
        <v/>
      </c>
      <c r="K400" s="5">
        <f>IF(J400="", "", IF(J400="Long Term", 12.5%,"as per slab"))</f>
        <v/>
      </c>
      <c r="L400" s="3">
        <f>+IFERROR(IF(J400="","",H400*K400),"as per slab")</f>
        <v/>
      </c>
    </row>
    <row r="401">
      <c r="A401" s="7" t="n"/>
      <c r="B401" s="7" t="n"/>
      <c r="C401" s="8" t="n"/>
      <c r="D401" s="9" t="n"/>
      <c r="E401" s="8" t="n"/>
      <c r="F401" s="9" t="n"/>
      <c r="G401" s="9" t="n"/>
      <c r="H401" s="3">
        <f>IF(AND(D401&lt;&gt;"",F401&lt;&gt;""),F401-D401-G401,"")</f>
        <v/>
      </c>
      <c r="I401" s="14">
        <f>IF(E401&lt;&gt;"", YEARFRAC(C401, E401) * 12, "")</f>
        <v/>
      </c>
      <c r="J401" s="2">
        <f>IF(I401="", "", IF(OR(AND(A401="Listed Equity Shares", I401&gt;12), AND(A401="Unlisted Equity Shares", I401&gt;24)), "Long Term", "Short Term"))</f>
        <v/>
      </c>
      <c r="K401" s="5">
        <f>IF(J401="", "", IF(J401="Long Term", 12.5%,"as per slab"))</f>
        <v/>
      </c>
      <c r="L401" s="3">
        <f>+IFERROR(IF(J401="","",H401*K401),"as per slab")</f>
        <v/>
      </c>
    </row>
    <row r="402">
      <c r="A402" s="7" t="n"/>
      <c r="B402" s="7" t="n"/>
      <c r="C402" s="8" t="n"/>
      <c r="D402" s="9" t="n"/>
      <c r="E402" s="8" t="n"/>
      <c r="F402" s="9" t="n"/>
      <c r="G402" s="9" t="n"/>
      <c r="H402" s="3">
        <f>IF(AND(D402&lt;&gt;"",F402&lt;&gt;""),F402-D402-G402,"")</f>
        <v/>
      </c>
      <c r="I402" s="14">
        <f>IF(E402&lt;&gt;"", YEARFRAC(C402, E402) * 12, "")</f>
        <v/>
      </c>
      <c r="J402" s="2">
        <f>IF(I402="", "", IF(OR(AND(A402="Listed Equity Shares", I402&gt;12), AND(A402="Unlisted Equity Shares", I402&gt;24)), "Long Term", "Short Term"))</f>
        <v/>
      </c>
      <c r="K402" s="5">
        <f>IF(J402="", "", IF(J402="Long Term", 12.5%,"as per slab"))</f>
        <v/>
      </c>
      <c r="L402" s="3">
        <f>+IFERROR(IF(J402="","",H402*K402),"as per slab")</f>
        <v/>
      </c>
    </row>
    <row r="403">
      <c r="A403" s="7" t="n"/>
      <c r="B403" s="7" t="n"/>
      <c r="C403" s="8" t="n"/>
      <c r="D403" s="9" t="n"/>
      <c r="E403" s="8" t="n"/>
      <c r="F403" s="9" t="n"/>
      <c r="G403" s="9" t="n"/>
      <c r="H403" s="3">
        <f>IF(AND(D403&lt;&gt;"",F403&lt;&gt;""),F403-D403-G403,"")</f>
        <v/>
      </c>
      <c r="I403" s="14">
        <f>IF(E403&lt;&gt;"", YEARFRAC(C403, E403) * 12, "")</f>
        <v/>
      </c>
      <c r="J403" s="2">
        <f>IF(I403="", "", IF(OR(AND(A403="Listed Equity Shares", I403&gt;12), AND(A403="Unlisted Equity Shares", I403&gt;24)), "Long Term", "Short Term"))</f>
        <v/>
      </c>
      <c r="K403" s="5">
        <f>IF(J403="", "", IF(J403="Long Term", 12.5%,"as per slab"))</f>
        <v/>
      </c>
      <c r="L403" s="3">
        <f>+IFERROR(IF(J403="","",H403*K403),"as per slab")</f>
        <v/>
      </c>
    </row>
    <row r="404">
      <c r="A404" s="7" t="n"/>
      <c r="B404" s="7" t="n"/>
      <c r="C404" s="8" t="n"/>
      <c r="D404" s="9" t="n"/>
      <c r="E404" s="8" t="n"/>
      <c r="F404" s="9" t="n"/>
      <c r="G404" s="9" t="n"/>
      <c r="H404" s="3">
        <f>IF(AND(D404&lt;&gt;"",F404&lt;&gt;""),F404-D404-G404,"")</f>
        <v/>
      </c>
      <c r="I404" s="14">
        <f>IF(E404&lt;&gt;"", YEARFRAC(C404, E404) * 12, "")</f>
        <v/>
      </c>
      <c r="J404" s="2">
        <f>IF(I404="", "", IF(OR(AND(A404="Listed Equity Shares", I404&gt;12), AND(A404="Unlisted Equity Shares", I404&gt;24)), "Long Term", "Short Term"))</f>
        <v/>
      </c>
      <c r="K404" s="5">
        <f>IF(J404="", "", IF(J404="Long Term", 12.5%,"as per slab"))</f>
        <v/>
      </c>
      <c r="L404" s="3">
        <f>+IFERROR(IF(J404="","",H404*K404),"as per slab")</f>
        <v/>
      </c>
    </row>
    <row r="405">
      <c r="A405" s="7" t="n"/>
      <c r="B405" s="7" t="n"/>
      <c r="C405" s="8" t="n"/>
      <c r="D405" s="9" t="n"/>
      <c r="E405" s="8" t="n"/>
      <c r="F405" s="9" t="n"/>
      <c r="G405" s="9" t="n"/>
      <c r="H405" s="3">
        <f>IF(AND(D405&lt;&gt;"",F405&lt;&gt;""),F405-D405-G405,"")</f>
        <v/>
      </c>
      <c r="I405" s="14">
        <f>IF(E405&lt;&gt;"", YEARFRAC(C405, E405) * 12, "")</f>
        <v/>
      </c>
      <c r="J405" s="2">
        <f>IF(I405="", "", IF(OR(AND(A405="Listed Equity Shares", I405&gt;12), AND(A405="Unlisted Equity Shares", I405&gt;24)), "Long Term", "Short Term"))</f>
        <v/>
      </c>
      <c r="K405" s="5">
        <f>IF(J405="", "", IF(J405="Long Term", 12.5%,"as per slab"))</f>
        <v/>
      </c>
      <c r="L405" s="3">
        <f>+IFERROR(IF(J405="","",H405*K405),"as per slab")</f>
        <v/>
      </c>
    </row>
    <row r="406">
      <c r="A406" s="7" t="n"/>
      <c r="B406" s="7" t="n"/>
      <c r="C406" s="8" t="n"/>
      <c r="D406" s="9" t="n"/>
      <c r="E406" s="8" t="n"/>
      <c r="F406" s="9" t="n"/>
      <c r="G406" s="9" t="n"/>
      <c r="H406" s="3">
        <f>IF(AND(D406&lt;&gt;"",F406&lt;&gt;""),F406-D406-G406,"")</f>
        <v/>
      </c>
      <c r="I406" s="14">
        <f>IF(E406&lt;&gt;"", YEARFRAC(C406, E406) * 12, "")</f>
        <v/>
      </c>
      <c r="J406" s="2">
        <f>IF(I406="", "", IF(OR(AND(A406="Listed Equity Shares", I406&gt;12), AND(A406="Unlisted Equity Shares", I406&gt;24)), "Long Term", "Short Term"))</f>
        <v/>
      </c>
      <c r="K406" s="5">
        <f>IF(J406="", "", IF(J406="Long Term", 12.5%,"as per slab"))</f>
        <v/>
      </c>
      <c r="L406" s="3">
        <f>+IFERROR(IF(J406="","",H406*K406),"as per slab")</f>
        <v/>
      </c>
    </row>
    <row r="407">
      <c r="A407" s="7" t="n"/>
      <c r="B407" s="7" t="n"/>
      <c r="C407" s="8" t="n"/>
      <c r="D407" s="9" t="n"/>
      <c r="E407" s="8" t="n"/>
      <c r="F407" s="9" t="n"/>
      <c r="G407" s="9" t="n"/>
      <c r="H407" s="3">
        <f>IF(AND(D407&lt;&gt;"",F407&lt;&gt;""),F407-D407-G407,"")</f>
        <v/>
      </c>
      <c r="I407" s="14">
        <f>IF(E407&lt;&gt;"", YEARFRAC(C407, E407) * 12, "")</f>
        <v/>
      </c>
      <c r="J407" s="2">
        <f>IF(I407="", "", IF(OR(AND(A407="Listed Equity Shares", I407&gt;12), AND(A407="Unlisted Equity Shares", I407&gt;24)), "Long Term", "Short Term"))</f>
        <v/>
      </c>
      <c r="K407" s="5">
        <f>IF(J407="", "", IF(J407="Long Term", 12.5%,"as per slab"))</f>
        <v/>
      </c>
      <c r="L407" s="3">
        <f>+IFERROR(IF(J407="","",H407*K407),"as per slab")</f>
        <v/>
      </c>
    </row>
    <row r="408">
      <c r="A408" s="7" t="n"/>
      <c r="B408" s="7" t="n"/>
      <c r="C408" s="8" t="n"/>
      <c r="D408" s="9" t="n"/>
      <c r="E408" s="8" t="n"/>
      <c r="F408" s="9" t="n"/>
      <c r="G408" s="9" t="n"/>
      <c r="H408" s="3">
        <f>IF(AND(D408&lt;&gt;"",F408&lt;&gt;""),F408-D408-G408,"")</f>
        <v/>
      </c>
      <c r="I408" s="14">
        <f>IF(E408&lt;&gt;"", YEARFRAC(C408, E408) * 12, "")</f>
        <v/>
      </c>
      <c r="J408" s="2">
        <f>IF(I408="", "", IF(OR(AND(A408="Listed Equity Shares", I408&gt;12), AND(A408="Unlisted Equity Shares", I408&gt;24)), "Long Term", "Short Term"))</f>
        <v/>
      </c>
      <c r="K408" s="5">
        <f>IF(J408="", "", IF(J408="Long Term", 12.5%,"as per slab"))</f>
        <v/>
      </c>
      <c r="L408" s="3">
        <f>+IFERROR(IF(J408="","",H408*K408),"as per slab")</f>
        <v/>
      </c>
    </row>
    <row r="409">
      <c r="A409" s="7" t="n"/>
      <c r="B409" s="7" t="n"/>
      <c r="C409" s="8" t="n"/>
      <c r="D409" s="9" t="n"/>
      <c r="E409" s="8" t="n"/>
      <c r="F409" s="9" t="n"/>
      <c r="G409" s="9" t="n"/>
      <c r="H409" s="3">
        <f>IF(AND(D409&lt;&gt;"",F409&lt;&gt;""),F409-D409-G409,"")</f>
        <v/>
      </c>
      <c r="I409" s="14">
        <f>IF(E409&lt;&gt;"", YEARFRAC(C409, E409) * 12, "")</f>
        <v/>
      </c>
      <c r="J409" s="2">
        <f>IF(I409="", "", IF(OR(AND(A409="Listed Equity Shares", I409&gt;12), AND(A409="Unlisted Equity Shares", I409&gt;24)), "Long Term", "Short Term"))</f>
        <v/>
      </c>
      <c r="K409" s="5">
        <f>IF(J409="", "", IF(J409="Long Term", 12.5%,"as per slab"))</f>
        <v/>
      </c>
      <c r="L409" s="3">
        <f>+IFERROR(IF(J409="","",H409*K409),"as per slab")</f>
        <v/>
      </c>
    </row>
    <row r="410">
      <c r="A410" s="7" t="n"/>
      <c r="B410" s="7" t="n"/>
      <c r="C410" s="8" t="n"/>
      <c r="D410" s="9" t="n"/>
      <c r="E410" s="8" t="n"/>
      <c r="F410" s="9" t="n"/>
      <c r="G410" s="9" t="n"/>
      <c r="H410" s="3">
        <f>IF(AND(D410&lt;&gt;"",F410&lt;&gt;""),F410-D410-G410,"")</f>
        <v/>
      </c>
      <c r="I410" s="14">
        <f>IF(E410&lt;&gt;"", YEARFRAC(C410, E410) * 12, "")</f>
        <v/>
      </c>
      <c r="J410" s="2">
        <f>IF(I410="", "", IF(OR(AND(A410="Listed Equity Shares", I410&gt;12), AND(A410="Unlisted Equity Shares", I410&gt;24)), "Long Term", "Short Term"))</f>
        <v/>
      </c>
      <c r="K410" s="5">
        <f>IF(J410="", "", IF(J410="Long Term", 12.5%,"as per slab"))</f>
        <v/>
      </c>
      <c r="L410" s="3">
        <f>+IFERROR(IF(J410="","",H410*K410),"as per slab")</f>
        <v/>
      </c>
    </row>
    <row r="411">
      <c r="A411" s="7" t="n"/>
      <c r="B411" s="7" t="n"/>
      <c r="C411" s="8" t="n"/>
      <c r="D411" s="9" t="n"/>
      <c r="E411" s="8" t="n"/>
      <c r="F411" s="9" t="n"/>
      <c r="G411" s="9" t="n"/>
      <c r="H411" s="3">
        <f>IF(AND(D411&lt;&gt;"",F411&lt;&gt;""),F411-D411-G411,"")</f>
        <v/>
      </c>
      <c r="I411" s="14">
        <f>IF(E411&lt;&gt;"", YEARFRAC(C411, E411) * 12, "")</f>
        <v/>
      </c>
      <c r="J411" s="2">
        <f>IF(I411="", "", IF(OR(AND(A411="Listed Equity Shares", I411&gt;12), AND(A411="Unlisted Equity Shares", I411&gt;24)), "Long Term", "Short Term"))</f>
        <v/>
      </c>
      <c r="K411" s="5">
        <f>IF(J411="", "", IF(J411="Long Term", 12.5%,"as per slab"))</f>
        <v/>
      </c>
      <c r="L411" s="3">
        <f>+IFERROR(IF(J411="","",H411*K411),"as per slab")</f>
        <v/>
      </c>
    </row>
    <row r="412">
      <c r="A412" s="7" t="n"/>
      <c r="B412" s="7" t="n"/>
      <c r="C412" s="8" t="n"/>
      <c r="D412" s="9" t="n"/>
      <c r="E412" s="8" t="n"/>
      <c r="F412" s="9" t="n"/>
      <c r="G412" s="9" t="n"/>
      <c r="H412" s="3">
        <f>IF(AND(D412&lt;&gt;"",F412&lt;&gt;""),F412-D412-G412,"")</f>
        <v/>
      </c>
      <c r="I412" s="14">
        <f>IF(E412&lt;&gt;"", YEARFRAC(C412, E412) * 12, "")</f>
        <v/>
      </c>
      <c r="J412" s="2">
        <f>IF(I412="", "", IF(OR(AND(A412="Listed Equity Shares", I412&gt;12), AND(A412="Unlisted Equity Shares", I412&gt;24)), "Long Term", "Short Term"))</f>
        <v/>
      </c>
      <c r="K412" s="5">
        <f>IF(J412="", "", IF(J412="Long Term", 12.5%,"as per slab"))</f>
        <v/>
      </c>
      <c r="L412" s="3">
        <f>+IFERROR(IF(J412="","",H412*K412),"as per slab")</f>
        <v/>
      </c>
    </row>
    <row r="413">
      <c r="A413" s="7" t="n"/>
      <c r="B413" s="7" t="n"/>
      <c r="C413" s="8" t="n"/>
      <c r="D413" s="9" t="n"/>
      <c r="E413" s="8" t="n"/>
      <c r="F413" s="9" t="n"/>
      <c r="G413" s="9" t="n"/>
      <c r="H413" s="3">
        <f>IF(AND(D413&lt;&gt;"",F413&lt;&gt;""),F413-D413-G413,"")</f>
        <v/>
      </c>
      <c r="I413" s="14">
        <f>IF(E413&lt;&gt;"", YEARFRAC(C413, E413) * 12, "")</f>
        <v/>
      </c>
      <c r="J413" s="2">
        <f>IF(I413="", "", IF(OR(AND(A413="Listed Equity Shares", I413&gt;12), AND(A413="Unlisted Equity Shares", I413&gt;24)), "Long Term", "Short Term"))</f>
        <v/>
      </c>
      <c r="K413" s="5">
        <f>IF(J413="", "", IF(J413="Long Term", 12.5%,"as per slab"))</f>
        <v/>
      </c>
      <c r="L413" s="3">
        <f>+IFERROR(IF(J413="","",H413*K413),"as per slab")</f>
        <v/>
      </c>
    </row>
    <row r="414">
      <c r="A414" s="7" t="n"/>
      <c r="B414" s="7" t="n"/>
      <c r="C414" s="8" t="n"/>
      <c r="D414" s="9" t="n"/>
      <c r="E414" s="8" t="n"/>
      <c r="F414" s="9" t="n"/>
      <c r="G414" s="9" t="n"/>
      <c r="H414" s="3">
        <f>IF(AND(D414&lt;&gt;"",F414&lt;&gt;""),F414-D414-G414,"")</f>
        <v/>
      </c>
      <c r="I414" s="14">
        <f>IF(E414&lt;&gt;"", YEARFRAC(C414, E414) * 12, "")</f>
        <v/>
      </c>
      <c r="J414" s="2">
        <f>IF(I414="", "", IF(OR(AND(A414="Listed Equity Shares", I414&gt;12), AND(A414="Unlisted Equity Shares", I414&gt;24)), "Long Term", "Short Term"))</f>
        <v/>
      </c>
      <c r="K414" s="5">
        <f>IF(J414="", "", IF(J414="Long Term", 12.5%,"as per slab"))</f>
        <v/>
      </c>
      <c r="L414" s="3">
        <f>+IFERROR(IF(J414="","",H414*K414),"as per slab")</f>
        <v/>
      </c>
    </row>
    <row r="415">
      <c r="A415" s="7" t="n"/>
      <c r="B415" s="7" t="n"/>
      <c r="C415" s="8" t="n"/>
      <c r="D415" s="9" t="n"/>
      <c r="E415" s="8" t="n"/>
      <c r="F415" s="9" t="n"/>
      <c r="G415" s="9" t="n"/>
      <c r="H415" s="3">
        <f>IF(AND(D415&lt;&gt;"",F415&lt;&gt;""),F415-D415-G415,"")</f>
        <v/>
      </c>
      <c r="I415" s="14">
        <f>IF(E415&lt;&gt;"", YEARFRAC(C415, E415) * 12, "")</f>
        <v/>
      </c>
      <c r="J415" s="2">
        <f>IF(I415="", "", IF(OR(AND(A415="Listed Equity Shares", I415&gt;12), AND(A415="Unlisted Equity Shares", I415&gt;24)), "Long Term", "Short Term"))</f>
        <v/>
      </c>
      <c r="K415" s="5">
        <f>IF(J415="", "", IF(J415="Long Term", 12.5%,"as per slab"))</f>
        <v/>
      </c>
      <c r="L415" s="3">
        <f>+IFERROR(IF(J415="","",H415*K415),"as per slab")</f>
        <v/>
      </c>
    </row>
    <row r="416">
      <c r="A416" s="7" t="n"/>
      <c r="B416" s="7" t="n"/>
      <c r="C416" s="8" t="n"/>
      <c r="D416" s="9" t="n"/>
      <c r="E416" s="8" t="n"/>
      <c r="F416" s="9" t="n"/>
      <c r="G416" s="9" t="n"/>
      <c r="H416" s="3">
        <f>IF(AND(D416&lt;&gt;"",F416&lt;&gt;""),F416-D416-G416,"")</f>
        <v/>
      </c>
      <c r="I416" s="14">
        <f>IF(E416&lt;&gt;"", YEARFRAC(C416, E416) * 12, "")</f>
        <v/>
      </c>
      <c r="J416" s="2">
        <f>IF(I416="", "", IF(OR(AND(A416="Listed Equity Shares", I416&gt;12), AND(A416="Unlisted Equity Shares", I416&gt;24)), "Long Term", "Short Term"))</f>
        <v/>
      </c>
      <c r="K416" s="5">
        <f>IF(J416="", "", IF(J416="Long Term", 12.5%,"as per slab"))</f>
        <v/>
      </c>
      <c r="L416" s="3">
        <f>+IFERROR(IF(J416="","",H416*K416),"as per slab")</f>
        <v/>
      </c>
    </row>
    <row r="417">
      <c r="A417" s="7" t="n"/>
      <c r="B417" s="7" t="n"/>
      <c r="C417" s="8" t="n"/>
      <c r="D417" s="9" t="n"/>
      <c r="E417" s="8" t="n"/>
      <c r="F417" s="9" t="n"/>
      <c r="G417" s="9" t="n"/>
      <c r="H417" s="3">
        <f>IF(AND(D417&lt;&gt;"",F417&lt;&gt;""),F417-D417-G417,"")</f>
        <v/>
      </c>
      <c r="I417" s="14">
        <f>IF(E417&lt;&gt;"", YEARFRAC(C417, E417) * 12, "")</f>
        <v/>
      </c>
      <c r="J417" s="2">
        <f>IF(I417="", "", IF(OR(AND(A417="Listed Equity Shares", I417&gt;12), AND(A417="Unlisted Equity Shares", I417&gt;24)), "Long Term", "Short Term"))</f>
        <v/>
      </c>
      <c r="K417" s="5">
        <f>IF(J417="", "", IF(J417="Long Term", 12.5%,"as per slab"))</f>
        <v/>
      </c>
      <c r="L417" s="3">
        <f>+IFERROR(IF(J417="","",H417*K417),"as per slab")</f>
        <v/>
      </c>
    </row>
    <row r="418">
      <c r="A418" s="7" t="n"/>
      <c r="B418" s="7" t="n"/>
      <c r="C418" s="8" t="n"/>
      <c r="D418" s="9" t="n"/>
      <c r="E418" s="8" t="n"/>
      <c r="F418" s="9" t="n"/>
      <c r="G418" s="9" t="n"/>
      <c r="H418" s="3">
        <f>IF(AND(D418&lt;&gt;"",F418&lt;&gt;""),F418-D418-G418,"")</f>
        <v/>
      </c>
      <c r="I418" s="14">
        <f>IF(E418&lt;&gt;"", YEARFRAC(C418, E418) * 12, "")</f>
        <v/>
      </c>
      <c r="J418" s="2">
        <f>IF(I418="", "", IF(OR(AND(A418="Listed Equity Shares", I418&gt;12), AND(A418="Unlisted Equity Shares", I418&gt;24)), "Long Term", "Short Term"))</f>
        <v/>
      </c>
      <c r="K418" s="5">
        <f>IF(J418="", "", IF(J418="Long Term", 12.5%,"as per slab"))</f>
        <v/>
      </c>
      <c r="L418" s="3">
        <f>+IFERROR(IF(J418="","",H418*K418),"as per slab")</f>
        <v/>
      </c>
    </row>
    <row r="419">
      <c r="A419" s="7" t="n"/>
      <c r="B419" s="7" t="n"/>
      <c r="C419" s="8" t="n"/>
      <c r="D419" s="9" t="n"/>
      <c r="E419" s="8" t="n"/>
      <c r="F419" s="9" t="n"/>
      <c r="G419" s="9" t="n"/>
      <c r="H419" s="3">
        <f>IF(AND(D419&lt;&gt;"",F419&lt;&gt;""),F419-D419-G419,"")</f>
        <v/>
      </c>
      <c r="I419" s="14">
        <f>IF(E419&lt;&gt;"", YEARFRAC(C419, E419) * 12, "")</f>
        <v/>
      </c>
      <c r="J419" s="2">
        <f>IF(I419="", "", IF(OR(AND(A419="Listed Equity Shares", I419&gt;12), AND(A419="Unlisted Equity Shares", I419&gt;24)), "Long Term", "Short Term"))</f>
        <v/>
      </c>
      <c r="K419" s="5">
        <f>IF(J419="", "", IF(J419="Long Term", 12.5%,"as per slab"))</f>
        <v/>
      </c>
      <c r="L419" s="3">
        <f>+IFERROR(IF(J419="","",H419*K419),"as per slab")</f>
        <v/>
      </c>
    </row>
    <row r="420">
      <c r="A420" s="7" t="n"/>
      <c r="B420" s="7" t="n"/>
      <c r="C420" s="8" t="n"/>
      <c r="D420" s="9" t="n"/>
      <c r="E420" s="8" t="n"/>
      <c r="F420" s="9" t="n"/>
      <c r="G420" s="9" t="n"/>
      <c r="H420" s="3">
        <f>IF(AND(D420&lt;&gt;"",F420&lt;&gt;""),F420-D420-G420,"")</f>
        <v/>
      </c>
      <c r="I420" s="14">
        <f>IF(E420&lt;&gt;"", YEARFRAC(C420, E420) * 12, "")</f>
        <v/>
      </c>
      <c r="J420" s="2">
        <f>IF(I420="", "", IF(OR(AND(A420="Listed Equity Shares", I420&gt;12), AND(A420="Unlisted Equity Shares", I420&gt;24)), "Long Term", "Short Term"))</f>
        <v/>
      </c>
      <c r="K420" s="5">
        <f>IF(J420="", "", IF(J420="Long Term", 12.5%,"as per slab"))</f>
        <v/>
      </c>
      <c r="L420" s="3">
        <f>+IFERROR(IF(J420="","",H420*K420),"as per slab")</f>
        <v/>
      </c>
    </row>
    <row r="421">
      <c r="A421" s="7" t="n"/>
      <c r="B421" s="7" t="n"/>
      <c r="C421" s="8" t="n"/>
      <c r="D421" s="9" t="n"/>
      <c r="E421" s="8" t="n"/>
      <c r="F421" s="9" t="n"/>
      <c r="G421" s="9" t="n"/>
      <c r="H421" s="3">
        <f>IF(AND(D421&lt;&gt;"",F421&lt;&gt;""),F421-D421-G421,"")</f>
        <v/>
      </c>
      <c r="I421" s="14">
        <f>IF(E421&lt;&gt;"", YEARFRAC(C421, E421) * 12, "")</f>
        <v/>
      </c>
      <c r="J421" s="2">
        <f>IF(I421="", "", IF(OR(AND(A421="Listed Equity Shares", I421&gt;12), AND(A421="Unlisted Equity Shares", I421&gt;24)), "Long Term", "Short Term"))</f>
        <v/>
      </c>
      <c r="K421" s="5">
        <f>IF(J421="", "", IF(J421="Long Term", 12.5%,"as per slab"))</f>
        <v/>
      </c>
      <c r="L421" s="3">
        <f>+IFERROR(IF(J421="","",H421*K421),"as per slab")</f>
        <v/>
      </c>
    </row>
    <row r="422">
      <c r="A422" s="7" t="n"/>
      <c r="B422" s="7" t="n"/>
      <c r="C422" s="8" t="n"/>
      <c r="D422" s="9" t="n"/>
      <c r="E422" s="8" t="n"/>
      <c r="F422" s="9" t="n"/>
      <c r="G422" s="9" t="n"/>
      <c r="H422" s="3">
        <f>IF(AND(D422&lt;&gt;"",F422&lt;&gt;""),F422-D422-G422,"")</f>
        <v/>
      </c>
      <c r="I422" s="14">
        <f>IF(E422&lt;&gt;"", YEARFRAC(C422, E422) * 12, "")</f>
        <v/>
      </c>
      <c r="J422" s="2">
        <f>IF(I422="", "", IF(OR(AND(A422="Listed Equity Shares", I422&gt;12), AND(A422="Unlisted Equity Shares", I422&gt;24)), "Long Term", "Short Term"))</f>
        <v/>
      </c>
      <c r="K422" s="5">
        <f>IF(J422="", "", IF(J422="Long Term", 12.5%,"as per slab"))</f>
        <v/>
      </c>
      <c r="L422" s="3">
        <f>+IFERROR(IF(J422="","",H422*K422),"as per slab")</f>
        <v/>
      </c>
    </row>
    <row r="423">
      <c r="A423" s="7" t="n"/>
      <c r="B423" s="7" t="n"/>
      <c r="C423" s="8" t="n"/>
      <c r="D423" s="9" t="n"/>
      <c r="E423" s="8" t="n"/>
      <c r="F423" s="9" t="n"/>
      <c r="G423" s="9" t="n"/>
      <c r="H423" s="3">
        <f>IF(AND(D423&lt;&gt;"",F423&lt;&gt;""),F423-D423-G423,"")</f>
        <v/>
      </c>
      <c r="I423" s="14">
        <f>IF(E423&lt;&gt;"", YEARFRAC(C423, E423) * 12, "")</f>
        <v/>
      </c>
      <c r="J423" s="2">
        <f>IF(I423="", "", IF(OR(AND(A423="Listed Equity Shares", I423&gt;12), AND(A423="Unlisted Equity Shares", I423&gt;24)), "Long Term", "Short Term"))</f>
        <v/>
      </c>
      <c r="K423" s="5">
        <f>IF(J423="", "", IF(J423="Long Term", 12.5%,"as per slab"))</f>
        <v/>
      </c>
      <c r="L423" s="3">
        <f>+IFERROR(IF(J423="","",H423*K423),"as per slab")</f>
        <v/>
      </c>
    </row>
    <row r="424">
      <c r="A424" s="7" t="n"/>
      <c r="B424" s="7" t="n"/>
      <c r="C424" s="8" t="n"/>
      <c r="D424" s="9" t="n"/>
      <c r="E424" s="8" t="n"/>
      <c r="F424" s="9" t="n"/>
      <c r="G424" s="9" t="n"/>
      <c r="H424" s="3">
        <f>IF(AND(D424&lt;&gt;"",F424&lt;&gt;""),F424-D424-G424,"")</f>
        <v/>
      </c>
      <c r="I424" s="14">
        <f>IF(E424&lt;&gt;"", YEARFRAC(C424, E424) * 12, "")</f>
        <v/>
      </c>
      <c r="J424" s="2">
        <f>IF(I424="", "", IF(OR(AND(A424="Listed Equity Shares", I424&gt;12), AND(A424="Unlisted Equity Shares", I424&gt;24)), "Long Term", "Short Term"))</f>
        <v/>
      </c>
      <c r="K424" s="5">
        <f>IF(J424="", "", IF(J424="Long Term", 12.5%,"as per slab"))</f>
        <v/>
      </c>
      <c r="L424" s="3">
        <f>+IFERROR(IF(J424="","",H424*K424),"as per slab")</f>
        <v/>
      </c>
    </row>
    <row r="425">
      <c r="A425" s="7" t="n"/>
      <c r="B425" s="7" t="n"/>
      <c r="C425" s="8" t="n"/>
      <c r="D425" s="9" t="n"/>
      <c r="E425" s="8" t="n"/>
      <c r="F425" s="9" t="n"/>
      <c r="G425" s="9" t="n"/>
      <c r="H425" s="3">
        <f>IF(AND(D425&lt;&gt;"",F425&lt;&gt;""),F425-D425-G425,"")</f>
        <v/>
      </c>
      <c r="I425" s="14">
        <f>IF(E425&lt;&gt;"", YEARFRAC(C425, E425) * 12, "")</f>
        <v/>
      </c>
      <c r="J425" s="2">
        <f>IF(I425="", "", IF(OR(AND(A425="Listed Equity Shares", I425&gt;12), AND(A425="Unlisted Equity Shares", I425&gt;24)), "Long Term", "Short Term"))</f>
        <v/>
      </c>
      <c r="K425" s="5">
        <f>IF(J425="", "", IF(J425="Long Term", 12.5%,"as per slab"))</f>
        <v/>
      </c>
      <c r="L425" s="3">
        <f>+IFERROR(IF(J425="","",H425*K425),"as per slab")</f>
        <v/>
      </c>
    </row>
    <row r="426">
      <c r="A426" s="7" t="n"/>
      <c r="B426" s="7" t="n"/>
      <c r="C426" s="8" t="n"/>
      <c r="D426" s="9" t="n"/>
      <c r="E426" s="8" t="n"/>
      <c r="F426" s="9" t="n"/>
      <c r="G426" s="9" t="n"/>
      <c r="H426" s="3">
        <f>IF(AND(D426&lt;&gt;"",F426&lt;&gt;""),F426-D426-G426,"")</f>
        <v/>
      </c>
      <c r="I426" s="14">
        <f>IF(E426&lt;&gt;"", YEARFRAC(C426, E426) * 12, "")</f>
        <v/>
      </c>
      <c r="J426" s="2">
        <f>IF(I426="", "", IF(OR(AND(A426="Listed Equity Shares", I426&gt;12), AND(A426="Unlisted Equity Shares", I426&gt;24)), "Long Term", "Short Term"))</f>
        <v/>
      </c>
      <c r="K426" s="5">
        <f>IF(J426="", "", IF(J426="Long Term", 12.5%,"as per slab"))</f>
        <v/>
      </c>
      <c r="L426" s="3">
        <f>+IFERROR(IF(J426="","",H426*K426),"as per slab")</f>
        <v/>
      </c>
    </row>
    <row r="427">
      <c r="A427" s="7" t="n"/>
      <c r="B427" s="7" t="n"/>
      <c r="C427" s="8" t="n"/>
      <c r="D427" s="9" t="n"/>
      <c r="E427" s="8" t="n"/>
      <c r="F427" s="9" t="n"/>
      <c r="G427" s="9" t="n"/>
      <c r="H427" s="3">
        <f>IF(AND(D427&lt;&gt;"",F427&lt;&gt;""),F427-D427-G427,"")</f>
        <v/>
      </c>
      <c r="I427" s="14">
        <f>IF(E427&lt;&gt;"", YEARFRAC(C427, E427) * 12, "")</f>
        <v/>
      </c>
      <c r="J427" s="2">
        <f>IF(I427="", "", IF(OR(AND(A427="Listed Equity Shares", I427&gt;12), AND(A427="Unlisted Equity Shares", I427&gt;24)), "Long Term", "Short Term"))</f>
        <v/>
      </c>
      <c r="K427" s="5">
        <f>IF(J427="", "", IF(J427="Long Term", 12.5%,"as per slab"))</f>
        <v/>
      </c>
      <c r="L427" s="3">
        <f>+IFERROR(IF(J427="","",H427*K427),"as per slab")</f>
        <v/>
      </c>
    </row>
    <row r="428">
      <c r="A428" s="7" t="n"/>
      <c r="B428" s="7" t="n"/>
      <c r="C428" s="8" t="n"/>
      <c r="D428" s="9" t="n"/>
      <c r="E428" s="8" t="n"/>
      <c r="F428" s="9" t="n"/>
      <c r="G428" s="9" t="n"/>
      <c r="H428" s="3">
        <f>IF(AND(D428&lt;&gt;"",F428&lt;&gt;""),F428-D428-G428,"")</f>
        <v/>
      </c>
      <c r="I428" s="14">
        <f>IF(E428&lt;&gt;"", YEARFRAC(C428, E428) * 12, "")</f>
        <v/>
      </c>
      <c r="J428" s="2">
        <f>IF(I428="", "", IF(OR(AND(A428="Listed Equity Shares", I428&gt;12), AND(A428="Unlisted Equity Shares", I428&gt;24)), "Long Term", "Short Term"))</f>
        <v/>
      </c>
      <c r="K428" s="5">
        <f>IF(J428="", "", IF(J428="Long Term", 12.5%,"as per slab"))</f>
        <v/>
      </c>
      <c r="L428" s="3">
        <f>+IFERROR(IF(J428="","",H428*K428),"as per slab")</f>
        <v/>
      </c>
    </row>
    <row r="429">
      <c r="A429" s="7" t="n"/>
      <c r="B429" s="7" t="n"/>
      <c r="C429" s="8" t="n"/>
      <c r="D429" s="9" t="n"/>
      <c r="E429" s="8" t="n"/>
      <c r="F429" s="9" t="n"/>
      <c r="G429" s="9" t="n"/>
      <c r="H429" s="3">
        <f>IF(AND(D429&lt;&gt;"",F429&lt;&gt;""),F429-D429-G429,"")</f>
        <v/>
      </c>
      <c r="I429" s="14">
        <f>IF(E429&lt;&gt;"", YEARFRAC(C429, E429) * 12, "")</f>
        <v/>
      </c>
      <c r="J429" s="2">
        <f>IF(I429="", "", IF(OR(AND(A429="Listed Equity Shares", I429&gt;12), AND(A429="Unlisted Equity Shares", I429&gt;24)), "Long Term", "Short Term"))</f>
        <v/>
      </c>
      <c r="K429" s="5">
        <f>IF(J429="", "", IF(J429="Long Term", 12.5%,"as per slab"))</f>
        <v/>
      </c>
      <c r="L429" s="3">
        <f>+IFERROR(IF(J429="","",H429*K429),"as per slab")</f>
        <v/>
      </c>
    </row>
    <row r="430">
      <c r="A430" s="7" t="n"/>
      <c r="B430" s="7" t="n"/>
      <c r="C430" s="8" t="n"/>
      <c r="D430" s="9" t="n"/>
      <c r="E430" s="8" t="n"/>
      <c r="F430" s="9" t="n"/>
      <c r="G430" s="9" t="n"/>
      <c r="H430" s="3">
        <f>IF(AND(D430&lt;&gt;"",F430&lt;&gt;""),F430-D430-G430,"")</f>
        <v/>
      </c>
      <c r="I430" s="14">
        <f>IF(E430&lt;&gt;"", YEARFRAC(C430, E430) * 12, "")</f>
        <v/>
      </c>
      <c r="J430" s="2">
        <f>IF(I430="", "", IF(OR(AND(A430="Listed Equity Shares", I430&gt;12), AND(A430="Unlisted Equity Shares", I430&gt;24)), "Long Term", "Short Term"))</f>
        <v/>
      </c>
      <c r="K430" s="5">
        <f>IF(J430="", "", IF(J430="Long Term", 12.5%,"as per slab"))</f>
        <v/>
      </c>
      <c r="L430" s="3">
        <f>+IFERROR(IF(J430="","",H430*K430),"as per slab")</f>
        <v/>
      </c>
    </row>
    <row r="431">
      <c r="A431" s="7" t="n"/>
      <c r="B431" s="7" t="n"/>
      <c r="C431" s="8" t="n"/>
      <c r="D431" s="9" t="n"/>
      <c r="E431" s="8" t="n"/>
      <c r="F431" s="9" t="n"/>
      <c r="G431" s="9" t="n"/>
      <c r="H431" s="3">
        <f>IF(AND(D431&lt;&gt;"",F431&lt;&gt;""),F431-D431-G431,"")</f>
        <v/>
      </c>
      <c r="I431" s="14">
        <f>IF(E431&lt;&gt;"", YEARFRAC(C431, E431) * 12, "")</f>
        <v/>
      </c>
      <c r="J431" s="2">
        <f>IF(I431="", "", IF(OR(AND(A431="Listed Equity Shares", I431&gt;12), AND(A431="Unlisted Equity Shares", I431&gt;24)), "Long Term", "Short Term"))</f>
        <v/>
      </c>
      <c r="K431" s="5">
        <f>IF(J431="", "", IF(J431="Long Term", 12.5%,"as per slab"))</f>
        <v/>
      </c>
      <c r="L431" s="3">
        <f>+IFERROR(IF(J431="","",H431*K431),"as per slab")</f>
        <v/>
      </c>
    </row>
    <row r="432">
      <c r="A432" s="7" t="n"/>
      <c r="B432" s="7" t="n"/>
      <c r="C432" s="8" t="n"/>
      <c r="D432" s="9" t="n"/>
      <c r="E432" s="8" t="n"/>
      <c r="F432" s="9" t="n"/>
      <c r="G432" s="9" t="n"/>
      <c r="H432" s="3">
        <f>IF(AND(D432&lt;&gt;"",F432&lt;&gt;""),F432-D432-G432,"")</f>
        <v/>
      </c>
      <c r="I432" s="14">
        <f>IF(E432&lt;&gt;"", YEARFRAC(C432, E432) * 12, "")</f>
        <v/>
      </c>
      <c r="J432" s="2">
        <f>IF(I432="", "", IF(OR(AND(A432="Listed Equity Shares", I432&gt;12), AND(A432="Unlisted Equity Shares", I432&gt;24)), "Long Term", "Short Term"))</f>
        <v/>
      </c>
      <c r="K432" s="5">
        <f>IF(J432="", "", IF(J432="Long Term", 12.5%,"as per slab"))</f>
        <v/>
      </c>
      <c r="L432" s="3">
        <f>+IFERROR(IF(J432="","",H432*K432),"as per slab")</f>
        <v/>
      </c>
    </row>
    <row r="433">
      <c r="A433" s="7" t="n"/>
      <c r="B433" s="7" t="n"/>
      <c r="C433" s="8" t="n"/>
      <c r="D433" s="9" t="n"/>
      <c r="E433" s="8" t="n"/>
      <c r="F433" s="9" t="n"/>
      <c r="G433" s="9" t="n"/>
      <c r="H433" s="3">
        <f>IF(AND(D433&lt;&gt;"",F433&lt;&gt;""),F433-D433-G433,"")</f>
        <v/>
      </c>
      <c r="I433" s="14">
        <f>IF(E433&lt;&gt;"", YEARFRAC(C433, E433) * 12, "")</f>
        <v/>
      </c>
      <c r="J433" s="2">
        <f>IF(I433="", "", IF(OR(AND(A433="Listed Equity Shares", I433&gt;12), AND(A433="Unlisted Equity Shares", I433&gt;24)), "Long Term", "Short Term"))</f>
        <v/>
      </c>
      <c r="K433" s="5">
        <f>IF(J433="", "", IF(J433="Long Term", 12.5%,"as per slab"))</f>
        <v/>
      </c>
      <c r="L433" s="3">
        <f>+IFERROR(IF(J433="","",H433*K433),"as per slab")</f>
        <v/>
      </c>
    </row>
    <row r="434">
      <c r="A434" s="7" t="n"/>
      <c r="B434" s="7" t="n"/>
      <c r="C434" s="8" t="n"/>
      <c r="D434" s="9" t="n"/>
      <c r="E434" s="8" t="n"/>
      <c r="F434" s="9" t="n"/>
      <c r="G434" s="9" t="n"/>
      <c r="H434" s="3">
        <f>IF(AND(D434&lt;&gt;"",F434&lt;&gt;""),F434-D434-G434,"")</f>
        <v/>
      </c>
      <c r="I434" s="14">
        <f>IF(E434&lt;&gt;"", YEARFRAC(C434, E434) * 12, "")</f>
        <v/>
      </c>
      <c r="J434" s="2">
        <f>IF(I434="", "", IF(OR(AND(A434="Listed Equity Shares", I434&gt;12), AND(A434="Unlisted Equity Shares", I434&gt;24)), "Long Term", "Short Term"))</f>
        <v/>
      </c>
      <c r="K434" s="5">
        <f>IF(J434="", "", IF(J434="Long Term", 12.5%,"as per slab"))</f>
        <v/>
      </c>
      <c r="L434" s="3">
        <f>+IFERROR(IF(J434="","",H434*K434),"as per slab")</f>
        <v/>
      </c>
    </row>
    <row r="435">
      <c r="A435" s="7" t="n"/>
      <c r="B435" s="7" t="n"/>
      <c r="C435" s="8" t="n"/>
      <c r="D435" s="9" t="n"/>
      <c r="E435" s="8" t="n"/>
      <c r="F435" s="9" t="n"/>
      <c r="G435" s="9" t="n"/>
      <c r="H435" s="3">
        <f>IF(AND(D435&lt;&gt;"",F435&lt;&gt;""),F435-D435-G435,"")</f>
        <v/>
      </c>
      <c r="I435" s="14">
        <f>IF(E435&lt;&gt;"", YEARFRAC(C435, E435) * 12, "")</f>
        <v/>
      </c>
      <c r="J435" s="2">
        <f>IF(I435="", "", IF(OR(AND(A435="Listed Equity Shares", I435&gt;12), AND(A435="Unlisted Equity Shares", I435&gt;24)), "Long Term", "Short Term"))</f>
        <v/>
      </c>
      <c r="K435" s="5">
        <f>IF(J435="", "", IF(J435="Long Term", 12.5%,"as per slab"))</f>
        <v/>
      </c>
      <c r="L435" s="3">
        <f>+IFERROR(IF(J435="","",H435*K435),"as per slab")</f>
        <v/>
      </c>
    </row>
    <row r="436">
      <c r="A436" s="7" t="n"/>
      <c r="B436" s="7" t="n"/>
      <c r="C436" s="8" t="n"/>
      <c r="D436" s="9" t="n"/>
      <c r="E436" s="8" t="n"/>
      <c r="F436" s="9" t="n"/>
      <c r="G436" s="9" t="n"/>
      <c r="H436" s="3">
        <f>IF(AND(D436&lt;&gt;"",F436&lt;&gt;""),F436-D436-G436,"")</f>
        <v/>
      </c>
      <c r="I436" s="14">
        <f>IF(E436&lt;&gt;"", YEARFRAC(C436, E436) * 12, "")</f>
        <v/>
      </c>
      <c r="J436" s="2">
        <f>IF(I436="", "", IF(OR(AND(A436="Listed Equity Shares", I436&gt;12), AND(A436="Unlisted Equity Shares", I436&gt;24)), "Long Term", "Short Term"))</f>
        <v/>
      </c>
      <c r="K436" s="5">
        <f>IF(J436="", "", IF(J436="Long Term", 12.5%,"as per slab"))</f>
        <v/>
      </c>
      <c r="L436" s="3">
        <f>+IFERROR(IF(J436="","",H436*K436),"as per slab")</f>
        <v/>
      </c>
    </row>
    <row r="437">
      <c r="A437" s="7" t="n"/>
      <c r="B437" s="7" t="n"/>
      <c r="C437" s="8" t="n"/>
      <c r="D437" s="9" t="n"/>
      <c r="E437" s="8" t="n"/>
      <c r="F437" s="9" t="n"/>
      <c r="G437" s="9" t="n"/>
      <c r="H437" s="3">
        <f>IF(AND(D437&lt;&gt;"",F437&lt;&gt;""),F437-D437-G437,"")</f>
        <v/>
      </c>
      <c r="I437" s="14">
        <f>IF(E437&lt;&gt;"", YEARFRAC(C437, E437) * 12, "")</f>
        <v/>
      </c>
      <c r="J437" s="2">
        <f>IF(I437="", "", IF(OR(AND(A437="Listed Equity Shares", I437&gt;12), AND(A437="Unlisted Equity Shares", I437&gt;24)), "Long Term", "Short Term"))</f>
        <v/>
      </c>
      <c r="K437" s="5">
        <f>IF(J437="", "", IF(J437="Long Term", 12.5%,"as per slab"))</f>
        <v/>
      </c>
      <c r="L437" s="3">
        <f>+IFERROR(IF(J437="","",H437*K437),"as per slab")</f>
        <v/>
      </c>
    </row>
    <row r="438">
      <c r="A438" s="7" t="n"/>
      <c r="B438" s="7" t="n"/>
      <c r="C438" s="8" t="n"/>
      <c r="D438" s="9" t="n"/>
      <c r="E438" s="8" t="n"/>
      <c r="F438" s="9" t="n"/>
      <c r="G438" s="9" t="n"/>
      <c r="H438" s="3">
        <f>IF(AND(D438&lt;&gt;"",F438&lt;&gt;""),F438-D438-G438,"")</f>
        <v/>
      </c>
      <c r="I438" s="14">
        <f>IF(E438&lt;&gt;"", YEARFRAC(C438, E438) * 12, "")</f>
        <v/>
      </c>
      <c r="J438" s="2">
        <f>IF(I438="", "", IF(OR(AND(A438="Listed Equity Shares", I438&gt;12), AND(A438="Unlisted Equity Shares", I438&gt;24)), "Long Term", "Short Term"))</f>
        <v/>
      </c>
      <c r="K438" s="5">
        <f>IF(J438="", "", IF(J438="Long Term", 12.5%,"as per slab"))</f>
        <v/>
      </c>
      <c r="L438" s="3">
        <f>+IFERROR(IF(J438="","",H438*K438),"as per slab")</f>
        <v/>
      </c>
    </row>
    <row r="439">
      <c r="A439" s="7" t="n"/>
      <c r="B439" s="7" t="n"/>
      <c r="C439" s="8" t="n"/>
      <c r="D439" s="9" t="n"/>
      <c r="E439" s="8" t="n"/>
      <c r="F439" s="9" t="n"/>
      <c r="G439" s="9" t="n"/>
      <c r="H439" s="3">
        <f>IF(AND(D439&lt;&gt;"",F439&lt;&gt;""),F439-D439-G439,"")</f>
        <v/>
      </c>
      <c r="I439" s="14">
        <f>IF(E439&lt;&gt;"", YEARFRAC(C439, E439) * 12, "")</f>
        <v/>
      </c>
      <c r="J439" s="2">
        <f>IF(I439="", "", IF(OR(AND(A439="Listed Equity Shares", I439&gt;12), AND(A439="Unlisted Equity Shares", I439&gt;24)), "Long Term", "Short Term"))</f>
        <v/>
      </c>
      <c r="K439" s="5">
        <f>IF(J439="", "", IF(J439="Long Term", 12.5%,"as per slab"))</f>
        <v/>
      </c>
      <c r="L439" s="3">
        <f>+IFERROR(IF(J439="","",H439*K439),"as per slab")</f>
        <v/>
      </c>
    </row>
    <row r="440">
      <c r="A440" s="7" t="n"/>
      <c r="B440" s="7" t="n"/>
      <c r="C440" s="8" t="n"/>
      <c r="D440" s="9" t="n"/>
      <c r="E440" s="8" t="n"/>
      <c r="F440" s="9" t="n"/>
      <c r="G440" s="9" t="n"/>
      <c r="H440" s="3">
        <f>IF(AND(D440&lt;&gt;"",F440&lt;&gt;""),F440-D440-G440,"")</f>
        <v/>
      </c>
      <c r="I440" s="14">
        <f>IF(E440&lt;&gt;"", YEARFRAC(C440, E440) * 12, "")</f>
        <v/>
      </c>
      <c r="J440" s="2">
        <f>IF(I440="", "", IF(OR(AND(A440="Listed Equity Shares", I440&gt;12), AND(A440="Unlisted Equity Shares", I440&gt;24)), "Long Term", "Short Term"))</f>
        <v/>
      </c>
      <c r="K440" s="5">
        <f>IF(J440="", "", IF(J440="Long Term", 12.5%,"as per slab"))</f>
        <v/>
      </c>
      <c r="L440" s="3">
        <f>+IFERROR(IF(J440="","",H440*K440),"as per slab")</f>
        <v/>
      </c>
    </row>
    <row r="441">
      <c r="A441" s="7" t="n"/>
      <c r="B441" s="7" t="n"/>
      <c r="C441" s="8" t="n"/>
      <c r="D441" s="9" t="n"/>
      <c r="E441" s="8" t="n"/>
      <c r="F441" s="9" t="n"/>
      <c r="G441" s="9" t="n"/>
      <c r="H441" s="3">
        <f>IF(AND(D441&lt;&gt;"",F441&lt;&gt;""),F441-D441-G441,"")</f>
        <v/>
      </c>
      <c r="I441" s="14">
        <f>IF(E441&lt;&gt;"", YEARFRAC(C441, E441) * 12, "")</f>
        <v/>
      </c>
      <c r="J441" s="2">
        <f>IF(I441="", "", IF(OR(AND(A441="Listed Equity Shares", I441&gt;12), AND(A441="Unlisted Equity Shares", I441&gt;24)), "Long Term", "Short Term"))</f>
        <v/>
      </c>
      <c r="K441" s="5">
        <f>IF(J441="", "", IF(J441="Long Term", 12.5%,"as per slab"))</f>
        <v/>
      </c>
      <c r="L441" s="3">
        <f>+IFERROR(IF(J441="","",H441*K441),"as per slab")</f>
        <v/>
      </c>
    </row>
    <row r="442">
      <c r="A442" s="7" t="n"/>
      <c r="B442" s="7" t="n"/>
      <c r="C442" s="8" t="n"/>
      <c r="D442" s="9" t="n"/>
      <c r="E442" s="8" t="n"/>
      <c r="F442" s="9" t="n"/>
      <c r="G442" s="9" t="n"/>
      <c r="H442" s="3">
        <f>IF(AND(D442&lt;&gt;"",F442&lt;&gt;""),F442-D442-G442,"")</f>
        <v/>
      </c>
      <c r="I442" s="14">
        <f>IF(E442&lt;&gt;"", YEARFRAC(C442, E442) * 12, "")</f>
        <v/>
      </c>
      <c r="J442" s="2">
        <f>IF(I442="", "", IF(OR(AND(A442="Listed Equity Shares", I442&gt;12), AND(A442="Unlisted Equity Shares", I442&gt;24)), "Long Term", "Short Term"))</f>
        <v/>
      </c>
      <c r="K442" s="5">
        <f>IF(J442="", "", IF(J442="Long Term", 12.5%,"as per slab"))</f>
        <v/>
      </c>
      <c r="L442" s="3">
        <f>+IFERROR(IF(J442="","",H442*K442),"as per slab")</f>
        <v/>
      </c>
    </row>
    <row r="443">
      <c r="A443" s="7" t="n"/>
      <c r="B443" s="7" t="n"/>
      <c r="C443" s="8" t="n"/>
      <c r="D443" s="9" t="n"/>
      <c r="E443" s="8" t="n"/>
      <c r="F443" s="9" t="n"/>
      <c r="G443" s="9" t="n"/>
      <c r="H443" s="3">
        <f>IF(AND(D443&lt;&gt;"",F443&lt;&gt;""),F443-D443-G443,"")</f>
        <v/>
      </c>
      <c r="I443" s="14">
        <f>IF(E443&lt;&gt;"", YEARFRAC(C443, E443) * 12, "")</f>
        <v/>
      </c>
      <c r="J443" s="2">
        <f>IF(I443="", "", IF(OR(AND(A443="Listed Equity Shares", I443&gt;12), AND(A443="Unlisted Equity Shares", I443&gt;24)), "Long Term", "Short Term"))</f>
        <v/>
      </c>
      <c r="K443" s="5">
        <f>IF(J443="", "", IF(J443="Long Term", 12.5%,"as per slab"))</f>
        <v/>
      </c>
      <c r="L443" s="3">
        <f>+IFERROR(IF(J443="","",H443*K443),"as per slab")</f>
        <v/>
      </c>
    </row>
    <row r="444">
      <c r="A444" s="7" t="n"/>
      <c r="B444" s="7" t="n"/>
      <c r="C444" s="8" t="n"/>
      <c r="D444" s="9" t="n"/>
      <c r="E444" s="8" t="n"/>
      <c r="F444" s="9" t="n"/>
      <c r="G444" s="9" t="n"/>
      <c r="H444" s="3">
        <f>IF(AND(D444&lt;&gt;"",F444&lt;&gt;""),F444-D444-G444,"")</f>
        <v/>
      </c>
      <c r="I444" s="14">
        <f>IF(E444&lt;&gt;"", YEARFRAC(C444, E444) * 12, "")</f>
        <v/>
      </c>
      <c r="J444" s="2">
        <f>IF(I444="", "", IF(OR(AND(A444="Listed Equity Shares", I444&gt;12), AND(A444="Unlisted Equity Shares", I444&gt;24)), "Long Term", "Short Term"))</f>
        <v/>
      </c>
      <c r="K444" s="5">
        <f>IF(J444="", "", IF(J444="Long Term", 12.5%,"as per slab"))</f>
        <v/>
      </c>
      <c r="L444" s="3">
        <f>+IFERROR(IF(J444="","",H444*K444),"as per slab")</f>
        <v/>
      </c>
    </row>
    <row r="445">
      <c r="A445" s="7" t="n"/>
      <c r="B445" s="7" t="n"/>
      <c r="C445" s="8" t="n"/>
      <c r="D445" s="9" t="n"/>
      <c r="E445" s="8" t="n"/>
      <c r="F445" s="9" t="n"/>
      <c r="G445" s="9" t="n"/>
      <c r="H445" s="3">
        <f>IF(AND(D445&lt;&gt;"",F445&lt;&gt;""),F445-D445-G445,"")</f>
        <v/>
      </c>
      <c r="I445" s="14">
        <f>IF(E445&lt;&gt;"", YEARFRAC(C445, E445) * 12, "")</f>
        <v/>
      </c>
      <c r="J445" s="2">
        <f>IF(I445="", "", IF(OR(AND(A445="Listed Equity Shares", I445&gt;12), AND(A445="Unlisted Equity Shares", I445&gt;24)), "Long Term", "Short Term"))</f>
        <v/>
      </c>
      <c r="K445" s="5">
        <f>IF(J445="", "", IF(J445="Long Term", 12.5%,"as per slab"))</f>
        <v/>
      </c>
      <c r="L445" s="3">
        <f>+IFERROR(IF(J445="","",H445*K445),"as per slab")</f>
        <v/>
      </c>
    </row>
    <row r="446">
      <c r="A446" s="7" t="n"/>
      <c r="B446" s="7" t="n"/>
      <c r="C446" s="8" t="n"/>
      <c r="D446" s="9" t="n"/>
      <c r="E446" s="8" t="n"/>
      <c r="F446" s="9" t="n"/>
      <c r="G446" s="9" t="n"/>
      <c r="H446" s="3">
        <f>IF(AND(D446&lt;&gt;"",F446&lt;&gt;""),F446-D446-G446,"")</f>
        <v/>
      </c>
      <c r="I446" s="14">
        <f>IF(E446&lt;&gt;"", YEARFRAC(C446, E446) * 12, "")</f>
        <v/>
      </c>
      <c r="J446" s="2">
        <f>IF(I446="", "", IF(OR(AND(A446="Listed Equity Shares", I446&gt;12), AND(A446="Unlisted Equity Shares", I446&gt;24)), "Long Term", "Short Term"))</f>
        <v/>
      </c>
      <c r="K446" s="5">
        <f>IF(J446="", "", IF(J446="Long Term", 12.5%,"as per slab"))</f>
        <v/>
      </c>
      <c r="L446" s="3">
        <f>+IFERROR(IF(J446="","",H446*K446),"as per slab")</f>
        <v/>
      </c>
    </row>
    <row r="447">
      <c r="A447" s="7" t="n"/>
      <c r="B447" s="7" t="n"/>
      <c r="C447" s="8" t="n"/>
      <c r="D447" s="9" t="n"/>
      <c r="E447" s="8" t="n"/>
      <c r="F447" s="9" t="n"/>
      <c r="G447" s="9" t="n"/>
      <c r="H447" s="3">
        <f>IF(AND(D447&lt;&gt;"",F447&lt;&gt;""),F447-D447-G447,"")</f>
        <v/>
      </c>
      <c r="I447" s="14">
        <f>IF(E447&lt;&gt;"", YEARFRAC(C447, E447) * 12, "")</f>
        <v/>
      </c>
      <c r="J447" s="2">
        <f>IF(I447="", "", IF(OR(AND(A447="Listed Equity Shares", I447&gt;12), AND(A447="Unlisted Equity Shares", I447&gt;24)), "Long Term", "Short Term"))</f>
        <v/>
      </c>
      <c r="K447" s="5">
        <f>IF(J447="", "", IF(J447="Long Term", 12.5%,"as per slab"))</f>
        <v/>
      </c>
      <c r="L447" s="3">
        <f>+IFERROR(IF(J447="","",H447*K447),"as per slab")</f>
        <v/>
      </c>
    </row>
    <row r="448">
      <c r="A448" s="7" t="n"/>
      <c r="B448" s="7" t="n"/>
      <c r="C448" s="8" t="n"/>
      <c r="D448" s="9" t="n"/>
      <c r="E448" s="8" t="n"/>
      <c r="F448" s="9" t="n"/>
      <c r="G448" s="9" t="n"/>
      <c r="H448" s="3">
        <f>IF(AND(D448&lt;&gt;"",F448&lt;&gt;""),F448-D448-G448,"")</f>
        <v/>
      </c>
      <c r="I448" s="14">
        <f>IF(E448&lt;&gt;"", YEARFRAC(C448, E448) * 12, "")</f>
        <v/>
      </c>
      <c r="J448" s="2">
        <f>IF(I448="", "", IF(OR(AND(A448="Listed Equity Shares", I448&gt;12), AND(A448="Unlisted Equity Shares", I448&gt;24)), "Long Term", "Short Term"))</f>
        <v/>
      </c>
      <c r="K448" s="5">
        <f>IF(J448="", "", IF(J448="Long Term", 12.5%,"as per slab"))</f>
        <v/>
      </c>
      <c r="L448" s="3">
        <f>+IFERROR(IF(J448="","",H448*K448),"as per slab")</f>
        <v/>
      </c>
    </row>
    <row r="449">
      <c r="A449" s="7" t="n"/>
      <c r="B449" s="7" t="n"/>
      <c r="C449" s="8" t="n"/>
      <c r="D449" s="9" t="n"/>
      <c r="E449" s="8" t="n"/>
      <c r="F449" s="9" t="n"/>
      <c r="G449" s="9" t="n"/>
      <c r="H449" s="3">
        <f>IF(AND(D449&lt;&gt;"",F449&lt;&gt;""),F449-D449-G449,"")</f>
        <v/>
      </c>
      <c r="I449" s="14">
        <f>IF(E449&lt;&gt;"", YEARFRAC(C449, E449) * 12, "")</f>
        <v/>
      </c>
      <c r="J449" s="2">
        <f>IF(I449="", "", IF(OR(AND(A449="Listed Equity Shares", I449&gt;12), AND(A449="Unlisted Equity Shares", I449&gt;24)), "Long Term", "Short Term"))</f>
        <v/>
      </c>
      <c r="K449" s="5">
        <f>IF(J449="", "", IF(J449="Long Term", 12.5%,"as per slab"))</f>
        <v/>
      </c>
      <c r="L449" s="3">
        <f>+IFERROR(IF(J449="","",H449*K449),"as per slab")</f>
        <v/>
      </c>
    </row>
    <row r="450">
      <c r="A450" s="7" t="n"/>
      <c r="B450" s="7" t="n"/>
      <c r="C450" s="8" t="n"/>
      <c r="D450" s="9" t="n"/>
      <c r="E450" s="8" t="n"/>
      <c r="F450" s="9" t="n"/>
      <c r="G450" s="9" t="n"/>
      <c r="H450" s="3">
        <f>IF(AND(D450&lt;&gt;"",F450&lt;&gt;""),F450-D450-G450,"")</f>
        <v/>
      </c>
      <c r="I450" s="14">
        <f>IF(E450&lt;&gt;"", YEARFRAC(C450, E450) * 12, "")</f>
        <v/>
      </c>
      <c r="J450" s="2">
        <f>IF(I450="", "", IF(OR(AND(A450="Listed Equity Shares", I450&gt;12), AND(A450="Unlisted Equity Shares", I450&gt;24)), "Long Term", "Short Term"))</f>
        <v/>
      </c>
      <c r="K450" s="5">
        <f>IF(J450="", "", IF(J450="Long Term", 12.5%,"as per slab"))</f>
        <v/>
      </c>
      <c r="L450" s="3">
        <f>+IFERROR(IF(J450="","",H450*K450),"as per slab")</f>
        <v/>
      </c>
    </row>
    <row r="451">
      <c r="A451" s="7" t="n"/>
      <c r="B451" s="7" t="n"/>
      <c r="C451" s="8" t="n"/>
      <c r="D451" s="9" t="n"/>
      <c r="E451" s="8" t="n"/>
      <c r="F451" s="9" t="n"/>
      <c r="G451" s="9" t="n"/>
      <c r="H451" s="3">
        <f>IF(AND(D451&lt;&gt;"",F451&lt;&gt;""),F451-D451-G451,"")</f>
        <v/>
      </c>
      <c r="I451" s="14">
        <f>IF(E451&lt;&gt;"", YEARFRAC(C451, E451) * 12, "")</f>
        <v/>
      </c>
      <c r="J451" s="2">
        <f>IF(I451="", "", IF(OR(AND(A451="Listed Equity Shares", I451&gt;12), AND(A451="Unlisted Equity Shares", I451&gt;24)), "Long Term", "Short Term"))</f>
        <v/>
      </c>
      <c r="K451" s="5">
        <f>IF(J451="", "", IF(J451="Long Term", 12.5%,"as per slab"))</f>
        <v/>
      </c>
      <c r="L451" s="3">
        <f>+IFERROR(IF(J451="","",H451*K451),"as per slab")</f>
        <v/>
      </c>
    </row>
    <row r="452">
      <c r="A452" s="7" t="n"/>
      <c r="B452" s="7" t="n"/>
      <c r="C452" s="8" t="n"/>
      <c r="D452" s="9" t="n"/>
      <c r="E452" s="8" t="n"/>
      <c r="F452" s="9" t="n"/>
      <c r="G452" s="9" t="n"/>
      <c r="H452" s="3">
        <f>IF(AND(D452&lt;&gt;"",F452&lt;&gt;""),F452-D452-G452,"")</f>
        <v/>
      </c>
      <c r="I452" s="14">
        <f>IF(E452&lt;&gt;"", YEARFRAC(C452, E452) * 12, "")</f>
        <v/>
      </c>
      <c r="J452" s="2">
        <f>IF(I452="", "", IF(OR(AND(A452="Listed Equity Shares", I452&gt;12), AND(A452="Unlisted Equity Shares", I452&gt;24)), "Long Term", "Short Term"))</f>
        <v/>
      </c>
      <c r="K452" s="5">
        <f>IF(J452="", "", IF(J452="Long Term", 12.5%,"as per slab"))</f>
        <v/>
      </c>
      <c r="L452" s="3">
        <f>+IFERROR(IF(J452="","",H452*K452),"as per slab")</f>
        <v/>
      </c>
    </row>
    <row r="453">
      <c r="A453" s="7" t="n"/>
      <c r="B453" s="7" t="n"/>
      <c r="C453" s="8" t="n"/>
      <c r="D453" s="9" t="n"/>
      <c r="E453" s="8" t="n"/>
      <c r="F453" s="9" t="n"/>
      <c r="G453" s="9" t="n"/>
      <c r="H453" s="3">
        <f>IF(AND(D453&lt;&gt;"",F453&lt;&gt;""),F453-D453-G453,"")</f>
        <v/>
      </c>
      <c r="I453" s="14">
        <f>IF(E453&lt;&gt;"", YEARFRAC(C453, E453) * 12, "")</f>
        <v/>
      </c>
      <c r="J453" s="2">
        <f>IF(I453="", "", IF(OR(AND(A453="Listed Equity Shares", I453&gt;12), AND(A453="Unlisted Equity Shares", I453&gt;24)), "Long Term", "Short Term"))</f>
        <v/>
      </c>
      <c r="K453" s="5">
        <f>IF(J453="", "", IF(J453="Long Term", 12.5%,"as per slab"))</f>
        <v/>
      </c>
      <c r="L453" s="3">
        <f>+IFERROR(IF(J453="","",H453*K453),"as per slab")</f>
        <v/>
      </c>
    </row>
    <row r="454">
      <c r="A454" s="7" t="n"/>
      <c r="B454" s="7" t="n"/>
      <c r="C454" s="8" t="n"/>
      <c r="D454" s="9" t="n"/>
      <c r="E454" s="8" t="n"/>
      <c r="F454" s="9" t="n"/>
      <c r="G454" s="9" t="n"/>
      <c r="H454" s="3">
        <f>IF(AND(D454&lt;&gt;"",F454&lt;&gt;""),F454-D454-G454,"")</f>
        <v/>
      </c>
      <c r="I454" s="14">
        <f>IF(E454&lt;&gt;"", YEARFRAC(C454, E454) * 12, "")</f>
        <v/>
      </c>
      <c r="J454" s="2">
        <f>IF(I454="", "", IF(OR(AND(A454="Listed Equity Shares", I454&gt;12), AND(A454="Unlisted Equity Shares", I454&gt;24)), "Long Term", "Short Term"))</f>
        <v/>
      </c>
      <c r="K454" s="5">
        <f>IF(J454="", "", IF(J454="Long Term", 12.5%,"as per slab"))</f>
        <v/>
      </c>
      <c r="L454" s="3">
        <f>+IFERROR(IF(J454="","",H454*K454),"as per slab")</f>
        <v/>
      </c>
    </row>
    <row r="455">
      <c r="A455" s="7" t="n"/>
      <c r="B455" s="7" t="n"/>
      <c r="C455" s="8" t="n"/>
      <c r="D455" s="9" t="n"/>
      <c r="E455" s="8" t="n"/>
      <c r="F455" s="9" t="n"/>
      <c r="G455" s="9" t="n"/>
      <c r="H455" s="3">
        <f>IF(AND(D455&lt;&gt;"",F455&lt;&gt;""),F455-D455-G455,"")</f>
        <v/>
      </c>
      <c r="I455" s="14">
        <f>IF(E455&lt;&gt;"", YEARFRAC(C455, E455) * 12, "")</f>
        <v/>
      </c>
      <c r="J455" s="2">
        <f>IF(I455="", "", IF(OR(AND(A455="Listed Equity Shares", I455&gt;12), AND(A455="Unlisted Equity Shares", I455&gt;24)), "Long Term", "Short Term"))</f>
        <v/>
      </c>
      <c r="K455" s="5">
        <f>IF(J455="", "", IF(J455="Long Term", 12.5%,"as per slab"))</f>
        <v/>
      </c>
      <c r="L455" s="3">
        <f>+IFERROR(IF(J455="","",H455*K455),"as per slab")</f>
        <v/>
      </c>
    </row>
    <row r="456">
      <c r="A456" s="7" t="n"/>
      <c r="B456" s="7" t="n"/>
      <c r="C456" s="8" t="n"/>
      <c r="D456" s="9" t="n"/>
      <c r="E456" s="8" t="n"/>
      <c r="F456" s="9" t="n"/>
      <c r="G456" s="9" t="n"/>
      <c r="H456" s="3">
        <f>IF(AND(D456&lt;&gt;"",F456&lt;&gt;""),F456-D456-G456,"")</f>
        <v/>
      </c>
      <c r="I456" s="14">
        <f>IF(E456&lt;&gt;"", YEARFRAC(C456, E456) * 12, "")</f>
        <v/>
      </c>
      <c r="J456" s="2">
        <f>IF(I456="", "", IF(OR(AND(A456="Listed Equity Shares", I456&gt;12), AND(A456="Unlisted Equity Shares", I456&gt;24)), "Long Term", "Short Term"))</f>
        <v/>
      </c>
      <c r="K456" s="5">
        <f>IF(J456="", "", IF(J456="Long Term", 12.5%,"as per slab"))</f>
        <v/>
      </c>
      <c r="L456" s="3">
        <f>+IFERROR(IF(J456="","",H456*K456),"as per slab")</f>
        <v/>
      </c>
    </row>
    <row r="457">
      <c r="A457" s="7" t="n"/>
      <c r="B457" s="7" t="n"/>
      <c r="C457" s="8" t="n"/>
      <c r="D457" s="9" t="n"/>
      <c r="E457" s="8" t="n"/>
      <c r="F457" s="9" t="n"/>
      <c r="G457" s="9" t="n"/>
      <c r="H457" s="3">
        <f>IF(AND(D457&lt;&gt;"",F457&lt;&gt;""),F457-D457-G457,"")</f>
        <v/>
      </c>
      <c r="I457" s="14">
        <f>IF(E457&lt;&gt;"", YEARFRAC(C457, E457) * 12, "")</f>
        <v/>
      </c>
      <c r="J457" s="2">
        <f>IF(I457="", "", IF(OR(AND(A457="Listed Equity Shares", I457&gt;12), AND(A457="Unlisted Equity Shares", I457&gt;24)), "Long Term", "Short Term"))</f>
        <v/>
      </c>
      <c r="K457" s="5">
        <f>IF(J457="", "", IF(J457="Long Term", 12.5%,"as per slab"))</f>
        <v/>
      </c>
      <c r="L457" s="3">
        <f>+IFERROR(IF(J457="","",H457*K457),"as per slab")</f>
        <v/>
      </c>
    </row>
    <row r="458">
      <c r="A458" s="7" t="n"/>
      <c r="B458" s="7" t="n"/>
      <c r="C458" s="8" t="n"/>
      <c r="D458" s="9" t="n"/>
      <c r="E458" s="8" t="n"/>
      <c r="F458" s="9" t="n"/>
      <c r="G458" s="9" t="n"/>
      <c r="H458" s="3">
        <f>IF(AND(D458&lt;&gt;"",F458&lt;&gt;""),F458-D458-G458,"")</f>
        <v/>
      </c>
      <c r="I458" s="14">
        <f>IF(E458&lt;&gt;"", YEARFRAC(C458, E458) * 12, "")</f>
        <v/>
      </c>
      <c r="J458" s="2">
        <f>IF(I458="", "", IF(OR(AND(A458="Listed Equity Shares", I458&gt;12), AND(A458="Unlisted Equity Shares", I458&gt;24)), "Long Term", "Short Term"))</f>
        <v/>
      </c>
      <c r="K458" s="5">
        <f>IF(J458="", "", IF(J458="Long Term", 12.5%,"as per slab"))</f>
        <v/>
      </c>
      <c r="L458" s="3">
        <f>+IFERROR(IF(J458="","",H458*K458),"as per slab")</f>
        <v/>
      </c>
    </row>
    <row r="459">
      <c r="A459" s="7" t="n"/>
      <c r="B459" s="7" t="n"/>
      <c r="C459" s="8" t="n"/>
      <c r="D459" s="9" t="n"/>
      <c r="E459" s="8" t="n"/>
      <c r="F459" s="9" t="n"/>
      <c r="G459" s="9" t="n"/>
      <c r="H459" s="3">
        <f>IF(AND(D459&lt;&gt;"",F459&lt;&gt;""),F459-D459-G459,"")</f>
        <v/>
      </c>
      <c r="I459" s="14">
        <f>IF(E459&lt;&gt;"", YEARFRAC(C459, E459) * 12, "")</f>
        <v/>
      </c>
      <c r="J459" s="2">
        <f>IF(I459="", "", IF(OR(AND(A459="Listed Equity Shares", I459&gt;12), AND(A459="Unlisted Equity Shares", I459&gt;24)), "Long Term", "Short Term"))</f>
        <v/>
      </c>
      <c r="K459" s="5">
        <f>IF(J459="", "", IF(J459="Long Term", 12.5%,"as per slab"))</f>
        <v/>
      </c>
      <c r="L459" s="3">
        <f>+IFERROR(IF(J459="","",H459*K459),"as per slab")</f>
        <v/>
      </c>
    </row>
    <row r="460">
      <c r="A460" s="7" t="n"/>
      <c r="B460" s="7" t="n"/>
      <c r="C460" s="8" t="n"/>
      <c r="D460" s="9" t="n"/>
      <c r="E460" s="8" t="n"/>
      <c r="F460" s="9" t="n"/>
      <c r="G460" s="9" t="n"/>
      <c r="H460" s="3">
        <f>IF(AND(D460&lt;&gt;"",F460&lt;&gt;""),F460-D460-G460,"")</f>
        <v/>
      </c>
      <c r="I460" s="14">
        <f>IF(E460&lt;&gt;"", YEARFRAC(C460, E460) * 12, "")</f>
        <v/>
      </c>
      <c r="J460" s="2">
        <f>IF(I460="", "", IF(OR(AND(A460="Listed Equity Shares", I460&gt;12), AND(A460="Unlisted Equity Shares", I460&gt;24)), "Long Term", "Short Term"))</f>
        <v/>
      </c>
      <c r="K460" s="5">
        <f>IF(J460="", "", IF(J460="Long Term", 12.5%,"as per slab"))</f>
        <v/>
      </c>
      <c r="L460" s="3">
        <f>+IFERROR(IF(J460="","",H460*K460),"as per slab")</f>
        <v/>
      </c>
    </row>
    <row r="461">
      <c r="A461" s="7" t="n"/>
      <c r="B461" s="7" t="n"/>
      <c r="C461" s="8" t="n"/>
      <c r="D461" s="9" t="n"/>
      <c r="E461" s="8" t="n"/>
      <c r="F461" s="9" t="n"/>
      <c r="G461" s="9" t="n"/>
      <c r="H461" s="3">
        <f>IF(AND(D461&lt;&gt;"",F461&lt;&gt;""),F461-D461-G461,"")</f>
        <v/>
      </c>
      <c r="I461" s="14">
        <f>IF(E461&lt;&gt;"", YEARFRAC(C461, E461) * 12, "")</f>
        <v/>
      </c>
      <c r="J461" s="2">
        <f>IF(I461="", "", IF(OR(AND(A461="Listed Equity Shares", I461&gt;12), AND(A461="Unlisted Equity Shares", I461&gt;24)), "Long Term", "Short Term"))</f>
        <v/>
      </c>
      <c r="K461" s="5">
        <f>IF(J461="", "", IF(J461="Long Term", 12.5%,"as per slab"))</f>
        <v/>
      </c>
      <c r="L461" s="3">
        <f>+IFERROR(IF(J461="","",H461*K461),"as per slab")</f>
        <v/>
      </c>
    </row>
    <row r="462">
      <c r="A462" s="7" t="n"/>
      <c r="B462" s="7" t="n"/>
      <c r="C462" s="8" t="n"/>
      <c r="D462" s="9" t="n"/>
      <c r="E462" s="8" t="n"/>
      <c r="F462" s="9" t="n"/>
      <c r="G462" s="9" t="n"/>
      <c r="H462" s="3">
        <f>IF(AND(D462&lt;&gt;"",F462&lt;&gt;""),F462-D462-G462,"")</f>
        <v/>
      </c>
      <c r="I462" s="14">
        <f>IF(E462&lt;&gt;"", YEARFRAC(C462, E462) * 12, "")</f>
        <v/>
      </c>
      <c r="J462" s="2">
        <f>IF(I462="", "", IF(OR(AND(A462="Listed Equity Shares", I462&gt;12), AND(A462="Unlisted Equity Shares", I462&gt;24)), "Long Term", "Short Term"))</f>
        <v/>
      </c>
      <c r="K462" s="5">
        <f>IF(J462="", "", IF(J462="Long Term", 12.5%,"as per slab"))</f>
        <v/>
      </c>
      <c r="L462" s="3">
        <f>+IFERROR(IF(J462="","",H462*K462),"as per slab")</f>
        <v/>
      </c>
    </row>
    <row r="463">
      <c r="A463" s="7" t="n"/>
      <c r="B463" s="7" t="n"/>
      <c r="C463" s="8" t="n"/>
      <c r="D463" s="9" t="n"/>
      <c r="E463" s="8" t="n"/>
      <c r="F463" s="9" t="n"/>
      <c r="G463" s="9" t="n"/>
      <c r="H463" s="3">
        <f>IF(AND(D463&lt;&gt;"",F463&lt;&gt;""),F463-D463-G463,"")</f>
        <v/>
      </c>
      <c r="I463" s="14">
        <f>IF(E463&lt;&gt;"", YEARFRAC(C463, E463) * 12, "")</f>
        <v/>
      </c>
      <c r="J463" s="2">
        <f>IF(I463="", "", IF(OR(AND(A463="Listed Equity Shares", I463&gt;12), AND(A463="Unlisted Equity Shares", I463&gt;24)), "Long Term", "Short Term"))</f>
        <v/>
      </c>
      <c r="K463" s="5">
        <f>IF(J463="", "", IF(J463="Long Term", 12.5%,"as per slab"))</f>
        <v/>
      </c>
      <c r="L463" s="3">
        <f>+IFERROR(IF(J463="","",H463*K463),"as per slab")</f>
        <v/>
      </c>
    </row>
    <row r="464">
      <c r="A464" s="7" t="n"/>
      <c r="B464" s="7" t="n"/>
      <c r="C464" s="8" t="n"/>
      <c r="D464" s="9" t="n"/>
      <c r="E464" s="8" t="n"/>
      <c r="F464" s="9" t="n"/>
      <c r="G464" s="9" t="n"/>
      <c r="H464" s="3">
        <f>IF(AND(D464&lt;&gt;"",F464&lt;&gt;""),F464-D464-G464,"")</f>
        <v/>
      </c>
      <c r="I464" s="14">
        <f>IF(E464&lt;&gt;"", YEARFRAC(C464, E464) * 12, "")</f>
        <v/>
      </c>
      <c r="J464" s="2">
        <f>IF(I464="", "", IF(OR(AND(A464="Listed Equity Shares", I464&gt;12), AND(A464="Unlisted Equity Shares", I464&gt;24)), "Long Term", "Short Term"))</f>
        <v/>
      </c>
      <c r="K464" s="5">
        <f>IF(J464="", "", IF(J464="Long Term", 12.5%,"as per slab"))</f>
        <v/>
      </c>
      <c r="L464" s="3">
        <f>+IFERROR(IF(J464="","",H464*K464),"as per slab")</f>
        <v/>
      </c>
    </row>
    <row r="465">
      <c r="A465" s="7" t="n"/>
      <c r="B465" s="7" t="n"/>
      <c r="C465" s="8" t="n"/>
      <c r="D465" s="9" t="n"/>
      <c r="E465" s="8" t="n"/>
      <c r="F465" s="9" t="n"/>
      <c r="G465" s="9" t="n"/>
      <c r="H465" s="3">
        <f>IF(AND(D465&lt;&gt;"",F465&lt;&gt;""),F465-D465-G465,"")</f>
        <v/>
      </c>
      <c r="I465" s="14">
        <f>IF(E465&lt;&gt;"", YEARFRAC(C465, E465) * 12, "")</f>
        <v/>
      </c>
      <c r="J465" s="2">
        <f>IF(I465="", "", IF(OR(AND(A465="Listed Equity Shares", I465&gt;12), AND(A465="Unlisted Equity Shares", I465&gt;24)), "Long Term", "Short Term"))</f>
        <v/>
      </c>
      <c r="K465" s="5">
        <f>IF(J465="", "", IF(J465="Long Term", 12.5%,"as per slab"))</f>
        <v/>
      </c>
      <c r="L465" s="3">
        <f>+IFERROR(IF(J465="","",H465*K465),"as per slab")</f>
        <v/>
      </c>
    </row>
    <row r="466">
      <c r="A466" s="7" t="n"/>
      <c r="B466" s="7" t="n"/>
      <c r="C466" s="8" t="n"/>
      <c r="D466" s="9" t="n"/>
      <c r="E466" s="8" t="n"/>
      <c r="F466" s="9" t="n"/>
      <c r="G466" s="9" t="n"/>
      <c r="H466" s="3">
        <f>IF(AND(D466&lt;&gt;"",F466&lt;&gt;""),F466-D466-G466,"")</f>
        <v/>
      </c>
      <c r="I466" s="14">
        <f>IF(E466&lt;&gt;"", YEARFRAC(C466, E466) * 12, "")</f>
        <v/>
      </c>
      <c r="J466" s="2">
        <f>IF(I466="", "", IF(OR(AND(A466="Listed Equity Shares", I466&gt;12), AND(A466="Unlisted Equity Shares", I466&gt;24)), "Long Term", "Short Term"))</f>
        <v/>
      </c>
      <c r="K466" s="5">
        <f>IF(J466="", "", IF(J466="Long Term", 12.5%,"as per slab"))</f>
        <v/>
      </c>
      <c r="L466" s="3">
        <f>+IFERROR(IF(J466="","",H466*K466),"as per slab")</f>
        <v/>
      </c>
    </row>
    <row r="467">
      <c r="A467" s="7" t="n"/>
      <c r="B467" s="7" t="n"/>
      <c r="C467" s="8" t="n"/>
      <c r="D467" s="9" t="n"/>
      <c r="E467" s="8" t="n"/>
      <c r="F467" s="9" t="n"/>
      <c r="G467" s="9" t="n"/>
      <c r="H467" s="3">
        <f>IF(AND(D467&lt;&gt;"",F467&lt;&gt;""),F467-D467-G467,"")</f>
        <v/>
      </c>
      <c r="I467" s="14">
        <f>IF(E467&lt;&gt;"", YEARFRAC(C467, E467) * 12, "")</f>
        <v/>
      </c>
      <c r="J467" s="2">
        <f>IF(I467="", "", IF(OR(AND(A467="Listed Equity Shares", I467&gt;12), AND(A467="Unlisted Equity Shares", I467&gt;24)), "Long Term", "Short Term"))</f>
        <v/>
      </c>
      <c r="K467" s="5">
        <f>IF(J467="", "", IF(J467="Long Term", 12.5%,"as per slab"))</f>
        <v/>
      </c>
      <c r="L467" s="3">
        <f>+IFERROR(IF(J467="","",H467*K467),"as per slab")</f>
        <v/>
      </c>
    </row>
    <row r="468">
      <c r="A468" s="7" t="n"/>
      <c r="B468" s="7" t="n"/>
      <c r="C468" s="8" t="n"/>
      <c r="D468" s="9" t="n"/>
      <c r="E468" s="8" t="n"/>
      <c r="F468" s="9" t="n"/>
      <c r="G468" s="9" t="n"/>
      <c r="H468" s="3">
        <f>IF(AND(D468&lt;&gt;"",F468&lt;&gt;""),F468-D468-G468,"")</f>
        <v/>
      </c>
      <c r="I468" s="14">
        <f>IF(E468&lt;&gt;"", YEARFRAC(C468, E468) * 12, "")</f>
        <v/>
      </c>
      <c r="J468" s="2">
        <f>IF(I468="", "", IF(OR(AND(A468="Listed Equity Shares", I468&gt;12), AND(A468="Unlisted Equity Shares", I468&gt;24)), "Long Term", "Short Term"))</f>
        <v/>
      </c>
      <c r="K468" s="5">
        <f>IF(J468="", "", IF(J468="Long Term", 12.5%,"as per slab"))</f>
        <v/>
      </c>
      <c r="L468" s="3">
        <f>+IFERROR(IF(J468="","",H468*K468),"as per slab")</f>
        <v/>
      </c>
    </row>
    <row r="469">
      <c r="A469" s="7" t="n"/>
      <c r="B469" s="7" t="n"/>
      <c r="C469" s="8" t="n"/>
      <c r="D469" s="9" t="n"/>
      <c r="E469" s="8" t="n"/>
      <c r="F469" s="9" t="n"/>
      <c r="G469" s="9" t="n"/>
      <c r="H469" s="3">
        <f>IF(AND(D469&lt;&gt;"",F469&lt;&gt;""),F469-D469-G469,"")</f>
        <v/>
      </c>
      <c r="I469" s="14">
        <f>IF(E469&lt;&gt;"", YEARFRAC(C469, E469) * 12, "")</f>
        <v/>
      </c>
      <c r="J469" s="2">
        <f>IF(I469="", "", IF(OR(AND(A469="Listed Equity Shares", I469&gt;12), AND(A469="Unlisted Equity Shares", I469&gt;24)), "Long Term", "Short Term"))</f>
        <v/>
      </c>
      <c r="K469" s="5">
        <f>IF(J469="", "", IF(J469="Long Term", 12.5%,"as per slab"))</f>
        <v/>
      </c>
      <c r="L469" s="3">
        <f>+IFERROR(IF(J469="","",H469*K469),"as per slab")</f>
        <v/>
      </c>
    </row>
    <row r="470">
      <c r="A470" s="7" t="n"/>
      <c r="B470" s="7" t="n"/>
      <c r="C470" s="8" t="n"/>
      <c r="D470" s="9" t="n"/>
      <c r="E470" s="8" t="n"/>
      <c r="F470" s="9" t="n"/>
      <c r="G470" s="9" t="n"/>
      <c r="H470" s="3">
        <f>IF(AND(D470&lt;&gt;"",F470&lt;&gt;""),F470-D470-G470,"")</f>
        <v/>
      </c>
      <c r="I470" s="14">
        <f>IF(E470&lt;&gt;"", YEARFRAC(C470, E470) * 12, "")</f>
        <v/>
      </c>
      <c r="J470" s="2">
        <f>IF(I470="", "", IF(OR(AND(A470="Listed Equity Shares", I470&gt;12), AND(A470="Unlisted Equity Shares", I470&gt;24)), "Long Term", "Short Term"))</f>
        <v/>
      </c>
      <c r="K470" s="5">
        <f>IF(J470="", "", IF(J470="Long Term", 12.5%,"as per slab"))</f>
        <v/>
      </c>
      <c r="L470" s="3">
        <f>+IFERROR(IF(J470="","",H470*K470),"as per slab")</f>
        <v/>
      </c>
    </row>
    <row r="471">
      <c r="A471" s="7" t="n"/>
      <c r="B471" s="7" t="n"/>
      <c r="C471" s="8" t="n"/>
      <c r="D471" s="9" t="n"/>
      <c r="E471" s="8" t="n"/>
      <c r="F471" s="9" t="n"/>
      <c r="G471" s="9" t="n"/>
      <c r="H471" s="3">
        <f>IF(AND(D471&lt;&gt;"",F471&lt;&gt;""),F471-D471-G471,"")</f>
        <v/>
      </c>
      <c r="I471" s="14">
        <f>IF(E471&lt;&gt;"", YEARFRAC(C471, E471) * 12, "")</f>
        <v/>
      </c>
      <c r="J471" s="2">
        <f>IF(I471="", "", IF(OR(AND(A471="Listed Equity Shares", I471&gt;12), AND(A471="Unlisted Equity Shares", I471&gt;24)), "Long Term", "Short Term"))</f>
        <v/>
      </c>
      <c r="K471" s="5">
        <f>IF(J471="", "", IF(J471="Long Term", 12.5%,"as per slab"))</f>
        <v/>
      </c>
      <c r="L471" s="3">
        <f>+IFERROR(IF(J471="","",H471*K471),"as per slab")</f>
        <v/>
      </c>
    </row>
    <row r="472">
      <c r="A472" s="7" t="n"/>
      <c r="B472" s="7" t="n"/>
      <c r="C472" s="8" t="n"/>
      <c r="D472" s="9" t="n"/>
      <c r="E472" s="8" t="n"/>
      <c r="F472" s="9" t="n"/>
      <c r="G472" s="9" t="n"/>
      <c r="H472" s="3">
        <f>IF(AND(D472&lt;&gt;"",F472&lt;&gt;""),F472-D472-G472,"")</f>
        <v/>
      </c>
      <c r="I472" s="14">
        <f>IF(E472&lt;&gt;"", YEARFRAC(C472, E472) * 12, "")</f>
        <v/>
      </c>
      <c r="J472" s="2">
        <f>IF(I472="", "", IF(OR(AND(A472="Listed Equity Shares", I472&gt;12), AND(A472="Unlisted Equity Shares", I472&gt;24)), "Long Term", "Short Term"))</f>
        <v/>
      </c>
      <c r="K472" s="5">
        <f>IF(J472="", "", IF(J472="Long Term", 12.5%,"as per slab"))</f>
        <v/>
      </c>
      <c r="L472" s="3">
        <f>+IFERROR(IF(J472="","",H472*K472),"as per slab")</f>
        <v/>
      </c>
    </row>
    <row r="473">
      <c r="A473" s="7" t="n"/>
      <c r="B473" s="7" t="n"/>
      <c r="C473" s="8" t="n"/>
      <c r="D473" s="9" t="n"/>
      <c r="E473" s="8" t="n"/>
      <c r="F473" s="9" t="n"/>
      <c r="G473" s="9" t="n"/>
      <c r="H473" s="3">
        <f>IF(AND(D473&lt;&gt;"",F473&lt;&gt;""),F473-D473-G473,"")</f>
        <v/>
      </c>
      <c r="I473" s="14">
        <f>IF(E473&lt;&gt;"", YEARFRAC(C473, E473) * 12, "")</f>
        <v/>
      </c>
      <c r="J473" s="2">
        <f>IF(I473="", "", IF(OR(AND(A473="Listed Equity Shares", I473&gt;12), AND(A473="Unlisted Equity Shares", I473&gt;24)), "Long Term", "Short Term"))</f>
        <v/>
      </c>
      <c r="K473" s="5">
        <f>IF(J473="", "", IF(J473="Long Term", 12.5%,"as per slab"))</f>
        <v/>
      </c>
      <c r="L473" s="3">
        <f>+IFERROR(IF(J473="","",H473*K473),"as per slab")</f>
        <v/>
      </c>
    </row>
    <row r="474">
      <c r="A474" s="7" t="n"/>
      <c r="B474" s="7" t="n"/>
      <c r="C474" s="8" t="n"/>
      <c r="D474" s="9" t="n"/>
      <c r="E474" s="8" t="n"/>
      <c r="F474" s="9" t="n"/>
      <c r="G474" s="9" t="n"/>
      <c r="H474" s="3">
        <f>IF(AND(D474&lt;&gt;"",F474&lt;&gt;""),F474-D474-G474,"")</f>
        <v/>
      </c>
      <c r="I474" s="14">
        <f>IF(E474&lt;&gt;"", YEARFRAC(C474, E474) * 12, "")</f>
        <v/>
      </c>
      <c r="J474" s="2">
        <f>IF(I474="", "", IF(OR(AND(A474="Listed Equity Shares", I474&gt;12), AND(A474="Unlisted Equity Shares", I474&gt;24)), "Long Term", "Short Term"))</f>
        <v/>
      </c>
      <c r="K474" s="5">
        <f>IF(J474="", "", IF(J474="Long Term", 12.5%,"as per slab"))</f>
        <v/>
      </c>
      <c r="L474" s="3">
        <f>+IFERROR(IF(J474="","",H474*K474),"as per slab")</f>
        <v/>
      </c>
    </row>
    <row r="475">
      <c r="A475" s="7" t="n"/>
      <c r="B475" s="7" t="n"/>
      <c r="C475" s="8" t="n"/>
      <c r="D475" s="9" t="n"/>
      <c r="E475" s="8" t="n"/>
      <c r="F475" s="9" t="n"/>
      <c r="G475" s="9" t="n"/>
      <c r="H475" s="3">
        <f>IF(AND(D475&lt;&gt;"",F475&lt;&gt;""),F475-D475-G475,"")</f>
        <v/>
      </c>
      <c r="I475" s="14">
        <f>IF(E475&lt;&gt;"", YEARFRAC(C475, E475) * 12, "")</f>
        <v/>
      </c>
      <c r="J475" s="2">
        <f>IF(I475="", "", IF(OR(AND(A475="Listed Equity Shares", I475&gt;12), AND(A475="Unlisted Equity Shares", I475&gt;24)), "Long Term", "Short Term"))</f>
        <v/>
      </c>
      <c r="K475" s="5">
        <f>IF(J475="", "", IF(J475="Long Term", 12.5%,"as per slab"))</f>
        <v/>
      </c>
      <c r="L475" s="3">
        <f>+IFERROR(IF(J475="","",H475*K475),"as per slab")</f>
        <v/>
      </c>
    </row>
    <row r="476">
      <c r="A476" s="7" t="n"/>
      <c r="B476" s="7" t="n"/>
      <c r="C476" s="8" t="n"/>
      <c r="D476" s="9" t="n"/>
      <c r="E476" s="8" t="n"/>
      <c r="F476" s="9" t="n"/>
      <c r="G476" s="9" t="n"/>
      <c r="H476" s="3">
        <f>IF(AND(D476&lt;&gt;"",F476&lt;&gt;""),F476-D476-G476,"")</f>
        <v/>
      </c>
      <c r="I476" s="14">
        <f>IF(E476&lt;&gt;"", YEARFRAC(C476, E476) * 12, "")</f>
        <v/>
      </c>
      <c r="J476" s="2">
        <f>IF(I476="", "", IF(OR(AND(A476="Listed Equity Shares", I476&gt;12), AND(A476="Unlisted Equity Shares", I476&gt;24)), "Long Term", "Short Term"))</f>
        <v/>
      </c>
      <c r="K476" s="5">
        <f>IF(J476="", "", IF(J476="Long Term", 12.5%,"as per slab"))</f>
        <v/>
      </c>
      <c r="L476" s="3">
        <f>+IFERROR(IF(J476="","",H476*K476),"as per slab")</f>
        <v/>
      </c>
    </row>
    <row r="477">
      <c r="A477" s="7" t="n"/>
      <c r="B477" s="7" t="n"/>
      <c r="C477" s="8" t="n"/>
      <c r="D477" s="9" t="n"/>
      <c r="E477" s="8" t="n"/>
      <c r="F477" s="9" t="n"/>
      <c r="G477" s="9" t="n"/>
      <c r="H477" s="3">
        <f>IF(AND(D477&lt;&gt;"",F477&lt;&gt;""),F477-D477-G477,"")</f>
        <v/>
      </c>
      <c r="I477" s="14">
        <f>IF(E477&lt;&gt;"", YEARFRAC(C477, E477) * 12, "")</f>
        <v/>
      </c>
      <c r="J477" s="2">
        <f>IF(I477="", "", IF(OR(AND(A477="Listed Equity Shares", I477&gt;12), AND(A477="Unlisted Equity Shares", I477&gt;24)), "Long Term", "Short Term"))</f>
        <v/>
      </c>
      <c r="K477" s="5">
        <f>IF(J477="", "", IF(J477="Long Term", 12.5%,"as per slab"))</f>
        <v/>
      </c>
      <c r="L477" s="3">
        <f>+IFERROR(IF(J477="","",H477*K477),"as per slab")</f>
        <v/>
      </c>
    </row>
    <row r="478">
      <c r="A478" s="7" t="n"/>
      <c r="B478" s="7" t="n"/>
      <c r="C478" s="8" t="n"/>
      <c r="D478" s="9" t="n"/>
      <c r="E478" s="8" t="n"/>
      <c r="F478" s="9" t="n"/>
      <c r="G478" s="9" t="n"/>
      <c r="H478" s="3">
        <f>IF(AND(D478&lt;&gt;"",F478&lt;&gt;""),F478-D478-G478,"")</f>
        <v/>
      </c>
      <c r="I478" s="14">
        <f>IF(E478&lt;&gt;"", YEARFRAC(C478, E478) * 12, "")</f>
        <v/>
      </c>
      <c r="J478" s="2">
        <f>IF(I478="", "", IF(OR(AND(A478="Listed Equity Shares", I478&gt;12), AND(A478="Unlisted Equity Shares", I478&gt;24)), "Long Term", "Short Term"))</f>
        <v/>
      </c>
      <c r="K478" s="5">
        <f>IF(J478="", "", IF(J478="Long Term", 12.5%,"as per slab"))</f>
        <v/>
      </c>
      <c r="L478" s="3">
        <f>+IFERROR(IF(J478="","",H478*K478),"as per slab")</f>
        <v/>
      </c>
    </row>
    <row r="479">
      <c r="A479" s="7" t="n"/>
      <c r="B479" s="7" t="n"/>
      <c r="C479" s="8" t="n"/>
      <c r="D479" s="9" t="n"/>
      <c r="E479" s="8" t="n"/>
      <c r="F479" s="9" t="n"/>
      <c r="G479" s="9" t="n"/>
      <c r="H479" s="3">
        <f>IF(AND(D479&lt;&gt;"",F479&lt;&gt;""),F479-D479-G479,"")</f>
        <v/>
      </c>
      <c r="I479" s="14">
        <f>IF(E479&lt;&gt;"", YEARFRAC(C479, E479) * 12, "")</f>
        <v/>
      </c>
      <c r="J479" s="2">
        <f>IF(I479="", "", IF(OR(AND(A479="Listed Equity Shares", I479&gt;12), AND(A479="Unlisted Equity Shares", I479&gt;24)), "Long Term", "Short Term"))</f>
        <v/>
      </c>
      <c r="K479" s="5">
        <f>IF(J479="", "", IF(J479="Long Term", 12.5%,"as per slab"))</f>
        <v/>
      </c>
      <c r="L479" s="3">
        <f>+IFERROR(IF(J479="","",H479*K479),"as per slab")</f>
        <v/>
      </c>
    </row>
    <row r="480">
      <c r="A480" s="7" t="n"/>
      <c r="B480" s="7" t="n"/>
      <c r="C480" s="8" t="n"/>
      <c r="D480" s="9" t="n"/>
      <c r="E480" s="8" t="n"/>
      <c r="F480" s="9" t="n"/>
      <c r="G480" s="9" t="n"/>
      <c r="H480" s="3">
        <f>IF(AND(D480&lt;&gt;"",F480&lt;&gt;""),F480-D480-G480,"")</f>
        <v/>
      </c>
      <c r="I480" s="14">
        <f>IF(E480&lt;&gt;"", YEARFRAC(C480, E480) * 12, "")</f>
        <v/>
      </c>
      <c r="J480" s="2">
        <f>IF(I480="", "", IF(OR(AND(A480="Listed Equity Shares", I480&gt;12), AND(A480="Unlisted Equity Shares", I480&gt;24)), "Long Term", "Short Term"))</f>
        <v/>
      </c>
      <c r="K480" s="5">
        <f>IF(J480="", "", IF(J480="Long Term", 12.5%,"as per slab"))</f>
        <v/>
      </c>
      <c r="L480" s="3">
        <f>+IFERROR(IF(J480="","",H480*K480),"as per slab")</f>
        <v/>
      </c>
    </row>
    <row r="481">
      <c r="A481" s="7" t="n"/>
      <c r="B481" s="7" t="n"/>
      <c r="C481" s="8" t="n"/>
      <c r="D481" s="9" t="n"/>
      <c r="E481" s="8" t="n"/>
      <c r="F481" s="9" t="n"/>
      <c r="G481" s="9" t="n"/>
      <c r="H481" s="3">
        <f>IF(AND(D481&lt;&gt;"",F481&lt;&gt;""),F481-D481-G481,"")</f>
        <v/>
      </c>
      <c r="I481" s="14">
        <f>IF(E481&lt;&gt;"", YEARFRAC(C481, E481) * 12, "")</f>
        <v/>
      </c>
      <c r="J481" s="2">
        <f>IF(I481="", "", IF(OR(AND(A481="Listed Equity Shares", I481&gt;12), AND(A481="Unlisted Equity Shares", I481&gt;24)), "Long Term", "Short Term"))</f>
        <v/>
      </c>
      <c r="K481" s="5">
        <f>IF(J481="", "", IF(J481="Long Term", 12.5%,"as per slab"))</f>
        <v/>
      </c>
      <c r="L481" s="3">
        <f>+IFERROR(IF(J481="","",H481*K481),"as per slab")</f>
        <v/>
      </c>
    </row>
    <row r="482">
      <c r="A482" s="7" t="n"/>
      <c r="B482" s="7" t="n"/>
      <c r="C482" s="8" t="n"/>
      <c r="D482" s="9" t="n"/>
      <c r="E482" s="8" t="n"/>
      <c r="F482" s="9" t="n"/>
      <c r="G482" s="9" t="n"/>
      <c r="H482" s="3">
        <f>IF(AND(D482&lt;&gt;"",F482&lt;&gt;""),F482-D482-G482,"")</f>
        <v/>
      </c>
      <c r="I482" s="14">
        <f>IF(E482&lt;&gt;"", YEARFRAC(C482, E482) * 12, "")</f>
        <v/>
      </c>
      <c r="J482" s="2">
        <f>IF(I482="", "", IF(OR(AND(A482="Listed Equity Shares", I482&gt;12), AND(A482="Unlisted Equity Shares", I482&gt;24)), "Long Term", "Short Term"))</f>
        <v/>
      </c>
      <c r="K482" s="5">
        <f>IF(J482="", "", IF(J482="Long Term", 12.5%,"as per slab"))</f>
        <v/>
      </c>
      <c r="L482" s="3">
        <f>+IFERROR(IF(J482="","",H482*K482),"as per slab")</f>
        <v/>
      </c>
    </row>
    <row r="483">
      <c r="A483" s="7" t="n"/>
      <c r="B483" s="7" t="n"/>
      <c r="C483" s="8" t="n"/>
      <c r="D483" s="9" t="n"/>
      <c r="E483" s="8" t="n"/>
      <c r="F483" s="9" t="n"/>
      <c r="G483" s="9" t="n"/>
      <c r="H483" s="3">
        <f>IF(AND(D483&lt;&gt;"",F483&lt;&gt;""),F483-D483-G483,"")</f>
        <v/>
      </c>
      <c r="I483" s="14">
        <f>IF(E483&lt;&gt;"", YEARFRAC(C483, E483) * 12, "")</f>
        <v/>
      </c>
      <c r="J483" s="2">
        <f>IF(I483="", "", IF(OR(AND(A483="Listed Equity Shares", I483&gt;12), AND(A483="Unlisted Equity Shares", I483&gt;24)), "Long Term", "Short Term"))</f>
        <v/>
      </c>
      <c r="K483" s="5">
        <f>IF(J483="", "", IF(J483="Long Term", 12.5%,"as per slab"))</f>
        <v/>
      </c>
      <c r="L483" s="3">
        <f>+IFERROR(IF(J483="","",H483*K483),"as per slab")</f>
        <v/>
      </c>
    </row>
    <row r="484">
      <c r="A484" s="7" t="n"/>
      <c r="B484" s="7" t="n"/>
      <c r="C484" s="8" t="n"/>
      <c r="D484" s="9" t="n"/>
      <c r="E484" s="8" t="n"/>
      <c r="F484" s="9" t="n"/>
      <c r="G484" s="9" t="n"/>
      <c r="H484" s="3">
        <f>IF(AND(D484&lt;&gt;"",F484&lt;&gt;""),F484-D484-G484,"")</f>
        <v/>
      </c>
      <c r="I484" s="14">
        <f>IF(E484&lt;&gt;"", YEARFRAC(C484, E484) * 12, "")</f>
        <v/>
      </c>
      <c r="J484" s="2">
        <f>IF(I484="", "", IF(OR(AND(A484="Listed Equity Shares", I484&gt;12), AND(A484="Unlisted Equity Shares", I484&gt;24)), "Long Term", "Short Term"))</f>
        <v/>
      </c>
      <c r="K484" s="5">
        <f>IF(J484="", "", IF(J484="Long Term", 12.5%,"as per slab"))</f>
        <v/>
      </c>
      <c r="L484" s="3">
        <f>+IFERROR(IF(J484="","",H484*K484),"as per slab")</f>
        <v/>
      </c>
    </row>
    <row r="485">
      <c r="A485" s="7" t="n"/>
      <c r="B485" s="7" t="n"/>
      <c r="C485" s="8" t="n"/>
      <c r="D485" s="9" t="n"/>
      <c r="E485" s="8" t="n"/>
      <c r="F485" s="9" t="n"/>
      <c r="G485" s="9" t="n"/>
      <c r="H485" s="3">
        <f>IF(AND(D485&lt;&gt;"",F485&lt;&gt;""),F485-D485-G485,"")</f>
        <v/>
      </c>
      <c r="I485" s="14">
        <f>IF(E485&lt;&gt;"", YEARFRAC(C485, E485) * 12, "")</f>
        <v/>
      </c>
      <c r="J485" s="2">
        <f>IF(I485="", "", IF(OR(AND(A485="Listed Equity Shares", I485&gt;12), AND(A485="Unlisted Equity Shares", I485&gt;24)), "Long Term", "Short Term"))</f>
        <v/>
      </c>
      <c r="K485" s="5">
        <f>IF(J485="", "", IF(J485="Long Term", 12.5%,"as per slab"))</f>
        <v/>
      </c>
      <c r="L485" s="3">
        <f>+IFERROR(IF(J485="","",H485*K485),"as per slab")</f>
        <v/>
      </c>
    </row>
    <row r="486">
      <c r="A486" s="7" t="n"/>
      <c r="B486" s="7" t="n"/>
      <c r="C486" s="8" t="n"/>
      <c r="D486" s="9" t="n"/>
      <c r="E486" s="8" t="n"/>
      <c r="F486" s="9" t="n"/>
      <c r="G486" s="9" t="n"/>
      <c r="H486" s="3">
        <f>IF(AND(D486&lt;&gt;"",F486&lt;&gt;""),F486-D486-G486,"")</f>
        <v/>
      </c>
      <c r="I486" s="14">
        <f>IF(E486&lt;&gt;"", YEARFRAC(C486, E486) * 12, "")</f>
        <v/>
      </c>
      <c r="J486" s="2">
        <f>IF(I486="", "", IF(OR(AND(A486="Listed Equity Shares", I486&gt;12), AND(A486="Unlisted Equity Shares", I486&gt;24)), "Long Term", "Short Term"))</f>
        <v/>
      </c>
      <c r="K486" s="5">
        <f>IF(J486="", "", IF(J486="Long Term", 12.5%,"as per slab"))</f>
        <v/>
      </c>
      <c r="L486" s="3">
        <f>+IFERROR(IF(J486="","",H486*K486),"as per slab")</f>
        <v/>
      </c>
    </row>
    <row r="487">
      <c r="A487" s="7" t="n"/>
      <c r="B487" s="7" t="n"/>
      <c r="C487" s="8" t="n"/>
      <c r="D487" s="9" t="n"/>
      <c r="E487" s="8" t="n"/>
      <c r="F487" s="9" t="n"/>
      <c r="G487" s="9" t="n"/>
      <c r="H487" s="3">
        <f>IF(AND(D487&lt;&gt;"",F487&lt;&gt;""),F487-D487-G487,"")</f>
        <v/>
      </c>
      <c r="I487" s="14">
        <f>IF(E487&lt;&gt;"", YEARFRAC(C487, E487) * 12, "")</f>
        <v/>
      </c>
      <c r="J487" s="2">
        <f>IF(I487="", "", IF(OR(AND(A487="Listed Equity Shares", I487&gt;12), AND(A487="Unlisted Equity Shares", I487&gt;24)), "Long Term", "Short Term"))</f>
        <v/>
      </c>
      <c r="K487" s="5">
        <f>IF(J487="", "", IF(J487="Long Term", 12.5%,"as per slab"))</f>
        <v/>
      </c>
      <c r="L487" s="3">
        <f>+IFERROR(IF(J487="","",H487*K487),"as per slab")</f>
        <v/>
      </c>
    </row>
    <row r="488">
      <c r="A488" s="7" t="n"/>
      <c r="B488" s="7" t="n"/>
      <c r="C488" s="8" t="n"/>
      <c r="D488" s="9" t="n"/>
      <c r="E488" s="8" t="n"/>
      <c r="F488" s="9" t="n"/>
      <c r="G488" s="9" t="n"/>
      <c r="H488" s="3">
        <f>IF(AND(D488&lt;&gt;"",F488&lt;&gt;""),F488-D488-G488,"")</f>
        <v/>
      </c>
      <c r="I488" s="14">
        <f>IF(E488&lt;&gt;"", YEARFRAC(C488, E488) * 12, "")</f>
        <v/>
      </c>
      <c r="J488" s="2">
        <f>IF(I488="", "", IF(OR(AND(A488="Listed Equity Shares", I488&gt;12), AND(A488="Unlisted Equity Shares", I488&gt;24)), "Long Term", "Short Term"))</f>
        <v/>
      </c>
      <c r="K488" s="5">
        <f>IF(J488="", "", IF(J488="Long Term", 12.5%,"as per slab"))</f>
        <v/>
      </c>
      <c r="L488" s="3">
        <f>+IFERROR(IF(J488="","",H488*K488),"as per slab")</f>
        <v/>
      </c>
    </row>
    <row r="489">
      <c r="A489" s="7" t="n"/>
      <c r="B489" s="7" t="n"/>
      <c r="C489" s="8" t="n"/>
      <c r="D489" s="9" t="n"/>
      <c r="E489" s="8" t="n"/>
      <c r="F489" s="9" t="n"/>
      <c r="G489" s="9" t="n"/>
      <c r="H489" s="3">
        <f>IF(AND(D489&lt;&gt;"",F489&lt;&gt;""),F489-D489-G489,"")</f>
        <v/>
      </c>
      <c r="I489" s="14">
        <f>IF(E489&lt;&gt;"", YEARFRAC(C489, E489) * 12, "")</f>
        <v/>
      </c>
      <c r="J489" s="2">
        <f>IF(I489="", "", IF(OR(AND(A489="Listed Equity Shares", I489&gt;12), AND(A489="Unlisted Equity Shares", I489&gt;24)), "Long Term", "Short Term"))</f>
        <v/>
      </c>
      <c r="K489" s="5">
        <f>IF(J489="", "", IF(J489="Long Term", 12.5%,"as per slab"))</f>
        <v/>
      </c>
      <c r="L489" s="3">
        <f>+IFERROR(IF(J489="","",H489*K489),"as per slab")</f>
        <v/>
      </c>
    </row>
    <row r="490">
      <c r="A490" s="7" t="n"/>
      <c r="B490" s="7" t="n"/>
      <c r="C490" s="8" t="n"/>
      <c r="D490" s="9" t="n"/>
      <c r="E490" s="8" t="n"/>
      <c r="F490" s="9" t="n"/>
      <c r="G490" s="9" t="n"/>
      <c r="H490" s="3">
        <f>IF(AND(D490&lt;&gt;"",F490&lt;&gt;""),F490-D490-G490,"")</f>
        <v/>
      </c>
      <c r="I490" s="14">
        <f>IF(E490&lt;&gt;"", YEARFRAC(C490, E490) * 12, "")</f>
        <v/>
      </c>
      <c r="J490" s="2">
        <f>IF(I490="", "", IF(OR(AND(A490="Listed Equity Shares", I490&gt;12), AND(A490="Unlisted Equity Shares", I490&gt;24)), "Long Term", "Short Term"))</f>
        <v/>
      </c>
      <c r="K490" s="5">
        <f>IF(J490="", "", IF(J490="Long Term", 12.5%,"as per slab"))</f>
        <v/>
      </c>
      <c r="L490" s="3">
        <f>+IFERROR(IF(J490="","",H490*K490),"as per slab")</f>
        <v/>
      </c>
    </row>
    <row r="491">
      <c r="A491" s="7" t="n"/>
      <c r="B491" s="7" t="n"/>
      <c r="C491" s="8" t="n"/>
      <c r="D491" s="9" t="n"/>
      <c r="E491" s="8" t="n"/>
      <c r="F491" s="9" t="n"/>
      <c r="G491" s="9" t="n"/>
      <c r="H491" s="3">
        <f>IF(AND(D491&lt;&gt;"",F491&lt;&gt;""),F491-D491-G491,"")</f>
        <v/>
      </c>
      <c r="I491" s="14">
        <f>IF(E491&lt;&gt;"", YEARFRAC(C491, E491) * 12, "")</f>
        <v/>
      </c>
      <c r="J491" s="2">
        <f>IF(I491="", "", IF(OR(AND(A491="Listed Equity Shares", I491&gt;12), AND(A491="Unlisted Equity Shares", I491&gt;24)), "Long Term", "Short Term"))</f>
        <v/>
      </c>
      <c r="K491" s="5">
        <f>IF(J491="", "", IF(J491="Long Term", 12.5%,"as per slab"))</f>
        <v/>
      </c>
      <c r="L491" s="3">
        <f>+IFERROR(IF(J491="","",H491*K491),"as per slab")</f>
        <v/>
      </c>
    </row>
    <row r="492">
      <c r="A492" s="7" t="n"/>
      <c r="B492" s="7" t="n"/>
      <c r="C492" s="8" t="n"/>
      <c r="D492" s="9" t="n"/>
      <c r="E492" s="8" t="n"/>
      <c r="F492" s="9" t="n"/>
      <c r="G492" s="9" t="n"/>
      <c r="H492" s="3">
        <f>IF(AND(D492&lt;&gt;"",F492&lt;&gt;""),F492-D492-G492,"")</f>
        <v/>
      </c>
      <c r="I492" s="14">
        <f>IF(E492&lt;&gt;"", YEARFRAC(C492, E492) * 12, "")</f>
        <v/>
      </c>
      <c r="J492" s="2">
        <f>IF(I492="", "", IF(OR(AND(A492="Listed Equity Shares", I492&gt;12), AND(A492="Unlisted Equity Shares", I492&gt;24)), "Long Term", "Short Term"))</f>
        <v/>
      </c>
      <c r="K492" s="5">
        <f>IF(J492="", "", IF(J492="Long Term", 12.5%,"as per slab"))</f>
        <v/>
      </c>
      <c r="L492" s="3">
        <f>+IFERROR(IF(J492="","",H492*K492),"as per slab")</f>
        <v/>
      </c>
    </row>
    <row r="493">
      <c r="A493" s="7" t="n"/>
      <c r="B493" s="7" t="n"/>
      <c r="C493" s="8" t="n"/>
      <c r="D493" s="9" t="n"/>
      <c r="E493" s="8" t="n"/>
      <c r="F493" s="9" t="n"/>
      <c r="G493" s="9" t="n"/>
      <c r="H493" s="3">
        <f>IF(AND(D493&lt;&gt;"",F493&lt;&gt;""),F493-D493-G493,"")</f>
        <v/>
      </c>
      <c r="I493" s="14">
        <f>IF(E493&lt;&gt;"", YEARFRAC(C493, E493) * 12, "")</f>
        <v/>
      </c>
      <c r="J493" s="2">
        <f>IF(I493="", "", IF(OR(AND(A493="Listed Equity Shares", I493&gt;12), AND(A493="Unlisted Equity Shares", I493&gt;24)), "Long Term", "Short Term"))</f>
        <v/>
      </c>
      <c r="K493" s="5">
        <f>IF(J493="", "", IF(J493="Long Term", 12.5%,"as per slab"))</f>
        <v/>
      </c>
      <c r="L493" s="3">
        <f>+IFERROR(IF(J493="","",H493*K493),"as per slab")</f>
        <v/>
      </c>
    </row>
    <row r="494">
      <c r="A494" s="7" t="n"/>
      <c r="B494" s="7" t="n"/>
      <c r="C494" s="8" t="n"/>
      <c r="D494" s="9" t="n"/>
      <c r="E494" s="8" t="n"/>
      <c r="F494" s="9" t="n"/>
      <c r="G494" s="9" t="n"/>
      <c r="H494" s="3">
        <f>IF(AND(D494&lt;&gt;"",F494&lt;&gt;""),F494-D494-G494,"")</f>
        <v/>
      </c>
      <c r="I494" s="14">
        <f>IF(E494&lt;&gt;"", YEARFRAC(C494, E494) * 12, "")</f>
        <v/>
      </c>
      <c r="J494" s="2">
        <f>IF(I494="", "", IF(OR(AND(A494="Listed Equity Shares", I494&gt;12), AND(A494="Unlisted Equity Shares", I494&gt;24)), "Long Term", "Short Term"))</f>
        <v/>
      </c>
      <c r="K494" s="5">
        <f>IF(J494="", "", IF(J494="Long Term", 12.5%,"as per slab"))</f>
        <v/>
      </c>
      <c r="L494" s="3">
        <f>+IFERROR(IF(J494="","",H494*K494),"as per slab")</f>
        <v/>
      </c>
    </row>
    <row r="495">
      <c r="A495" s="7" t="n"/>
      <c r="B495" s="7" t="n"/>
      <c r="C495" s="8" t="n"/>
      <c r="D495" s="9" t="n"/>
      <c r="E495" s="8" t="n"/>
      <c r="F495" s="9" t="n"/>
      <c r="G495" s="9" t="n"/>
      <c r="H495" s="3">
        <f>IF(AND(D495&lt;&gt;"",F495&lt;&gt;""),F495-D495-G495,"")</f>
        <v/>
      </c>
      <c r="I495" s="14">
        <f>IF(E495&lt;&gt;"", YEARFRAC(C495, E495) * 12, "")</f>
        <v/>
      </c>
      <c r="J495" s="2">
        <f>IF(I495="", "", IF(OR(AND(A495="Listed Equity Shares", I495&gt;12), AND(A495="Unlisted Equity Shares", I495&gt;24)), "Long Term", "Short Term"))</f>
        <v/>
      </c>
      <c r="K495" s="5">
        <f>IF(J495="", "", IF(J495="Long Term", 12.5%,"as per slab"))</f>
        <v/>
      </c>
      <c r="L495" s="3">
        <f>+IFERROR(IF(J495="","",H495*K495),"as per slab")</f>
        <v/>
      </c>
    </row>
    <row r="496">
      <c r="A496" s="7" t="n"/>
      <c r="B496" s="7" t="n"/>
      <c r="C496" s="8" t="n"/>
      <c r="D496" s="9" t="n"/>
      <c r="E496" s="8" t="n"/>
      <c r="F496" s="9" t="n"/>
      <c r="G496" s="9" t="n"/>
      <c r="H496" s="3">
        <f>IF(AND(D496&lt;&gt;"",F496&lt;&gt;""),F496-D496-G496,"")</f>
        <v/>
      </c>
      <c r="I496" s="14">
        <f>IF(E496&lt;&gt;"", YEARFRAC(C496, E496) * 12, "")</f>
        <v/>
      </c>
      <c r="J496" s="2">
        <f>IF(I496="", "", IF(OR(AND(A496="Listed Equity Shares", I496&gt;12), AND(A496="Unlisted Equity Shares", I496&gt;24)), "Long Term", "Short Term"))</f>
        <v/>
      </c>
      <c r="K496" s="5">
        <f>IF(J496="", "", IF(J496="Long Term", 12.5%,"as per slab"))</f>
        <v/>
      </c>
      <c r="L496" s="3">
        <f>+IFERROR(IF(J496="","",H496*K496),"as per slab")</f>
        <v/>
      </c>
    </row>
    <row r="497">
      <c r="A497" s="7" t="n"/>
      <c r="B497" s="7" t="n"/>
      <c r="C497" s="8" t="n"/>
      <c r="D497" s="9" t="n"/>
      <c r="E497" s="8" t="n"/>
      <c r="F497" s="9" t="n"/>
      <c r="G497" s="9" t="n"/>
      <c r="H497" s="3">
        <f>IF(AND(D497&lt;&gt;"",F497&lt;&gt;""),F497-D497-G497,"")</f>
        <v/>
      </c>
      <c r="I497" s="14">
        <f>IF(E497&lt;&gt;"", YEARFRAC(C497, E497) * 12, "")</f>
        <v/>
      </c>
      <c r="J497" s="2">
        <f>IF(I497="", "", IF(OR(AND(A497="Listed Equity Shares", I497&gt;12), AND(A497="Unlisted Equity Shares", I497&gt;24)), "Long Term", "Short Term"))</f>
        <v/>
      </c>
      <c r="K497" s="5">
        <f>IF(J497="", "", IF(J497="Long Term", 12.5%,"as per slab"))</f>
        <v/>
      </c>
      <c r="L497" s="3">
        <f>+IFERROR(IF(J497="","",H497*K497),"as per slab")</f>
        <v/>
      </c>
    </row>
    <row r="498">
      <c r="A498" s="7" t="n"/>
      <c r="B498" s="7" t="n"/>
      <c r="C498" s="8" t="n"/>
      <c r="D498" s="9" t="n"/>
      <c r="E498" s="8" t="n"/>
      <c r="F498" s="9" t="n"/>
      <c r="G498" s="9" t="n"/>
      <c r="H498" s="3">
        <f>IF(AND(D498&lt;&gt;"",F498&lt;&gt;""),F498-D498-G498,"")</f>
        <v/>
      </c>
      <c r="I498" s="14">
        <f>IF(E498&lt;&gt;"", YEARFRAC(C498, E498) * 12, "")</f>
        <v/>
      </c>
      <c r="J498" s="2">
        <f>IF(I498="", "", IF(OR(AND(A498="Listed Equity Shares", I498&gt;12), AND(A498="Unlisted Equity Shares", I498&gt;24)), "Long Term", "Short Term"))</f>
        <v/>
      </c>
      <c r="K498" s="5">
        <f>IF(J498="", "", IF(J498="Long Term", 12.5%,"as per slab"))</f>
        <v/>
      </c>
      <c r="L498" s="3">
        <f>+IFERROR(IF(J498="","",H498*K498),"as per slab")</f>
        <v/>
      </c>
    </row>
    <row r="499">
      <c r="A499" s="7" t="n"/>
      <c r="B499" s="7" t="n"/>
      <c r="C499" s="8" t="n"/>
      <c r="D499" s="9" t="n"/>
      <c r="E499" s="8" t="n"/>
      <c r="F499" s="9" t="n"/>
      <c r="G499" s="9" t="n"/>
      <c r="H499" s="3">
        <f>IF(AND(D499&lt;&gt;"",F499&lt;&gt;""),F499-D499-G499,"")</f>
        <v/>
      </c>
      <c r="I499" s="14">
        <f>IF(E499&lt;&gt;"", YEARFRAC(C499, E499) * 12, "")</f>
        <v/>
      </c>
      <c r="J499" s="2">
        <f>IF(I499="", "", IF(OR(AND(A499="Listed Equity Shares", I499&gt;12), AND(A499="Unlisted Equity Shares", I499&gt;24)), "Long Term", "Short Term"))</f>
        <v/>
      </c>
      <c r="K499" s="5">
        <f>IF(J499="", "", IF(J499="Long Term", 12.5%,"as per slab"))</f>
        <v/>
      </c>
      <c r="L499" s="3">
        <f>+IFERROR(IF(J499="","",H499*K499),"as per slab")</f>
        <v/>
      </c>
    </row>
    <row r="500">
      <c r="A500" s="7" t="n"/>
      <c r="B500" s="7" t="n"/>
      <c r="C500" s="8" t="n"/>
      <c r="D500" s="9" t="n"/>
      <c r="E500" s="8" t="n"/>
      <c r="F500" s="9" t="n"/>
      <c r="G500" s="9" t="n"/>
      <c r="H500" s="3">
        <f>IF(AND(D500&lt;&gt;"",F500&lt;&gt;""),F500-D500-G500,"")</f>
        <v/>
      </c>
      <c r="I500" s="14">
        <f>IF(E500&lt;&gt;"", YEARFRAC(C500, E500) * 12, "")</f>
        <v/>
      </c>
      <c r="J500" s="2">
        <f>IF(I500="", "", IF(OR(AND(A500="Listed Equity Shares", I500&gt;12), AND(A500="Unlisted Equity Shares", I500&gt;24)), "Long Term", "Short Term"))</f>
        <v/>
      </c>
      <c r="K500" s="5">
        <f>IF(J500="", "", IF(J500="Long Term", 12.5%,"as per slab"))</f>
        <v/>
      </c>
      <c r="L500" s="3">
        <f>+IFERROR(IF(J500="","",H500*K500),"as per slab")</f>
        <v/>
      </c>
    </row>
    <row r="501">
      <c r="A501" s="7" t="n"/>
      <c r="B501" s="7" t="n"/>
      <c r="C501" s="8" t="n"/>
      <c r="D501" s="9" t="n"/>
      <c r="E501" s="8" t="n"/>
      <c r="F501" s="9" t="n"/>
      <c r="G501" s="9" t="n"/>
      <c r="H501" s="3">
        <f>IF(AND(D501&lt;&gt;"",F501&lt;&gt;""),F501-D501-G501,"")</f>
        <v/>
      </c>
      <c r="I501" s="14">
        <f>IF(E501&lt;&gt;"", YEARFRAC(C501, E501) * 12, "")</f>
        <v/>
      </c>
      <c r="J501" s="2">
        <f>IF(I501="", "", IF(OR(AND(A501="Listed Equity Shares", I501&gt;12), AND(A501="Unlisted Equity Shares", I501&gt;24)), "Long Term", "Short Term"))</f>
        <v/>
      </c>
      <c r="K501" s="5">
        <f>IF(J501="", "", IF(J501="Long Term", 12.5%,"as per slab"))</f>
        <v/>
      </c>
      <c r="L501" s="3">
        <f>+IFERROR(IF(J501="","",H501*K501),"as per slab")</f>
        <v/>
      </c>
    </row>
    <row r="502">
      <c r="A502" s="7" t="n"/>
      <c r="B502" s="7" t="n"/>
      <c r="C502" s="8" t="n"/>
      <c r="D502" s="9" t="n"/>
      <c r="E502" s="8" t="n"/>
      <c r="F502" s="9" t="n"/>
      <c r="G502" s="9" t="n"/>
      <c r="H502" s="3">
        <f>IF(AND(D502&lt;&gt;"",F502&lt;&gt;""),F502-D502-G502,"")</f>
        <v/>
      </c>
      <c r="I502" s="14">
        <f>IF(E502&lt;&gt;"", YEARFRAC(C502, E502) * 12, "")</f>
        <v/>
      </c>
      <c r="J502" s="2">
        <f>IF(I502="", "", IF(OR(AND(A502="Listed Equity Shares", I502&gt;12), AND(A502="Unlisted Equity Shares", I502&gt;24)), "Long Term", "Short Term"))</f>
        <v/>
      </c>
      <c r="K502" s="5">
        <f>IF(J502="", "", IF(J502="Long Term", 12.5%,"as per slab"))</f>
        <v/>
      </c>
      <c r="L502" s="3">
        <f>+IFERROR(IF(J502="","",H502*K502),"as per slab")</f>
        <v/>
      </c>
    </row>
    <row r="503">
      <c r="A503" s="7" t="n"/>
      <c r="B503" s="7" t="n"/>
      <c r="C503" s="8" t="n"/>
      <c r="D503" s="9" t="n"/>
      <c r="E503" s="8" t="n"/>
      <c r="F503" s="9" t="n"/>
      <c r="G503" s="9" t="n"/>
      <c r="H503" s="3">
        <f>IF(AND(D503&lt;&gt;"",F503&lt;&gt;""),F503-D503-G503,"")</f>
        <v/>
      </c>
      <c r="I503" s="14">
        <f>IF(E503&lt;&gt;"", YEARFRAC(C503, E503) * 12, "")</f>
        <v/>
      </c>
      <c r="J503" s="2">
        <f>IF(I503="", "", IF(OR(AND(A503="Listed Equity Shares", I503&gt;12), AND(A503="Unlisted Equity Shares", I503&gt;24)), "Long Term", "Short Term"))</f>
        <v/>
      </c>
      <c r="K503" s="5">
        <f>IF(J503="", "", IF(J503="Long Term", 12.5%,"as per slab"))</f>
        <v/>
      </c>
      <c r="L503" s="3">
        <f>+IFERROR(IF(J503="","",H503*K503),"as per slab")</f>
        <v/>
      </c>
    </row>
    <row r="504">
      <c r="A504" s="7" t="n"/>
      <c r="B504" s="7" t="n"/>
      <c r="C504" s="8" t="n"/>
      <c r="D504" s="9" t="n"/>
      <c r="E504" s="8" t="n"/>
      <c r="F504" s="9" t="n"/>
      <c r="G504" s="9" t="n"/>
      <c r="H504" s="3">
        <f>IF(AND(D504&lt;&gt;"",F504&lt;&gt;""),F504-D504-G504,"")</f>
        <v/>
      </c>
      <c r="I504" s="14">
        <f>IF(E504&lt;&gt;"", YEARFRAC(C504, E504) * 12, "")</f>
        <v/>
      </c>
      <c r="J504" s="2">
        <f>IF(I504="", "", IF(OR(AND(A504="Listed Equity Shares", I504&gt;12), AND(A504="Unlisted Equity Shares", I504&gt;24)), "Long Term", "Short Term"))</f>
        <v/>
      </c>
      <c r="K504" s="5">
        <f>IF(J504="", "", IF(J504="Long Term", 12.5%,"as per slab"))</f>
        <v/>
      </c>
      <c r="L504" s="3">
        <f>+IFERROR(IF(J504="","",H504*K504),"as per slab")</f>
        <v/>
      </c>
    </row>
    <row r="505">
      <c r="A505" s="7" t="n"/>
      <c r="B505" s="7" t="n"/>
      <c r="C505" s="8" t="n"/>
      <c r="D505" s="9" t="n"/>
      <c r="E505" s="8" t="n"/>
      <c r="F505" s="9" t="n"/>
      <c r="G505" s="9" t="n"/>
      <c r="H505" s="3">
        <f>IF(AND(D505&lt;&gt;"",F505&lt;&gt;""),F505-D505-G505,"")</f>
        <v/>
      </c>
      <c r="I505" s="14">
        <f>IF(E505&lt;&gt;"", YEARFRAC(C505, E505) * 12, "")</f>
        <v/>
      </c>
      <c r="J505" s="2">
        <f>IF(I505="", "", IF(OR(AND(A505="Listed Equity Shares", I505&gt;12), AND(A505="Unlisted Equity Shares", I505&gt;24)), "Long Term", "Short Term"))</f>
        <v/>
      </c>
      <c r="K505" s="5">
        <f>IF(J505="", "", IF(J505="Long Term", 12.5%,"as per slab"))</f>
        <v/>
      </c>
      <c r="L505" s="3">
        <f>+IFERROR(IF(J505="","",H505*K505),"as per slab")</f>
        <v/>
      </c>
    </row>
    <row r="506">
      <c r="A506" s="7" t="n"/>
      <c r="B506" s="7" t="n"/>
      <c r="C506" s="8" t="n"/>
      <c r="D506" s="9" t="n"/>
      <c r="E506" s="8" t="n"/>
      <c r="F506" s="9" t="n"/>
      <c r="G506" s="9" t="n"/>
      <c r="H506" s="3">
        <f>IF(AND(D506&lt;&gt;"",F506&lt;&gt;""),F506-D506-G506,"")</f>
        <v/>
      </c>
      <c r="I506" s="14">
        <f>IF(E506&lt;&gt;"", YEARFRAC(C506, E506) * 12, "")</f>
        <v/>
      </c>
      <c r="J506" s="2">
        <f>IF(I506="", "", IF(OR(AND(A506="Listed Equity Shares", I506&gt;12), AND(A506="Unlisted Equity Shares", I506&gt;24)), "Long Term", "Short Term"))</f>
        <v/>
      </c>
      <c r="K506" s="5">
        <f>IF(J506="", "", IF(J506="Long Term", 12.5%,"as per slab"))</f>
        <v/>
      </c>
      <c r="L506" s="3">
        <f>+IFERROR(IF(J506="","",H506*K506),"as per slab")</f>
        <v/>
      </c>
    </row>
    <row r="507">
      <c r="A507" s="7" t="n"/>
      <c r="B507" s="7" t="n"/>
      <c r="C507" s="8" t="n"/>
      <c r="D507" s="9" t="n"/>
      <c r="E507" s="8" t="n"/>
      <c r="F507" s="9" t="n"/>
      <c r="G507" s="9" t="n"/>
      <c r="H507" s="3">
        <f>IF(AND(D507&lt;&gt;"",F507&lt;&gt;""),F507-D507-G507,"")</f>
        <v/>
      </c>
      <c r="I507" s="14">
        <f>IF(E507&lt;&gt;"", YEARFRAC(C507, E507) * 12, "")</f>
        <v/>
      </c>
      <c r="J507" s="2">
        <f>IF(I507="", "", IF(OR(AND(A507="Listed Equity Shares", I507&gt;12), AND(A507="Unlisted Equity Shares", I507&gt;24)), "Long Term", "Short Term"))</f>
        <v/>
      </c>
      <c r="K507" s="5">
        <f>IF(J507="", "", IF(J507="Long Term", 12.5%,"as per slab"))</f>
        <v/>
      </c>
      <c r="L507" s="3">
        <f>+IFERROR(IF(J507="","",H507*K507),"as per slab")</f>
        <v/>
      </c>
    </row>
    <row r="508">
      <c r="A508" s="7" t="n"/>
      <c r="B508" s="7" t="n"/>
      <c r="C508" s="8" t="n"/>
      <c r="D508" s="9" t="n"/>
      <c r="E508" s="8" t="n"/>
      <c r="F508" s="9" t="n"/>
      <c r="G508" s="9" t="n"/>
      <c r="H508" s="3">
        <f>IF(AND(D508&lt;&gt;"",F508&lt;&gt;""),F508-D508-G508,"")</f>
        <v/>
      </c>
      <c r="I508" s="14">
        <f>IF(E508&lt;&gt;"", YEARFRAC(C508, E508) * 12, "")</f>
        <v/>
      </c>
      <c r="J508" s="2">
        <f>IF(I508="", "", IF(OR(AND(A508="Listed Equity Shares", I508&gt;12), AND(A508="Unlisted Equity Shares", I508&gt;24)), "Long Term", "Short Term"))</f>
        <v/>
      </c>
      <c r="K508" s="5">
        <f>IF(J508="", "", IF(J508="Long Term", 12.5%,"as per slab"))</f>
        <v/>
      </c>
      <c r="L508" s="3">
        <f>+IFERROR(IF(J508="","",H508*K508),"as per slab")</f>
        <v/>
      </c>
    </row>
    <row r="509">
      <c r="A509" s="7" t="n"/>
      <c r="B509" s="7" t="n"/>
      <c r="C509" s="8" t="n"/>
      <c r="D509" s="9" t="n"/>
      <c r="E509" s="8" t="n"/>
      <c r="F509" s="9" t="n"/>
      <c r="G509" s="9" t="n"/>
      <c r="H509" s="3">
        <f>IF(AND(D509&lt;&gt;"",F509&lt;&gt;""),F509-D509-G509,"")</f>
        <v/>
      </c>
      <c r="I509" s="14">
        <f>IF(E509&lt;&gt;"", YEARFRAC(C509, E509) * 12, "")</f>
        <v/>
      </c>
      <c r="J509" s="2">
        <f>IF(I509="", "", IF(OR(AND(A509="Listed Equity Shares", I509&gt;12), AND(A509="Unlisted Equity Shares", I509&gt;24)), "Long Term", "Short Term"))</f>
        <v/>
      </c>
      <c r="K509" s="5">
        <f>IF(J509="", "", IF(J509="Long Term", 12.5%,"as per slab"))</f>
        <v/>
      </c>
      <c r="L509" s="3">
        <f>+IFERROR(IF(J509="","",H509*K509),"as per slab")</f>
        <v/>
      </c>
    </row>
    <row r="510">
      <c r="A510" s="7" t="n"/>
      <c r="B510" s="7" t="n"/>
      <c r="C510" s="8" t="n"/>
      <c r="D510" s="9" t="n"/>
      <c r="E510" s="8" t="n"/>
      <c r="F510" s="9" t="n"/>
      <c r="G510" s="9" t="n"/>
      <c r="H510" s="3">
        <f>IF(AND(D510&lt;&gt;"",F510&lt;&gt;""),F510-D510-G510,"")</f>
        <v/>
      </c>
      <c r="I510" s="14">
        <f>IF(E510&lt;&gt;"", YEARFRAC(C510, E510) * 12, "")</f>
        <v/>
      </c>
      <c r="J510" s="2">
        <f>IF(I510="", "", IF(OR(AND(A510="Listed Equity Shares", I510&gt;12), AND(A510="Unlisted Equity Shares", I510&gt;24)), "Long Term", "Short Term"))</f>
        <v/>
      </c>
      <c r="K510" s="5">
        <f>IF(J510="", "", IF(J510="Long Term", 12.5%,"as per slab"))</f>
        <v/>
      </c>
      <c r="L510" s="3">
        <f>+IFERROR(IF(J510="","",H510*K510),"as per slab")</f>
        <v/>
      </c>
    </row>
    <row r="511">
      <c r="A511" s="7" t="n"/>
      <c r="B511" s="7" t="n"/>
      <c r="C511" s="8" t="n"/>
      <c r="D511" s="9" t="n"/>
      <c r="E511" s="8" t="n"/>
      <c r="F511" s="9" t="n"/>
      <c r="G511" s="9" t="n"/>
      <c r="H511" s="3">
        <f>IF(AND(D511&lt;&gt;"",F511&lt;&gt;""),F511-D511-G511,"")</f>
        <v/>
      </c>
      <c r="I511" s="14">
        <f>IF(E511&lt;&gt;"", YEARFRAC(C511, E511) * 12, "")</f>
        <v/>
      </c>
      <c r="J511" s="2">
        <f>IF(I511="", "", IF(OR(AND(A511="Listed Equity Shares", I511&gt;12), AND(A511="Unlisted Equity Shares", I511&gt;24)), "Long Term", "Short Term"))</f>
        <v/>
      </c>
      <c r="K511" s="5">
        <f>IF(J511="", "", IF(J511="Long Term", 12.5%,"as per slab"))</f>
        <v/>
      </c>
      <c r="L511" s="3">
        <f>+IFERROR(IF(J511="","",H511*K511),"as per slab")</f>
        <v/>
      </c>
    </row>
    <row r="512">
      <c r="A512" s="7" t="n"/>
      <c r="B512" s="7" t="n"/>
      <c r="C512" s="8" t="n"/>
      <c r="D512" s="9" t="n"/>
      <c r="E512" s="8" t="n"/>
      <c r="F512" s="9" t="n"/>
      <c r="G512" s="9" t="n"/>
      <c r="H512" s="3">
        <f>IF(AND(D512&lt;&gt;"",F512&lt;&gt;""),F512-D512-G512,"")</f>
        <v/>
      </c>
      <c r="I512" s="14">
        <f>IF(E512&lt;&gt;"", YEARFRAC(C512, E512) * 12, "")</f>
        <v/>
      </c>
      <c r="J512" s="2">
        <f>IF(I512="", "", IF(OR(AND(A512="Listed Equity Shares", I512&gt;12), AND(A512="Unlisted Equity Shares", I512&gt;24)), "Long Term", "Short Term"))</f>
        <v/>
      </c>
      <c r="K512" s="5">
        <f>IF(J512="", "", IF(J512="Long Term", 12.5%,"as per slab"))</f>
        <v/>
      </c>
      <c r="L512" s="3">
        <f>+IFERROR(IF(J512="","",H512*K512),"as per slab")</f>
        <v/>
      </c>
    </row>
    <row r="513">
      <c r="A513" s="7" t="n"/>
      <c r="B513" s="7" t="n"/>
      <c r="C513" s="8" t="n"/>
      <c r="D513" s="9" t="n"/>
      <c r="E513" s="8" t="n"/>
      <c r="F513" s="9" t="n"/>
      <c r="G513" s="9" t="n"/>
      <c r="H513" s="3">
        <f>IF(AND(D513&lt;&gt;"",F513&lt;&gt;""),F513-D513-G513,"")</f>
        <v/>
      </c>
      <c r="I513" s="14">
        <f>IF(E513&lt;&gt;"", YEARFRAC(C513, E513) * 12, "")</f>
        <v/>
      </c>
      <c r="J513" s="2">
        <f>IF(I513="", "", IF(OR(AND(A513="Listed Equity Shares", I513&gt;12), AND(A513="Unlisted Equity Shares", I513&gt;24)), "Long Term", "Short Term"))</f>
        <v/>
      </c>
      <c r="K513" s="5">
        <f>IF(J513="", "", IF(J513="Long Term", 12.5%,"as per slab"))</f>
        <v/>
      </c>
      <c r="L513" s="3">
        <f>+IFERROR(IF(J513="","",H513*K513),"as per slab")</f>
        <v/>
      </c>
    </row>
    <row r="514">
      <c r="A514" s="7" t="n"/>
      <c r="B514" s="7" t="n"/>
      <c r="C514" s="8" t="n"/>
      <c r="D514" s="9" t="n"/>
      <c r="E514" s="8" t="n"/>
      <c r="F514" s="9" t="n"/>
      <c r="G514" s="9" t="n"/>
      <c r="H514" s="3">
        <f>IF(AND(D514&lt;&gt;"",F514&lt;&gt;""),F514-D514-G514,"")</f>
        <v/>
      </c>
      <c r="I514" s="14">
        <f>IF(E514&lt;&gt;"", YEARFRAC(C514, E514) * 12, "")</f>
        <v/>
      </c>
      <c r="J514" s="2">
        <f>IF(I514="", "", IF(OR(AND(A514="Listed Equity Shares", I514&gt;12), AND(A514="Unlisted Equity Shares", I514&gt;24)), "Long Term", "Short Term"))</f>
        <v/>
      </c>
      <c r="K514" s="5">
        <f>IF(J514="", "", IF(J514="Long Term", 12.5%,"as per slab"))</f>
        <v/>
      </c>
      <c r="L514" s="3">
        <f>+IFERROR(IF(J514="","",H514*K514),"as per slab")</f>
        <v/>
      </c>
    </row>
    <row r="515">
      <c r="A515" s="7" t="n"/>
      <c r="B515" s="7" t="n"/>
      <c r="C515" s="8" t="n"/>
      <c r="D515" s="9" t="n"/>
      <c r="E515" s="8" t="n"/>
      <c r="F515" s="9" t="n"/>
      <c r="G515" s="9" t="n"/>
      <c r="H515" s="3">
        <f>IF(AND(D515&lt;&gt;"",F515&lt;&gt;""),F515-D515-G515,"")</f>
        <v/>
      </c>
      <c r="I515" s="14">
        <f>IF(E515&lt;&gt;"", YEARFRAC(C515, E515) * 12, "")</f>
        <v/>
      </c>
      <c r="J515" s="2">
        <f>IF(I515="", "", IF(OR(AND(A515="Listed Equity Shares", I515&gt;12), AND(A515="Unlisted Equity Shares", I515&gt;24)), "Long Term", "Short Term"))</f>
        <v/>
      </c>
      <c r="K515" s="5">
        <f>IF(J515="", "", IF(J515="Long Term", 12.5%,"as per slab"))</f>
        <v/>
      </c>
      <c r="L515" s="3">
        <f>+IFERROR(IF(J515="","",H515*K515),"as per slab")</f>
        <v/>
      </c>
    </row>
    <row r="516">
      <c r="A516" s="7" t="n"/>
      <c r="B516" s="7" t="n"/>
      <c r="C516" s="8" t="n"/>
      <c r="D516" s="9" t="n"/>
      <c r="E516" s="8" t="n"/>
      <c r="F516" s="9" t="n"/>
      <c r="G516" s="9" t="n"/>
      <c r="H516" s="3">
        <f>IF(AND(D516&lt;&gt;"",F516&lt;&gt;""),F516-D516-G516,"")</f>
        <v/>
      </c>
      <c r="I516" s="14">
        <f>IF(E516&lt;&gt;"", YEARFRAC(C516, E516) * 12, "")</f>
        <v/>
      </c>
      <c r="J516" s="2">
        <f>IF(I516="", "", IF(OR(AND(A516="Listed Equity Shares", I516&gt;12), AND(A516="Unlisted Equity Shares", I516&gt;24)), "Long Term", "Short Term"))</f>
        <v/>
      </c>
      <c r="K516" s="5">
        <f>IF(J516="", "", IF(J516="Long Term", 12.5%,"as per slab"))</f>
        <v/>
      </c>
      <c r="L516" s="3">
        <f>+IFERROR(IF(J516="","",H516*K516),"as per slab")</f>
        <v/>
      </c>
    </row>
    <row r="517">
      <c r="A517" s="7" t="n"/>
      <c r="B517" s="7" t="n"/>
      <c r="C517" s="8" t="n"/>
      <c r="D517" s="9" t="n"/>
      <c r="E517" s="8" t="n"/>
      <c r="F517" s="9" t="n"/>
      <c r="G517" s="9" t="n"/>
      <c r="H517" s="3">
        <f>IF(AND(D517&lt;&gt;"",F517&lt;&gt;""),F517-D517-G517,"")</f>
        <v/>
      </c>
      <c r="I517" s="14">
        <f>IF(E517&lt;&gt;"", YEARFRAC(C517, E517) * 12, "")</f>
        <v/>
      </c>
      <c r="J517" s="2">
        <f>IF(I517="", "", IF(OR(AND(A517="Listed Equity Shares", I517&gt;12), AND(A517="Unlisted Equity Shares", I517&gt;24)), "Long Term", "Short Term"))</f>
        <v/>
      </c>
      <c r="K517" s="5">
        <f>IF(J517="", "", IF(J517="Long Term", 12.5%,"as per slab"))</f>
        <v/>
      </c>
      <c r="L517" s="3">
        <f>+IFERROR(IF(J517="","",H517*K517),"as per slab")</f>
        <v/>
      </c>
    </row>
    <row r="518">
      <c r="A518" s="7" t="n"/>
      <c r="B518" s="7" t="n"/>
      <c r="C518" s="8" t="n"/>
      <c r="D518" s="9" t="n"/>
      <c r="E518" s="8" t="n"/>
      <c r="F518" s="9" t="n"/>
      <c r="G518" s="9" t="n"/>
      <c r="H518" s="3">
        <f>IF(AND(D518&lt;&gt;"",F518&lt;&gt;""),F518-D518-G518,"")</f>
        <v/>
      </c>
      <c r="I518" s="14">
        <f>IF(E518&lt;&gt;"", YEARFRAC(C518, E518) * 12, "")</f>
        <v/>
      </c>
      <c r="J518" s="2">
        <f>IF(I518="", "", IF(OR(AND(A518="Listed Equity Shares", I518&gt;12), AND(A518="Unlisted Equity Shares", I518&gt;24)), "Long Term", "Short Term"))</f>
        <v/>
      </c>
      <c r="K518" s="5">
        <f>IF(J518="", "", IF(J518="Long Term", 12.5%,"as per slab"))</f>
        <v/>
      </c>
      <c r="L518" s="3">
        <f>+IFERROR(IF(J518="","",H518*K518),"as per slab")</f>
        <v/>
      </c>
    </row>
    <row r="519">
      <c r="A519" s="7" t="n"/>
      <c r="B519" s="7" t="n"/>
      <c r="C519" s="8" t="n"/>
      <c r="D519" s="9" t="n"/>
      <c r="E519" s="8" t="n"/>
      <c r="F519" s="9" t="n"/>
      <c r="G519" s="9" t="n"/>
      <c r="H519" s="3">
        <f>IF(AND(D519&lt;&gt;"",F519&lt;&gt;""),F519-D519-G519,"")</f>
        <v/>
      </c>
      <c r="I519" s="14">
        <f>IF(E519&lt;&gt;"", YEARFRAC(C519, E519) * 12, "")</f>
        <v/>
      </c>
      <c r="J519" s="2">
        <f>IF(I519="", "", IF(OR(AND(A519="Listed Equity Shares", I519&gt;12), AND(A519="Unlisted Equity Shares", I519&gt;24)), "Long Term", "Short Term"))</f>
        <v/>
      </c>
      <c r="K519" s="5">
        <f>IF(J519="", "", IF(J519="Long Term", 12.5%,"as per slab"))</f>
        <v/>
      </c>
      <c r="L519" s="3">
        <f>+IFERROR(IF(J519="","",H519*K519),"as per slab")</f>
        <v/>
      </c>
    </row>
    <row r="520">
      <c r="A520" s="7" t="n"/>
      <c r="B520" s="7" t="n"/>
      <c r="C520" s="8" t="n"/>
      <c r="D520" s="9" t="n"/>
      <c r="E520" s="8" t="n"/>
      <c r="F520" s="9" t="n"/>
      <c r="G520" s="9" t="n"/>
      <c r="H520" s="3">
        <f>IF(AND(D520&lt;&gt;"",F520&lt;&gt;""),F520-D520-G520,"")</f>
        <v/>
      </c>
      <c r="I520" s="14">
        <f>IF(E520&lt;&gt;"", YEARFRAC(C520, E520) * 12, "")</f>
        <v/>
      </c>
      <c r="J520" s="2">
        <f>IF(I520="", "", IF(OR(AND(A520="Listed Equity Shares", I520&gt;12), AND(A520="Unlisted Equity Shares", I520&gt;24)), "Long Term", "Short Term"))</f>
        <v/>
      </c>
      <c r="K520" s="5">
        <f>IF(J520="", "", IF(J520="Long Term", 12.5%,"as per slab"))</f>
        <v/>
      </c>
      <c r="L520" s="3">
        <f>+IFERROR(IF(J520="","",H520*K520),"as per slab")</f>
        <v/>
      </c>
    </row>
    <row r="521">
      <c r="A521" s="7" t="n"/>
      <c r="B521" s="7" t="n"/>
      <c r="C521" s="8" t="n"/>
      <c r="D521" s="9" t="n"/>
      <c r="E521" s="8" t="n"/>
      <c r="F521" s="9" t="n"/>
      <c r="G521" s="9" t="n"/>
      <c r="H521" s="3">
        <f>IF(AND(D521&lt;&gt;"",F521&lt;&gt;""),F521-D521-G521,"")</f>
        <v/>
      </c>
      <c r="I521" s="14">
        <f>IF(E521&lt;&gt;"", YEARFRAC(C521, E521) * 12, "")</f>
        <v/>
      </c>
      <c r="J521" s="2">
        <f>IF(I521="", "", IF(OR(AND(A521="Listed Equity Shares", I521&gt;12), AND(A521="Unlisted Equity Shares", I521&gt;24)), "Long Term", "Short Term"))</f>
        <v/>
      </c>
      <c r="K521" s="5">
        <f>IF(J521="", "", IF(J521="Long Term", 12.5%,"as per slab"))</f>
        <v/>
      </c>
      <c r="L521" s="3">
        <f>+IFERROR(IF(J521="","",H521*K521),"as per slab")</f>
        <v/>
      </c>
    </row>
    <row r="522">
      <c r="A522" s="7" t="n"/>
      <c r="B522" s="7" t="n"/>
      <c r="C522" s="8" t="n"/>
      <c r="D522" s="9" t="n"/>
      <c r="E522" s="8" t="n"/>
      <c r="F522" s="9" t="n"/>
      <c r="G522" s="9" t="n"/>
      <c r="H522" s="3">
        <f>IF(AND(D522&lt;&gt;"",F522&lt;&gt;""),F522-D522-G522,"")</f>
        <v/>
      </c>
      <c r="I522" s="14">
        <f>IF(E522&lt;&gt;"", YEARFRAC(C522, E522) * 12, "")</f>
        <v/>
      </c>
      <c r="J522" s="2">
        <f>IF(I522="", "", IF(OR(AND(A522="Listed Equity Shares", I522&gt;12), AND(A522="Unlisted Equity Shares", I522&gt;24)), "Long Term", "Short Term"))</f>
        <v/>
      </c>
      <c r="K522" s="5">
        <f>IF(J522="", "", IF(J522="Long Term", 12.5%,"as per slab"))</f>
        <v/>
      </c>
      <c r="L522" s="3">
        <f>+IFERROR(IF(J522="","",H522*K522),"as per slab")</f>
        <v/>
      </c>
    </row>
    <row r="523">
      <c r="A523" s="7" t="n"/>
      <c r="B523" s="7" t="n"/>
      <c r="C523" s="8" t="n"/>
      <c r="D523" s="9" t="n"/>
      <c r="E523" s="8" t="n"/>
      <c r="F523" s="9" t="n"/>
      <c r="G523" s="9" t="n"/>
      <c r="H523" s="3">
        <f>IF(AND(D523&lt;&gt;"",F523&lt;&gt;""),F523-D523-G523,"")</f>
        <v/>
      </c>
      <c r="I523" s="14">
        <f>IF(E523&lt;&gt;"", YEARFRAC(C523, E523) * 12, "")</f>
        <v/>
      </c>
      <c r="J523" s="2">
        <f>IF(I523="", "", IF(OR(AND(A523="Listed Equity Shares", I523&gt;12), AND(A523="Unlisted Equity Shares", I523&gt;24)), "Long Term", "Short Term"))</f>
        <v/>
      </c>
      <c r="K523" s="5">
        <f>IF(J523="", "", IF(J523="Long Term", 12.5%,"as per slab"))</f>
        <v/>
      </c>
      <c r="L523" s="3">
        <f>+IFERROR(IF(J523="","",H523*K523),"as per slab")</f>
        <v/>
      </c>
    </row>
    <row r="524">
      <c r="A524" s="7" t="n"/>
      <c r="B524" s="7" t="n"/>
      <c r="C524" s="8" t="n"/>
      <c r="D524" s="9" t="n"/>
      <c r="E524" s="8" t="n"/>
      <c r="F524" s="9" t="n"/>
      <c r="G524" s="9" t="n"/>
      <c r="H524" s="3">
        <f>IF(AND(D524&lt;&gt;"",F524&lt;&gt;""),F524-D524-G524,"")</f>
        <v/>
      </c>
      <c r="I524" s="14">
        <f>IF(E524&lt;&gt;"", YEARFRAC(C524, E524) * 12, "")</f>
        <v/>
      </c>
      <c r="J524" s="2">
        <f>IF(I524="", "", IF(OR(AND(A524="Listed Equity Shares", I524&gt;12), AND(A524="Unlisted Equity Shares", I524&gt;24)), "Long Term", "Short Term"))</f>
        <v/>
      </c>
      <c r="K524" s="5">
        <f>IF(J524="", "", IF(J524="Long Term", 12.5%,"as per slab"))</f>
        <v/>
      </c>
      <c r="L524" s="3">
        <f>+IFERROR(IF(J524="","",H524*K524),"as per slab")</f>
        <v/>
      </c>
    </row>
    <row r="525">
      <c r="A525" s="7" t="n"/>
      <c r="B525" s="7" t="n"/>
      <c r="C525" s="8" t="n"/>
      <c r="D525" s="9" t="n"/>
      <c r="E525" s="8" t="n"/>
      <c r="F525" s="9" t="n"/>
      <c r="G525" s="9" t="n"/>
      <c r="H525" s="3">
        <f>IF(AND(D525&lt;&gt;"",F525&lt;&gt;""),F525-D525-G525,"")</f>
        <v/>
      </c>
      <c r="I525" s="14">
        <f>IF(E525&lt;&gt;"", YEARFRAC(C525, E525) * 12, "")</f>
        <v/>
      </c>
      <c r="J525" s="2">
        <f>IF(I525="", "", IF(OR(AND(A525="Listed Equity Shares", I525&gt;12), AND(A525="Unlisted Equity Shares", I525&gt;24)), "Long Term", "Short Term"))</f>
        <v/>
      </c>
      <c r="K525" s="5">
        <f>IF(J525="", "", IF(J525="Long Term", 12.5%,"as per slab"))</f>
        <v/>
      </c>
      <c r="L525" s="3">
        <f>+IFERROR(IF(J525="","",H525*K525),"as per slab")</f>
        <v/>
      </c>
    </row>
    <row r="526">
      <c r="A526" s="7" t="n"/>
      <c r="B526" s="7" t="n"/>
      <c r="C526" s="8" t="n"/>
      <c r="D526" s="9" t="n"/>
      <c r="E526" s="8" t="n"/>
      <c r="F526" s="9" t="n"/>
      <c r="G526" s="9" t="n"/>
      <c r="H526" s="3">
        <f>IF(AND(D526&lt;&gt;"",F526&lt;&gt;""),F526-D526-G526,"")</f>
        <v/>
      </c>
      <c r="I526" s="14">
        <f>IF(E526&lt;&gt;"", YEARFRAC(C526, E526) * 12, "")</f>
        <v/>
      </c>
      <c r="J526" s="2">
        <f>IF(I526="", "", IF(OR(AND(A526="Listed Equity Shares", I526&gt;12), AND(A526="Unlisted Equity Shares", I526&gt;24)), "Long Term", "Short Term"))</f>
        <v/>
      </c>
      <c r="K526" s="5">
        <f>IF(J526="", "", IF(J526="Long Term", 12.5%,"as per slab"))</f>
        <v/>
      </c>
      <c r="L526" s="3">
        <f>+IFERROR(IF(J526="","",H526*K526),"as per slab")</f>
        <v/>
      </c>
    </row>
    <row r="527">
      <c r="A527" s="7" t="n"/>
      <c r="B527" s="7" t="n"/>
      <c r="C527" s="8" t="n"/>
      <c r="D527" s="9" t="n"/>
      <c r="E527" s="8" t="n"/>
      <c r="F527" s="9" t="n"/>
      <c r="G527" s="9" t="n"/>
      <c r="H527" s="3">
        <f>IF(AND(D527&lt;&gt;"",F527&lt;&gt;""),F527-D527-G527,"")</f>
        <v/>
      </c>
      <c r="I527" s="14">
        <f>IF(E527&lt;&gt;"", YEARFRAC(C527, E527) * 12, "")</f>
        <v/>
      </c>
      <c r="J527" s="2">
        <f>IF(I527="", "", IF(OR(AND(A527="Listed Equity Shares", I527&gt;12), AND(A527="Unlisted Equity Shares", I527&gt;24)), "Long Term", "Short Term"))</f>
        <v/>
      </c>
      <c r="K527" s="5">
        <f>IF(J527="", "", IF(J527="Long Term", 12.5%,"as per slab"))</f>
        <v/>
      </c>
      <c r="L527" s="3">
        <f>+IFERROR(IF(J527="","",H527*K527),"as per slab")</f>
        <v/>
      </c>
    </row>
    <row r="528">
      <c r="A528" s="7" t="n"/>
      <c r="B528" s="7" t="n"/>
      <c r="C528" s="8" t="n"/>
      <c r="D528" s="9" t="n"/>
      <c r="E528" s="8" t="n"/>
      <c r="F528" s="9" t="n"/>
      <c r="G528" s="9" t="n"/>
      <c r="H528" s="3">
        <f>IF(AND(D528&lt;&gt;"",F528&lt;&gt;""),F528-D528-G528,"")</f>
        <v/>
      </c>
      <c r="I528" s="14">
        <f>IF(E528&lt;&gt;"", YEARFRAC(C528, E528) * 12, "")</f>
        <v/>
      </c>
      <c r="J528" s="2">
        <f>IF(I528="", "", IF(OR(AND(A528="Listed Equity Shares", I528&gt;12), AND(A528="Unlisted Equity Shares", I528&gt;24)), "Long Term", "Short Term"))</f>
        <v/>
      </c>
      <c r="K528" s="5">
        <f>IF(J528="", "", IF(J528="Long Term", 12.5%,"as per slab"))</f>
        <v/>
      </c>
      <c r="L528" s="3">
        <f>+IFERROR(IF(J528="","",H528*K528),"as per slab")</f>
        <v/>
      </c>
    </row>
    <row r="529">
      <c r="A529" s="7" t="n"/>
      <c r="B529" s="7" t="n"/>
      <c r="C529" s="8" t="n"/>
      <c r="D529" s="9" t="n"/>
      <c r="E529" s="8" t="n"/>
      <c r="F529" s="9" t="n"/>
      <c r="G529" s="9" t="n"/>
      <c r="H529" s="3">
        <f>IF(AND(D529&lt;&gt;"",F529&lt;&gt;""),F529-D529-G529,"")</f>
        <v/>
      </c>
      <c r="I529" s="14">
        <f>IF(E529&lt;&gt;"", YEARFRAC(C529, E529) * 12, "")</f>
        <v/>
      </c>
      <c r="J529" s="2">
        <f>IF(I529="", "", IF(OR(AND(A529="Listed Equity Shares", I529&gt;12), AND(A529="Unlisted Equity Shares", I529&gt;24)), "Long Term", "Short Term"))</f>
        <v/>
      </c>
      <c r="K529" s="5">
        <f>IF(J529="", "", IF(J529="Long Term", 12.5%,"as per slab"))</f>
        <v/>
      </c>
      <c r="L529" s="3">
        <f>+IFERROR(IF(J529="","",H529*K529),"as per slab")</f>
        <v/>
      </c>
    </row>
    <row r="530">
      <c r="A530" s="7" t="n"/>
      <c r="B530" s="7" t="n"/>
      <c r="C530" s="8" t="n"/>
      <c r="D530" s="9" t="n"/>
      <c r="E530" s="8" t="n"/>
      <c r="F530" s="9" t="n"/>
      <c r="G530" s="9" t="n"/>
      <c r="H530" s="3">
        <f>IF(AND(D530&lt;&gt;"",F530&lt;&gt;""),F530-D530-G530,"")</f>
        <v/>
      </c>
      <c r="I530" s="14">
        <f>IF(E530&lt;&gt;"", YEARFRAC(C530, E530) * 12, "")</f>
        <v/>
      </c>
      <c r="J530" s="2">
        <f>IF(I530="", "", IF(OR(AND(A530="Listed Equity Shares", I530&gt;12), AND(A530="Unlisted Equity Shares", I530&gt;24)), "Long Term", "Short Term"))</f>
        <v/>
      </c>
      <c r="K530" s="5">
        <f>IF(J530="", "", IF(J530="Long Term", 12.5%,"as per slab"))</f>
        <v/>
      </c>
      <c r="L530" s="3">
        <f>+IFERROR(IF(J530="","",H530*K530),"as per slab")</f>
        <v/>
      </c>
    </row>
    <row r="531">
      <c r="A531" s="7" t="n"/>
      <c r="B531" s="7" t="n"/>
      <c r="C531" s="8" t="n"/>
      <c r="D531" s="9" t="n"/>
      <c r="E531" s="8" t="n"/>
      <c r="F531" s="9" t="n"/>
      <c r="G531" s="9" t="n"/>
      <c r="H531" s="3">
        <f>IF(AND(D531&lt;&gt;"",F531&lt;&gt;""),F531-D531-G531,"")</f>
        <v/>
      </c>
      <c r="I531" s="14">
        <f>IF(E531&lt;&gt;"", YEARFRAC(C531, E531) * 12, "")</f>
        <v/>
      </c>
      <c r="J531" s="2">
        <f>IF(I531="", "", IF(OR(AND(A531="Listed Equity Shares", I531&gt;12), AND(A531="Unlisted Equity Shares", I531&gt;24)), "Long Term", "Short Term"))</f>
        <v/>
      </c>
      <c r="K531" s="5">
        <f>IF(J531="", "", IF(J531="Long Term", 12.5%,"as per slab"))</f>
        <v/>
      </c>
      <c r="L531" s="3">
        <f>+IFERROR(IF(J531="","",H531*K531),"as per slab")</f>
        <v/>
      </c>
    </row>
    <row r="532">
      <c r="A532" s="7" t="n"/>
      <c r="B532" s="7" t="n"/>
      <c r="C532" s="8" t="n"/>
      <c r="D532" s="9" t="n"/>
      <c r="E532" s="8" t="n"/>
      <c r="F532" s="9" t="n"/>
      <c r="G532" s="9" t="n"/>
      <c r="H532" s="3">
        <f>IF(AND(D532&lt;&gt;"",F532&lt;&gt;""),F532-D532-G532,"")</f>
        <v/>
      </c>
      <c r="I532" s="14">
        <f>IF(E532&lt;&gt;"", YEARFRAC(C532, E532) * 12, "")</f>
        <v/>
      </c>
      <c r="J532" s="2">
        <f>IF(I532="", "", IF(OR(AND(A532="Listed Equity Shares", I532&gt;12), AND(A532="Unlisted Equity Shares", I532&gt;24)), "Long Term", "Short Term"))</f>
        <v/>
      </c>
      <c r="K532" s="5">
        <f>IF(J532="", "", IF(J532="Long Term", 12.5%,"as per slab"))</f>
        <v/>
      </c>
      <c r="L532" s="3">
        <f>+IFERROR(IF(J532="","",H532*K532),"as per slab")</f>
        <v/>
      </c>
    </row>
    <row r="533">
      <c r="A533" s="7" t="n"/>
      <c r="B533" s="7" t="n"/>
      <c r="C533" s="8" t="n"/>
      <c r="D533" s="9" t="n"/>
      <c r="E533" s="8" t="n"/>
      <c r="F533" s="9" t="n"/>
      <c r="G533" s="9" t="n"/>
      <c r="H533" s="3">
        <f>IF(AND(D533&lt;&gt;"",F533&lt;&gt;""),F533-D533-G533,"")</f>
        <v/>
      </c>
      <c r="I533" s="14">
        <f>IF(E533&lt;&gt;"", YEARFRAC(C533, E533) * 12, "")</f>
        <v/>
      </c>
      <c r="J533" s="2">
        <f>IF(I533="", "", IF(OR(AND(A533="Listed Equity Shares", I533&gt;12), AND(A533="Unlisted Equity Shares", I533&gt;24)), "Long Term", "Short Term"))</f>
        <v/>
      </c>
      <c r="K533" s="5">
        <f>IF(J533="", "", IF(J533="Long Term", 12.5%,"as per slab"))</f>
        <v/>
      </c>
      <c r="L533" s="3">
        <f>+IFERROR(IF(J533="","",H533*K533),"as per slab")</f>
        <v/>
      </c>
    </row>
    <row r="534">
      <c r="A534" s="7" t="n"/>
      <c r="B534" s="7" t="n"/>
      <c r="C534" s="8" t="n"/>
      <c r="D534" s="9" t="n"/>
      <c r="E534" s="8" t="n"/>
      <c r="F534" s="9" t="n"/>
      <c r="G534" s="9" t="n"/>
      <c r="H534" s="3">
        <f>IF(AND(D534&lt;&gt;"",F534&lt;&gt;""),F534-D534-G534,"")</f>
        <v/>
      </c>
      <c r="I534" s="14">
        <f>IF(E534&lt;&gt;"", YEARFRAC(C534, E534) * 12, "")</f>
        <v/>
      </c>
      <c r="J534" s="2">
        <f>IF(I534="", "", IF(OR(AND(A534="Listed Equity Shares", I534&gt;12), AND(A534="Unlisted Equity Shares", I534&gt;24)), "Long Term", "Short Term"))</f>
        <v/>
      </c>
      <c r="K534" s="5">
        <f>IF(J534="", "", IF(J534="Long Term", 12.5%,"as per slab"))</f>
        <v/>
      </c>
      <c r="L534" s="3">
        <f>+IFERROR(IF(J534="","",H534*K534),"as per slab")</f>
        <v/>
      </c>
    </row>
    <row r="535">
      <c r="A535" s="7" t="n"/>
      <c r="B535" s="7" t="n"/>
      <c r="C535" s="8" t="n"/>
      <c r="D535" s="9" t="n"/>
      <c r="E535" s="8" t="n"/>
      <c r="F535" s="9" t="n"/>
      <c r="G535" s="9" t="n"/>
      <c r="H535" s="3">
        <f>IF(AND(D535&lt;&gt;"",F535&lt;&gt;""),F535-D535-G535,"")</f>
        <v/>
      </c>
      <c r="I535" s="14">
        <f>IF(E535&lt;&gt;"", YEARFRAC(C535, E535) * 12, "")</f>
        <v/>
      </c>
      <c r="J535" s="2">
        <f>IF(I535="", "", IF(OR(AND(A535="Listed Equity Shares", I535&gt;12), AND(A535="Unlisted Equity Shares", I535&gt;24)), "Long Term", "Short Term"))</f>
        <v/>
      </c>
      <c r="K535" s="5">
        <f>IF(J535="", "", IF(J535="Long Term", 12.5%,"as per slab"))</f>
        <v/>
      </c>
      <c r="L535" s="3">
        <f>+IFERROR(IF(J535="","",H535*K535),"as per slab")</f>
        <v/>
      </c>
    </row>
    <row r="536">
      <c r="A536" s="7" t="n"/>
      <c r="B536" s="7" t="n"/>
      <c r="C536" s="8" t="n"/>
      <c r="D536" s="9" t="n"/>
      <c r="E536" s="8" t="n"/>
      <c r="F536" s="9" t="n"/>
      <c r="G536" s="9" t="n"/>
      <c r="H536" s="3">
        <f>IF(AND(D536&lt;&gt;"",F536&lt;&gt;""),F536-D536-G536,"")</f>
        <v/>
      </c>
      <c r="I536" s="14">
        <f>IF(E536&lt;&gt;"", YEARFRAC(C536, E536) * 12, "")</f>
        <v/>
      </c>
      <c r="J536" s="2">
        <f>IF(I536="", "", IF(OR(AND(A536="Listed Equity Shares", I536&gt;12), AND(A536="Unlisted Equity Shares", I536&gt;24)), "Long Term", "Short Term"))</f>
        <v/>
      </c>
      <c r="K536" s="5">
        <f>IF(J536="", "", IF(J536="Long Term", 12.5%,"as per slab"))</f>
        <v/>
      </c>
      <c r="L536" s="3">
        <f>+IFERROR(IF(J536="","",H536*K536),"as per slab")</f>
        <v/>
      </c>
    </row>
    <row r="537">
      <c r="A537" s="7" t="n"/>
      <c r="B537" s="7" t="n"/>
      <c r="C537" s="8" t="n"/>
      <c r="D537" s="9" t="n"/>
      <c r="E537" s="8" t="n"/>
      <c r="F537" s="9" t="n"/>
      <c r="G537" s="9" t="n"/>
      <c r="H537" s="3">
        <f>IF(AND(D537&lt;&gt;"",F537&lt;&gt;""),F537-D537-G537,"")</f>
        <v/>
      </c>
      <c r="I537" s="14">
        <f>IF(E537&lt;&gt;"", YEARFRAC(C537, E537) * 12, "")</f>
        <v/>
      </c>
      <c r="J537" s="2">
        <f>IF(I537="", "", IF(OR(AND(A537="Listed Equity Shares", I537&gt;12), AND(A537="Unlisted Equity Shares", I537&gt;24)), "Long Term", "Short Term"))</f>
        <v/>
      </c>
      <c r="K537" s="5">
        <f>IF(J537="", "", IF(J537="Long Term", 12.5%,"as per slab"))</f>
        <v/>
      </c>
      <c r="L537" s="3">
        <f>+IFERROR(IF(J537="","",H537*K537),"as per slab")</f>
        <v/>
      </c>
    </row>
    <row r="538">
      <c r="A538" s="7" t="n"/>
      <c r="B538" s="7" t="n"/>
      <c r="C538" s="8" t="n"/>
      <c r="D538" s="9" t="n"/>
      <c r="E538" s="8" t="n"/>
      <c r="F538" s="9" t="n"/>
      <c r="G538" s="9" t="n"/>
      <c r="H538" s="3">
        <f>IF(AND(D538&lt;&gt;"",F538&lt;&gt;""),F538-D538-G538,"")</f>
        <v/>
      </c>
      <c r="I538" s="14">
        <f>IF(E538&lt;&gt;"", YEARFRAC(C538, E538) * 12, "")</f>
        <v/>
      </c>
      <c r="J538" s="2">
        <f>IF(I538="", "", IF(OR(AND(A538="Listed Equity Shares", I538&gt;12), AND(A538="Unlisted Equity Shares", I538&gt;24)), "Long Term", "Short Term"))</f>
        <v/>
      </c>
      <c r="K538" s="5">
        <f>IF(J538="", "", IF(J538="Long Term", 12.5%,"as per slab"))</f>
        <v/>
      </c>
      <c r="L538" s="3">
        <f>+IFERROR(IF(J538="","",H538*K538),"as per slab")</f>
        <v/>
      </c>
    </row>
    <row r="539">
      <c r="A539" s="7" t="n"/>
      <c r="B539" s="7" t="n"/>
      <c r="C539" s="8" t="n"/>
      <c r="D539" s="9" t="n"/>
      <c r="E539" s="8" t="n"/>
      <c r="F539" s="9" t="n"/>
      <c r="G539" s="9" t="n"/>
      <c r="H539" s="3">
        <f>IF(AND(D539&lt;&gt;"",F539&lt;&gt;""),F539-D539-G539,"")</f>
        <v/>
      </c>
      <c r="I539" s="14">
        <f>IF(E539&lt;&gt;"", YEARFRAC(C539, E539) * 12, "")</f>
        <v/>
      </c>
      <c r="J539" s="2">
        <f>IF(I539="", "", IF(OR(AND(A539="Listed Equity Shares", I539&gt;12), AND(A539="Unlisted Equity Shares", I539&gt;24)), "Long Term", "Short Term"))</f>
        <v/>
      </c>
      <c r="K539" s="5">
        <f>IF(J539="", "", IF(J539="Long Term", 12.5%,"as per slab"))</f>
        <v/>
      </c>
      <c r="L539" s="3">
        <f>+IFERROR(IF(J539="","",H539*K539),"as per slab")</f>
        <v/>
      </c>
    </row>
    <row r="540">
      <c r="A540" s="7" t="n"/>
      <c r="B540" s="7" t="n"/>
      <c r="C540" s="8" t="n"/>
      <c r="D540" s="9" t="n"/>
      <c r="E540" s="8" t="n"/>
      <c r="F540" s="9" t="n"/>
      <c r="G540" s="9" t="n"/>
      <c r="H540" s="3">
        <f>IF(AND(D540&lt;&gt;"",F540&lt;&gt;""),F540-D540-G540,"")</f>
        <v/>
      </c>
      <c r="I540" s="14">
        <f>IF(E540&lt;&gt;"", YEARFRAC(C540, E540) * 12, "")</f>
        <v/>
      </c>
      <c r="J540" s="2">
        <f>IF(I540="", "", IF(OR(AND(A540="Listed Equity Shares", I540&gt;12), AND(A540="Unlisted Equity Shares", I540&gt;24)), "Long Term", "Short Term"))</f>
        <v/>
      </c>
      <c r="K540" s="5">
        <f>IF(J540="", "", IF(J540="Long Term", 12.5%,"as per slab"))</f>
        <v/>
      </c>
      <c r="L540" s="3">
        <f>+IFERROR(IF(J540="","",H540*K540),"as per slab")</f>
        <v/>
      </c>
    </row>
    <row r="541">
      <c r="A541" s="7" t="n"/>
      <c r="B541" s="7" t="n"/>
      <c r="C541" s="8" t="n"/>
      <c r="D541" s="9" t="n"/>
      <c r="E541" s="8" t="n"/>
      <c r="F541" s="9" t="n"/>
      <c r="G541" s="9" t="n"/>
      <c r="H541" s="3">
        <f>IF(AND(D541&lt;&gt;"",F541&lt;&gt;""),F541-D541-G541,"")</f>
        <v/>
      </c>
      <c r="I541" s="14">
        <f>IF(E541&lt;&gt;"", YEARFRAC(C541, E541) * 12, "")</f>
        <v/>
      </c>
      <c r="J541" s="2">
        <f>IF(I541="", "", IF(OR(AND(A541="Listed Equity Shares", I541&gt;12), AND(A541="Unlisted Equity Shares", I541&gt;24)), "Long Term", "Short Term"))</f>
        <v/>
      </c>
      <c r="K541" s="5">
        <f>IF(J541="", "", IF(J541="Long Term", 12.5%,"as per slab"))</f>
        <v/>
      </c>
      <c r="L541" s="3">
        <f>+IFERROR(IF(J541="","",H541*K541),"as per slab")</f>
        <v/>
      </c>
    </row>
    <row r="542">
      <c r="A542" s="7" t="n"/>
      <c r="B542" s="7" t="n"/>
      <c r="C542" s="8" t="n"/>
      <c r="D542" s="9" t="n"/>
      <c r="E542" s="8" t="n"/>
      <c r="F542" s="9" t="n"/>
      <c r="G542" s="9" t="n"/>
      <c r="H542" s="3">
        <f>IF(AND(D542&lt;&gt;"",F542&lt;&gt;""),F542-D542-G542,"")</f>
        <v/>
      </c>
      <c r="I542" s="14">
        <f>IF(E542&lt;&gt;"", YEARFRAC(C542, E542) * 12, "")</f>
        <v/>
      </c>
      <c r="J542" s="2">
        <f>IF(I542="", "", IF(OR(AND(A542="Listed Equity Shares", I542&gt;12), AND(A542="Unlisted Equity Shares", I542&gt;24)), "Long Term", "Short Term"))</f>
        <v/>
      </c>
      <c r="K542" s="5">
        <f>IF(J542="", "", IF(J542="Long Term", 12.5%,"as per slab"))</f>
        <v/>
      </c>
      <c r="L542" s="3">
        <f>+IFERROR(IF(J542="","",H542*K542),"as per slab")</f>
        <v/>
      </c>
    </row>
    <row r="543">
      <c r="A543" s="7" t="n"/>
      <c r="B543" s="7" t="n"/>
      <c r="C543" s="8" t="n"/>
      <c r="D543" s="9" t="n"/>
      <c r="E543" s="8" t="n"/>
      <c r="F543" s="9" t="n"/>
      <c r="G543" s="9" t="n"/>
      <c r="H543" s="3">
        <f>IF(AND(D543&lt;&gt;"",F543&lt;&gt;""),F543-D543-G543,"")</f>
        <v/>
      </c>
      <c r="I543" s="14">
        <f>IF(E543&lt;&gt;"", YEARFRAC(C543, E543) * 12, "")</f>
        <v/>
      </c>
      <c r="J543" s="2">
        <f>IF(I543="", "", IF(OR(AND(A543="Listed Equity Shares", I543&gt;12), AND(A543="Unlisted Equity Shares", I543&gt;24)), "Long Term", "Short Term"))</f>
        <v/>
      </c>
      <c r="K543" s="5">
        <f>IF(J543="", "", IF(J543="Long Term", 12.5%,"as per slab"))</f>
        <v/>
      </c>
      <c r="L543" s="3">
        <f>+IFERROR(IF(J543="","",H543*K543),"as per slab")</f>
        <v/>
      </c>
    </row>
    <row r="544">
      <c r="A544" s="7" t="n"/>
      <c r="B544" s="7" t="n"/>
      <c r="C544" s="8" t="n"/>
      <c r="D544" s="9" t="n"/>
      <c r="E544" s="8" t="n"/>
      <c r="F544" s="9" t="n"/>
      <c r="G544" s="9" t="n"/>
      <c r="H544" s="3">
        <f>IF(AND(D544&lt;&gt;"",F544&lt;&gt;""),F544-D544-G544,"")</f>
        <v/>
      </c>
      <c r="I544" s="14">
        <f>IF(E544&lt;&gt;"", YEARFRAC(C544, E544) * 12, "")</f>
        <v/>
      </c>
      <c r="J544" s="2">
        <f>IF(I544="", "", IF(OR(AND(A544="Listed Equity Shares", I544&gt;12), AND(A544="Unlisted Equity Shares", I544&gt;24)), "Long Term", "Short Term"))</f>
        <v/>
      </c>
      <c r="K544" s="5">
        <f>IF(J544="", "", IF(J544="Long Term", 12.5%,"as per slab"))</f>
        <v/>
      </c>
      <c r="L544" s="3">
        <f>+IFERROR(IF(J544="","",H544*K544),"as per slab")</f>
        <v/>
      </c>
    </row>
    <row r="545">
      <c r="A545" s="7" t="n"/>
      <c r="B545" s="7" t="n"/>
      <c r="C545" s="8" t="n"/>
      <c r="D545" s="9" t="n"/>
      <c r="E545" s="8" t="n"/>
      <c r="F545" s="9" t="n"/>
      <c r="G545" s="9" t="n"/>
      <c r="H545" s="3">
        <f>IF(AND(D545&lt;&gt;"",F545&lt;&gt;""),F545-D545-G545,"")</f>
        <v/>
      </c>
      <c r="I545" s="14">
        <f>IF(E545&lt;&gt;"", YEARFRAC(C545, E545) * 12, "")</f>
        <v/>
      </c>
      <c r="J545" s="2">
        <f>IF(I545="", "", IF(OR(AND(A545="Listed Equity Shares", I545&gt;12), AND(A545="Unlisted Equity Shares", I545&gt;24)), "Long Term", "Short Term"))</f>
        <v/>
      </c>
      <c r="K545" s="5">
        <f>IF(J545="", "", IF(J545="Long Term", 12.5%,"as per slab"))</f>
        <v/>
      </c>
      <c r="L545" s="3">
        <f>+IFERROR(IF(J545="","",H545*K545),"as per slab")</f>
        <v/>
      </c>
    </row>
    <row r="546">
      <c r="A546" s="7" t="n"/>
      <c r="B546" s="7" t="n"/>
      <c r="C546" s="8" t="n"/>
      <c r="D546" s="9" t="n"/>
      <c r="E546" s="8" t="n"/>
      <c r="F546" s="9" t="n"/>
      <c r="G546" s="9" t="n"/>
      <c r="H546" s="3">
        <f>IF(AND(D546&lt;&gt;"",F546&lt;&gt;""),F546-D546-G546,"")</f>
        <v/>
      </c>
      <c r="I546" s="14">
        <f>IF(E546&lt;&gt;"", YEARFRAC(C546, E546) * 12, "")</f>
        <v/>
      </c>
      <c r="J546" s="2">
        <f>IF(I546="", "", IF(OR(AND(A546="Listed Equity Shares", I546&gt;12), AND(A546="Unlisted Equity Shares", I546&gt;24)), "Long Term", "Short Term"))</f>
        <v/>
      </c>
      <c r="K546" s="5">
        <f>IF(J546="", "", IF(J546="Long Term", 12.5%,"as per slab"))</f>
        <v/>
      </c>
      <c r="L546" s="3">
        <f>+IFERROR(IF(J546="","",H546*K546),"as per slab")</f>
        <v/>
      </c>
    </row>
    <row r="547">
      <c r="A547" s="7" t="n"/>
      <c r="B547" s="7" t="n"/>
      <c r="C547" s="8" t="n"/>
      <c r="D547" s="9" t="n"/>
      <c r="E547" s="8" t="n"/>
      <c r="F547" s="9" t="n"/>
      <c r="G547" s="9" t="n"/>
      <c r="H547" s="3">
        <f>IF(AND(D547&lt;&gt;"",F547&lt;&gt;""),F547-D547-G547,"")</f>
        <v/>
      </c>
      <c r="I547" s="14">
        <f>IF(E547&lt;&gt;"", YEARFRAC(C547, E547) * 12, "")</f>
        <v/>
      </c>
      <c r="J547" s="2">
        <f>IF(I547="", "", IF(OR(AND(A547="Listed Equity Shares", I547&gt;12), AND(A547="Unlisted Equity Shares", I547&gt;24)), "Long Term", "Short Term"))</f>
        <v/>
      </c>
      <c r="K547" s="5">
        <f>IF(J547="", "", IF(J547="Long Term", 12.5%,"as per slab"))</f>
        <v/>
      </c>
      <c r="L547" s="3">
        <f>+IFERROR(IF(J547="","",H547*K547),"as per slab")</f>
        <v/>
      </c>
    </row>
    <row r="548">
      <c r="A548" s="7" t="n"/>
      <c r="B548" s="7" t="n"/>
      <c r="C548" s="8" t="n"/>
      <c r="D548" s="9" t="n"/>
      <c r="E548" s="8" t="n"/>
      <c r="F548" s="9" t="n"/>
      <c r="G548" s="9" t="n"/>
      <c r="H548" s="3">
        <f>IF(AND(D548&lt;&gt;"",F548&lt;&gt;""),F548-D548-G548,"")</f>
        <v/>
      </c>
      <c r="I548" s="14">
        <f>IF(E548&lt;&gt;"", YEARFRAC(C548, E548) * 12, "")</f>
        <v/>
      </c>
      <c r="J548" s="2">
        <f>IF(I548="", "", IF(OR(AND(A548="Listed Equity Shares", I548&gt;12), AND(A548="Unlisted Equity Shares", I548&gt;24)), "Long Term", "Short Term"))</f>
        <v/>
      </c>
      <c r="K548" s="5">
        <f>IF(J548="", "", IF(J548="Long Term", 12.5%,"as per slab"))</f>
        <v/>
      </c>
      <c r="L548" s="3">
        <f>+IFERROR(IF(J548="","",H548*K548),"as per slab")</f>
        <v/>
      </c>
    </row>
    <row r="549">
      <c r="A549" s="7" t="n"/>
      <c r="B549" s="7" t="n"/>
      <c r="C549" s="8" t="n"/>
      <c r="D549" s="9" t="n"/>
      <c r="E549" s="8" t="n"/>
      <c r="F549" s="9" t="n"/>
      <c r="G549" s="9" t="n"/>
      <c r="H549" s="3">
        <f>IF(AND(D549&lt;&gt;"",F549&lt;&gt;""),F549-D549-G549,"")</f>
        <v/>
      </c>
      <c r="I549" s="14">
        <f>IF(E549&lt;&gt;"", YEARFRAC(C549, E549) * 12, "")</f>
        <v/>
      </c>
      <c r="J549" s="2">
        <f>IF(I549="", "", IF(OR(AND(A549="Listed Equity Shares", I549&gt;12), AND(A549="Unlisted Equity Shares", I549&gt;24)), "Long Term", "Short Term"))</f>
        <v/>
      </c>
      <c r="K549" s="5">
        <f>IF(J549="", "", IF(J549="Long Term", 12.5%,"as per slab"))</f>
        <v/>
      </c>
      <c r="L549" s="3">
        <f>+IFERROR(IF(J549="","",H549*K549),"as per slab")</f>
        <v/>
      </c>
    </row>
    <row r="550">
      <c r="A550" s="7" t="n"/>
      <c r="B550" s="7" t="n"/>
      <c r="C550" s="8" t="n"/>
      <c r="D550" s="9" t="n"/>
      <c r="E550" s="8" t="n"/>
      <c r="F550" s="9" t="n"/>
      <c r="G550" s="9" t="n"/>
      <c r="H550" s="3">
        <f>IF(AND(D550&lt;&gt;"",F550&lt;&gt;""),F550-D550-G550,"")</f>
        <v/>
      </c>
      <c r="I550" s="14">
        <f>IF(E550&lt;&gt;"", YEARFRAC(C550, E550) * 12, "")</f>
        <v/>
      </c>
      <c r="J550" s="2">
        <f>IF(I550="", "", IF(OR(AND(A550="Listed Equity Shares", I550&gt;12), AND(A550="Unlisted Equity Shares", I550&gt;24)), "Long Term", "Short Term"))</f>
        <v/>
      </c>
      <c r="K550" s="5">
        <f>IF(J550="", "", IF(J550="Long Term", 12.5%,"as per slab"))</f>
        <v/>
      </c>
      <c r="L550" s="3">
        <f>+IFERROR(IF(J550="","",H550*K550),"as per slab")</f>
        <v/>
      </c>
    </row>
    <row r="551">
      <c r="A551" s="7" t="n"/>
      <c r="B551" s="7" t="n"/>
      <c r="C551" s="8" t="n"/>
      <c r="D551" s="9" t="n"/>
      <c r="E551" s="8" t="n"/>
      <c r="F551" s="9" t="n"/>
      <c r="G551" s="9" t="n"/>
      <c r="H551" s="3">
        <f>IF(AND(D551&lt;&gt;"",F551&lt;&gt;""),F551-D551-G551,"")</f>
        <v/>
      </c>
      <c r="I551" s="14">
        <f>IF(E551&lt;&gt;"", YEARFRAC(C551, E551) * 12, "")</f>
        <v/>
      </c>
      <c r="J551" s="2">
        <f>IF(I551="", "", IF(OR(AND(A551="Listed Equity Shares", I551&gt;12), AND(A551="Unlisted Equity Shares", I551&gt;24)), "Long Term", "Short Term"))</f>
        <v/>
      </c>
      <c r="K551" s="5">
        <f>IF(J551="", "", IF(J551="Long Term", 12.5%,"as per slab"))</f>
        <v/>
      </c>
      <c r="L551" s="3">
        <f>+IFERROR(IF(J551="","",H551*K551),"as per slab")</f>
        <v/>
      </c>
    </row>
    <row r="552">
      <c r="A552" s="7" t="n"/>
      <c r="B552" s="7" t="n"/>
      <c r="C552" s="8" t="n"/>
      <c r="D552" s="9" t="n"/>
      <c r="E552" s="8" t="n"/>
      <c r="F552" s="9" t="n"/>
      <c r="G552" s="9" t="n"/>
      <c r="H552" s="3">
        <f>IF(AND(D552&lt;&gt;"",F552&lt;&gt;""),F552-D552-G552,"")</f>
        <v/>
      </c>
      <c r="I552" s="14">
        <f>IF(E552&lt;&gt;"", YEARFRAC(C552, E552) * 12, "")</f>
        <v/>
      </c>
      <c r="J552" s="2">
        <f>IF(I552="", "", IF(OR(AND(A552="Listed Equity Shares", I552&gt;12), AND(A552="Unlisted Equity Shares", I552&gt;24)), "Long Term", "Short Term"))</f>
        <v/>
      </c>
      <c r="K552" s="5">
        <f>IF(J552="", "", IF(J552="Long Term", 12.5%,"as per slab"))</f>
        <v/>
      </c>
      <c r="L552" s="3">
        <f>+IFERROR(IF(J552="","",H552*K552),"as per slab")</f>
        <v/>
      </c>
    </row>
    <row r="553">
      <c r="A553" s="7" t="n"/>
      <c r="B553" s="7" t="n"/>
      <c r="C553" s="8" t="n"/>
      <c r="D553" s="9" t="n"/>
      <c r="E553" s="8" t="n"/>
      <c r="F553" s="9" t="n"/>
      <c r="G553" s="9" t="n"/>
      <c r="H553" s="3">
        <f>IF(AND(D553&lt;&gt;"",F553&lt;&gt;""),F553-D553-G553,"")</f>
        <v/>
      </c>
      <c r="I553" s="14">
        <f>IF(E553&lt;&gt;"", YEARFRAC(C553, E553) * 12, "")</f>
        <v/>
      </c>
      <c r="J553" s="2">
        <f>IF(I553="", "", IF(OR(AND(A553="Listed Equity Shares", I553&gt;12), AND(A553="Unlisted Equity Shares", I553&gt;24)), "Long Term", "Short Term"))</f>
        <v/>
      </c>
      <c r="K553" s="5">
        <f>IF(J553="", "", IF(J553="Long Term", 12.5%,"as per slab"))</f>
        <v/>
      </c>
      <c r="L553" s="3">
        <f>+IFERROR(IF(J553="","",H553*K553),"as per slab")</f>
        <v/>
      </c>
    </row>
    <row r="554">
      <c r="A554" s="7" t="n"/>
      <c r="B554" s="7" t="n"/>
      <c r="C554" s="8" t="n"/>
      <c r="D554" s="9" t="n"/>
      <c r="E554" s="8" t="n"/>
      <c r="F554" s="9" t="n"/>
      <c r="G554" s="9" t="n"/>
      <c r="H554" s="3">
        <f>IF(AND(D554&lt;&gt;"",F554&lt;&gt;""),F554-D554-G554,"")</f>
        <v/>
      </c>
      <c r="I554" s="14">
        <f>IF(E554&lt;&gt;"", YEARFRAC(C554, E554) * 12, "")</f>
        <v/>
      </c>
      <c r="J554" s="2">
        <f>IF(I554="", "", IF(OR(AND(A554="Listed Equity Shares", I554&gt;12), AND(A554="Unlisted Equity Shares", I554&gt;24)), "Long Term", "Short Term"))</f>
        <v/>
      </c>
      <c r="K554" s="5">
        <f>IF(J554="", "", IF(J554="Long Term", 12.5%,"as per slab"))</f>
        <v/>
      </c>
      <c r="L554" s="3">
        <f>+IFERROR(IF(J554="","",H554*K554),"as per slab")</f>
        <v/>
      </c>
    </row>
    <row r="555">
      <c r="A555" s="7" t="n"/>
      <c r="B555" s="7" t="n"/>
      <c r="C555" s="8" t="n"/>
      <c r="D555" s="9" t="n"/>
      <c r="E555" s="8" t="n"/>
      <c r="F555" s="9" t="n"/>
      <c r="G555" s="9" t="n"/>
      <c r="H555" s="3">
        <f>IF(AND(D555&lt;&gt;"",F555&lt;&gt;""),F555-D555-G555,"")</f>
        <v/>
      </c>
      <c r="I555" s="14">
        <f>IF(E555&lt;&gt;"", YEARFRAC(C555, E555) * 12, "")</f>
        <v/>
      </c>
      <c r="J555" s="2">
        <f>IF(I555="", "", IF(OR(AND(A555="Listed Equity Shares", I555&gt;12), AND(A555="Unlisted Equity Shares", I555&gt;24)), "Long Term", "Short Term"))</f>
        <v/>
      </c>
      <c r="K555" s="5">
        <f>IF(J555="", "", IF(J555="Long Term", 12.5%,"as per slab"))</f>
        <v/>
      </c>
      <c r="L555" s="3">
        <f>+IFERROR(IF(J555="","",H555*K555),"as per slab")</f>
        <v/>
      </c>
    </row>
    <row r="556">
      <c r="A556" s="7" t="n"/>
      <c r="B556" s="7" t="n"/>
      <c r="C556" s="8" t="n"/>
      <c r="D556" s="9" t="n"/>
      <c r="E556" s="8" t="n"/>
      <c r="F556" s="9" t="n"/>
      <c r="G556" s="9" t="n"/>
      <c r="H556" s="3">
        <f>IF(AND(D556&lt;&gt;"",F556&lt;&gt;""),F556-D556-G556,"")</f>
        <v/>
      </c>
      <c r="I556" s="14">
        <f>IF(E556&lt;&gt;"", YEARFRAC(C556, E556) * 12, "")</f>
        <v/>
      </c>
      <c r="J556" s="2">
        <f>IF(I556="", "", IF(OR(AND(A556="Listed Equity Shares", I556&gt;12), AND(A556="Unlisted Equity Shares", I556&gt;24)), "Long Term", "Short Term"))</f>
        <v/>
      </c>
      <c r="K556" s="5">
        <f>IF(J556="", "", IF(J556="Long Term", 12.5%,"as per slab"))</f>
        <v/>
      </c>
      <c r="L556" s="3">
        <f>+IFERROR(IF(J556="","",H556*K556),"as per slab")</f>
        <v/>
      </c>
    </row>
    <row r="557">
      <c r="A557" s="7" t="n"/>
      <c r="B557" s="7" t="n"/>
      <c r="C557" s="8" t="n"/>
      <c r="D557" s="9" t="n"/>
      <c r="E557" s="8" t="n"/>
      <c r="F557" s="9" t="n"/>
      <c r="G557" s="9" t="n"/>
      <c r="H557" s="3">
        <f>IF(AND(D557&lt;&gt;"",F557&lt;&gt;""),F557-D557-G557,"")</f>
        <v/>
      </c>
      <c r="I557" s="14">
        <f>IF(E557&lt;&gt;"", YEARFRAC(C557, E557) * 12, "")</f>
        <v/>
      </c>
      <c r="J557" s="2">
        <f>IF(I557="", "", IF(OR(AND(A557="Listed Equity Shares", I557&gt;12), AND(A557="Unlisted Equity Shares", I557&gt;24)), "Long Term", "Short Term"))</f>
        <v/>
      </c>
      <c r="K557" s="5">
        <f>IF(J557="", "", IF(J557="Long Term", 12.5%,"as per slab"))</f>
        <v/>
      </c>
      <c r="L557" s="3">
        <f>+IFERROR(IF(J557="","",H557*K557),"as per slab")</f>
        <v/>
      </c>
    </row>
    <row r="558">
      <c r="A558" s="7" t="n"/>
      <c r="B558" s="7" t="n"/>
      <c r="C558" s="8" t="n"/>
      <c r="D558" s="9" t="n"/>
      <c r="E558" s="8" t="n"/>
      <c r="F558" s="9" t="n"/>
      <c r="G558" s="9" t="n"/>
      <c r="H558" s="3">
        <f>IF(AND(D558&lt;&gt;"",F558&lt;&gt;""),F558-D558-G558,"")</f>
        <v/>
      </c>
      <c r="I558" s="14">
        <f>IF(E558&lt;&gt;"", YEARFRAC(C558, E558) * 12, "")</f>
        <v/>
      </c>
      <c r="J558" s="2">
        <f>IF(I558="", "", IF(OR(AND(A558="Listed Equity Shares", I558&gt;12), AND(A558="Unlisted Equity Shares", I558&gt;24)), "Long Term", "Short Term"))</f>
        <v/>
      </c>
      <c r="K558" s="5">
        <f>IF(J558="", "", IF(J558="Long Term", 12.5%,"as per slab"))</f>
        <v/>
      </c>
      <c r="L558" s="3">
        <f>+IFERROR(IF(J558="","",H558*K558),"as per slab")</f>
        <v/>
      </c>
    </row>
    <row r="559">
      <c r="A559" s="7" t="n"/>
      <c r="B559" s="7" t="n"/>
      <c r="C559" s="8" t="n"/>
      <c r="D559" s="9" t="n"/>
      <c r="E559" s="8" t="n"/>
      <c r="F559" s="9" t="n"/>
      <c r="G559" s="9" t="n"/>
      <c r="H559" s="3">
        <f>IF(AND(D559&lt;&gt;"",F559&lt;&gt;""),F559-D559-G559,"")</f>
        <v/>
      </c>
      <c r="I559" s="14">
        <f>IF(E559&lt;&gt;"", YEARFRAC(C559, E559) * 12, "")</f>
        <v/>
      </c>
      <c r="J559" s="2">
        <f>IF(I559="", "", IF(OR(AND(A559="Listed Equity Shares", I559&gt;12), AND(A559="Unlisted Equity Shares", I559&gt;24)), "Long Term", "Short Term"))</f>
        <v/>
      </c>
      <c r="K559" s="5">
        <f>IF(J559="", "", IF(J559="Long Term", 12.5%,"as per slab"))</f>
        <v/>
      </c>
      <c r="L559" s="3">
        <f>+IFERROR(IF(J559="","",H559*K559),"as per slab")</f>
        <v/>
      </c>
    </row>
    <row r="560">
      <c r="A560" s="7" t="n"/>
      <c r="B560" s="7" t="n"/>
      <c r="C560" s="8" t="n"/>
      <c r="D560" s="9" t="n"/>
      <c r="E560" s="8" t="n"/>
      <c r="F560" s="9" t="n"/>
      <c r="G560" s="9" t="n"/>
      <c r="H560" s="3">
        <f>IF(AND(D560&lt;&gt;"",F560&lt;&gt;""),F560-D560-G560,"")</f>
        <v/>
      </c>
      <c r="I560" s="14">
        <f>IF(E560&lt;&gt;"", YEARFRAC(C560, E560) * 12, "")</f>
        <v/>
      </c>
      <c r="J560" s="2">
        <f>IF(I560="", "", IF(OR(AND(A560="Listed Equity Shares", I560&gt;12), AND(A560="Unlisted Equity Shares", I560&gt;24)), "Long Term", "Short Term"))</f>
        <v/>
      </c>
      <c r="K560" s="5">
        <f>IF(J560="", "", IF(J560="Long Term", 12.5%,"as per slab"))</f>
        <v/>
      </c>
      <c r="L560" s="3">
        <f>+IFERROR(IF(J560="","",H560*K560),"as per slab")</f>
        <v/>
      </c>
    </row>
    <row r="561">
      <c r="A561" s="7" t="n"/>
      <c r="B561" s="7" t="n"/>
      <c r="C561" s="8" t="n"/>
      <c r="D561" s="9" t="n"/>
      <c r="E561" s="8" t="n"/>
      <c r="F561" s="9" t="n"/>
      <c r="G561" s="9" t="n"/>
      <c r="H561" s="3">
        <f>IF(AND(D561&lt;&gt;"",F561&lt;&gt;""),F561-D561-G561,"")</f>
        <v/>
      </c>
      <c r="I561" s="14">
        <f>IF(E561&lt;&gt;"", YEARFRAC(C561, E561) * 12, "")</f>
        <v/>
      </c>
      <c r="J561" s="2">
        <f>IF(I561="", "", IF(OR(AND(A561="Listed Equity Shares", I561&gt;12), AND(A561="Unlisted Equity Shares", I561&gt;24)), "Long Term", "Short Term"))</f>
        <v/>
      </c>
      <c r="K561" s="5">
        <f>IF(J561="", "", IF(J561="Long Term", 12.5%,"as per slab"))</f>
        <v/>
      </c>
      <c r="L561" s="3">
        <f>+IFERROR(IF(J561="","",H561*K561),"as per slab")</f>
        <v/>
      </c>
    </row>
    <row r="562">
      <c r="A562" s="7" t="n"/>
      <c r="B562" s="7" t="n"/>
      <c r="C562" s="8" t="n"/>
      <c r="D562" s="9" t="n"/>
      <c r="E562" s="8" t="n"/>
      <c r="F562" s="9" t="n"/>
      <c r="G562" s="9" t="n"/>
      <c r="H562" s="3">
        <f>IF(AND(D562&lt;&gt;"",F562&lt;&gt;""),F562-D562-G562,"")</f>
        <v/>
      </c>
      <c r="I562" s="14">
        <f>IF(E562&lt;&gt;"", YEARFRAC(C562, E562) * 12, "")</f>
        <v/>
      </c>
      <c r="J562" s="2">
        <f>IF(I562="", "", IF(OR(AND(A562="Listed Equity Shares", I562&gt;12), AND(A562="Unlisted Equity Shares", I562&gt;24)), "Long Term", "Short Term"))</f>
        <v/>
      </c>
      <c r="K562" s="5">
        <f>IF(J562="", "", IF(J562="Long Term", 12.5%,"as per slab"))</f>
        <v/>
      </c>
      <c r="L562" s="3">
        <f>+IFERROR(IF(J562="","",H562*K562),"as per slab")</f>
        <v/>
      </c>
    </row>
    <row r="563">
      <c r="A563" s="7" t="n"/>
      <c r="B563" s="7" t="n"/>
      <c r="C563" s="8" t="n"/>
      <c r="D563" s="9" t="n"/>
      <c r="E563" s="8" t="n"/>
      <c r="F563" s="9" t="n"/>
      <c r="G563" s="9" t="n"/>
      <c r="H563" s="3">
        <f>IF(AND(D563&lt;&gt;"",F563&lt;&gt;""),F563-D563-G563,"")</f>
        <v/>
      </c>
      <c r="I563" s="14">
        <f>IF(E563&lt;&gt;"", YEARFRAC(C563, E563) * 12, "")</f>
        <v/>
      </c>
      <c r="J563" s="2">
        <f>IF(I563="", "", IF(OR(AND(A563="Listed Equity Shares", I563&gt;12), AND(A563="Unlisted Equity Shares", I563&gt;24)), "Long Term", "Short Term"))</f>
        <v/>
      </c>
      <c r="K563" s="5">
        <f>IF(J563="", "", IF(J563="Long Term", 12.5%,"as per slab"))</f>
        <v/>
      </c>
      <c r="L563" s="3">
        <f>+IFERROR(IF(J563="","",H563*K563),"as per slab")</f>
        <v/>
      </c>
    </row>
    <row r="564">
      <c r="A564" s="7" t="n"/>
      <c r="B564" s="7" t="n"/>
      <c r="C564" s="8" t="n"/>
      <c r="D564" s="9" t="n"/>
      <c r="E564" s="8" t="n"/>
      <c r="F564" s="9" t="n"/>
      <c r="G564" s="9" t="n"/>
      <c r="H564" s="3">
        <f>IF(AND(D564&lt;&gt;"",F564&lt;&gt;""),F564-D564-G564,"")</f>
        <v/>
      </c>
      <c r="I564" s="14">
        <f>IF(E564&lt;&gt;"", YEARFRAC(C564, E564) * 12, "")</f>
        <v/>
      </c>
      <c r="J564" s="2">
        <f>IF(I564="", "", IF(OR(AND(A564="Listed Equity Shares", I564&gt;12), AND(A564="Unlisted Equity Shares", I564&gt;24)), "Long Term", "Short Term"))</f>
        <v/>
      </c>
      <c r="K564" s="5">
        <f>IF(J564="", "", IF(J564="Long Term", 12.5%,"as per slab"))</f>
        <v/>
      </c>
      <c r="L564" s="3">
        <f>+IFERROR(IF(J564="","",H564*K564),"as per slab")</f>
        <v/>
      </c>
    </row>
    <row r="565">
      <c r="A565" s="7" t="n"/>
      <c r="B565" s="7" t="n"/>
      <c r="C565" s="8" t="n"/>
      <c r="D565" s="9" t="n"/>
      <c r="E565" s="8" t="n"/>
      <c r="F565" s="9" t="n"/>
      <c r="G565" s="9" t="n"/>
      <c r="H565" s="3">
        <f>IF(AND(D565&lt;&gt;"",F565&lt;&gt;""),F565-D565-G565,"")</f>
        <v/>
      </c>
      <c r="I565" s="14">
        <f>IF(E565&lt;&gt;"", YEARFRAC(C565, E565) * 12, "")</f>
        <v/>
      </c>
      <c r="J565" s="2">
        <f>IF(I565="", "", IF(OR(AND(A565="Listed Equity Shares", I565&gt;12), AND(A565="Unlisted Equity Shares", I565&gt;24)), "Long Term", "Short Term"))</f>
        <v/>
      </c>
      <c r="K565" s="5">
        <f>IF(J565="", "", IF(J565="Long Term", 12.5%,"as per slab"))</f>
        <v/>
      </c>
      <c r="L565" s="3">
        <f>+IFERROR(IF(J565="","",H565*K565),"as per slab")</f>
        <v/>
      </c>
    </row>
    <row r="566">
      <c r="A566" s="7" t="n"/>
      <c r="B566" s="7" t="n"/>
      <c r="C566" s="8" t="n"/>
      <c r="D566" s="9" t="n"/>
      <c r="E566" s="8" t="n"/>
      <c r="F566" s="9" t="n"/>
      <c r="G566" s="9" t="n"/>
      <c r="H566" s="3">
        <f>IF(AND(D566&lt;&gt;"",F566&lt;&gt;""),F566-D566-G566,"")</f>
        <v/>
      </c>
      <c r="I566" s="14">
        <f>IF(E566&lt;&gt;"", YEARFRAC(C566, E566) * 12, "")</f>
        <v/>
      </c>
      <c r="J566" s="2">
        <f>IF(I566="", "", IF(OR(AND(A566="Listed Equity Shares", I566&gt;12), AND(A566="Unlisted Equity Shares", I566&gt;24)), "Long Term", "Short Term"))</f>
        <v/>
      </c>
      <c r="K566" s="5">
        <f>IF(J566="", "", IF(J566="Long Term", 12.5%,"as per slab"))</f>
        <v/>
      </c>
      <c r="L566" s="3">
        <f>+IFERROR(IF(J566="","",H566*K566),"as per slab")</f>
        <v/>
      </c>
    </row>
    <row r="567">
      <c r="A567" s="7" t="n"/>
      <c r="B567" s="7" t="n"/>
      <c r="C567" s="8" t="n"/>
      <c r="D567" s="9" t="n"/>
      <c r="E567" s="8" t="n"/>
      <c r="F567" s="9" t="n"/>
      <c r="G567" s="9" t="n"/>
      <c r="H567" s="3">
        <f>IF(AND(D567&lt;&gt;"",F567&lt;&gt;""),F567-D567-G567,"")</f>
        <v/>
      </c>
      <c r="I567" s="14">
        <f>IF(E567&lt;&gt;"", YEARFRAC(C567, E567) * 12, "")</f>
        <v/>
      </c>
      <c r="J567" s="2">
        <f>IF(I567="", "", IF(OR(AND(A567="Listed Equity Shares", I567&gt;12), AND(A567="Unlisted Equity Shares", I567&gt;24)), "Long Term", "Short Term"))</f>
        <v/>
      </c>
      <c r="K567" s="5">
        <f>IF(J567="", "", IF(J567="Long Term", 12.5%,"as per slab"))</f>
        <v/>
      </c>
      <c r="L567" s="3">
        <f>+IFERROR(IF(J567="","",H567*K567),"as per slab")</f>
        <v/>
      </c>
    </row>
    <row r="568">
      <c r="A568" s="7" t="n"/>
      <c r="B568" s="7" t="n"/>
      <c r="C568" s="8" t="n"/>
      <c r="D568" s="9" t="n"/>
      <c r="E568" s="8" t="n"/>
      <c r="F568" s="9" t="n"/>
      <c r="G568" s="9" t="n"/>
      <c r="H568" s="3">
        <f>IF(AND(D568&lt;&gt;"",F568&lt;&gt;""),F568-D568-G568,"")</f>
        <v/>
      </c>
      <c r="I568" s="14">
        <f>IF(E568&lt;&gt;"", YEARFRAC(C568, E568) * 12, "")</f>
        <v/>
      </c>
      <c r="J568" s="2">
        <f>IF(I568="", "", IF(OR(AND(A568="Listed Equity Shares", I568&gt;12), AND(A568="Unlisted Equity Shares", I568&gt;24)), "Long Term", "Short Term"))</f>
        <v/>
      </c>
      <c r="K568" s="5">
        <f>IF(J568="", "", IF(J568="Long Term", 12.5%,"as per slab"))</f>
        <v/>
      </c>
      <c r="L568" s="3">
        <f>+IFERROR(IF(J568="","",H568*K568),"as per slab")</f>
        <v/>
      </c>
    </row>
    <row r="569">
      <c r="A569" s="7" t="n"/>
      <c r="B569" s="7" t="n"/>
      <c r="C569" s="8" t="n"/>
      <c r="D569" s="9" t="n"/>
      <c r="E569" s="8" t="n"/>
      <c r="F569" s="9" t="n"/>
      <c r="G569" s="9" t="n"/>
      <c r="H569" s="3">
        <f>IF(AND(D569&lt;&gt;"",F569&lt;&gt;""),F569-D569-G569,"")</f>
        <v/>
      </c>
      <c r="I569" s="14">
        <f>IF(E569&lt;&gt;"", YEARFRAC(C569, E569) * 12, "")</f>
        <v/>
      </c>
      <c r="J569" s="2">
        <f>IF(I569="", "", IF(OR(AND(A569="Listed Equity Shares", I569&gt;12), AND(A569="Unlisted Equity Shares", I569&gt;24)), "Long Term", "Short Term"))</f>
        <v/>
      </c>
      <c r="K569" s="5">
        <f>IF(J569="", "", IF(J569="Long Term", 12.5%,"as per slab"))</f>
        <v/>
      </c>
      <c r="L569" s="3">
        <f>+IFERROR(IF(J569="","",H569*K569),"as per slab")</f>
        <v/>
      </c>
    </row>
    <row r="570">
      <c r="A570" s="7" t="n"/>
      <c r="B570" s="7" t="n"/>
      <c r="C570" s="8" t="n"/>
      <c r="D570" s="9" t="n"/>
      <c r="E570" s="8" t="n"/>
      <c r="F570" s="9" t="n"/>
      <c r="G570" s="9" t="n"/>
      <c r="H570" s="3">
        <f>IF(AND(D570&lt;&gt;"",F570&lt;&gt;""),F570-D570-G570,"")</f>
        <v/>
      </c>
      <c r="I570" s="14">
        <f>IF(E570&lt;&gt;"", YEARFRAC(C570, E570) * 12, "")</f>
        <v/>
      </c>
      <c r="J570" s="2">
        <f>IF(I570="", "", IF(OR(AND(A570="Listed Equity Shares", I570&gt;12), AND(A570="Unlisted Equity Shares", I570&gt;24)), "Long Term", "Short Term"))</f>
        <v/>
      </c>
      <c r="K570" s="5">
        <f>IF(J570="", "", IF(J570="Long Term", 12.5%,"as per slab"))</f>
        <v/>
      </c>
      <c r="L570" s="3">
        <f>+IFERROR(IF(J570="","",H570*K570),"as per slab")</f>
        <v/>
      </c>
    </row>
    <row r="571">
      <c r="A571" s="7" t="n"/>
      <c r="B571" s="7" t="n"/>
      <c r="C571" s="8" t="n"/>
      <c r="D571" s="9" t="n"/>
      <c r="E571" s="8" t="n"/>
      <c r="F571" s="9" t="n"/>
      <c r="G571" s="9" t="n"/>
      <c r="H571" s="3">
        <f>IF(AND(D571&lt;&gt;"",F571&lt;&gt;""),F571-D571-G571,"")</f>
        <v/>
      </c>
      <c r="I571" s="14">
        <f>IF(E571&lt;&gt;"", YEARFRAC(C571, E571) * 12, "")</f>
        <v/>
      </c>
      <c r="J571" s="2">
        <f>IF(I571="", "", IF(OR(AND(A571="Listed Equity Shares", I571&gt;12), AND(A571="Unlisted Equity Shares", I571&gt;24)), "Long Term", "Short Term"))</f>
        <v/>
      </c>
      <c r="K571" s="5">
        <f>IF(J571="", "", IF(J571="Long Term", 12.5%,"as per slab"))</f>
        <v/>
      </c>
      <c r="L571" s="3">
        <f>+IFERROR(IF(J571="","",H571*K571),"as per slab")</f>
        <v/>
      </c>
    </row>
    <row r="572">
      <c r="A572" s="7" t="n"/>
      <c r="B572" s="7" t="n"/>
      <c r="C572" s="8" t="n"/>
      <c r="D572" s="9" t="n"/>
      <c r="E572" s="8" t="n"/>
      <c r="F572" s="9" t="n"/>
      <c r="G572" s="9" t="n"/>
      <c r="H572" s="3">
        <f>IF(AND(D572&lt;&gt;"",F572&lt;&gt;""),F572-D572-G572,"")</f>
        <v/>
      </c>
      <c r="I572" s="14">
        <f>IF(E572&lt;&gt;"", YEARFRAC(C572, E572) * 12, "")</f>
        <v/>
      </c>
      <c r="J572" s="2">
        <f>IF(I572="", "", IF(OR(AND(A572="Listed Equity Shares", I572&gt;12), AND(A572="Unlisted Equity Shares", I572&gt;24)), "Long Term", "Short Term"))</f>
        <v/>
      </c>
      <c r="K572" s="5">
        <f>IF(J572="", "", IF(J572="Long Term", 12.5%,"as per slab"))</f>
        <v/>
      </c>
      <c r="L572" s="3">
        <f>+IFERROR(IF(J572="","",H572*K572),"as per slab")</f>
        <v/>
      </c>
    </row>
    <row r="573">
      <c r="A573" s="7" t="n"/>
      <c r="B573" s="7" t="n"/>
      <c r="C573" s="8" t="n"/>
      <c r="D573" s="9" t="n"/>
      <c r="E573" s="8" t="n"/>
      <c r="F573" s="9" t="n"/>
      <c r="G573" s="9" t="n"/>
      <c r="H573" s="3">
        <f>IF(AND(D573&lt;&gt;"",F573&lt;&gt;""),F573-D573-G573,"")</f>
        <v/>
      </c>
      <c r="I573" s="14">
        <f>IF(E573&lt;&gt;"", YEARFRAC(C573, E573) * 12, "")</f>
        <v/>
      </c>
      <c r="J573" s="2">
        <f>IF(I573="", "", IF(OR(AND(A573="Listed Equity Shares", I573&gt;12), AND(A573="Unlisted Equity Shares", I573&gt;24)), "Long Term", "Short Term"))</f>
        <v/>
      </c>
      <c r="K573" s="5">
        <f>IF(J573="", "", IF(J573="Long Term", 12.5%,"as per slab"))</f>
        <v/>
      </c>
      <c r="L573" s="3">
        <f>+IFERROR(IF(J573="","",H573*K573),"as per slab")</f>
        <v/>
      </c>
    </row>
    <row r="574">
      <c r="A574" s="7" t="n"/>
      <c r="B574" s="7" t="n"/>
      <c r="C574" s="8" t="n"/>
      <c r="D574" s="9" t="n"/>
      <c r="E574" s="8" t="n"/>
      <c r="F574" s="9" t="n"/>
      <c r="G574" s="9" t="n"/>
      <c r="H574" s="3">
        <f>IF(AND(D574&lt;&gt;"",F574&lt;&gt;""),F574-D574-G574,"")</f>
        <v/>
      </c>
      <c r="I574" s="14">
        <f>IF(E574&lt;&gt;"", YEARFRAC(C574, E574) * 12, "")</f>
        <v/>
      </c>
      <c r="J574" s="2">
        <f>IF(I574="", "", IF(OR(AND(A574="Listed Equity Shares", I574&gt;12), AND(A574="Unlisted Equity Shares", I574&gt;24)), "Long Term", "Short Term"))</f>
        <v/>
      </c>
      <c r="K574" s="5">
        <f>IF(J574="", "", IF(J574="Long Term", 12.5%,"as per slab"))</f>
        <v/>
      </c>
      <c r="L574" s="3">
        <f>+IFERROR(IF(J574="","",H574*K574),"as per slab")</f>
        <v/>
      </c>
    </row>
    <row r="575">
      <c r="A575" s="7" t="n"/>
      <c r="B575" s="7" t="n"/>
      <c r="C575" s="8" t="n"/>
      <c r="D575" s="9" t="n"/>
      <c r="E575" s="8" t="n"/>
      <c r="F575" s="9" t="n"/>
      <c r="G575" s="9" t="n"/>
      <c r="H575" s="3">
        <f>IF(AND(D575&lt;&gt;"",F575&lt;&gt;""),F575-D575-G575,"")</f>
        <v/>
      </c>
      <c r="I575" s="14">
        <f>IF(E575&lt;&gt;"", YEARFRAC(C575, E575) * 12, "")</f>
        <v/>
      </c>
      <c r="J575" s="2">
        <f>IF(I575="", "", IF(OR(AND(A575="Listed Equity Shares", I575&gt;12), AND(A575="Unlisted Equity Shares", I575&gt;24)), "Long Term", "Short Term"))</f>
        <v/>
      </c>
      <c r="K575" s="5">
        <f>IF(J575="", "", IF(J575="Long Term", 12.5%,"as per slab"))</f>
        <v/>
      </c>
      <c r="L575" s="3">
        <f>+IFERROR(IF(J575="","",H575*K575),"as per slab")</f>
        <v/>
      </c>
    </row>
    <row r="576">
      <c r="A576" s="7" t="n"/>
      <c r="B576" s="7" t="n"/>
      <c r="C576" s="8" t="n"/>
      <c r="D576" s="9" t="n"/>
      <c r="E576" s="8" t="n"/>
      <c r="F576" s="9" t="n"/>
      <c r="G576" s="9" t="n"/>
      <c r="H576" s="3">
        <f>IF(AND(D576&lt;&gt;"",F576&lt;&gt;""),F576-D576-G576,"")</f>
        <v/>
      </c>
      <c r="I576" s="14">
        <f>IF(E576&lt;&gt;"", YEARFRAC(C576, E576) * 12, "")</f>
        <v/>
      </c>
      <c r="J576" s="2">
        <f>IF(I576="", "", IF(OR(AND(A576="Listed Equity Shares", I576&gt;12), AND(A576="Unlisted Equity Shares", I576&gt;24)), "Long Term", "Short Term"))</f>
        <v/>
      </c>
      <c r="K576" s="5">
        <f>IF(J576="", "", IF(J576="Long Term", 12.5%,"as per slab"))</f>
        <v/>
      </c>
      <c r="L576" s="3">
        <f>+IFERROR(IF(J576="","",H576*K576),"as per slab")</f>
        <v/>
      </c>
    </row>
    <row r="577">
      <c r="A577" s="7" t="n"/>
      <c r="B577" s="7" t="n"/>
      <c r="C577" s="8" t="n"/>
      <c r="D577" s="9" t="n"/>
      <c r="E577" s="8" t="n"/>
      <c r="F577" s="9" t="n"/>
      <c r="G577" s="9" t="n"/>
      <c r="H577" s="3">
        <f>IF(AND(D577&lt;&gt;"",F577&lt;&gt;""),F577-D577-G577,"")</f>
        <v/>
      </c>
      <c r="I577" s="14">
        <f>IF(E577&lt;&gt;"", YEARFRAC(C577, E577) * 12, "")</f>
        <v/>
      </c>
      <c r="J577" s="2">
        <f>IF(I577="", "", IF(OR(AND(A577="Listed Equity Shares", I577&gt;12), AND(A577="Unlisted Equity Shares", I577&gt;24)), "Long Term", "Short Term"))</f>
        <v/>
      </c>
      <c r="K577" s="5">
        <f>IF(J577="", "", IF(J577="Long Term", 12.5%,"as per slab"))</f>
        <v/>
      </c>
      <c r="L577" s="3">
        <f>+IFERROR(IF(J577="","",H577*K577),"as per slab")</f>
        <v/>
      </c>
    </row>
    <row r="578">
      <c r="A578" s="7" t="n"/>
      <c r="B578" s="7" t="n"/>
      <c r="C578" s="8" t="n"/>
      <c r="D578" s="9" t="n"/>
      <c r="E578" s="8" t="n"/>
      <c r="F578" s="9" t="n"/>
      <c r="G578" s="9" t="n"/>
      <c r="H578" s="3">
        <f>IF(AND(D578&lt;&gt;"",F578&lt;&gt;""),F578-D578-G578,"")</f>
        <v/>
      </c>
      <c r="I578" s="14">
        <f>IF(E578&lt;&gt;"", YEARFRAC(C578, E578) * 12, "")</f>
        <v/>
      </c>
      <c r="J578" s="2">
        <f>IF(I578="", "", IF(OR(AND(A578="Listed Equity Shares", I578&gt;12), AND(A578="Unlisted Equity Shares", I578&gt;24)), "Long Term", "Short Term"))</f>
        <v/>
      </c>
      <c r="K578" s="5">
        <f>IF(J578="", "", IF(J578="Long Term", 12.5%,"as per slab"))</f>
        <v/>
      </c>
      <c r="L578" s="3">
        <f>+IFERROR(IF(J578="","",H578*K578),"as per slab")</f>
        <v/>
      </c>
    </row>
    <row r="579">
      <c r="A579" s="7" t="n"/>
      <c r="B579" s="7" t="n"/>
      <c r="C579" s="8" t="n"/>
      <c r="D579" s="9" t="n"/>
      <c r="E579" s="8" t="n"/>
      <c r="F579" s="9" t="n"/>
      <c r="G579" s="9" t="n"/>
      <c r="H579" s="3">
        <f>IF(AND(D579&lt;&gt;"",F579&lt;&gt;""),F579-D579-G579,"")</f>
        <v/>
      </c>
      <c r="I579" s="14">
        <f>IF(E579&lt;&gt;"", YEARFRAC(C579, E579) * 12, "")</f>
        <v/>
      </c>
      <c r="J579" s="2">
        <f>IF(I579="", "", IF(OR(AND(A579="Listed Equity Shares", I579&gt;12), AND(A579="Unlisted Equity Shares", I579&gt;24)), "Long Term", "Short Term"))</f>
        <v/>
      </c>
      <c r="K579" s="5">
        <f>IF(J579="", "", IF(J579="Long Term", 12.5%,"as per slab"))</f>
        <v/>
      </c>
      <c r="L579" s="3">
        <f>+IFERROR(IF(J579="","",H579*K579),"as per slab")</f>
        <v/>
      </c>
    </row>
    <row r="580">
      <c r="A580" s="7" t="n"/>
      <c r="B580" s="7" t="n"/>
      <c r="C580" s="8" t="n"/>
      <c r="D580" s="9" t="n"/>
      <c r="E580" s="8" t="n"/>
      <c r="F580" s="9" t="n"/>
      <c r="G580" s="9" t="n"/>
      <c r="H580" s="3">
        <f>IF(AND(D580&lt;&gt;"",F580&lt;&gt;""),F580-D580-G580,"")</f>
        <v/>
      </c>
      <c r="I580" s="14">
        <f>IF(E580&lt;&gt;"", YEARFRAC(C580, E580) * 12, "")</f>
        <v/>
      </c>
      <c r="J580" s="2">
        <f>IF(I580="", "", IF(OR(AND(A580="Listed Equity Shares", I580&gt;12), AND(A580="Unlisted Equity Shares", I580&gt;24)), "Long Term", "Short Term"))</f>
        <v/>
      </c>
      <c r="K580" s="5">
        <f>IF(J580="", "", IF(J580="Long Term", 12.5%,"as per slab"))</f>
        <v/>
      </c>
      <c r="L580" s="3">
        <f>+IFERROR(IF(J580="","",H580*K580),"as per slab")</f>
        <v/>
      </c>
    </row>
    <row r="581">
      <c r="A581" s="7" t="n"/>
      <c r="B581" s="7" t="n"/>
      <c r="C581" s="8" t="n"/>
      <c r="D581" s="9" t="n"/>
      <c r="E581" s="8" t="n"/>
      <c r="F581" s="9" t="n"/>
      <c r="G581" s="9" t="n"/>
      <c r="H581" s="3">
        <f>IF(AND(D581&lt;&gt;"",F581&lt;&gt;""),F581-D581-G581,"")</f>
        <v/>
      </c>
      <c r="I581" s="14">
        <f>IF(E581&lt;&gt;"", YEARFRAC(C581, E581) * 12, "")</f>
        <v/>
      </c>
      <c r="J581" s="2">
        <f>IF(I581="", "", IF(OR(AND(A581="Listed Equity Shares", I581&gt;12), AND(A581="Unlisted Equity Shares", I581&gt;24)), "Long Term", "Short Term"))</f>
        <v/>
      </c>
      <c r="K581" s="5">
        <f>IF(J581="", "", IF(J581="Long Term", 12.5%,"as per slab"))</f>
        <v/>
      </c>
      <c r="L581" s="3">
        <f>+IFERROR(IF(J581="","",H581*K581),"as per slab")</f>
        <v/>
      </c>
    </row>
    <row r="582">
      <c r="A582" s="7" t="n"/>
      <c r="B582" s="7" t="n"/>
      <c r="C582" s="8" t="n"/>
      <c r="D582" s="9" t="n"/>
      <c r="E582" s="8" t="n"/>
      <c r="F582" s="9" t="n"/>
      <c r="G582" s="9" t="n"/>
      <c r="H582" s="3">
        <f>IF(AND(D582&lt;&gt;"",F582&lt;&gt;""),F582-D582-G582,"")</f>
        <v/>
      </c>
      <c r="I582" s="14">
        <f>IF(E582&lt;&gt;"", YEARFRAC(C582, E582) * 12, "")</f>
        <v/>
      </c>
      <c r="J582" s="2">
        <f>IF(I582="", "", IF(OR(AND(A582="Listed Equity Shares", I582&gt;12), AND(A582="Unlisted Equity Shares", I582&gt;24)), "Long Term", "Short Term"))</f>
        <v/>
      </c>
      <c r="K582" s="5">
        <f>IF(J582="", "", IF(J582="Long Term", 12.5%,"as per slab"))</f>
        <v/>
      </c>
      <c r="L582" s="3">
        <f>+IFERROR(IF(J582="","",H582*K582),"as per slab")</f>
        <v/>
      </c>
    </row>
    <row r="583">
      <c r="A583" s="7" t="n"/>
      <c r="B583" s="7" t="n"/>
      <c r="C583" s="8" t="n"/>
      <c r="D583" s="9" t="n"/>
      <c r="E583" s="8" t="n"/>
      <c r="F583" s="9" t="n"/>
      <c r="G583" s="9" t="n"/>
      <c r="H583" s="3">
        <f>IF(AND(D583&lt;&gt;"",F583&lt;&gt;""),F583-D583-G583,"")</f>
        <v/>
      </c>
      <c r="I583" s="14">
        <f>IF(E583&lt;&gt;"", YEARFRAC(C583, E583) * 12, "")</f>
        <v/>
      </c>
      <c r="J583" s="2">
        <f>IF(I583="", "", IF(OR(AND(A583="Listed Equity Shares", I583&gt;12), AND(A583="Unlisted Equity Shares", I583&gt;24)), "Long Term", "Short Term"))</f>
        <v/>
      </c>
      <c r="K583" s="5">
        <f>IF(J583="", "", IF(J583="Long Term", 12.5%,"as per slab"))</f>
        <v/>
      </c>
      <c r="L583" s="3">
        <f>+IFERROR(IF(J583="","",H583*K583),"as per slab")</f>
        <v/>
      </c>
    </row>
    <row r="584">
      <c r="A584" s="7" t="n"/>
      <c r="B584" s="7" t="n"/>
      <c r="C584" s="8" t="n"/>
      <c r="D584" s="9" t="n"/>
      <c r="E584" s="8" t="n"/>
      <c r="F584" s="9" t="n"/>
      <c r="G584" s="9" t="n"/>
      <c r="H584" s="3">
        <f>IF(AND(D584&lt;&gt;"",F584&lt;&gt;""),F584-D584-G584,"")</f>
        <v/>
      </c>
      <c r="I584" s="14">
        <f>IF(E584&lt;&gt;"", YEARFRAC(C584, E584) * 12, "")</f>
        <v/>
      </c>
      <c r="J584" s="2">
        <f>IF(I584="", "", IF(OR(AND(A584="Listed Equity Shares", I584&gt;12), AND(A584="Unlisted Equity Shares", I584&gt;24)), "Long Term", "Short Term"))</f>
        <v/>
      </c>
      <c r="K584" s="5">
        <f>IF(J584="", "", IF(J584="Long Term", 12.5%,"as per slab"))</f>
        <v/>
      </c>
      <c r="L584" s="3">
        <f>+IFERROR(IF(J584="","",H584*K584),"as per slab")</f>
        <v/>
      </c>
    </row>
    <row r="585">
      <c r="A585" s="7" t="n"/>
      <c r="B585" s="7" t="n"/>
      <c r="C585" s="8" t="n"/>
      <c r="D585" s="9" t="n"/>
      <c r="E585" s="8" t="n"/>
      <c r="F585" s="9" t="n"/>
      <c r="G585" s="9" t="n"/>
      <c r="H585" s="3">
        <f>IF(AND(D585&lt;&gt;"",F585&lt;&gt;""),F585-D585-G585,"")</f>
        <v/>
      </c>
      <c r="I585" s="14">
        <f>IF(E585&lt;&gt;"", YEARFRAC(C585, E585) * 12, "")</f>
        <v/>
      </c>
      <c r="J585" s="2">
        <f>IF(I585="", "", IF(OR(AND(A585="Listed Equity Shares", I585&gt;12), AND(A585="Unlisted Equity Shares", I585&gt;24)), "Long Term", "Short Term"))</f>
        <v/>
      </c>
      <c r="K585" s="5">
        <f>IF(J585="", "", IF(J585="Long Term", 12.5%,"as per slab"))</f>
        <v/>
      </c>
      <c r="L585" s="3">
        <f>+IFERROR(IF(J585="","",H585*K585),"as per slab")</f>
        <v/>
      </c>
    </row>
    <row r="586">
      <c r="A586" s="7" t="n"/>
      <c r="B586" s="7" t="n"/>
      <c r="C586" s="8" t="n"/>
      <c r="D586" s="9" t="n"/>
      <c r="E586" s="8" t="n"/>
      <c r="F586" s="9" t="n"/>
      <c r="G586" s="9" t="n"/>
      <c r="H586" s="3">
        <f>IF(AND(D586&lt;&gt;"",F586&lt;&gt;""),F586-D586-G586,"")</f>
        <v/>
      </c>
      <c r="I586" s="14">
        <f>IF(E586&lt;&gt;"", YEARFRAC(C586, E586) * 12, "")</f>
        <v/>
      </c>
      <c r="J586" s="2">
        <f>IF(I586="", "", IF(OR(AND(A586="Listed Equity Shares", I586&gt;12), AND(A586="Unlisted Equity Shares", I586&gt;24)), "Long Term", "Short Term"))</f>
        <v/>
      </c>
      <c r="K586" s="5">
        <f>IF(J586="", "", IF(J586="Long Term", 12.5%,"as per slab"))</f>
        <v/>
      </c>
      <c r="L586" s="3">
        <f>+IFERROR(IF(J586="","",H586*K586),"as per slab")</f>
        <v/>
      </c>
    </row>
    <row r="587">
      <c r="A587" s="7" t="n"/>
      <c r="B587" s="7" t="n"/>
      <c r="C587" s="8" t="n"/>
      <c r="D587" s="9" t="n"/>
      <c r="E587" s="8" t="n"/>
      <c r="F587" s="9" t="n"/>
      <c r="G587" s="9" t="n"/>
      <c r="H587" s="3">
        <f>IF(AND(D587&lt;&gt;"",F587&lt;&gt;""),F587-D587-G587,"")</f>
        <v/>
      </c>
      <c r="I587" s="14">
        <f>IF(E587&lt;&gt;"", YEARFRAC(C587, E587) * 12, "")</f>
        <v/>
      </c>
      <c r="J587" s="2">
        <f>IF(I587="", "", IF(OR(AND(A587="Listed Equity Shares", I587&gt;12), AND(A587="Unlisted Equity Shares", I587&gt;24)), "Long Term", "Short Term"))</f>
        <v/>
      </c>
      <c r="K587" s="5">
        <f>IF(J587="", "", IF(J587="Long Term", 12.5%,"as per slab"))</f>
        <v/>
      </c>
      <c r="L587" s="3">
        <f>+IFERROR(IF(J587="","",H587*K587),"as per slab")</f>
        <v/>
      </c>
    </row>
    <row r="588">
      <c r="A588" s="7" t="n"/>
      <c r="B588" s="7" t="n"/>
      <c r="C588" s="8" t="n"/>
      <c r="D588" s="9" t="n"/>
      <c r="E588" s="8" t="n"/>
      <c r="F588" s="9" t="n"/>
      <c r="G588" s="9" t="n"/>
      <c r="H588" s="3">
        <f>IF(AND(D588&lt;&gt;"",F588&lt;&gt;""),F588-D588-G588,"")</f>
        <v/>
      </c>
      <c r="I588" s="14">
        <f>IF(E588&lt;&gt;"", YEARFRAC(C588, E588) * 12, "")</f>
        <v/>
      </c>
      <c r="J588" s="2">
        <f>IF(I588="", "", IF(OR(AND(A588="Listed Equity Shares", I588&gt;12), AND(A588="Unlisted Equity Shares", I588&gt;24)), "Long Term", "Short Term"))</f>
        <v/>
      </c>
      <c r="K588" s="5">
        <f>IF(J588="", "", IF(J588="Long Term", 12.5%,"as per slab"))</f>
        <v/>
      </c>
      <c r="L588" s="3">
        <f>+IFERROR(IF(J588="","",H588*K588),"as per slab")</f>
        <v/>
      </c>
    </row>
    <row r="589">
      <c r="A589" s="7" t="n"/>
      <c r="B589" s="7" t="n"/>
      <c r="C589" s="8" t="n"/>
      <c r="D589" s="9" t="n"/>
      <c r="E589" s="8" t="n"/>
      <c r="F589" s="9" t="n"/>
      <c r="G589" s="9" t="n"/>
      <c r="H589" s="3">
        <f>IF(AND(D589&lt;&gt;"",F589&lt;&gt;""),F589-D589-G589,"")</f>
        <v/>
      </c>
      <c r="I589" s="14">
        <f>IF(E589&lt;&gt;"", YEARFRAC(C589, E589) * 12, "")</f>
        <v/>
      </c>
      <c r="J589" s="2">
        <f>IF(I589="", "", IF(OR(AND(A589="Listed Equity Shares", I589&gt;12), AND(A589="Unlisted Equity Shares", I589&gt;24)), "Long Term", "Short Term"))</f>
        <v/>
      </c>
      <c r="K589" s="5">
        <f>IF(J589="", "", IF(J589="Long Term", 12.5%,"as per slab"))</f>
        <v/>
      </c>
      <c r="L589" s="3">
        <f>+IFERROR(IF(J589="","",H589*K589),"as per slab")</f>
        <v/>
      </c>
    </row>
    <row r="590">
      <c r="A590" s="7" t="n"/>
      <c r="B590" s="7" t="n"/>
      <c r="C590" s="8" t="n"/>
      <c r="D590" s="9" t="n"/>
      <c r="E590" s="8" t="n"/>
      <c r="F590" s="9" t="n"/>
      <c r="G590" s="9" t="n"/>
      <c r="H590" s="3">
        <f>IF(AND(D590&lt;&gt;"",F590&lt;&gt;""),F590-D590-G590,"")</f>
        <v/>
      </c>
      <c r="I590" s="14">
        <f>IF(E590&lt;&gt;"", YEARFRAC(C590, E590) * 12, "")</f>
        <v/>
      </c>
      <c r="J590" s="2">
        <f>IF(I590="", "", IF(OR(AND(A590="Listed Equity Shares", I590&gt;12), AND(A590="Unlisted Equity Shares", I590&gt;24)), "Long Term", "Short Term"))</f>
        <v/>
      </c>
      <c r="K590" s="5">
        <f>IF(J590="", "", IF(J590="Long Term", 12.5%,"as per slab"))</f>
        <v/>
      </c>
      <c r="L590" s="3">
        <f>+IFERROR(IF(J590="","",H590*K590),"as per slab")</f>
        <v/>
      </c>
    </row>
    <row r="591">
      <c r="A591" s="7" t="n"/>
      <c r="B591" s="7" t="n"/>
      <c r="C591" s="8" t="n"/>
      <c r="D591" s="9" t="n"/>
      <c r="E591" s="8" t="n"/>
      <c r="F591" s="9" t="n"/>
      <c r="G591" s="9" t="n"/>
      <c r="H591" s="3">
        <f>IF(AND(D591&lt;&gt;"",F591&lt;&gt;""),F591-D591-G591,"")</f>
        <v/>
      </c>
      <c r="I591" s="14">
        <f>IF(E591&lt;&gt;"", YEARFRAC(C591, E591) * 12, "")</f>
        <v/>
      </c>
      <c r="J591" s="2">
        <f>IF(I591="", "", IF(OR(AND(A591="Listed Equity Shares", I591&gt;12), AND(A591="Unlisted Equity Shares", I591&gt;24)), "Long Term", "Short Term"))</f>
        <v/>
      </c>
      <c r="K591" s="5">
        <f>IF(J591="", "", IF(J591="Long Term", 12.5%,"as per slab"))</f>
        <v/>
      </c>
      <c r="L591" s="3">
        <f>+IFERROR(IF(J591="","",H591*K591),"as per slab")</f>
        <v/>
      </c>
    </row>
    <row r="592">
      <c r="A592" s="7" t="n"/>
      <c r="B592" s="7" t="n"/>
      <c r="C592" s="8" t="n"/>
      <c r="D592" s="9" t="n"/>
      <c r="E592" s="8" t="n"/>
      <c r="F592" s="9" t="n"/>
      <c r="G592" s="9" t="n"/>
      <c r="H592" s="3">
        <f>IF(AND(D592&lt;&gt;"",F592&lt;&gt;""),F592-D592-G592,"")</f>
        <v/>
      </c>
      <c r="I592" s="14">
        <f>IF(E592&lt;&gt;"", YEARFRAC(C592, E592) * 12, "")</f>
        <v/>
      </c>
      <c r="J592" s="2">
        <f>IF(I592="", "", IF(OR(AND(A592="Listed Equity Shares", I592&gt;12), AND(A592="Unlisted Equity Shares", I592&gt;24)), "Long Term", "Short Term"))</f>
        <v/>
      </c>
      <c r="K592" s="5">
        <f>IF(J592="", "", IF(J592="Long Term", 12.5%,"as per slab"))</f>
        <v/>
      </c>
      <c r="L592" s="3">
        <f>+IFERROR(IF(J592="","",H592*K592),"as per slab")</f>
        <v/>
      </c>
    </row>
    <row r="593">
      <c r="A593" s="7" t="n"/>
      <c r="B593" s="7" t="n"/>
      <c r="C593" s="8" t="n"/>
      <c r="D593" s="9" t="n"/>
      <c r="E593" s="8" t="n"/>
      <c r="F593" s="9" t="n"/>
      <c r="G593" s="9" t="n"/>
      <c r="H593" s="3">
        <f>IF(AND(D593&lt;&gt;"",F593&lt;&gt;""),F593-D593-G593,"")</f>
        <v/>
      </c>
      <c r="I593" s="14">
        <f>IF(E593&lt;&gt;"", YEARFRAC(C593, E593) * 12, "")</f>
        <v/>
      </c>
      <c r="J593" s="2">
        <f>IF(I593="", "", IF(OR(AND(A593="Listed Equity Shares", I593&gt;12), AND(A593="Unlisted Equity Shares", I593&gt;24)), "Long Term", "Short Term"))</f>
        <v/>
      </c>
      <c r="K593" s="5">
        <f>IF(J593="", "", IF(J593="Long Term", 12.5%,"as per slab"))</f>
        <v/>
      </c>
      <c r="L593" s="3">
        <f>+IFERROR(IF(J593="","",H593*K593),"as per slab")</f>
        <v/>
      </c>
    </row>
    <row r="594">
      <c r="A594" s="7" t="n"/>
      <c r="B594" s="7" t="n"/>
      <c r="C594" s="8" t="n"/>
      <c r="D594" s="9" t="n"/>
      <c r="E594" s="8" t="n"/>
      <c r="F594" s="9" t="n"/>
      <c r="G594" s="9" t="n"/>
      <c r="H594" s="3">
        <f>IF(AND(D594&lt;&gt;"",F594&lt;&gt;""),F594-D594-G594,"")</f>
        <v/>
      </c>
      <c r="I594" s="14">
        <f>IF(E594&lt;&gt;"", YEARFRAC(C594, E594) * 12, "")</f>
        <v/>
      </c>
      <c r="J594" s="2">
        <f>IF(I594="", "", IF(OR(AND(A594="Listed Equity Shares", I594&gt;12), AND(A594="Unlisted Equity Shares", I594&gt;24)), "Long Term", "Short Term"))</f>
        <v/>
      </c>
      <c r="K594" s="5">
        <f>IF(J594="", "", IF(J594="Long Term", 12.5%,"as per slab"))</f>
        <v/>
      </c>
      <c r="L594" s="3">
        <f>+IFERROR(IF(J594="","",H594*K594),"as per slab")</f>
        <v/>
      </c>
    </row>
    <row r="595">
      <c r="A595" s="7" t="n"/>
      <c r="B595" s="7" t="n"/>
      <c r="C595" s="8" t="n"/>
      <c r="D595" s="9" t="n"/>
      <c r="E595" s="8" t="n"/>
      <c r="F595" s="9" t="n"/>
      <c r="G595" s="9" t="n"/>
      <c r="H595" s="3">
        <f>IF(AND(D595&lt;&gt;"",F595&lt;&gt;""),F595-D595-G595,"")</f>
        <v/>
      </c>
      <c r="I595" s="14">
        <f>IF(E595&lt;&gt;"", YEARFRAC(C595, E595) * 12, "")</f>
        <v/>
      </c>
      <c r="J595" s="2">
        <f>IF(I595="", "", IF(OR(AND(A595="Listed Equity Shares", I595&gt;12), AND(A595="Unlisted Equity Shares", I595&gt;24)), "Long Term", "Short Term"))</f>
        <v/>
      </c>
      <c r="K595" s="5">
        <f>IF(J595="", "", IF(J595="Long Term", 12.5%,"as per slab"))</f>
        <v/>
      </c>
      <c r="L595" s="3">
        <f>+IFERROR(IF(J595="","",H595*K595),"as per slab")</f>
        <v/>
      </c>
    </row>
    <row r="596">
      <c r="A596" s="7" t="n"/>
      <c r="B596" s="7" t="n"/>
      <c r="C596" s="8" t="n"/>
      <c r="D596" s="9" t="n"/>
      <c r="E596" s="8" t="n"/>
      <c r="F596" s="9" t="n"/>
      <c r="G596" s="9" t="n"/>
      <c r="H596" s="3">
        <f>IF(AND(D596&lt;&gt;"",F596&lt;&gt;""),F596-D596-G596,"")</f>
        <v/>
      </c>
      <c r="I596" s="14">
        <f>IF(E596&lt;&gt;"", YEARFRAC(C596, E596) * 12, "")</f>
        <v/>
      </c>
      <c r="J596" s="2">
        <f>IF(I596="", "", IF(OR(AND(A596="Listed Equity Shares", I596&gt;12), AND(A596="Unlisted Equity Shares", I596&gt;24)), "Long Term", "Short Term"))</f>
        <v/>
      </c>
      <c r="K596" s="5">
        <f>IF(J596="", "", IF(J596="Long Term", 12.5%,"as per slab"))</f>
        <v/>
      </c>
      <c r="L596" s="3">
        <f>+IFERROR(IF(J596="","",H596*K596),"as per slab")</f>
        <v/>
      </c>
    </row>
    <row r="597">
      <c r="A597" s="7" t="n"/>
      <c r="B597" s="7" t="n"/>
      <c r="C597" s="8" t="n"/>
      <c r="D597" s="9" t="n"/>
      <c r="E597" s="8" t="n"/>
      <c r="F597" s="9" t="n"/>
      <c r="G597" s="9" t="n"/>
      <c r="H597" s="3">
        <f>IF(AND(D597&lt;&gt;"",F597&lt;&gt;""),F597-D597-G597,"")</f>
        <v/>
      </c>
      <c r="I597" s="14">
        <f>IF(E597&lt;&gt;"", YEARFRAC(C597, E597) * 12, "")</f>
        <v/>
      </c>
      <c r="J597" s="2">
        <f>IF(I597="", "", IF(OR(AND(A597="Listed Equity Shares", I597&gt;12), AND(A597="Unlisted Equity Shares", I597&gt;24)), "Long Term", "Short Term"))</f>
        <v/>
      </c>
      <c r="K597" s="5">
        <f>IF(J597="", "", IF(J597="Long Term", 12.5%,"as per slab"))</f>
        <v/>
      </c>
      <c r="L597" s="3">
        <f>+IFERROR(IF(J597="","",H597*K597),"as per slab")</f>
        <v/>
      </c>
    </row>
    <row r="598">
      <c r="A598" s="7" t="n"/>
      <c r="B598" s="7" t="n"/>
      <c r="C598" s="8" t="n"/>
      <c r="D598" s="9" t="n"/>
      <c r="E598" s="8" t="n"/>
      <c r="F598" s="9" t="n"/>
      <c r="G598" s="9" t="n"/>
      <c r="H598" s="3">
        <f>IF(AND(D598&lt;&gt;"",F598&lt;&gt;""),F598-D598-G598,"")</f>
        <v/>
      </c>
      <c r="I598" s="14">
        <f>IF(E598&lt;&gt;"", YEARFRAC(C598, E598) * 12, "")</f>
        <v/>
      </c>
      <c r="J598" s="2">
        <f>IF(I598="", "", IF(OR(AND(A598="Listed Equity Shares", I598&gt;12), AND(A598="Unlisted Equity Shares", I598&gt;24)), "Long Term", "Short Term"))</f>
        <v/>
      </c>
      <c r="K598" s="5">
        <f>IF(J598="", "", IF(J598="Long Term", 12.5%,"as per slab"))</f>
        <v/>
      </c>
      <c r="L598" s="3">
        <f>+IFERROR(IF(J598="","",H598*K598),"as per slab")</f>
        <v/>
      </c>
    </row>
    <row r="599">
      <c r="A599" s="7" t="n"/>
      <c r="B599" s="7" t="n"/>
      <c r="C599" s="8" t="n"/>
      <c r="D599" s="9" t="n"/>
      <c r="E599" s="8" t="n"/>
      <c r="F599" s="9" t="n"/>
      <c r="G599" s="9" t="n"/>
      <c r="H599" s="3">
        <f>IF(AND(D599&lt;&gt;"",F599&lt;&gt;""),F599-D599-G599,"")</f>
        <v/>
      </c>
      <c r="I599" s="14">
        <f>IF(E599&lt;&gt;"", YEARFRAC(C599, E599) * 12, "")</f>
        <v/>
      </c>
      <c r="J599" s="2">
        <f>IF(I599="", "", IF(OR(AND(A599="Listed Equity Shares", I599&gt;12), AND(A599="Unlisted Equity Shares", I599&gt;24)), "Long Term", "Short Term"))</f>
        <v/>
      </c>
      <c r="K599" s="5">
        <f>IF(J599="", "", IF(J599="Long Term", 12.5%,"as per slab"))</f>
        <v/>
      </c>
      <c r="L599" s="3">
        <f>+IFERROR(IF(J599="","",H599*K599),"as per slab")</f>
        <v/>
      </c>
    </row>
    <row r="600">
      <c r="A600" s="7" t="n"/>
      <c r="B600" s="7" t="n"/>
      <c r="C600" s="8" t="n"/>
      <c r="D600" s="9" t="n"/>
      <c r="E600" s="8" t="n"/>
      <c r="F600" s="9" t="n"/>
      <c r="G600" s="9" t="n"/>
      <c r="H600" s="3">
        <f>IF(AND(D600&lt;&gt;"",F600&lt;&gt;""),F600-D600-G600,"")</f>
        <v/>
      </c>
      <c r="I600" s="14">
        <f>IF(E600&lt;&gt;"", YEARFRAC(C600, E600) * 12, "")</f>
        <v/>
      </c>
      <c r="J600" s="2">
        <f>IF(I600="", "", IF(OR(AND(A600="Listed Equity Shares", I600&gt;12), AND(A600="Unlisted Equity Shares", I600&gt;24)), "Long Term", "Short Term"))</f>
        <v/>
      </c>
      <c r="K600" s="5">
        <f>IF(J600="", "", IF(J600="Long Term", 12.5%,"as per slab"))</f>
        <v/>
      </c>
      <c r="L600" s="3">
        <f>+IFERROR(IF(J600="","",H600*K600),"as per slab")</f>
        <v/>
      </c>
    </row>
    <row r="601">
      <c r="A601" s="7" t="n"/>
      <c r="B601" s="7" t="n"/>
      <c r="C601" s="8" t="n"/>
      <c r="D601" s="9" t="n"/>
      <c r="E601" s="8" t="n"/>
      <c r="F601" s="9" t="n"/>
      <c r="G601" s="9" t="n"/>
      <c r="H601" s="3">
        <f>IF(AND(D601&lt;&gt;"",F601&lt;&gt;""),F601-D601-G601,"")</f>
        <v/>
      </c>
      <c r="I601" s="14">
        <f>IF(E601&lt;&gt;"", YEARFRAC(C601, E601) * 12, "")</f>
        <v/>
      </c>
      <c r="J601" s="2">
        <f>IF(I601="", "", IF(OR(AND(A601="Listed Equity Shares", I601&gt;12), AND(A601="Unlisted Equity Shares", I601&gt;24)), "Long Term", "Short Term"))</f>
        <v/>
      </c>
      <c r="K601" s="5">
        <f>IF(J601="", "", IF(J601="Long Term", 12.5%,"as per slab"))</f>
        <v/>
      </c>
      <c r="L601" s="3">
        <f>+IFERROR(IF(J601="","",H601*K601),"as per slab")</f>
        <v/>
      </c>
    </row>
    <row r="602">
      <c r="A602" s="7" t="n"/>
      <c r="B602" s="7" t="n"/>
      <c r="C602" s="8" t="n"/>
      <c r="D602" s="9" t="n"/>
      <c r="E602" s="8" t="n"/>
      <c r="F602" s="9" t="n"/>
      <c r="G602" s="9" t="n"/>
      <c r="H602" s="3">
        <f>IF(AND(D602&lt;&gt;"",F602&lt;&gt;""),F602-D602-G602,"")</f>
        <v/>
      </c>
      <c r="I602" s="14">
        <f>IF(E602&lt;&gt;"", YEARFRAC(C602, E602) * 12, "")</f>
        <v/>
      </c>
      <c r="J602" s="2">
        <f>IF(I602="", "", IF(OR(AND(A602="Listed Equity Shares", I602&gt;12), AND(A602="Unlisted Equity Shares", I602&gt;24)), "Long Term", "Short Term"))</f>
        <v/>
      </c>
      <c r="K602" s="5">
        <f>IF(J602="", "", IF(J602="Long Term", 12.5%,"as per slab"))</f>
        <v/>
      </c>
      <c r="L602" s="3">
        <f>+IFERROR(IF(J602="","",H602*K602),"as per slab")</f>
        <v/>
      </c>
    </row>
    <row r="603">
      <c r="A603" s="7" t="n"/>
      <c r="B603" s="7" t="n"/>
      <c r="C603" s="8" t="n"/>
      <c r="D603" s="9" t="n"/>
      <c r="E603" s="8" t="n"/>
      <c r="F603" s="9" t="n"/>
      <c r="G603" s="9" t="n"/>
      <c r="H603" s="3">
        <f>IF(AND(D603&lt;&gt;"",F603&lt;&gt;""),F603-D603-G603,"")</f>
        <v/>
      </c>
      <c r="I603" s="14">
        <f>IF(E603&lt;&gt;"", YEARFRAC(C603, E603) * 12, "")</f>
        <v/>
      </c>
      <c r="J603" s="2">
        <f>IF(I603="", "", IF(OR(AND(A603="Listed Equity Shares", I603&gt;12), AND(A603="Unlisted Equity Shares", I603&gt;24)), "Long Term", "Short Term"))</f>
        <v/>
      </c>
      <c r="K603" s="5">
        <f>IF(J603="", "", IF(J603="Long Term", 12.5%,"as per slab"))</f>
        <v/>
      </c>
      <c r="L603" s="3">
        <f>+IFERROR(IF(J603="","",H603*K603),"as per slab")</f>
        <v/>
      </c>
    </row>
    <row r="604">
      <c r="A604" s="7" t="n"/>
      <c r="B604" s="7" t="n"/>
      <c r="C604" s="8" t="n"/>
      <c r="D604" s="9" t="n"/>
      <c r="E604" s="8" t="n"/>
      <c r="F604" s="9" t="n"/>
      <c r="G604" s="9" t="n"/>
      <c r="H604" s="3">
        <f>IF(AND(D604&lt;&gt;"",F604&lt;&gt;""),F604-D604-G604,"")</f>
        <v/>
      </c>
      <c r="I604" s="14">
        <f>IF(E604&lt;&gt;"", YEARFRAC(C604, E604) * 12, "")</f>
        <v/>
      </c>
      <c r="J604" s="2">
        <f>IF(I604="", "", IF(OR(AND(A604="Listed Equity Shares", I604&gt;12), AND(A604="Unlisted Equity Shares", I604&gt;24)), "Long Term", "Short Term"))</f>
        <v/>
      </c>
      <c r="K604" s="5">
        <f>IF(J604="", "", IF(J604="Long Term", 12.5%,"as per slab"))</f>
        <v/>
      </c>
      <c r="L604" s="3">
        <f>+IFERROR(IF(J604="","",H604*K604),"as per slab")</f>
        <v/>
      </c>
    </row>
    <row r="605">
      <c r="A605" s="7" t="n"/>
      <c r="B605" s="7" t="n"/>
      <c r="C605" s="8" t="n"/>
      <c r="D605" s="9" t="n"/>
      <c r="E605" s="8" t="n"/>
      <c r="F605" s="9" t="n"/>
      <c r="G605" s="9" t="n"/>
      <c r="H605" s="3">
        <f>IF(AND(D605&lt;&gt;"",F605&lt;&gt;""),F605-D605-G605,"")</f>
        <v/>
      </c>
      <c r="I605" s="14">
        <f>IF(E605&lt;&gt;"", YEARFRAC(C605, E605) * 12, "")</f>
        <v/>
      </c>
      <c r="J605" s="2">
        <f>IF(I605="", "", IF(OR(AND(A605="Listed Equity Shares", I605&gt;12), AND(A605="Unlisted Equity Shares", I605&gt;24)), "Long Term", "Short Term"))</f>
        <v/>
      </c>
      <c r="K605" s="5">
        <f>IF(J605="", "", IF(J605="Long Term", 12.5%,"as per slab"))</f>
        <v/>
      </c>
      <c r="L605" s="3">
        <f>+IFERROR(IF(J605="","",H605*K605),"as per slab")</f>
        <v/>
      </c>
    </row>
    <row r="606">
      <c r="A606" s="7" t="n"/>
      <c r="B606" s="7" t="n"/>
      <c r="C606" s="8" t="n"/>
      <c r="D606" s="9" t="n"/>
      <c r="E606" s="8" t="n"/>
      <c r="F606" s="9" t="n"/>
      <c r="G606" s="9" t="n"/>
      <c r="H606" s="3">
        <f>IF(AND(D606&lt;&gt;"",F606&lt;&gt;""),F606-D606-G606,"")</f>
        <v/>
      </c>
      <c r="I606" s="14">
        <f>IF(E606&lt;&gt;"", YEARFRAC(C606, E606) * 12, "")</f>
        <v/>
      </c>
      <c r="J606" s="2">
        <f>IF(I606="", "", IF(OR(AND(A606="Listed Equity Shares", I606&gt;12), AND(A606="Unlisted Equity Shares", I606&gt;24)), "Long Term", "Short Term"))</f>
        <v/>
      </c>
      <c r="K606" s="5">
        <f>IF(J606="", "", IF(J606="Long Term", 12.5%,"as per slab"))</f>
        <v/>
      </c>
      <c r="L606" s="3">
        <f>+IFERROR(IF(J606="","",H606*K606),"as per slab")</f>
        <v/>
      </c>
    </row>
    <row r="607">
      <c r="A607" s="7" t="n"/>
      <c r="B607" s="7" t="n"/>
      <c r="C607" s="8" t="n"/>
      <c r="D607" s="9" t="n"/>
      <c r="E607" s="8" t="n"/>
      <c r="F607" s="9" t="n"/>
      <c r="G607" s="9" t="n"/>
      <c r="H607" s="3">
        <f>IF(AND(D607&lt;&gt;"",F607&lt;&gt;""),F607-D607-G607,"")</f>
        <v/>
      </c>
      <c r="I607" s="14">
        <f>IF(E607&lt;&gt;"", YEARFRAC(C607, E607) * 12, "")</f>
        <v/>
      </c>
      <c r="J607" s="2">
        <f>IF(I607="", "", IF(OR(AND(A607="Listed Equity Shares", I607&gt;12), AND(A607="Unlisted Equity Shares", I607&gt;24)), "Long Term", "Short Term"))</f>
        <v/>
      </c>
      <c r="K607" s="5">
        <f>IF(J607="", "", IF(J607="Long Term", 12.5%,"as per slab"))</f>
        <v/>
      </c>
      <c r="L607" s="3">
        <f>+IFERROR(IF(J607="","",H607*K607),"as per slab")</f>
        <v/>
      </c>
    </row>
    <row r="608">
      <c r="A608" s="7" t="n"/>
      <c r="B608" s="7" t="n"/>
      <c r="C608" s="8" t="n"/>
      <c r="D608" s="9" t="n"/>
      <c r="E608" s="8" t="n"/>
      <c r="F608" s="9" t="n"/>
      <c r="G608" s="9" t="n"/>
      <c r="H608" s="3">
        <f>IF(AND(D608&lt;&gt;"",F608&lt;&gt;""),F608-D608-G608,"")</f>
        <v/>
      </c>
      <c r="I608" s="14">
        <f>IF(E608&lt;&gt;"", YEARFRAC(C608, E608) * 12, "")</f>
        <v/>
      </c>
      <c r="J608" s="2">
        <f>IF(I608="", "", IF(OR(AND(A608="Listed Equity Shares", I608&gt;12), AND(A608="Unlisted Equity Shares", I608&gt;24)), "Long Term", "Short Term"))</f>
        <v/>
      </c>
      <c r="K608" s="5">
        <f>IF(J608="", "", IF(J608="Long Term", 12.5%,"as per slab"))</f>
        <v/>
      </c>
      <c r="L608" s="3">
        <f>+IFERROR(IF(J608="","",H608*K608),"as per slab")</f>
        <v/>
      </c>
    </row>
    <row r="609">
      <c r="A609" s="7" t="n"/>
      <c r="B609" s="7" t="n"/>
      <c r="C609" s="8" t="n"/>
      <c r="D609" s="9" t="n"/>
      <c r="E609" s="8" t="n"/>
      <c r="F609" s="9" t="n"/>
      <c r="G609" s="9" t="n"/>
      <c r="H609" s="3">
        <f>IF(AND(D609&lt;&gt;"",F609&lt;&gt;""),F609-D609-G609,"")</f>
        <v/>
      </c>
      <c r="I609" s="14">
        <f>IF(E609&lt;&gt;"", YEARFRAC(C609, E609) * 12, "")</f>
        <v/>
      </c>
      <c r="J609" s="2">
        <f>IF(I609="", "", IF(OR(AND(A609="Listed Equity Shares", I609&gt;12), AND(A609="Unlisted Equity Shares", I609&gt;24)), "Long Term", "Short Term"))</f>
        <v/>
      </c>
      <c r="K609" s="5">
        <f>IF(J609="", "", IF(J609="Long Term", 12.5%,"as per slab"))</f>
        <v/>
      </c>
      <c r="L609" s="3">
        <f>+IFERROR(IF(J609="","",H609*K609),"as per slab")</f>
        <v/>
      </c>
    </row>
    <row r="610">
      <c r="A610" s="7" t="n"/>
      <c r="B610" s="7" t="n"/>
      <c r="C610" s="8" t="n"/>
      <c r="D610" s="9" t="n"/>
      <c r="E610" s="8" t="n"/>
      <c r="F610" s="9" t="n"/>
      <c r="G610" s="9" t="n"/>
      <c r="H610" s="3">
        <f>IF(AND(D610&lt;&gt;"",F610&lt;&gt;""),F610-D610-G610,"")</f>
        <v/>
      </c>
      <c r="I610" s="14">
        <f>IF(E610&lt;&gt;"", YEARFRAC(C610, E610) * 12, "")</f>
        <v/>
      </c>
      <c r="J610" s="2">
        <f>IF(I610="", "", IF(OR(AND(A610="Listed Equity Shares", I610&gt;12), AND(A610="Unlisted Equity Shares", I610&gt;24)), "Long Term", "Short Term"))</f>
        <v/>
      </c>
      <c r="K610" s="5">
        <f>IF(J610="", "", IF(J610="Long Term", 12.5%,"as per slab"))</f>
        <v/>
      </c>
      <c r="L610" s="3">
        <f>+IFERROR(IF(J610="","",H610*K610),"as per slab")</f>
        <v/>
      </c>
    </row>
    <row r="611">
      <c r="A611" s="7" t="n"/>
      <c r="B611" s="7" t="n"/>
      <c r="C611" s="8" t="n"/>
      <c r="D611" s="9" t="n"/>
      <c r="E611" s="8" t="n"/>
      <c r="F611" s="9" t="n"/>
      <c r="G611" s="9" t="n"/>
      <c r="H611" s="3">
        <f>IF(AND(D611&lt;&gt;"",F611&lt;&gt;""),F611-D611-G611,"")</f>
        <v/>
      </c>
      <c r="I611" s="14">
        <f>IF(E611&lt;&gt;"", YEARFRAC(C611, E611) * 12, "")</f>
        <v/>
      </c>
      <c r="J611" s="2">
        <f>IF(I611="", "", IF(OR(AND(A611="Listed Equity Shares", I611&gt;12), AND(A611="Unlisted Equity Shares", I611&gt;24)), "Long Term", "Short Term"))</f>
        <v/>
      </c>
      <c r="K611" s="5">
        <f>IF(J611="", "", IF(J611="Long Term", 12.5%,"as per slab"))</f>
        <v/>
      </c>
      <c r="L611" s="3">
        <f>+IFERROR(IF(J611="","",H611*K611),"as per slab")</f>
        <v/>
      </c>
    </row>
    <row r="612">
      <c r="A612" s="7" t="n"/>
      <c r="B612" s="7" t="n"/>
      <c r="C612" s="8" t="n"/>
      <c r="D612" s="9" t="n"/>
      <c r="E612" s="8" t="n"/>
      <c r="F612" s="9" t="n"/>
      <c r="G612" s="9" t="n"/>
      <c r="H612" s="3">
        <f>IF(AND(D612&lt;&gt;"",F612&lt;&gt;""),F612-D612-G612,"")</f>
        <v/>
      </c>
      <c r="I612" s="14">
        <f>IF(E612&lt;&gt;"", YEARFRAC(C612, E612) * 12, "")</f>
        <v/>
      </c>
      <c r="J612" s="2">
        <f>IF(I612="", "", IF(OR(AND(A612="Listed Equity Shares", I612&gt;12), AND(A612="Unlisted Equity Shares", I612&gt;24)), "Long Term", "Short Term"))</f>
        <v/>
      </c>
      <c r="K612" s="5">
        <f>IF(J612="", "", IF(J612="Long Term", 12.5%,"as per slab"))</f>
        <v/>
      </c>
      <c r="L612" s="3">
        <f>+IFERROR(IF(J612="","",H612*K612),"as per slab")</f>
        <v/>
      </c>
    </row>
    <row r="613">
      <c r="A613" s="7" t="n"/>
      <c r="B613" s="7" t="n"/>
      <c r="C613" s="8" t="n"/>
      <c r="D613" s="9" t="n"/>
      <c r="E613" s="8" t="n"/>
      <c r="F613" s="9" t="n"/>
      <c r="G613" s="9" t="n"/>
      <c r="H613" s="3">
        <f>IF(AND(D613&lt;&gt;"",F613&lt;&gt;""),F613-D613-G613,"")</f>
        <v/>
      </c>
      <c r="I613" s="14">
        <f>IF(E613&lt;&gt;"", YEARFRAC(C613, E613) * 12, "")</f>
        <v/>
      </c>
      <c r="J613" s="2">
        <f>IF(I613="", "", IF(OR(AND(A613="Listed Equity Shares", I613&gt;12), AND(A613="Unlisted Equity Shares", I613&gt;24)), "Long Term", "Short Term"))</f>
        <v/>
      </c>
      <c r="K613" s="5">
        <f>IF(J613="", "", IF(J613="Long Term", 12.5%,"as per slab"))</f>
        <v/>
      </c>
      <c r="L613" s="3">
        <f>+IFERROR(IF(J613="","",H613*K613),"as per slab")</f>
        <v/>
      </c>
    </row>
    <row r="614">
      <c r="A614" s="7" t="n"/>
      <c r="B614" s="7" t="n"/>
      <c r="C614" s="8" t="n"/>
      <c r="D614" s="9" t="n"/>
      <c r="E614" s="8" t="n"/>
      <c r="F614" s="9" t="n"/>
      <c r="G614" s="9" t="n"/>
      <c r="H614" s="3">
        <f>IF(AND(D614&lt;&gt;"",F614&lt;&gt;""),F614-D614-G614,"")</f>
        <v/>
      </c>
      <c r="I614" s="14">
        <f>IF(E614&lt;&gt;"", YEARFRAC(C614, E614) * 12, "")</f>
        <v/>
      </c>
      <c r="J614" s="2">
        <f>IF(I614="", "", IF(OR(AND(A614="Listed Equity Shares", I614&gt;12), AND(A614="Unlisted Equity Shares", I614&gt;24)), "Long Term", "Short Term"))</f>
        <v/>
      </c>
      <c r="K614" s="5">
        <f>IF(J614="", "", IF(J614="Long Term", 12.5%,"as per slab"))</f>
        <v/>
      </c>
      <c r="L614" s="3">
        <f>+IFERROR(IF(J614="","",H614*K614),"as per slab")</f>
        <v/>
      </c>
    </row>
    <row r="615">
      <c r="A615" s="7" t="n"/>
      <c r="B615" s="7" t="n"/>
      <c r="C615" s="8" t="n"/>
      <c r="D615" s="9" t="n"/>
      <c r="E615" s="8" t="n"/>
      <c r="F615" s="9" t="n"/>
      <c r="G615" s="9" t="n"/>
      <c r="H615" s="3">
        <f>IF(AND(D615&lt;&gt;"",F615&lt;&gt;""),F615-D615-G615,"")</f>
        <v/>
      </c>
      <c r="I615" s="14">
        <f>IF(E615&lt;&gt;"", YEARFRAC(C615, E615) * 12, "")</f>
        <v/>
      </c>
      <c r="J615" s="2">
        <f>IF(I615="", "", IF(OR(AND(A615="Listed Equity Shares", I615&gt;12), AND(A615="Unlisted Equity Shares", I615&gt;24)), "Long Term", "Short Term"))</f>
        <v/>
      </c>
      <c r="K615" s="5">
        <f>IF(J615="", "", IF(J615="Long Term", 12.5%,"as per slab"))</f>
        <v/>
      </c>
      <c r="L615" s="3">
        <f>+IFERROR(IF(J615="","",H615*K615),"as per slab")</f>
        <v/>
      </c>
    </row>
    <row r="616">
      <c r="A616" s="7" t="n"/>
      <c r="B616" s="7" t="n"/>
      <c r="C616" s="8" t="n"/>
      <c r="D616" s="9" t="n"/>
      <c r="E616" s="8" t="n"/>
      <c r="F616" s="9" t="n"/>
      <c r="G616" s="9" t="n"/>
      <c r="H616" s="3">
        <f>IF(AND(D616&lt;&gt;"",F616&lt;&gt;""),F616-D616-G616,"")</f>
        <v/>
      </c>
      <c r="I616" s="14">
        <f>IF(E616&lt;&gt;"", YEARFRAC(C616, E616) * 12, "")</f>
        <v/>
      </c>
      <c r="J616" s="2">
        <f>IF(I616="", "", IF(OR(AND(A616="Listed Equity Shares", I616&gt;12), AND(A616="Unlisted Equity Shares", I616&gt;24)), "Long Term", "Short Term"))</f>
        <v/>
      </c>
      <c r="K616" s="5">
        <f>IF(J616="", "", IF(J616="Long Term", 12.5%,"as per slab"))</f>
        <v/>
      </c>
      <c r="L616" s="3">
        <f>+IFERROR(IF(J616="","",H616*K616),"as per slab")</f>
        <v/>
      </c>
    </row>
    <row r="617">
      <c r="A617" s="7" t="n"/>
      <c r="B617" s="7" t="n"/>
      <c r="C617" s="8" t="n"/>
      <c r="D617" s="9" t="n"/>
      <c r="E617" s="8" t="n"/>
      <c r="F617" s="9" t="n"/>
      <c r="G617" s="9" t="n"/>
      <c r="H617" s="3">
        <f>IF(AND(D617&lt;&gt;"",F617&lt;&gt;""),F617-D617-G617,"")</f>
        <v/>
      </c>
      <c r="I617" s="14">
        <f>IF(E617&lt;&gt;"", YEARFRAC(C617, E617) * 12, "")</f>
        <v/>
      </c>
      <c r="J617" s="2">
        <f>IF(I617="", "", IF(OR(AND(A617="Listed Equity Shares", I617&gt;12), AND(A617="Unlisted Equity Shares", I617&gt;24)), "Long Term", "Short Term"))</f>
        <v/>
      </c>
      <c r="K617" s="5">
        <f>IF(J617="", "", IF(J617="Long Term", 12.5%,"as per slab"))</f>
        <v/>
      </c>
      <c r="L617" s="3">
        <f>+IFERROR(IF(J617="","",H617*K617),"as per slab")</f>
        <v/>
      </c>
    </row>
    <row r="618">
      <c r="A618" s="7" t="n"/>
      <c r="B618" s="7" t="n"/>
      <c r="C618" s="8" t="n"/>
      <c r="D618" s="9" t="n"/>
      <c r="E618" s="8" t="n"/>
      <c r="F618" s="9" t="n"/>
      <c r="G618" s="9" t="n"/>
      <c r="H618" s="3">
        <f>IF(AND(D618&lt;&gt;"",F618&lt;&gt;""),F618-D618-G618,"")</f>
        <v/>
      </c>
      <c r="I618" s="14">
        <f>IF(E618&lt;&gt;"", YEARFRAC(C618, E618) * 12, "")</f>
        <v/>
      </c>
      <c r="J618" s="2">
        <f>IF(I618="", "", IF(OR(AND(A618="Listed Equity Shares", I618&gt;12), AND(A618="Unlisted Equity Shares", I618&gt;24)), "Long Term", "Short Term"))</f>
        <v/>
      </c>
      <c r="K618" s="5">
        <f>IF(J618="", "", IF(J618="Long Term", 12.5%,"as per slab"))</f>
        <v/>
      </c>
      <c r="L618" s="3">
        <f>+IFERROR(IF(J618="","",H618*K618),"as per slab")</f>
        <v/>
      </c>
    </row>
    <row r="619">
      <c r="A619" s="7" t="n"/>
      <c r="B619" s="7" t="n"/>
      <c r="C619" s="8" t="n"/>
      <c r="D619" s="9" t="n"/>
      <c r="E619" s="8" t="n"/>
      <c r="F619" s="9" t="n"/>
      <c r="G619" s="9" t="n"/>
      <c r="H619" s="3">
        <f>IF(AND(D619&lt;&gt;"",F619&lt;&gt;""),F619-D619-G619,"")</f>
        <v/>
      </c>
      <c r="I619" s="14">
        <f>IF(E619&lt;&gt;"", YEARFRAC(C619, E619) * 12, "")</f>
        <v/>
      </c>
      <c r="J619" s="2">
        <f>IF(I619="", "", IF(OR(AND(A619="Listed Equity Shares", I619&gt;12), AND(A619="Unlisted Equity Shares", I619&gt;24)), "Long Term", "Short Term"))</f>
        <v/>
      </c>
      <c r="K619" s="5">
        <f>IF(J619="", "", IF(J619="Long Term", 12.5%,"as per slab"))</f>
        <v/>
      </c>
      <c r="L619" s="3">
        <f>+IFERROR(IF(J619="","",H619*K619),"as per slab")</f>
        <v/>
      </c>
    </row>
    <row r="620">
      <c r="A620" s="7" t="n"/>
      <c r="B620" s="7" t="n"/>
      <c r="C620" s="8" t="n"/>
      <c r="D620" s="9" t="n"/>
      <c r="E620" s="8" t="n"/>
      <c r="F620" s="9" t="n"/>
      <c r="G620" s="9" t="n"/>
      <c r="H620" s="3">
        <f>IF(AND(D620&lt;&gt;"",F620&lt;&gt;""),F620-D620-G620,"")</f>
        <v/>
      </c>
      <c r="I620" s="14">
        <f>IF(E620&lt;&gt;"", YEARFRAC(C620, E620) * 12, "")</f>
        <v/>
      </c>
      <c r="J620" s="2">
        <f>IF(I620="", "", IF(OR(AND(A620="Listed Equity Shares", I620&gt;12), AND(A620="Unlisted Equity Shares", I620&gt;24)), "Long Term", "Short Term"))</f>
        <v/>
      </c>
      <c r="K620" s="5">
        <f>IF(J620="", "", IF(J620="Long Term", 12.5%,"as per slab"))</f>
        <v/>
      </c>
      <c r="L620" s="3">
        <f>+IFERROR(IF(J620="","",H620*K620),"as per slab")</f>
        <v/>
      </c>
    </row>
    <row r="621">
      <c r="A621" s="7" t="n"/>
      <c r="B621" s="7" t="n"/>
      <c r="C621" s="8" t="n"/>
      <c r="D621" s="9" t="n"/>
      <c r="E621" s="8" t="n"/>
      <c r="F621" s="9" t="n"/>
      <c r="G621" s="9" t="n"/>
      <c r="H621" s="3">
        <f>IF(AND(D621&lt;&gt;"",F621&lt;&gt;""),F621-D621-G621,"")</f>
        <v/>
      </c>
      <c r="I621" s="14">
        <f>IF(E621&lt;&gt;"", YEARFRAC(C621, E621) * 12, "")</f>
        <v/>
      </c>
      <c r="J621" s="2">
        <f>IF(I621="", "", IF(OR(AND(A621="Listed Equity Shares", I621&gt;12), AND(A621="Unlisted Equity Shares", I621&gt;24)), "Long Term", "Short Term"))</f>
        <v/>
      </c>
      <c r="K621" s="5">
        <f>IF(J621="", "", IF(J621="Long Term", 12.5%,"as per slab"))</f>
        <v/>
      </c>
      <c r="L621" s="3">
        <f>+IFERROR(IF(J621="","",H621*K621),"as per slab")</f>
        <v/>
      </c>
    </row>
    <row r="622">
      <c r="A622" s="7" t="n"/>
      <c r="B622" s="7" t="n"/>
      <c r="C622" s="8" t="n"/>
      <c r="D622" s="9" t="n"/>
      <c r="E622" s="8" t="n"/>
      <c r="F622" s="9" t="n"/>
      <c r="G622" s="9" t="n"/>
      <c r="H622" s="3">
        <f>IF(AND(D622&lt;&gt;"",F622&lt;&gt;""),F622-D622-G622,"")</f>
        <v/>
      </c>
      <c r="I622" s="14">
        <f>IF(E622&lt;&gt;"", YEARFRAC(C622, E622) * 12, "")</f>
        <v/>
      </c>
      <c r="J622" s="2">
        <f>IF(I622="", "", IF(OR(AND(A622="Listed Equity Shares", I622&gt;12), AND(A622="Unlisted Equity Shares", I622&gt;24)), "Long Term", "Short Term"))</f>
        <v/>
      </c>
      <c r="K622" s="5">
        <f>IF(J622="", "", IF(J622="Long Term", 12.5%,"as per slab"))</f>
        <v/>
      </c>
      <c r="L622" s="3">
        <f>+IFERROR(IF(J622="","",H622*K622),"as per slab")</f>
        <v/>
      </c>
    </row>
    <row r="623">
      <c r="A623" s="7" t="n"/>
      <c r="B623" s="7" t="n"/>
      <c r="C623" s="8" t="n"/>
      <c r="D623" s="9" t="n"/>
      <c r="E623" s="8" t="n"/>
      <c r="F623" s="9" t="n"/>
      <c r="G623" s="9" t="n"/>
      <c r="H623" s="3">
        <f>IF(AND(D623&lt;&gt;"",F623&lt;&gt;""),F623-D623-G623,"")</f>
        <v/>
      </c>
      <c r="I623" s="14">
        <f>IF(E623&lt;&gt;"", YEARFRAC(C623, E623) * 12, "")</f>
        <v/>
      </c>
      <c r="J623" s="2">
        <f>IF(I623="", "", IF(OR(AND(A623="Listed Equity Shares", I623&gt;12), AND(A623="Unlisted Equity Shares", I623&gt;24)), "Long Term", "Short Term"))</f>
        <v/>
      </c>
      <c r="K623" s="5">
        <f>IF(J623="", "", IF(J623="Long Term", 12.5%,"as per slab"))</f>
        <v/>
      </c>
      <c r="L623" s="3">
        <f>+IFERROR(IF(J623="","",H623*K623),"as per slab")</f>
        <v/>
      </c>
    </row>
    <row r="624">
      <c r="A624" s="7" t="n"/>
      <c r="B624" s="7" t="n"/>
      <c r="C624" s="8" t="n"/>
      <c r="D624" s="9" t="n"/>
      <c r="E624" s="8" t="n"/>
      <c r="F624" s="9" t="n"/>
      <c r="G624" s="9" t="n"/>
      <c r="H624" s="3">
        <f>IF(AND(D624&lt;&gt;"",F624&lt;&gt;""),F624-D624-G624,"")</f>
        <v/>
      </c>
      <c r="I624" s="14">
        <f>IF(E624&lt;&gt;"", YEARFRAC(C624, E624) * 12, "")</f>
        <v/>
      </c>
      <c r="J624" s="2">
        <f>IF(I624="", "", IF(OR(AND(A624="Listed Equity Shares", I624&gt;12), AND(A624="Unlisted Equity Shares", I624&gt;24)), "Long Term", "Short Term"))</f>
        <v/>
      </c>
      <c r="K624" s="5">
        <f>IF(J624="", "", IF(J624="Long Term", 12.5%,"as per slab"))</f>
        <v/>
      </c>
      <c r="L624" s="3">
        <f>+IFERROR(IF(J624="","",H624*K624),"as per slab")</f>
        <v/>
      </c>
    </row>
    <row r="625">
      <c r="A625" s="7" t="n"/>
      <c r="B625" s="7" t="n"/>
      <c r="C625" s="8" t="n"/>
      <c r="D625" s="9" t="n"/>
      <c r="E625" s="8" t="n"/>
      <c r="F625" s="9" t="n"/>
      <c r="G625" s="9" t="n"/>
      <c r="H625" s="3">
        <f>IF(AND(D625&lt;&gt;"",F625&lt;&gt;""),F625-D625-G625,"")</f>
        <v/>
      </c>
      <c r="I625" s="14">
        <f>IF(E625&lt;&gt;"", YEARFRAC(C625, E625) * 12, "")</f>
        <v/>
      </c>
      <c r="J625" s="2">
        <f>IF(I625="", "", IF(OR(AND(A625="Listed Equity Shares", I625&gt;12), AND(A625="Unlisted Equity Shares", I625&gt;24)), "Long Term", "Short Term"))</f>
        <v/>
      </c>
      <c r="K625" s="5">
        <f>IF(J625="", "", IF(J625="Long Term", 12.5%,"as per slab"))</f>
        <v/>
      </c>
      <c r="L625" s="3">
        <f>+IFERROR(IF(J625="","",H625*K625),"as per slab")</f>
        <v/>
      </c>
    </row>
    <row r="626">
      <c r="A626" s="7" t="n"/>
      <c r="B626" s="7" t="n"/>
      <c r="C626" s="8" t="n"/>
      <c r="D626" s="9" t="n"/>
      <c r="E626" s="8" t="n"/>
      <c r="F626" s="9" t="n"/>
      <c r="G626" s="9" t="n"/>
      <c r="H626" s="3">
        <f>IF(AND(D626&lt;&gt;"",F626&lt;&gt;""),F626-D626-G626,"")</f>
        <v/>
      </c>
      <c r="I626" s="14">
        <f>IF(E626&lt;&gt;"", YEARFRAC(C626, E626) * 12, "")</f>
        <v/>
      </c>
      <c r="J626" s="2">
        <f>IF(I626="", "", IF(OR(AND(A626="Listed Equity Shares", I626&gt;12), AND(A626="Unlisted Equity Shares", I626&gt;24)), "Long Term", "Short Term"))</f>
        <v/>
      </c>
      <c r="K626" s="5">
        <f>IF(J626="", "", IF(J626="Long Term", 12.5%,"as per slab"))</f>
        <v/>
      </c>
      <c r="L626" s="3">
        <f>+IFERROR(IF(J626="","",H626*K626),"as per slab")</f>
        <v/>
      </c>
    </row>
    <row r="627">
      <c r="A627" s="7" t="n"/>
      <c r="B627" s="7" t="n"/>
      <c r="C627" s="8" t="n"/>
      <c r="D627" s="9" t="n"/>
      <c r="E627" s="8" t="n"/>
      <c r="F627" s="9" t="n"/>
      <c r="G627" s="9" t="n"/>
      <c r="H627" s="3">
        <f>IF(AND(D627&lt;&gt;"",F627&lt;&gt;""),F627-D627-G627,"")</f>
        <v/>
      </c>
      <c r="I627" s="14">
        <f>IF(E627&lt;&gt;"", YEARFRAC(C627, E627) * 12, "")</f>
        <v/>
      </c>
      <c r="J627" s="2">
        <f>IF(I627="", "", IF(OR(AND(A627="Listed Equity Shares", I627&gt;12), AND(A627="Unlisted Equity Shares", I627&gt;24)), "Long Term", "Short Term"))</f>
        <v/>
      </c>
      <c r="K627" s="5">
        <f>IF(J627="", "", IF(J627="Long Term", 12.5%,"as per slab"))</f>
        <v/>
      </c>
      <c r="L627" s="3">
        <f>+IFERROR(IF(J627="","",H627*K627),"as per slab")</f>
        <v/>
      </c>
    </row>
    <row r="628">
      <c r="A628" s="7" t="n"/>
      <c r="B628" s="7" t="n"/>
      <c r="C628" s="8" t="n"/>
      <c r="D628" s="9" t="n"/>
      <c r="E628" s="8" t="n"/>
      <c r="F628" s="9" t="n"/>
      <c r="G628" s="9" t="n"/>
      <c r="H628" s="3">
        <f>IF(AND(D628&lt;&gt;"",F628&lt;&gt;""),F628-D628-G628,"")</f>
        <v/>
      </c>
      <c r="I628" s="14">
        <f>IF(E628&lt;&gt;"", YEARFRAC(C628, E628) * 12, "")</f>
        <v/>
      </c>
      <c r="J628" s="2">
        <f>IF(I628="", "", IF(OR(AND(A628="Listed Equity Shares", I628&gt;12), AND(A628="Unlisted Equity Shares", I628&gt;24)), "Long Term", "Short Term"))</f>
        <v/>
      </c>
      <c r="K628" s="5">
        <f>IF(J628="", "", IF(J628="Long Term", 12.5%,"as per slab"))</f>
        <v/>
      </c>
      <c r="L628" s="3">
        <f>+IFERROR(IF(J628="","",H628*K628),"as per slab")</f>
        <v/>
      </c>
    </row>
    <row r="629">
      <c r="A629" s="7" t="n"/>
      <c r="B629" s="7" t="n"/>
      <c r="C629" s="8" t="n"/>
      <c r="D629" s="9" t="n"/>
      <c r="E629" s="8" t="n"/>
      <c r="F629" s="9" t="n"/>
      <c r="G629" s="9" t="n"/>
      <c r="H629" s="3">
        <f>IF(AND(D629&lt;&gt;"",F629&lt;&gt;""),F629-D629-G629,"")</f>
        <v/>
      </c>
      <c r="I629" s="14">
        <f>IF(E629&lt;&gt;"", YEARFRAC(C629, E629) * 12, "")</f>
        <v/>
      </c>
      <c r="J629" s="2">
        <f>IF(I629="", "", IF(OR(AND(A629="Listed Equity Shares", I629&gt;12), AND(A629="Unlisted Equity Shares", I629&gt;24)), "Long Term", "Short Term"))</f>
        <v/>
      </c>
      <c r="K629" s="5">
        <f>IF(J629="", "", IF(J629="Long Term", 12.5%,"as per slab"))</f>
        <v/>
      </c>
      <c r="L629" s="3">
        <f>+IFERROR(IF(J629="","",H629*K629),"as per slab")</f>
        <v/>
      </c>
    </row>
    <row r="630">
      <c r="A630" s="7" t="n"/>
      <c r="B630" s="7" t="n"/>
      <c r="C630" s="8" t="n"/>
      <c r="D630" s="9" t="n"/>
      <c r="E630" s="8" t="n"/>
      <c r="F630" s="9" t="n"/>
      <c r="G630" s="9" t="n"/>
      <c r="H630" s="3">
        <f>IF(AND(D630&lt;&gt;"",F630&lt;&gt;""),F630-D630-G630,"")</f>
        <v/>
      </c>
      <c r="I630" s="14">
        <f>IF(E630&lt;&gt;"", YEARFRAC(C630, E630) * 12, "")</f>
        <v/>
      </c>
      <c r="J630" s="2">
        <f>IF(I630="", "", IF(OR(AND(A630="Listed Equity Shares", I630&gt;12), AND(A630="Unlisted Equity Shares", I630&gt;24)), "Long Term", "Short Term"))</f>
        <v/>
      </c>
      <c r="K630" s="5">
        <f>IF(J630="", "", IF(J630="Long Term", 12.5%,"as per slab"))</f>
        <v/>
      </c>
      <c r="L630" s="3">
        <f>+IFERROR(IF(J630="","",H630*K630),"as per slab")</f>
        <v/>
      </c>
    </row>
    <row r="631">
      <c r="A631" s="7" t="n"/>
      <c r="B631" s="7" t="n"/>
      <c r="C631" s="8" t="n"/>
      <c r="D631" s="9" t="n"/>
      <c r="E631" s="8" t="n"/>
      <c r="F631" s="9" t="n"/>
      <c r="G631" s="9" t="n"/>
      <c r="H631" s="3">
        <f>IF(AND(D631&lt;&gt;"",F631&lt;&gt;""),F631-D631-G631,"")</f>
        <v/>
      </c>
      <c r="I631" s="14">
        <f>IF(E631&lt;&gt;"", YEARFRAC(C631, E631) * 12, "")</f>
        <v/>
      </c>
      <c r="J631" s="2">
        <f>IF(I631="", "", IF(OR(AND(A631="Listed Equity Shares", I631&gt;12), AND(A631="Unlisted Equity Shares", I631&gt;24)), "Long Term", "Short Term"))</f>
        <v/>
      </c>
      <c r="K631" s="5">
        <f>IF(J631="", "", IF(J631="Long Term", 12.5%,"as per slab"))</f>
        <v/>
      </c>
      <c r="L631" s="3">
        <f>+IFERROR(IF(J631="","",H631*K631),"as per slab")</f>
        <v/>
      </c>
    </row>
    <row r="632">
      <c r="A632" s="7" t="n"/>
      <c r="B632" s="7" t="n"/>
      <c r="C632" s="8" t="n"/>
      <c r="D632" s="9" t="n"/>
      <c r="E632" s="8" t="n"/>
      <c r="F632" s="9" t="n"/>
      <c r="G632" s="9" t="n"/>
      <c r="H632" s="3">
        <f>IF(AND(D632&lt;&gt;"",F632&lt;&gt;""),F632-D632-G632,"")</f>
        <v/>
      </c>
      <c r="I632" s="14">
        <f>IF(E632&lt;&gt;"", YEARFRAC(C632, E632) * 12, "")</f>
        <v/>
      </c>
      <c r="J632" s="2">
        <f>IF(I632="", "", IF(OR(AND(A632="Listed Equity Shares", I632&gt;12), AND(A632="Unlisted Equity Shares", I632&gt;24)), "Long Term", "Short Term"))</f>
        <v/>
      </c>
      <c r="K632" s="5">
        <f>IF(J632="", "", IF(J632="Long Term", 12.5%,"as per slab"))</f>
        <v/>
      </c>
      <c r="L632" s="3">
        <f>+IFERROR(IF(J632="","",H632*K632),"as per slab")</f>
        <v/>
      </c>
    </row>
    <row r="633">
      <c r="A633" s="7" t="n"/>
      <c r="B633" s="7" t="n"/>
      <c r="C633" s="8" t="n"/>
      <c r="D633" s="9" t="n"/>
      <c r="E633" s="8" t="n"/>
      <c r="F633" s="9" t="n"/>
      <c r="G633" s="9" t="n"/>
      <c r="H633" s="3">
        <f>IF(AND(D633&lt;&gt;"",F633&lt;&gt;""),F633-D633-G633,"")</f>
        <v/>
      </c>
      <c r="I633" s="14">
        <f>IF(E633&lt;&gt;"", YEARFRAC(C633, E633) * 12, "")</f>
        <v/>
      </c>
      <c r="J633" s="2">
        <f>IF(I633="", "", IF(OR(AND(A633="Listed Equity Shares", I633&gt;12), AND(A633="Unlisted Equity Shares", I633&gt;24)), "Long Term", "Short Term"))</f>
        <v/>
      </c>
      <c r="K633" s="5">
        <f>IF(J633="", "", IF(J633="Long Term", 12.5%,"as per slab"))</f>
        <v/>
      </c>
      <c r="L633" s="3">
        <f>+IFERROR(IF(J633="","",H633*K633),"as per slab")</f>
        <v/>
      </c>
    </row>
    <row r="634">
      <c r="A634" s="7" t="n"/>
      <c r="B634" s="7" t="n"/>
      <c r="C634" s="8" t="n"/>
      <c r="D634" s="9" t="n"/>
      <c r="E634" s="8" t="n"/>
      <c r="F634" s="9" t="n"/>
      <c r="G634" s="9" t="n"/>
      <c r="H634" s="3">
        <f>IF(AND(D634&lt;&gt;"",F634&lt;&gt;""),F634-D634-G634,"")</f>
        <v/>
      </c>
      <c r="I634" s="14">
        <f>IF(E634&lt;&gt;"", YEARFRAC(C634, E634) * 12, "")</f>
        <v/>
      </c>
      <c r="J634" s="2">
        <f>IF(I634="", "", IF(OR(AND(A634="Listed Equity Shares", I634&gt;12), AND(A634="Unlisted Equity Shares", I634&gt;24)), "Long Term", "Short Term"))</f>
        <v/>
      </c>
      <c r="K634" s="5">
        <f>IF(J634="", "", IF(J634="Long Term", 12.5%,"as per slab"))</f>
        <v/>
      </c>
      <c r="L634" s="3">
        <f>+IFERROR(IF(J634="","",H634*K634),"as per slab")</f>
        <v/>
      </c>
    </row>
    <row r="635">
      <c r="A635" s="7" t="n"/>
      <c r="B635" s="7" t="n"/>
      <c r="C635" s="8" t="n"/>
      <c r="D635" s="9" t="n"/>
      <c r="E635" s="8" t="n"/>
      <c r="F635" s="9" t="n"/>
      <c r="G635" s="9" t="n"/>
      <c r="H635" s="3">
        <f>IF(AND(D635&lt;&gt;"",F635&lt;&gt;""),F635-D635-G635,"")</f>
        <v/>
      </c>
      <c r="I635" s="14">
        <f>IF(E635&lt;&gt;"", YEARFRAC(C635, E635) * 12, "")</f>
        <v/>
      </c>
      <c r="J635" s="2">
        <f>IF(I635="", "", IF(OR(AND(A635="Listed Equity Shares", I635&gt;12), AND(A635="Unlisted Equity Shares", I635&gt;24)), "Long Term", "Short Term"))</f>
        <v/>
      </c>
      <c r="K635" s="5">
        <f>IF(J635="", "", IF(J635="Long Term", 12.5%,"as per slab"))</f>
        <v/>
      </c>
      <c r="L635" s="3">
        <f>+IFERROR(IF(J635="","",H635*K635),"as per slab")</f>
        <v/>
      </c>
    </row>
    <row r="636">
      <c r="A636" s="7" t="n"/>
      <c r="B636" s="7" t="n"/>
      <c r="C636" s="8" t="n"/>
      <c r="D636" s="9" t="n"/>
      <c r="E636" s="8" t="n"/>
      <c r="F636" s="9" t="n"/>
      <c r="G636" s="9" t="n"/>
      <c r="H636" s="3">
        <f>IF(AND(D636&lt;&gt;"",F636&lt;&gt;""),F636-D636-G636,"")</f>
        <v/>
      </c>
      <c r="I636" s="14">
        <f>IF(E636&lt;&gt;"", YEARFRAC(C636, E636) * 12, "")</f>
        <v/>
      </c>
      <c r="J636" s="2">
        <f>IF(I636="", "", IF(OR(AND(A636="Listed Equity Shares", I636&gt;12), AND(A636="Unlisted Equity Shares", I636&gt;24)), "Long Term", "Short Term"))</f>
        <v/>
      </c>
      <c r="K636" s="5">
        <f>IF(J636="", "", IF(J636="Long Term", 12.5%,"as per slab"))</f>
        <v/>
      </c>
      <c r="L636" s="3">
        <f>+IFERROR(IF(J636="","",H636*K636),"as per slab")</f>
        <v/>
      </c>
    </row>
    <row r="637">
      <c r="A637" s="7" t="n"/>
      <c r="B637" s="7" t="n"/>
      <c r="C637" s="8" t="n"/>
      <c r="D637" s="9" t="n"/>
      <c r="E637" s="8" t="n"/>
      <c r="F637" s="9" t="n"/>
      <c r="G637" s="9" t="n"/>
      <c r="H637" s="3">
        <f>IF(AND(D637&lt;&gt;"",F637&lt;&gt;""),F637-D637-G637,"")</f>
        <v/>
      </c>
      <c r="I637" s="14">
        <f>IF(E637&lt;&gt;"", YEARFRAC(C637, E637) * 12, "")</f>
        <v/>
      </c>
      <c r="J637" s="2">
        <f>IF(I637="", "", IF(OR(AND(A637="Listed Equity Shares", I637&gt;12), AND(A637="Unlisted Equity Shares", I637&gt;24)), "Long Term", "Short Term"))</f>
        <v/>
      </c>
      <c r="K637" s="5">
        <f>IF(J637="", "", IF(J637="Long Term", 12.5%,"as per slab"))</f>
        <v/>
      </c>
      <c r="L637" s="3">
        <f>+IFERROR(IF(J637="","",H637*K637),"as per slab")</f>
        <v/>
      </c>
    </row>
    <row r="638">
      <c r="A638" s="7" t="n"/>
      <c r="B638" s="7" t="n"/>
      <c r="C638" s="8" t="n"/>
      <c r="D638" s="9" t="n"/>
      <c r="E638" s="8" t="n"/>
      <c r="F638" s="9" t="n"/>
      <c r="G638" s="9" t="n"/>
      <c r="H638" s="3">
        <f>IF(AND(D638&lt;&gt;"",F638&lt;&gt;""),F638-D638-G638,"")</f>
        <v/>
      </c>
      <c r="I638" s="14">
        <f>IF(E638&lt;&gt;"", YEARFRAC(C638, E638) * 12, "")</f>
        <v/>
      </c>
      <c r="J638" s="2">
        <f>IF(I638="", "", IF(OR(AND(A638="Listed Equity Shares", I638&gt;12), AND(A638="Unlisted Equity Shares", I638&gt;24)), "Long Term", "Short Term"))</f>
        <v/>
      </c>
      <c r="K638" s="5">
        <f>IF(J638="", "", IF(J638="Long Term", 12.5%,"as per slab"))</f>
        <v/>
      </c>
      <c r="L638" s="3">
        <f>+IFERROR(IF(J638="","",H638*K638),"as per slab")</f>
        <v/>
      </c>
    </row>
    <row r="639">
      <c r="A639" s="7" t="n"/>
      <c r="B639" s="7" t="n"/>
      <c r="C639" s="8" t="n"/>
      <c r="D639" s="9" t="n"/>
      <c r="E639" s="8" t="n"/>
      <c r="F639" s="9" t="n"/>
      <c r="G639" s="9" t="n"/>
      <c r="H639" s="3">
        <f>IF(AND(D639&lt;&gt;"",F639&lt;&gt;""),F639-D639-G639,"")</f>
        <v/>
      </c>
      <c r="I639" s="14">
        <f>IF(E639&lt;&gt;"", YEARFRAC(C639, E639) * 12, "")</f>
        <v/>
      </c>
      <c r="J639" s="2">
        <f>IF(I639="", "", IF(OR(AND(A639="Listed Equity Shares", I639&gt;12), AND(A639="Unlisted Equity Shares", I639&gt;24)), "Long Term", "Short Term"))</f>
        <v/>
      </c>
      <c r="K639" s="5">
        <f>IF(J639="", "", IF(J639="Long Term", 12.5%,"as per slab"))</f>
        <v/>
      </c>
      <c r="L639" s="3">
        <f>+IFERROR(IF(J639="","",H639*K639),"as per slab")</f>
        <v/>
      </c>
    </row>
    <row r="640">
      <c r="A640" s="7" t="n"/>
      <c r="B640" s="7" t="n"/>
      <c r="C640" s="8" t="n"/>
      <c r="D640" s="9" t="n"/>
      <c r="E640" s="8" t="n"/>
      <c r="F640" s="9" t="n"/>
      <c r="G640" s="9" t="n"/>
      <c r="H640" s="3">
        <f>IF(AND(D640&lt;&gt;"",F640&lt;&gt;""),F640-D640-G640,"")</f>
        <v/>
      </c>
      <c r="I640" s="14">
        <f>IF(E640&lt;&gt;"", YEARFRAC(C640, E640) * 12, "")</f>
        <v/>
      </c>
      <c r="J640" s="2">
        <f>IF(I640="", "", IF(OR(AND(A640="Listed Equity Shares", I640&gt;12), AND(A640="Unlisted Equity Shares", I640&gt;24)), "Long Term", "Short Term"))</f>
        <v/>
      </c>
      <c r="K640" s="5">
        <f>IF(J640="", "", IF(J640="Long Term", 12.5%,"as per slab"))</f>
        <v/>
      </c>
      <c r="L640" s="3">
        <f>+IFERROR(IF(J640="","",H640*K640),"as per slab")</f>
        <v/>
      </c>
    </row>
    <row r="641">
      <c r="A641" s="7" t="n"/>
      <c r="B641" s="7" t="n"/>
      <c r="C641" s="8" t="n"/>
      <c r="D641" s="9" t="n"/>
      <c r="E641" s="8" t="n"/>
      <c r="F641" s="9" t="n"/>
      <c r="G641" s="9" t="n"/>
      <c r="H641" s="3">
        <f>IF(AND(D641&lt;&gt;"",F641&lt;&gt;""),F641-D641-G641,"")</f>
        <v/>
      </c>
      <c r="I641" s="14">
        <f>IF(E641&lt;&gt;"", YEARFRAC(C641, E641) * 12, "")</f>
        <v/>
      </c>
      <c r="J641" s="2">
        <f>IF(I641="", "", IF(OR(AND(A641="Listed Equity Shares", I641&gt;12), AND(A641="Unlisted Equity Shares", I641&gt;24)), "Long Term", "Short Term"))</f>
        <v/>
      </c>
      <c r="K641" s="5">
        <f>IF(J641="", "", IF(J641="Long Term", 12.5%,"as per slab"))</f>
        <v/>
      </c>
      <c r="L641" s="3">
        <f>+IFERROR(IF(J641="","",H641*K641),"as per slab")</f>
        <v/>
      </c>
    </row>
    <row r="642">
      <c r="A642" s="7" t="n"/>
      <c r="B642" s="7" t="n"/>
      <c r="C642" s="8" t="n"/>
      <c r="D642" s="9" t="n"/>
      <c r="E642" s="8" t="n"/>
      <c r="F642" s="9" t="n"/>
      <c r="G642" s="9" t="n"/>
      <c r="H642" s="3">
        <f>IF(AND(D642&lt;&gt;"",F642&lt;&gt;""),F642-D642-G642,"")</f>
        <v/>
      </c>
      <c r="I642" s="14">
        <f>IF(E642&lt;&gt;"", YEARFRAC(C642, E642) * 12, "")</f>
        <v/>
      </c>
      <c r="J642" s="2">
        <f>IF(I642="", "", IF(OR(AND(A642="Listed Equity Shares", I642&gt;12), AND(A642="Unlisted Equity Shares", I642&gt;24)), "Long Term", "Short Term"))</f>
        <v/>
      </c>
      <c r="K642" s="5">
        <f>IF(J642="", "", IF(J642="Long Term", 12.5%,"as per slab"))</f>
        <v/>
      </c>
      <c r="L642" s="3">
        <f>+IFERROR(IF(J642="","",H642*K642),"as per slab")</f>
        <v/>
      </c>
    </row>
    <row r="643">
      <c r="A643" s="7" t="n"/>
      <c r="B643" s="7" t="n"/>
      <c r="C643" s="8" t="n"/>
      <c r="D643" s="9" t="n"/>
      <c r="E643" s="8" t="n"/>
      <c r="F643" s="9" t="n"/>
      <c r="G643" s="9" t="n"/>
      <c r="H643" s="3">
        <f>IF(AND(D643&lt;&gt;"",F643&lt;&gt;""),F643-D643-G643,"")</f>
        <v/>
      </c>
      <c r="I643" s="14">
        <f>IF(E643&lt;&gt;"", YEARFRAC(C643, E643) * 12, "")</f>
        <v/>
      </c>
      <c r="J643" s="2">
        <f>IF(I643="", "", IF(OR(AND(A643="Listed Equity Shares", I643&gt;12), AND(A643="Unlisted Equity Shares", I643&gt;24)), "Long Term", "Short Term"))</f>
        <v/>
      </c>
      <c r="K643" s="5">
        <f>IF(J643="", "", IF(J643="Long Term", 12.5%,"as per slab"))</f>
        <v/>
      </c>
      <c r="L643" s="3">
        <f>+IFERROR(IF(J643="","",H643*K643),"as per slab")</f>
        <v/>
      </c>
    </row>
    <row r="644">
      <c r="A644" s="7" t="n"/>
      <c r="B644" s="7" t="n"/>
      <c r="C644" s="8" t="n"/>
      <c r="D644" s="9" t="n"/>
      <c r="E644" s="8" t="n"/>
      <c r="F644" s="9" t="n"/>
      <c r="G644" s="9" t="n"/>
      <c r="H644" s="3">
        <f>IF(AND(D644&lt;&gt;"",F644&lt;&gt;""),F644-D644-G644,"")</f>
        <v/>
      </c>
      <c r="I644" s="14">
        <f>IF(E644&lt;&gt;"", YEARFRAC(C644, E644) * 12, "")</f>
        <v/>
      </c>
      <c r="J644" s="2">
        <f>IF(I644="", "", IF(OR(AND(A644="Listed Equity Shares", I644&gt;12), AND(A644="Unlisted Equity Shares", I644&gt;24)), "Long Term", "Short Term"))</f>
        <v/>
      </c>
      <c r="K644" s="5">
        <f>IF(J644="", "", IF(J644="Long Term", 12.5%,"as per slab"))</f>
        <v/>
      </c>
      <c r="L644" s="3">
        <f>+IFERROR(IF(J644="","",H644*K644),"as per slab")</f>
        <v/>
      </c>
    </row>
    <row r="645">
      <c r="A645" s="7" t="n"/>
      <c r="B645" s="7" t="n"/>
      <c r="C645" s="8" t="n"/>
      <c r="D645" s="9" t="n"/>
      <c r="E645" s="8" t="n"/>
      <c r="F645" s="9" t="n"/>
      <c r="G645" s="9" t="n"/>
      <c r="H645" s="3">
        <f>IF(AND(D645&lt;&gt;"",F645&lt;&gt;""),F645-D645-G645,"")</f>
        <v/>
      </c>
      <c r="I645" s="14">
        <f>IF(E645&lt;&gt;"", YEARFRAC(C645, E645) * 12, "")</f>
        <v/>
      </c>
      <c r="J645" s="2">
        <f>IF(I645="", "", IF(OR(AND(A645="Listed Equity Shares", I645&gt;12), AND(A645="Unlisted Equity Shares", I645&gt;24)), "Long Term", "Short Term"))</f>
        <v/>
      </c>
      <c r="K645" s="5">
        <f>IF(J645="", "", IF(J645="Long Term", 12.5%,"as per slab"))</f>
        <v/>
      </c>
      <c r="L645" s="3">
        <f>+IFERROR(IF(J645="","",H645*K645),"as per slab")</f>
        <v/>
      </c>
    </row>
    <row r="646">
      <c r="A646" s="7" t="n"/>
      <c r="B646" s="7" t="n"/>
      <c r="C646" s="8" t="n"/>
      <c r="D646" s="9" t="n"/>
      <c r="E646" s="8" t="n"/>
      <c r="F646" s="9" t="n"/>
      <c r="G646" s="9" t="n"/>
      <c r="H646" s="3">
        <f>IF(AND(D646&lt;&gt;"",F646&lt;&gt;""),F646-D646-G646,"")</f>
        <v/>
      </c>
      <c r="I646" s="14">
        <f>IF(E646&lt;&gt;"", YEARFRAC(C646, E646) * 12, "")</f>
        <v/>
      </c>
      <c r="J646" s="2">
        <f>IF(I646="", "", IF(OR(AND(A646="Listed Equity Shares", I646&gt;12), AND(A646="Unlisted Equity Shares", I646&gt;24)), "Long Term", "Short Term"))</f>
        <v/>
      </c>
      <c r="K646" s="5">
        <f>IF(J646="", "", IF(J646="Long Term", 12.5%,"as per slab"))</f>
        <v/>
      </c>
      <c r="L646" s="3">
        <f>+IFERROR(IF(J646="","",H646*K646),"as per slab")</f>
        <v/>
      </c>
    </row>
    <row r="647">
      <c r="A647" s="7" t="n"/>
      <c r="B647" s="7" t="n"/>
      <c r="C647" s="8" t="n"/>
      <c r="D647" s="9" t="n"/>
      <c r="E647" s="8" t="n"/>
      <c r="F647" s="9" t="n"/>
      <c r="G647" s="9" t="n"/>
      <c r="H647" s="3">
        <f>IF(AND(D647&lt;&gt;"",F647&lt;&gt;""),F647-D647-G647,"")</f>
        <v/>
      </c>
      <c r="I647" s="14">
        <f>IF(E647&lt;&gt;"", YEARFRAC(C647, E647) * 12, "")</f>
        <v/>
      </c>
      <c r="J647" s="2">
        <f>IF(I647="", "", IF(OR(AND(A647="Listed Equity Shares", I647&gt;12), AND(A647="Unlisted Equity Shares", I647&gt;24)), "Long Term", "Short Term"))</f>
        <v/>
      </c>
      <c r="K647" s="5">
        <f>IF(J647="", "", IF(J647="Long Term", 12.5%,"as per slab"))</f>
        <v/>
      </c>
      <c r="L647" s="3">
        <f>+IFERROR(IF(J647="","",H647*K647),"as per slab")</f>
        <v/>
      </c>
    </row>
    <row r="648">
      <c r="A648" s="7" t="n"/>
      <c r="B648" s="7" t="n"/>
      <c r="C648" s="8" t="n"/>
      <c r="D648" s="9" t="n"/>
      <c r="E648" s="8" t="n"/>
      <c r="F648" s="9" t="n"/>
      <c r="G648" s="9" t="n"/>
      <c r="H648" s="3">
        <f>IF(AND(D648&lt;&gt;"",F648&lt;&gt;""),F648-D648-G648,"")</f>
        <v/>
      </c>
      <c r="I648" s="14">
        <f>IF(E648&lt;&gt;"", YEARFRAC(C648, E648) * 12, "")</f>
        <v/>
      </c>
      <c r="J648" s="2">
        <f>IF(I648="", "", IF(OR(AND(A648="Listed Equity Shares", I648&gt;12), AND(A648="Unlisted Equity Shares", I648&gt;24)), "Long Term", "Short Term"))</f>
        <v/>
      </c>
      <c r="K648" s="5">
        <f>IF(J648="", "", IF(J648="Long Term", 12.5%,"as per slab"))</f>
        <v/>
      </c>
      <c r="L648" s="3">
        <f>+IFERROR(IF(J648="","",H648*K648),"as per slab")</f>
        <v/>
      </c>
    </row>
    <row r="649">
      <c r="A649" s="7" t="n"/>
      <c r="B649" s="7" t="n"/>
      <c r="C649" s="8" t="n"/>
      <c r="D649" s="9" t="n"/>
      <c r="E649" s="8" t="n"/>
      <c r="F649" s="9" t="n"/>
      <c r="G649" s="9" t="n"/>
      <c r="H649" s="3">
        <f>IF(AND(D649&lt;&gt;"",F649&lt;&gt;""),F649-D649-G649,"")</f>
        <v/>
      </c>
      <c r="I649" s="14">
        <f>IF(E649&lt;&gt;"", YEARFRAC(C649, E649) * 12, "")</f>
        <v/>
      </c>
      <c r="J649" s="2">
        <f>IF(I649="", "", IF(OR(AND(A649="Listed Equity Shares", I649&gt;12), AND(A649="Unlisted Equity Shares", I649&gt;24)), "Long Term", "Short Term"))</f>
        <v/>
      </c>
      <c r="K649" s="5">
        <f>IF(J649="", "", IF(J649="Long Term", 12.5%,"as per slab"))</f>
        <v/>
      </c>
      <c r="L649" s="3">
        <f>+IFERROR(IF(J649="","",H649*K649),"as per slab")</f>
        <v/>
      </c>
    </row>
    <row r="650">
      <c r="A650" s="7" t="n"/>
      <c r="B650" s="7" t="n"/>
      <c r="C650" s="8" t="n"/>
      <c r="D650" s="9" t="n"/>
      <c r="E650" s="8" t="n"/>
      <c r="F650" s="9" t="n"/>
      <c r="G650" s="9" t="n"/>
      <c r="H650" s="3">
        <f>IF(AND(D650&lt;&gt;"",F650&lt;&gt;""),F650-D650-G650,"")</f>
        <v/>
      </c>
      <c r="I650" s="14">
        <f>IF(E650&lt;&gt;"", YEARFRAC(C650, E650) * 12, "")</f>
        <v/>
      </c>
      <c r="J650" s="2">
        <f>IF(I650="", "", IF(OR(AND(A650="Listed Equity Shares", I650&gt;12), AND(A650="Unlisted Equity Shares", I650&gt;24)), "Long Term", "Short Term"))</f>
        <v/>
      </c>
      <c r="K650" s="5">
        <f>IF(J650="", "", IF(J650="Long Term", 12.5%,"as per slab"))</f>
        <v/>
      </c>
      <c r="L650" s="3">
        <f>+IFERROR(IF(J650="","",H650*K650),"as per slab")</f>
        <v/>
      </c>
    </row>
    <row r="651">
      <c r="A651" s="7" t="n"/>
      <c r="B651" s="7" t="n"/>
      <c r="C651" s="8" t="n"/>
      <c r="D651" s="9" t="n"/>
      <c r="E651" s="8" t="n"/>
      <c r="F651" s="9" t="n"/>
      <c r="G651" s="9" t="n"/>
      <c r="H651" s="3">
        <f>IF(AND(D651&lt;&gt;"",F651&lt;&gt;""),F651-D651-G651,"")</f>
        <v/>
      </c>
      <c r="I651" s="14">
        <f>IF(E651&lt;&gt;"", YEARFRAC(C651, E651) * 12, "")</f>
        <v/>
      </c>
      <c r="J651" s="2">
        <f>IF(I651="", "", IF(OR(AND(A651="Listed Equity Shares", I651&gt;12), AND(A651="Unlisted Equity Shares", I651&gt;24)), "Long Term", "Short Term"))</f>
        <v/>
      </c>
      <c r="K651" s="5">
        <f>IF(J651="", "", IF(J651="Long Term", 12.5%,"as per slab"))</f>
        <v/>
      </c>
      <c r="L651" s="3">
        <f>+IFERROR(IF(J651="","",H651*K651),"as per slab")</f>
        <v/>
      </c>
    </row>
    <row r="652">
      <c r="A652" s="7" t="n"/>
      <c r="B652" s="7" t="n"/>
      <c r="C652" s="8" t="n"/>
      <c r="D652" s="9" t="n"/>
      <c r="E652" s="8" t="n"/>
      <c r="F652" s="9" t="n"/>
      <c r="G652" s="9" t="n"/>
      <c r="H652" s="3">
        <f>IF(AND(D652&lt;&gt;"",F652&lt;&gt;""),F652-D652-G652,"")</f>
        <v/>
      </c>
      <c r="I652" s="14">
        <f>IF(E652&lt;&gt;"", YEARFRAC(C652, E652) * 12, "")</f>
        <v/>
      </c>
      <c r="J652" s="2">
        <f>IF(I652="", "", IF(OR(AND(A652="Listed Equity Shares", I652&gt;12), AND(A652="Unlisted Equity Shares", I652&gt;24)), "Long Term", "Short Term"))</f>
        <v/>
      </c>
      <c r="K652" s="5">
        <f>IF(J652="", "", IF(J652="Long Term", 12.5%,"as per slab"))</f>
        <v/>
      </c>
      <c r="L652" s="3">
        <f>+IFERROR(IF(J652="","",H652*K652),"as per slab")</f>
        <v/>
      </c>
    </row>
    <row r="653">
      <c r="A653" s="7" t="n"/>
      <c r="B653" s="7" t="n"/>
      <c r="C653" s="8" t="n"/>
      <c r="D653" s="9" t="n"/>
      <c r="E653" s="8" t="n"/>
      <c r="F653" s="9" t="n"/>
      <c r="G653" s="9" t="n"/>
      <c r="H653" s="3">
        <f>IF(AND(D653&lt;&gt;"",F653&lt;&gt;""),F653-D653-G653,"")</f>
        <v/>
      </c>
      <c r="I653" s="14">
        <f>IF(E653&lt;&gt;"", YEARFRAC(C653, E653) * 12, "")</f>
        <v/>
      </c>
      <c r="J653" s="2">
        <f>IF(I653="", "", IF(OR(AND(A653="Listed Equity Shares", I653&gt;12), AND(A653="Unlisted Equity Shares", I653&gt;24)), "Long Term", "Short Term"))</f>
        <v/>
      </c>
      <c r="K653" s="5">
        <f>IF(J653="", "", IF(J653="Long Term", 12.5%,"as per slab"))</f>
        <v/>
      </c>
      <c r="L653" s="3">
        <f>+IFERROR(IF(J653="","",H653*K653),"as per slab")</f>
        <v/>
      </c>
    </row>
    <row r="654">
      <c r="A654" s="7" t="n"/>
      <c r="B654" s="7" t="n"/>
      <c r="C654" s="8" t="n"/>
      <c r="D654" s="9" t="n"/>
      <c r="E654" s="8" t="n"/>
      <c r="F654" s="9" t="n"/>
      <c r="G654" s="9" t="n"/>
      <c r="H654" s="3">
        <f>IF(AND(D654&lt;&gt;"",F654&lt;&gt;""),F654-D654-G654,"")</f>
        <v/>
      </c>
      <c r="I654" s="14">
        <f>IF(E654&lt;&gt;"", YEARFRAC(C654, E654) * 12, "")</f>
        <v/>
      </c>
      <c r="J654" s="2">
        <f>IF(I654="", "", IF(OR(AND(A654="Listed Equity Shares", I654&gt;12), AND(A654="Unlisted Equity Shares", I654&gt;24)), "Long Term", "Short Term"))</f>
        <v/>
      </c>
      <c r="K654" s="5">
        <f>IF(J654="", "", IF(J654="Long Term", 12.5%,"as per slab"))</f>
        <v/>
      </c>
      <c r="L654" s="3">
        <f>+IFERROR(IF(J654="","",H654*K654),"as per slab")</f>
        <v/>
      </c>
    </row>
    <row r="655">
      <c r="A655" s="7" t="n"/>
      <c r="B655" s="7" t="n"/>
      <c r="C655" s="8" t="n"/>
      <c r="D655" s="9" t="n"/>
      <c r="E655" s="8" t="n"/>
      <c r="F655" s="9" t="n"/>
      <c r="G655" s="9" t="n"/>
      <c r="H655" s="3">
        <f>IF(AND(D655&lt;&gt;"",F655&lt;&gt;""),F655-D655-G655,"")</f>
        <v/>
      </c>
      <c r="I655" s="14">
        <f>IF(E655&lt;&gt;"", YEARFRAC(C655, E655) * 12, "")</f>
        <v/>
      </c>
      <c r="J655" s="2">
        <f>IF(I655="", "", IF(OR(AND(A655="Listed Equity Shares", I655&gt;12), AND(A655="Unlisted Equity Shares", I655&gt;24)), "Long Term", "Short Term"))</f>
        <v/>
      </c>
      <c r="K655" s="5">
        <f>IF(J655="", "", IF(J655="Long Term", 12.5%,"as per slab"))</f>
        <v/>
      </c>
      <c r="L655" s="3">
        <f>+IFERROR(IF(J655="","",H655*K655),"as per slab")</f>
        <v/>
      </c>
    </row>
    <row r="656">
      <c r="A656" s="7" t="n"/>
      <c r="B656" s="7" t="n"/>
      <c r="C656" s="8" t="n"/>
      <c r="D656" s="9" t="n"/>
      <c r="E656" s="8" t="n"/>
      <c r="F656" s="9" t="n"/>
      <c r="G656" s="9" t="n"/>
      <c r="H656" s="3">
        <f>IF(AND(D656&lt;&gt;"",F656&lt;&gt;""),F656-D656-G656,"")</f>
        <v/>
      </c>
      <c r="I656" s="14">
        <f>IF(E656&lt;&gt;"", YEARFRAC(C656, E656) * 12, "")</f>
        <v/>
      </c>
      <c r="J656" s="2">
        <f>IF(I656="", "", IF(OR(AND(A656="Listed Equity Shares", I656&gt;12), AND(A656="Unlisted Equity Shares", I656&gt;24)), "Long Term", "Short Term"))</f>
        <v/>
      </c>
      <c r="K656" s="5">
        <f>IF(J656="", "", IF(J656="Long Term", 12.5%,"as per slab"))</f>
        <v/>
      </c>
      <c r="L656" s="3">
        <f>+IFERROR(IF(J656="","",H656*K656),"as per slab")</f>
        <v/>
      </c>
    </row>
    <row r="657">
      <c r="A657" s="7" t="n"/>
      <c r="B657" s="7" t="n"/>
      <c r="C657" s="8" t="n"/>
      <c r="D657" s="9" t="n"/>
      <c r="E657" s="8" t="n"/>
      <c r="F657" s="9" t="n"/>
      <c r="G657" s="9" t="n"/>
      <c r="H657" s="3">
        <f>IF(AND(D657&lt;&gt;"",F657&lt;&gt;""),F657-D657-G657,"")</f>
        <v/>
      </c>
      <c r="I657" s="14">
        <f>IF(E657&lt;&gt;"", YEARFRAC(C657, E657) * 12, "")</f>
        <v/>
      </c>
      <c r="J657" s="2">
        <f>IF(I657="", "", IF(OR(AND(A657="Listed Equity Shares", I657&gt;12), AND(A657="Unlisted Equity Shares", I657&gt;24)), "Long Term", "Short Term"))</f>
        <v/>
      </c>
      <c r="K657" s="5">
        <f>IF(J657="", "", IF(J657="Long Term", 12.5%,"as per slab"))</f>
        <v/>
      </c>
      <c r="L657" s="3">
        <f>+IFERROR(IF(J657="","",H657*K657),"as per slab")</f>
        <v/>
      </c>
    </row>
    <row r="658">
      <c r="A658" s="7" t="n"/>
      <c r="B658" s="7" t="n"/>
      <c r="C658" s="8" t="n"/>
      <c r="D658" s="9" t="n"/>
      <c r="E658" s="8" t="n"/>
      <c r="F658" s="9" t="n"/>
      <c r="G658" s="9" t="n"/>
      <c r="H658" s="3">
        <f>IF(AND(D658&lt;&gt;"",F658&lt;&gt;""),F658-D658-G658,"")</f>
        <v/>
      </c>
      <c r="I658" s="14">
        <f>IF(E658&lt;&gt;"", YEARFRAC(C658, E658) * 12, "")</f>
        <v/>
      </c>
      <c r="J658" s="2">
        <f>IF(I658="", "", IF(OR(AND(A658="Listed Equity Shares", I658&gt;12), AND(A658="Unlisted Equity Shares", I658&gt;24)), "Long Term", "Short Term"))</f>
        <v/>
      </c>
      <c r="K658" s="5">
        <f>IF(J658="", "", IF(J658="Long Term", 12.5%,"as per slab"))</f>
        <v/>
      </c>
      <c r="L658" s="3">
        <f>+IFERROR(IF(J658="","",H658*K658),"as per slab")</f>
        <v/>
      </c>
    </row>
    <row r="659">
      <c r="A659" s="7" t="n"/>
      <c r="B659" s="7" t="n"/>
      <c r="C659" s="8" t="n"/>
      <c r="D659" s="9" t="n"/>
      <c r="E659" s="8" t="n"/>
      <c r="F659" s="9" t="n"/>
      <c r="G659" s="9" t="n"/>
      <c r="H659" s="3">
        <f>IF(AND(D659&lt;&gt;"",F659&lt;&gt;""),F659-D659-G659,"")</f>
        <v/>
      </c>
      <c r="I659" s="14">
        <f>IF(E659&lt;&gt;"", YEARFRAC(C659, E659) * 12, "")</f>
        <v/>
      </c>
      <c r="J659" s="2">
        <f>IF(I659="", "", IF(OR(AND(A659="Listed Equity Shares", I659&gt;12), AND(A659="Unlisted Equity Shares", I659&gt;24)), "Long Term", "Short Term"))</f>
        <v/>
      </c>
      <c r="K659" s="5">
        <f>IF(J659="", "", IF(J659="Long Term", 12.5%,"as per slab"))</f>
        <v/>
      </c>
      <c r="L659" s="3">
        <f>+IFERROR(IF(J659="","",H659*K659),"as per slab")</f>
        <v/>
      </c>
    </row>
    <row r="660">
      <c r="A660" s="7" t="n"/>
      <c r="B660" s="7" t="n"/>
      <c r="C660" s="8" t="n"/>
      <c r="D660" s="9" t="n"/>
      <c r="E660" s="8" t="n"/>
      <c r="F660" s="9" t="n"/>
      <c r="G660" s="9" t="n"/>
      <c r="H660" s="3">
        <f>IF(AND(D660&lt;&gt;"",F660&lt;&gt;""),F660-D660-G660,"")</f>
        <v/>
      </c>
      <c r="I660" s="14">
        <f>IF(E660&lt;&gt;"", YEARFRAC(C660, E660) * 12, "")</f>
        <v/>
      </c>
      <c r="J660" s="2">
        <f>IF(I660="", "", IF(OR(AND(A660="Listed Equity Shares", I660&gt;12), AND(A660="Unlisted Equity Shares", I660&gt;24)), "Long Term", "Short Term"))</f>
        <v/>
      </c>
      <c r="K660" s="5">
        <f>IF(J660="", "", IF(J660="Long Term", 12.5%,"as per slab"))</f>
        <v/>
      </c>
      <c r="L660" s="3">
        <f>+IFERROR(IF(J660="","",H660*K660),"as per slab")</f>
        <v/>
      </c>
    </row>
    <row r="661">
      <c r="A661" s="7" t="n"/>
      <c r="B661" s="7" t="n"/>
      <c r="C661" s="8" t="n"/>
      <c r="D661" s="9" t="n"/>
      <c r="E661" s="8" t="n"/>
      <c r="F661" s="9" t="n"/>
      <c r="G661" s="9" t="n"/>
      <c r="H661" s="3">
        <f>IF(AND(D661&lt;&gt;"",F661&lt;&gt;""),F661-D661-G661,"")</f>
        <v/>
      </c>
      <c r="I661" s="14">
        <f>IF(E661&lt;&gt;"", YEARFRAC(C661, E661) * 12, "")</f>
        <v/>
      </c>
      <c r="J661" s="2">
        <f>IF(I661="", "", IF(OR(AND(A661="Listed Equity Shares", I661&gt;12), AND(A661="Unlisted Equity Shares", I661&gt;24)), "Long Term", "Short Term"))</f>
        <v/>
      </c>
      <c r="K661" s="5">
        <f>IF(J661="", "", IF(J661="Long Term", 12.5%,"as per slab"))</f>
        <v/>
      </c>
      <c r="L661" s="3">
        <f>+IFERROR(IF(J661="","",H661*K661),"as per slab")</f>
        <v/>
      </c>
    </row>
    <row r="662">
      <c r="A662" s="7" t="n"/>
      <c r="B662" s="7" t="n"/>
      <c r="C662" s="8" t="n"/>
      <c r="D662" s="9" t="n"/>
      <c r="E662" s="8" t="n"/>
      <c r="F662" s="9" t="n"/>
      <c r="G662" s="9" t="n"/>
      <c r="H662" s="3">
        <f>IF(AND(D662&lt;&gt;"",F662&lt;&gt;""),F662-D662-G662,"")</f>
        <v/>
      </c>
      <c r="I662" s="14">
        <f>IF(E662&lt;&gt;"", YEARFRAC(C662, E662) * 12, "")</f>
        <v/>
      </c>
      <c r="J662" s="2">
        <f>IF(I662="", "", IF(OR(AND(A662="Listed Equity Shares", I662&gt;12), AND(A662="Unlisted Equity Shares", I662&gt;24)), "Long Term", "Short Term"))</f>
        <v/>
      </c>
      <c r="K662" s="5">
        <f>IF(J662="", "", IF(J662="Long Term", 12.5%,"as per slab"))</f>
        <v/>
      </c>
      <c r="L662" s="3">
        <f>+IFERROR(IF(J662="","",H662*K662),"as per slab")</f>
        <v/>
      </c>
    </row>
    <row r="663">
      <c r="A663" s="7" t="n"/>
      <c r="B663" s="7" t="n"/>
      <c r="C663" s="8" t="n"/>
      <c r="D663" s="9" t="n"/>
      <c r="E663" s="8" t="n"/>
      <c r="F663" s="9" t="n"/>
      <c r="G663" s="9" t="n"/>
      <c r="H663" s="3">
        <f>IF(AND(D663&lt;&gt;"",F663&lt;&gt;""),F663-D663-G663,"")</f>
        <v/>
      </c>
      <c r="I663" s="14">
        <f>IF(E663&lt;&gt;"", YEARFRAC(C663, E663) * 12, "")</f>
        <v/>
      </c>
      <c r="J663" s="2">
        <f>IF(I663="", "", IF(OR(AND(A663="Listed Equity Shares", I663&gt;12), AND(A663="Unlisted Equity Shares", I663&gt;24)), "Long Term", "Short Term"))</f>
        <v/>
      </c>
      <c r="K663" s="5">
        <f>IF(J663="", "", IF(J663="Long Term", 12.5%,"as per slab"))</f>
        <v/>
      </c>
      <c r="L663" s="3">
        <f>+IFERROR(IF(J663="","",H663*K663),"as per slab")</f>
        <v/>
      </c>
    </row>
    <row r="664">
      <c r="A664" s="7" t="n"/>
      <c r="B664" s="7" t="n"/>
      <c r="C664" s="8" t="n"/>
      <c r="D664" s="9" t="n"/>
      <c r="E664" s="8" t="n"/>
      <c r="F664" s="9" t="n"/>
      <c r="G664" s="9" t="n"/>
      <c r="H664" s="3">
        <f>IF(AND(D664&lt;&gt;"",F664&lt;&gt;""),F664-D664-G664,"")</f>
        <v/>
      </c>
      <c r="I664" s="14">
        <f>IF(E664&lt;&gt;"", YEARFRAC(C664, E664) * 12, "")</f>
        <v/>
      </c>
      <c r="J664" s="2">
        <f>IF(I664="", "", IF(OR(AND(A664="Listed Equity Shares", I664&gt;12), AND(A664="Unlisted Equity Shares", I664&gt;24)), "Long Term", "Short Term"))</f>
        <v/>
      </c>
      <c r="K664" s="5">
        <f>IF(J664="", "", IF(J664="Long Term", 12.5%,"as per slab"))</f>
        <v/>
      </c>
      <c r="L664" s="3">
        <f>+IFERROR(IF(J664="","",H664*K664),"as per slab")</f>
        <v/>
      </c>
    </row>
    <row r="665">
      <c r="A665" s="7" t="n"/>
      <c r="B665" s="7" t="n"/>
      <c r="C665" s="8" t="n"/>
      <c r="D665" s="9" t="n"/>
      <c r="E665" s="8" t="n"/>
      <c r="F665" s="9" t="n"/>
      <c r="G665" s="9" t="n"/>
      <c r="H665" s="3">
        <f>IF(AND(D665&lt;&gt;"",F665&lt;&gt;""),F665-D665-G665,"")</f>
        <v/>
      </c>
      <c r="I665" s="14">
        <f>IF(E665&lt;&gt;"", YEARFRAC(C665, E665) * 12, "")</f>
        <v/>
      </c>
      <c r="J665" s="2">
        <f>IF(I665="", "", IF(OR(AND(A665="Listed Equity Shares", I665&gt;12), AND(A665="Unlisted Equity Shares", I665&gt;24)), "Long Term", "Short Term"))</f>
        <v/>
      </c>
      <c r="K665" s="5">
        <f>IF(J665="", "", IF(J665="Long Term", 12.5%,"as per slab"))</f>
        <v/>
      </c>
      <c r="L665" s="3">
        <f>+IFERROR(IF(J665="","",H665*K665),"as per slab")</f>
        <v/>
      </c>
    </row>
    <row r="666">
      <c r="A666" s="7" t="n"/>
      <c r="B666" s="7" t="n"/>
      <c r="C666" s="8" t="n"/>
      <c r="D666" s="9" t="n"/>
      <c r="E666" s="8" t="n"/>
      <c r="F666" s="9" t="n"/>
      <c r="G666" s="9" t="n"/>
      <c r="H666" s="3">
        <f>IF(AND(D666&lt;&gt;"",F666&lt;&gt;""),F666-D666-G666,"")</f>
        <v/>
      </c>
      <c r="I666" s="14">
        <f>IF(E666&lt;&gt;"", YEARFRAC(C666, E666) * 12, "")</f>
        <v/>
      </c>
      <c r="J666" s="2">
        <f>IF(I666="", "", IF(OR(AND(A666="Listed Equity Shares", I666&gt;12), AND(A666="Unlisted Equity Shares", I666&gt;24)), "Long Term", "Short Term"))</f>
        <v/>
      </c>
      <c r="K666" s="5">
        <f>IF(J666="", "", IF(J666="Long Term", 12.5%,"as per slab"))</f>
        <v/>
      </c>
      <c r="L666" s="3">
        <f>+IFERROR(IF(J666="","",H666*K666),"as per slab")</f>
        <v/>
      </c>
    </row>
    <row r="667">
      <c r="A667" s="7" t="n"/>
      <c r="B667" s="7" t="n"/>
      <c r="C667" s="8" t="n"/>
      <c r="D667" s="9" t="n"/>
      <c r="E667" s="8" t="n"/>
      <c r="F667" s="9" t="n"/>
      <c r="G667" s="9" t="n"/>
      <c r="H667" s="3">
        <f>IF(AND(D667&lt;&gt;"",F667&lt;&gt;""),F667-D667-G667,"")</f>
        <v/>
      </c>
      <c r="I667" s="14">
        <f>IF(E667&lt;&gt;"", YEARFRAC(C667, E667) * 12, "")</f>
        <v/>
      </c>
      <c r="J667" s="2">
        <f>IF(I667="", "", IF(OR(AND(A667="Listed Equity Shares", I667&gt;12), AND(A667="Unlisted Equity Shares", I667&gt;24)), "Long Term", "Short Term"))</f>
        <v/>
      </c>
      <c r="K667" s="5">
        <f>IF(J667="", "", IF(J667="Long Term", 12.5%,"as per slab"))</f>
        <v/>
      </c>
      <c r="L667" s="3">
        <f>+IFERROR(IF(J667="","",H667*K667),"as per slab")</f>
        <v/>
      </c>
    </row>
    <row r="668">
      <c r="A668" s="7" t="n"/>
      <c r="B668" s="7" t="n"/>
      <c r="C668" s="8" t="n"/>
      <c r="D668" s="9" t="n"/>
      <c r="E668" s="8" t="n"/>
      <c r="F668" s="9" t="n"/>
      <c r="G668" s="9" t="n"/>
      <c r="H668" s="3">
        <f>IF(AND(D668&lt;&gt;"",F668&lt;&gt;""),F668-D668-G668,"")</f>
        <v/>
      </c>
      <c r="I668" s="14">
        <f>IF(E668&lt;&gt;"", YEARFRAC(C668, E668) * 12, "")</f>
        <v/>
      </c>
      <c r="J668" s="2">
        <f>IF(I668="", "", IF(OR(AND(A668="Listed Equity Shares", I668&gt;12), AND(A668="Unlisted Equity Shares", I668&gt;24)), "Long Term", "Short Term"))</f>
        <v/>
      </c>
      <c r="K668" s="5">
        <f>IF(J668="", "", IF(J668="Long Term", 12.5%,"as per slab"))</f>
        <v/>
      </c>
      <c r="L668" s="3">
        <f>+IFERROR(IF(J668="","",H668*K668),"as per slab")</f>
        <v/>
      </c>
    </row>
    <row r="669">
      <c r="A669" s="7" t="n"/>
      <c r="B669" s="7" t="n"/>
      <c r="C669" s="8" t="n"/>
      <c r="D669" s="9" t="n"/>
      <c r="E669" s="8" t="n"/>
      <c r="F669" s="9" t="n"/>
      <c r="G669" s="9" t="n"/>
      <c r="H669" s="3">
        <f>IF(AND(D669&lt;&gt;"",F669&lt;&gt;""),F669-D669-G669,"")</f>
        <v/>
      </c>
      <c r="I669" s="14">
        <f>IF(E669&lt;&gt;"", YEARFRAC(C669, E669) * 12, "")</f>
        <v/>
      </c>
      <c r="J669" s="2">
        <f>IF(I669="", "", IF(OR(AND(A669="Listed Equity Shares", I669&gt;12), AND(A669="Unlisted Equity Shares", I669&gt;24)), "Long Term", "Short Term"))</f>
        <v/>
      </c>
      <c r="K669" s="5">
        <f>IF(J669="", "", IF(J669="Long Term", 12.5%,"as per slab"))</f>
        <v/>
      </c>
      <c r="L669" s="3">
        <f>+IFERROR(IF(J669="","",H669*K669),"as per slab")</f>
        <v/>
      </c>
    </row>
    <row r="670">
      <c r="A670" s="7" t="n"/>
      <c r="B670" s="7" t="n"/>
      <c r="C670" s="8" t="n"/>
      <c r="D670" s="9" t="n"/>
      <c r="E670" s="8" t="n"/>
      <c r="F670" s="9" t="n"/>
      <c r="G670" s="9" t="n"/>
      <c r="H670" s="3">
        <f>IF(AND(D670&lt;&gt;"",F670&lt;&gt;""),F670-D670-G670,"")</f>
        <v/>
      </c>
      <c r="I670" s="14">
        <f>IF(E670&lt;&gt;"", YEARFRAC(C670, E670) * 12, "")</f>
        <v/>
      </c>
      <c r="J670" s="2">
        <f>IF(I670="", "", IF(OR(AND(A670="Listed Equity Shares", I670&gt;12), AND(A670="Unlisted Equity Shares", I670&gt;24)), "Long Term", "Short Term"))</f>
        <v/>
      </c>
      <c r="K670" s="5">
        <f>IF(J670="", "", IF(J670="Long Term", 12.5%,"as per slab"))</f>
        <v/>
      </c>
      <c r="L670" s="3">
        <f>+IFERROR(IF(J670="","",H670*K670),"as per slab")</f>
        <v/>
      </c>
    </row>
    <row r="671">
      <c r="A671" s="7" t="n"/>
      <c r="B671" s="7" t="n"/>
      <c r="C671" s="8" t="n"/>
      <c r="D671" s="9" t="n"/>
      <c r="E671" s="8" t="n"/>
      <c r="F671" s="9" t="n"/>
      <c r="G671" s="9" t="n"/>
      <c r="H671" s="3">
        <f>IF(AND(D671&lt;&gt;"",F671&lt;&gt;""),F671-D671-G671,"")</f>
        <v/>
      </c>
      <c r="I671" s="14">
        <f>IF(E671&lt;&gt;"", YEARFRAC(C671, E671) * 12, "")</f>
        <v/>
      </c>
      <c r="J671" s="2">
        <f>IF(I671="", "", IF(OR(AND(A671="Listed Equity Shares", I671&gt;12), AND(A671="Unlisted Equity Shares", I671&gt;24)), "Long Term", "Short Term"))</f>
        <v/>
      </c>
      <c r="K671" s="5">
        <f>IF(J671="", "", IF(J671="Long Term", 12.5%,"as per slab"))</f>
        <v/>
      </c>
      <c r="L671" s="3">
        <f>+IFERROR(IF(J671="","",H671*K671),"as per slab")</f>
        <v/>
      </c>
    </row>
    <row r="672">
      <c r="A672" s="7" t="n"/>
      <c r="B672" s="7" t="n"/>
      <c r="C672" s="8" t="n"/>
      <c r="D672" s="9" t="n"/>
      <c r="E672" s="8" t="n"/>
      <c r="F672" s="9" t="n"/>
      <c r="G672" s="9" t="n"/>
      <c r="H672" s="3">
        <f>IF(AND(D672&lt;&gt;"",F672&lt;&gt;""),F672-D672-G672,"")</f>
        <v/>
      </c>
      <c r="I672" s="14">
        <f>IF(E672&lt;&gt;"", YEARFRAC(C672, E672) * 12, "")</f>
        <v/>
      </c>
      <c r="J672" s="2">
        <f>IF(I672="", "", IF(OR(AND(A672="Listed Equity Shares", I672&gt;12), AND(A672="Unlisted Equity Shares", I672&gt;24)), "Long Term", "Short Term"))</f>
        <v/>
      </c>
      <c r="K672" s="5">
        <f>IF(J672="", "", IF(J672="Long Term", 12.5%,"as per slab"))</f>
        <v/>
      </c>
      <c r="L672" s="3">
        <f>+IFERROR(IF(J672="","",H672*K672),"as per slab")</f>
        <v/>
      </c>
    </row>
    <row r="673">
      <c r="A673" s="7" t="n"/>
      <c r="B673" s="7" t="n"/>
      <c r="C673" s="8" t="n"/>
      <c r="D673" s="9" t="n"/>
      <c r="E673" s="8" t="n"/>
      <c r="F673" s="9" t="n"/>
      <c r="G673" s="9" t="n"/>
      <c r="H673" s="3">
        <f>IF(AND(D673&lt;&gt;"",F673&lt;&gt;""),F673-D673-G673,"")</f>
        <v/>
      </c>
      <c r="I673" s="14">
        <f>IF(E673&lt;&gt;"", YEARFRAC(C673, E673) * 12, "")</f>
        <v/>
      </c>
      <c r="J673" s="2">
        <f>IF(I673="", "", IF(OR(AND(A673="Listed Equity Shares", I673&gt;12), AND(A673="Unlisted Equity Shares", I673&gt;24)), "Long Term", "Short Term"))</f>
        <v/>
      </c>
      <c r="K673" s="5">
        <f>IF(J673="", "", IF(J673="Long Term", 12.5%,"as per slab"))</f>
        <v/>
      </c>
      <c r="L673" s="3">
        <f>+IFERROR(IF(J673="","",H673*K673),"as per slab")</f>
        <v/>
      </c>
    </row>
    <row r="674">
      <c r="A674" s="7" t="n"/>
      <c r="B674" s="7" t="n"/>
      <c r="C674" s="8" t="n"/>
      <c r="D674" s="9" t="n"/>
      <c r="E674" s="8" t="n"/>
      <c r="F674" s="9" t="n"/>
      <c r="G674" s="9" t="n"/>
      <c r="H674" s="3">
        <f>IF(AND(D674&lt;&gt;"",F674&lt;&gt;""),F674-D674-G674,"")</f>
        <v/>
      </c>
      <c r="I674" s="14">
        <f>IF(E674&lt;&gt;"", YEARFRAC(C674, E674) * 12, "")</f>
        <v/>
      </c>
      <c r="J674" s="2">
        <f>IF(I674="", "", IF(OR(AND(A674="Listed Equity Shares", I674&gt;12), AND(A674="Unlisted Equity Shares", I674&gt;24)), "Long Term", "Short Term"))</f>
        <v/>
      </c>
      <c r="K674" s="5">
        <f>IF(J674="", "", IF(J674="Long Term", 12.5%,"as per slab"))</f>
        <v/>
      </c>
      <c r="L674" s="3">
        <f>+IFERROR(IF(J674="","",H674*K674),"as per slab")</f>
        <v/>
      </c>
    </row>
    <row r="675">
      <c r="A675" s="7" t="n"/>
      <c r="B675" s="7" t="n"/>
      <c r="C675" s="8" t="n"/>
      <c r="D675" s="9" t="n"/>
      <c r="E675" s="8" t="n"/>
      <c r="F675" s="9" t="n"/>
      <c r="G675" s="9" t="n"/>
      <c r="H675" s="3">
        <f>IF(AND(D675&lt;&gt;"",F675&lt;&gt;""),F675-D675-G675,"")</f>
        <v/>
      </c>
      <c r="I675" s="14">
        <f>IF(E675&lt;&gt;"", YEARFRAC(C675, E675) * 12, "")</f>
        <v/>
      </c>
      <c r="J675" s="2">
        <f>IF(I675="", "", IF(OR(AND(A675="Listed Equity Shares", I675&gt;12), AND(A675="Unlisted Equity Shares", I675&gt;24)), "Long Term", "Short Term"))</f>
        <v/>
      </c>
      <c r="K675" s="5">
        <f>IF(J675="", "", IF(J675="Long Term", 12.5%,"as per slab"))</f>
        <v/>
      </c>
      <c r="L675" s="3">
        <f>+IFERROR(IF(J675="","",H675*K675),"as per slab")</f>
        <v/>
      </c>
    </row>
    <row r="676">
      <c r="A676" s="7" t="n"/>
      <c r="B676" s="7" t="n"/>
      <c r="C676" s="8" t="n"/>
      <c r="D676" s="9" t="n"/>
      <c r="E676" s="8" t="n"/>
      <c r="F676" s="9" t="n"/>
      <c r="G676" s="9" t="n"/>
      <c r="H676" s="3">
        <f>IF(AND(D676&lt;&gt;"",F676&lt;&gt;""),F676-D676-G676,"")</f>
        <v/>
      </c>
      <c r="I676" s="14">
        <f>IF(E676&lt;&gt;"", YEARFRAC(C676, E676) * 12, "")</f>
        <v/>
      </c>
      <c r="J676" s="2">
        <f>IF(I676="", "", IF(OR(AND(A676="Listed Equity Shares", I676&gt;12), AND(A676="Unlisted Equity Shares", I676&gt;24)), "Long Term", "Short Term"))</f>
        <v/>
      </c>
      <c r="K676" s="5">
        <f>IF(J676="", "", IF(J676="Long Term", 12.5%,"as per slab"))</f>
        <v/>
      </c>
      <c r="L676" s="3">
        <f>+IFERROR(IF(J676="","",H676*K676),"as per slab")</f>
        <v/>
      </c>
    </row>
    <row r="677">
      <c r="A677" s="7" t="n"/>
      <c r="B677" s="7" t="n"/>
      <c r="C677" s="8" t="n"/>
      <c r="D677" s="9" t="n"/>
      <c r="E677" s="8" t="n"/>
      <c r="F677" s="9" t="n"/>
      <c r="G677" s="9" t="n"/>
      <c r="H677" s="3">
        <f>IF(AND(D677&lt;&gt;"",F677&lt;&gt;""),F677-D677-G677,"")</f>
        <v/>
      </c>
      <c r="I677" s="14">
        <f>IF(E677&lt;&gt;"", YEARFRAC(C677, E677) * 12, "")</f>
        <v/>
      </c>
      <c r="J677" s="2">
        <f>IF(I677="", "", IF(OR(AND(A677="Listed Equity Shares", I677&gt;12), AND(A677="Unlisted Equity Shares", I677&gt;24)), "Long Term", "Short Term"))</f>
        <v/>
      </c>
      <c r="K677" s="5">
        <f>IF(J677="", "", IF(J677="Long Term", 12.5%,"as per slab"))</f>
        <v/>
      </c>
      <c r="L677" s="3">
        <f>+IFERROR(IF(J677="","",H677*K677),"as per slab")</f>
        <v/>
      </c>
    </row>
    <row r="678">
      <c r="A678" s="7" t="n"/>
      <c r="B678" s="7" t="n"/>
      <c r="C678" s="8" t="n"/>
      <c r="D678" s="9" t="n"/>
      <c r="E678" s="8" t="n"/>
      <c r="F678" s="9" t="n"/>
      <c r="G678" s="9" t="n"/>
      <c r="H678" s="3">
        <f>IF(AND(D678&lt;&gt;"",F678&lt;&gt;""),F678-D678-G678,"")</f>
        <v/>
      </c>
      <c r="I678" s="14">
        <f>IF(E678&lt;&gt;"", YEARFRAC(C678, E678) * 12, "")</f>
        <v/>
      </c>
      <c r="J678" s="2">
        <f>IF(I678="", "", IF(OR(AND(A678="Listed Equity Shares", I678&gt;12), AND(A678="Unlisted Equity Shares", I678&gt;24)), "Long Term", "Short Term"))</f>
        <v/>
      </c>
      <c r="K678" s="5">
        <f>IF(J678="", "", IF(J678="Long Term", 12.5%,"as per slab"))</f>
        <v/>
      </c>
      <c r="L678" s="3">
        <f>+IFERROR(IF(J678="","",H678*K678),"as per slab")</f>
        <v/>
      </c>
    </row>
    <row r="679">
      <c r="A679" s="7" t="n"/>
      <c r="B679" s="7" t="n"/>
      <c r="C679" s="8" t="n"/>
      <c r="D679" s="9" t="n"/>
      <c r="E679" s="8" t="n"/>
      <c r="F679" s="9" t="n"/>
      <c r="G679" s="9" t="n"/>
      <c r="H679" s="3">
        <f>IF(AND(D679&lt;&gt;"",F679&lt;&gt;""),F679-D679-G679,"")</f>
        <v/>
      </c>
      <c r="I679" s="14">
        <f>IF(E679&lt;&gt;"", YEARFRAC(C679, E679) * 12, "")</f>
        <v/>
      </c>
      <c r="J679" s="2">
        <f>IF(I679="", "", IF(OR(AND(A679="Listed Equity Shares", I679&gt;12), AND(A679="Unlisted Equity Shares", I679&gt;24)), "Long Term", "Short Term"))</f>
        <v/>
      </c>
      <c r="K679" s="5">
        <f>IF(J679="", "", IF(J679="Long Term", 12.5%,"as per slab"))</f>
        <v/>
      </c>
      <c r="L679" s="3">
        <f>+IFERROR(IF(J679="","",H679*K679),"as per slab")</f>
        <v/>
      </c>
    </row>
    <row r="680">
      <c r="A680" s="7" t="n"/>
      <c r="B680" s="7" t="n"/>
      <c r="C680" s="8" t="n"/>
      <c r="D680" s="9" t="n"/>
      <c r="E680" s="8" t="n"/>
      <c r="F680" s="9" t="n"/>
      <c r="G680" s="9" t="n"/>
      <c r="H680" s="3">
        <f>IF(AND(D680&lt;&gt;"",F680&lt;&gt;""),F680-D680-G680,"")</f>
        <v/>
      </c>
      <c r="I680" s="14">
        <f>IF(E680&lt;&gt;"", YEARFRAC(C680, E680) * 12, "")</f>
        <v/>
      </c>
      <c r="J680" s="2">
        <f>IF(I680="", "", IF(OR(AND(A680="Listed Equity Shares", I680&gt;12), AND(A680="Unlisted Equity Shares", I680&gt;24)), "Long Term", "Short Term"))</f>
        <v/>
      </c>
      <c r="K680" s="5">
        <f>IF(J680="", "", IF(J680="Long Term", 12.5%,"as per slab"))</f>
        <v/>
      </c>
      <c r="L680" s="3">
        <f>+IFERROR(IF(J680="","",H680*K680),"as per slab")</f>
        <v/>
      </c>
    </row>
    <row r="681">
      <c r="A681" s="7" t="n"/>
      <c r="B681" s="7" t="n"/>
      <c r="C681" s="8" t="n"/>
      <c r="D681" s="9" t="n"/>
      <c r="E681" s="8" t="n"/>
      <c r="F681" s="9" t="n"/>
      <c r="G681" s="9" t="n"/>
      <c r="H681" s="3">
        <f>IF(AND(D681&lt;&gt;"",F681&lt;&gt;""),F681-D681-G681,"")</f>
        <v/>
      </c>
      <c r="I681" s="14">
        <f>IF(E681&lt;&gt;"", YEARFRAC(C681, E681) * 12, "")</f>
        <v/>
      </c>
      <c r="J681" s="2">
        <f>IF(I681="", "", IF(OR(AND(A681="Listed Equity Shares", I681&gt;12), AND(A681="Unlisted Equity Shares", I681&gt;24)), "Long Term", "Short Term"))</f>
        <v/>
      </c>
      <c r="K681" s="5">
        <f>IF(J681="", "", IF(J681="Long Term", 12.5%,"as per slab"))</f>
        <v/>
      </c>
      <c r="L681" s="3">
        <f>+IFERROR(IF(J681="","",H681*K681),"as per slab")</f>
        <v/>
      </c>
    </row>
    <row r="682">
      <c r="A682" s="7" t="n"/>
      <c r="B682" s="7" t="n"/>
      <c r="C682" s="8" t="n"/>
      <c r="D682" s="9" t="n"/>
      <c r="E682" s="8" t="n"/>
      <c r="F682" s="9" t="n"/>
      <c r="G682" s="9" t="n"/>
      <c r="H682" s="3">
        <f>IF(AND(D682&lt;&gt;"",F682&lt;&gt;""),F682-D682-G682,"")</f>
        <v/>
      </c>
      <c r="I682" s="14">
        <f>IF(E682&lt;&gt;"", YEARFRAC(C682, E682) * 12, "")</f>
        <v/>
      </c>
      <c r="J682" s="2">
        <f>IF(I682="", "", IF(OR(AND(A682="Listed Equity Shares", I682&gt;12), AND(A682="Unlisted Equity Shares", I682&gt;24)), "Long Term", "Short Term"))</f>
        <v/>
      </c>
      <c r="K682" s="5">
        <f>IF(J682="", "", IF(J682="Long Term", 12.5%,"as per slab"))</f>
        <v/>
      </c>
      <c r="L682" s="3">
        <f>+IFERROR(IF(J682="","",H682*K682),"as per slab")</f>
        <v/>
      </c>
    </row>
    <row r="683">
      <c r="A683" s="7" t="n"/>
      <c r="B683" s="7" t="n"/>
      <c r="C683" s="8" t="n"/>
      <c r="D683" s="9" t="n"/>
      <c r="E683" s="8" t="n"/>
      <c r="F683" s="9" t="n"/>
      <c r="G683" s="9" t="n"/>
      <c r="H683" s="3">
        <f>IF(AND(D683&lt;&gt;"",F683&lt;&gt;""),F683-D683-G683,"")</f>
        <v/>
      </c>
      <c r="I683" s="14">
        <f>IF(E683&lt;&gt;"", YEARFRAC(C683, E683) * 12, "")</f>
        <v/>
      </c>
      <c r="J683" s="2">
        <f>IF(I683="", "", IF(OR(AND(A683="Listed Equity Shares", I683&gt;12), AND(A683="Unlisted Equity Shares", I683&gt;24)), "Long Term", "Short Term"))</f>
        <v/>
      </c>
      <c r="K683" s="5">
        <f>IF(J683="", "", IF(J683="Long Term", 12.5%,"as per slab"))</f>
        <v/>
      </c>
      <c r="L683" s="3">
        <f>+IFERROR(IF(J683="","",H683*K683),"as per slab")</f>
        <v/>
      </c>
    </row>
    <row r="684">
      <c r="A684" s="7" t="n"/>
      <c r="B684" s="7" t="n"/>
      <c r="C684" s="8" t="n"/>
      <c r="D684" s="9" t="n"/>
      <c r="E684" s="8" t="n"/>
      <c r="F684" s="9" t="n"/>
      <c r="G684" s="9" t="n"/>
      <c r="H684" s="3">
        <f>IF(AND(D684&lt;&gt;"",F684&lt;&gt;""),F684-D684-G684,"")</f>
        <v/>
      </c>
      <c r="I684" s="14">
        <f>IF(E684&lt;&gt;"", YEARFRAC(C684, E684) * 12, "")</f>
        <v/>
      </c>
      <c r="J684" s="2">
        <f>IF(I684="", "", IF(OR(AND(A684="Listed Equity Shares", I684&gt;12), AND(A684="Unlisted Equity Shares", I684&gt;24)), "Long Term", "Short Term"))</f>
        <v/>
      </c>
      <c r="K684" s="5">
        <f>IF(J684="", "", IF(J684="Long Term", 12.5%,"as per slab"))</f>
        <v/>
      </c>
      <c r="L684" s="3">
        <f>+IFERROR(IF(J684="","",H684*K684),"as per slab")</f>
        <v/>
      </c>
    </row>
    <row r="685">
      <c r="A685" s="7" t="n"/>
      <c r="B685" s="7" t="n"/>
      <c r="C685" s="8" t="n"/>
      <c r="D685" s="9" t="n"/>
      <c r="E685" s="8" t="n"/>
      <c r="F685" s="9" t="n"/>
      <c r="G685" s="9" t="n"/>
      <c r="H685" s="3">
        <f>IF(AND(D685&lt;&gt;"",F685&lt;&gt;""),F685-D685-G685,"")</f>
        <v/>
      </c>
      <c r="I685" s="14">
        <f>IF(E685&lt;&gt;"", YEARFRAC(C685, E685) * 12, "")</f>
        <v/>
      </c>
      <c r="J685" s="2">
        <f>IF(I685="", "", IF(OR(AND(A685="Listed Equity Shares", I685&gt;12), AND(A685="Unlisted Equity Shares", I685&gt;24)), "Long Term", "Short Term"))</f>
        <v/>
      </c>
      <c r="K685" s="5">
        <f>IF(J685="", "", IF(J685="Long Term", 12.5%,"as per slab"))</f>
        <v/>
      </c>
      <c r="L685" s="3">
        <f>+IFERROR(IF(J685="","",H685*K685),"as per slab")</f>
        <v/>
      </c>
    </row>
    <row r="686">
      <c r="A686" s="7" t="n"/>
      <c r="B686" s="7" t="n"/>
      <c r="C686" s="8" t="n"/>
      <c r="D686" s="9" t="n"/>
      <c r="E686" s="8" t="n"/>
      <c r="F686" s="9" t="n"/>
      <c r="G686" s="9" t="n"/>
      <c r="H686" s="3">
        <f>IF(AND(D686&lt;&gt;"",F686&lt;&gt;""),F686-D686-G686,"")</f>
        <v/>
      </c>
      <c r="I686" s="14">
        <f>IF(E686&lt;&gt;"", YEARFRAC(C686, E686) * 12, "")</f>
        <v/>
      </c>
      <c r="J686" s="2">
        <f>IF(I686="", "", IF(OR(AND(A686="Listed Equity Shares", I686&gt;12), AND(A686="Unlisted Equity Shares", I686&gt;24)), "Long Term", "Short Term"))</f>
        <v/>
      </c>
      <c r="K686" s="5">
        <f>IF(J686="", "", IF(J686="Long Term", 12.5%,"as per slab"))</f>
        <v/>
      </c>
      <c r="L686" s="3">
        <f>+IFERROR(IF(J686="","",H686*K686),"as per slab")</f>
        <v/>
      </c>
    </row>
    <row r="687">
      <c r="A687" s="7" t="n"/>
      <c r="B687" s="7" t="n"/>
      <c r="C687" s="8" t="n"/>
      <c r="D687" s="9" t="n"/>
      <c r="E687" s="8" t="n"/>
      <c r="F687" s="9" t="n"/>
      <c r="G687" s="9" t="n"/>
      <c r="H687" s="3">
        <f>IF(AND(D687&lt;&gt;"",F687&lt;&gt;""),F687-D687-G687,"")</f>
        <v/>
      </c>
      <c r="I687" s="14">
        <f>IF(E687&lt;&gt;"", YEARFRAC(C687, E687) * 12, "")</f>
        <v/>
      </c>
      <c r="J687" s="2">
        <f>IF(I687="", "", IF(OR(AND(A687="Listed Equity Shares", I687&gt;12), AND(A687="Unlisted Equity Shares", I687&gt;24)), "Long Term", "Short Term"))</f>
        <v/>
      </c>
      <c r="K687" s="5">
        <f>IF(J687="", "", IF(J687="Long Term", 12.5%,"as per slab"))</f>
        <v/>
      </c>
      <c r="L687" s="3">
        <f>+IFERROR(IF(J687="","",H687*K687),"as per slab")</f>
        <v/>
      </c>
    </row>
    <row r="688">
      <c r="A688" s="7" t="n"/>
      <c r="B688" s="7" t="n"/>
      <c r="C688" s="8" t="n"/>
      <c r="D688" s="9" t="n"/>
      <c r="E688" s="8" t="n"/>
      <c r="F688" s="9" t="n"/>
      <c r="G688" s="9" t="n"/>
      <c r="H688" s="3">
        <f>IF(AND(D688&lt;&gt;"",F688&lt;&gt;""),F688-D688-G688,"")</f>
        <v/>
      </c>
      <c r="I688" s="14">
        <f>IF(E688&lt;&gt;"", YEARFRAC(C688, E688) * 12, "")</f>
        <v/>
      </c>
      <c r="J688" s="2">
        <f>IF(I688="", "", IF(OR(AND(A688="Listed Equity Shares", I688&gt;12), AND(A688="Unlisted Equity Shares", I688&gt;24)), "Long Term", "Short Term"))</f>
        <v/>
      </c>
      <c r="K688" s="5">
        <f>IF(J688="", "", IF(J688="Long Term", 12.5%,"as per slab"))</f>
        <v/>
      </c>
      <c r="L688" s="3">
        <f>+IFERROR(IF(J688="","",H688*K688),"as per slab")</f>
        <v/>
      </c>
    </row>
    <row r="689">
      <c r="A689" s="7" t="n"/>
      <c r="B689" s="7" t="n"/>
      <c r="C689" s="8" t="n"/>
      <c r="D689" s="9" t="n"/>
      <c r="E689" s="8" t="n"/>
      <c r="F689" s="9" t="n"/>
      <c r="G689" s="9" t="n"/>
      <c r="H689" s="3">
        <f>IF(AND(D689&lt;&gt;"",F689&lt;&gt;""),F689-D689-G689,"")</f>
        <v/>
      </c>
      <c r="I689" s="14">
        <f>IF(E689&lt;&gt;"", YEARFRAC(C689, E689) * 12, "")</f>
        <v/>
      </c>
      <c r="J689" s="2">
        <f>IF(I689="", "", IF(OR(AND(A689="Listed Equity Shares", I689&gt;12), AND(A689="Unlisted Equity Shares", I689&gt;24)), "Long Term", "Short Term"))</f>
        <v/>
      </c>
      <c r="K689" s="5">
        <f>IF(J689="", "", IF(J689="Long Term", 12.5%,"as per slab"))</f>
        <v/>
      </c>
      <c r="L689" s="3">
        <f>+IFERROR(IF(J689="","",H689*K689),"as per slab")</f>
        <v/>
      </c>
    </row>
    <row r="690">
      <c r="A690" s="7" t="n"/>
      <c r="B690" s="7" t="n"/>
      <c r="C690" s="8" t="n"/>
      <c r="D690" s="9" t="n"/>
      <c r="E690" s="8" t="n"/>
      <c r="F690" s="9" t="n"/>
      <c r="G690" s="9" t="n"/>
      <c r="H690" s="3">
        <f>IF(AND(D690&lt;&gt;"",F690&lt;&gt;""),F690-D690-G690,"")</f>
        <v/>
      </c>
      <c r="I690" s="14">
        <f>IF(E690&lt;&gt;"", YEARFRAC(C690, E690) * 12, "")</f>
        <v/>
      </c>
      <c r="J690" s="2">
        <f>IF(I690="", "", IF(OR(AND(A690="Listed Equity Shares", I690&gt;12), AND(A690="Unlisted Equity Shares", I690&gt;24)), "Long Term", "Short Term"))</f>
        <v/>
      </c>
      <c r="K690" s="5">
        <f>IF(J690="", "", IF(J690="Long Term", 12.5%,"as per slab"))</f>
        <v/>
      </c>
      <c r="L690" s="3">
        <f>+IFERROR(IF(J690="","",H690*K690),"as per slab")</f>
        <v/>
      </c>
    </row>
    <row r="691">
      <c r="A691" s="7" t="n"/>
      <c r="B691" s="7" t="n"/>
      <c r="C691" s="8" t="n"/>
      <c r="D691" s="9" t="n"/>
      <c r="E691" s="8" t="n"/>
      <c r="F691" s="9" t="n"/>
      <c r="G691" s="9" t="n"/>
      <c r="H691" s="3">
        <f>IF(AND(D691&lt;&gt;"",F691&lt;&gt;""),F691-D691-G691,"")</f>
        <v/>
      </c>
      <c r="I691" s="14">
        <f>IF(E691&lt;&gt;"", YEARFRAC(C691, E691) * 12, "")</f>
        <v/>
      </c>
      <c r="J691" s="2">
        <f>IF(I691="", "", IF(OR(AND(A691="Listed Equity Shares", I691&gt;12), AND(A691="Unlisted Equity Shares", I691&gt;24)), "Long Term", "Short Term"))</f>
        <v/>
      </c>
      <c r="K691" s="5">
        <f>IF(J691="", "", IF(J691="Long Term", 12.5%,"as per slab"))</f>
        <v/>
      </c>
      <c r="L691" s="3">
        <f>+IFERROR(IF(J691="","",H691*K691),"as per slab")</f>
        <v/>
      </c>
    </row>
    <row r="692">
      <c r="A692" s="7" t="n"/>
      <c r="B692" s="7" t="n"/>
      <c r="C692" s="8" t="n"/>
      <c r="D692" s="9" t="n"/>
      <c r="E692" s="8" t="n"/>
      <c r="F692" s="9" t="n"/>
      <c r="G692" s="9" t="n"/>
      <c r="H692" s="3">
        <f>IF(AND(D692&lt;&gt;"",F692&lt;&gt;""),F692-D692-G692,"")</f>
        <v/>
      </c>
      <c r="I692" s="14">
        <f>IF(E692&lt;&gt;"", YEARFRAC(C692, E692) * 12, "")</f>
        <v/>
      </c>
      <c r="J692" s="2">
        <f>IF(I692="", "", IF(OR(AND(A692="Listed Equity Shares", I692&gt;12), AND(A692="Unlisted Equity Shares", I692&gt;24)), "Long Term", "Short Term"))</f>
        <v/>
      </c>
      <c r="K692" s="5">
        <f>IF(J692="", "", IF(J692="Long Term", 12.5%,"as per slab"))</f>
        <v/>
      </c>
      <c r="L692" s="3">
        <f>+IFERROR(IF(J692="","",H692*K692),"as per slab")</f>
        <v/>
      </c>
    </row>
    <row r="693">
      <c r="A693" s="7" t="n"/>
      <c r="B693" s="7" t="n"/>
      <c r="C693" s="8" t="n"/>
      <c r="D693" s="9" t="n"/>
      <c r="E693" s="8" t="n"/>
      <c r="F693" s="9" t="n"/>
      <c r="G693" s="9" t="n"/>
      <c r="H693" s="3">
        <f>IF(AND(D693&lt;&gt;"",F693&lt;&gt;""),F693-D693-G693,"")</f>
        <v/>
      </c>
      <c r="I693" s="14">
        <f>IF(E693&lt;&gt;"", YEARFRAC(C693, E693) * 12, "")</f>
        <v/>
      </c>
      <c r="J693" s="2">
        <f>IF(I693="", "", IF(OR(AND(A693="Listed Equity Shares", I693&gt;12), AND(A693="Unlisted Equity Shares", I693&gt;24)), "Long Term", "Short Term"))</f>
        <v/>
      </c>
      <c r="K693" s="5">
        <f>IF(J693="", "", IF(J693="Long Term", 12.5%,"as per slab"))</f>
        <v/>
      </c>
      <c r="L693" s="3">
        <f>+IFERROR(IF(J693="","",H693*K693),"as per slab")</f>
        <v/>
      </c>
    </row>
    <row r="694">
      <c r="A694" s="7" t="n"/>
      <c r="B694" s="7" t="n"/>
      <c r="C694" s="8" t="n"/>
      <c r="D694" s="9" t="n"/>
      <c r="E694" s="8" t="n"/>
      <c r="F694" s="9" t="n"/>
      <c r="G694" s="9" t="n"/>
      <c r="H694" s="3">
        <f>IF(AND(D694&lt;&gt;"",F694&lt;&gt;""),F694-D694-G694,"")</f>
        <v/>
      </c>
      <c r="I694" s="14">
        <f>IF(E694&lt;&gt;"", YEARFRAC(C694, E694) * 12, "")</f>
        <v/>
      </c>
      <c r="J694" s="2">
        <f>IF(I694="", "", IF(OR(AND(A694="Listed Equity Shares", I694&gt;12), AND(A694="Unlisted Equity Shares", I694&gt;24)), "Long Term", "Short Term"))</f>
        <v/>
      </c>
      <c r="K694" s="5">
        <f>IF(J694="", "", IF(J694="Long Term", 12.5%,"as per slab"))</f>
        <v/>
      </c>
      <c r="L694" s="3">
        <f>+IFERROR(IF(J694="","",H694*K694),"as per slab")</f>
        <v/>
      </c>
    </row>
    <row r="695">
      <c r="A695" s="7" t="n"/>
      <c r="B695" s="7" t="n"/>
      <c r="C695" s="8" t="n"/>
      <c r="D695" s="9" t="n"/>
      <c r="E695" s="8" t="n"/>
      <c r="F695" s="9" t="n"/>
      <c r="G695" s="9" t="n"/>
      <c r="H695" s="3">
        <f>IF(AND(D695&lt;&gt;"",F695&lt;&gt;""),F695-D695-G695,"")</f>
        <v/>
      </c>
      <c r="I695" s="14">
        <f>IF(E695&lt;&gt;"", YEARFRAC(C695, E695) * 12, "")</f>
        <v/>
      </c>
      <c r="J695" s="2">
        <f>IF(I695="", "", IF(OR(AND(A695="Listed Equity Shares", I695&gt;12), AND(A695="Unlisted Equity Shares", I695&gt;24)), "Long Term", "Short Term"))</f>
        <v/>
      </c>
      <c r="K695" s="5">
        <f>IF(J695="", "", IF(J695="Long Term", 12.5%,"as per slab"))</f>
        <v/>
      </c>
      <c r="L695" s="3">
        <f>+IFERROR(IF(J695="","",H695*K695),"as per slab")</f>
        <v/>
      </c>
    </row>
    <row r="696">
      <c r="A696" s="7" t="n"/>
      <c r="B696" s="7" t="n"/>
      <c r="C696" s="8" t="n"/>
      <c r="D696" s="9" t="n"/>
      <c r="E696" s="8" t="n"/>
      <c r="F696" s="9" t="n"/>
      <c r="G696" s="9" t="n"/>
      <c r="H696" s="3">
        <f>IF(AND(D696&lt;&gt;"",F696&lt;&gt;""),F696-D696-G696,"")</f>
        <v/>
      </c>
      <c r="I696" s="14">
        <f>IF(E696&lt;&gt;"", YEARFRAC(C696, E696) * 12, "")</f>
        <v/>
      </c>
      <c r="J696" s="2">
        <f>IF(I696="", "", IF(OR(AND(A696="Listed Equity Shares", I696&gt;12), AND(A696="Unlisted Equity Shares", I696&gt;24)), "Long Term", "Short Term"))</f>
        <v/>
      </c>
      <c r="K696" s="5">
        <f>IF(J696="", "", IF(J696="Long Term", 12.5%,"as per slab"))</f>
        <v/>
      </c>
      <c r="L696" s="3">
        <f>+IFERROR(IF(J696="","",H696*K696),"as per slab")</f>
        <v/>
      </c>
    </row>
    <row r="697">
      <c r="A697" s="7" t="n"/>
      <c r="B697" s="7" t="n"/>
      <c r="C697" s="8" t="n"/>
      <c r="D697" s="9" t="n"/>
      <c r="E697" s="8" t="n"/>
      <c r="F697" s="9" t="n"/>
      <c r="G697" s="9" t="n"/>
      <c r="H697" s="3">
        <f>IF(AND(D697&lt;&gt;"",F697&lt;&gt;""),F697-D697-G697,"")</f>
        <v/>
      </c>
      <c r="I697" s="14">
        <f>IF(E697&lt;&gt;"", YEARFRAC(C697, E697) * 12, "")</f>
        <v/>
      </c>
      <c r="J697" s="2">
        <f>IF(I697="", "", IF(OR(AND(A697="Listed Equity Shares", I697&gt;12), AND(A697="Unlisted Equity Shares", I697&gt;24)), "Long Term", "Short Term"))</f>
        <v/>
      </c>
      <c r="K697" s="5">
        <f>IF(J697="", "", IF(J697="Long Term", 12.5%,"as per slab"))</f>
        <v/>
      </c>
      <c r="L697" s="3">
        <f>+IFERROR(IF(J697="","",H697*K697),"as per slab")</f>
        <v/>
      </c>
    </row>
    <row r="698">
      <c r="A698" s="7" t="n"/>
      <c r="B698" s="7" t="n"/>
      <c r="C698" s="8" t="n"/>
      <c r="D698" s="9" t="n"/>
      <c r="E698" s="8" t="n"/>
      <c r="F698" s="9" t="n"/>
      <c r="G698" s="9" t="n"/>
      <c r="H698" s="3">
        <f>IF(AND(D698&lt;&gt;"",F698&lt;&gt;""),F698-D698-G698,"")</f>
        <v/>
      </c>
      <c r="I698" s="14">
        <f>IF(E698&lt;&gt;"", YEARFRAC(C698, E698) * 12, "")</f>
        <v/>
      </c>
      <c r="J698" s="2">
        <f>IF(I698="", "", IF(OR(AND(A698="Listed Equity Shares", I698&gt;12), AND(A698="Unlisted Equity Shares", I698&gt;24)), "Long Term", "Short Term"))</f>
        <v/>
      </c>
      <c r="K698" s="5">
        <f>IF(J698="", "", IF(J698="Long Term", 12.5%,"as per slab"))</f>
        <v/>
      </c>
      <c r="L698" s="3">
        <f>+IFERROR(IF(J698="","",H698*K698),"as per slab")</f>
        <v/>
      </c>
    </row>
    <row r="699">
      <c r="A699" s="7" t="n"/>
      <c r="B699" s="7" t="n"/>
      <c r="C699" s="8" t="n"/>
      <c r="D699" s="9" t="n"/>
      <c r="E699" s="8" t="n"/>
      <c r="F699" s="9" t="n"/>
      <c r="G699" s="9" t="n"/>
      <c r="H699" s="3">
        <f>IF(AND(D699&lt;&gt;"",F699&lt;&gt;""),F699-D699-G699,"")</f>
        <v/>
      </c>
      <c r="I699" s="14">
        <f>IF(E699&lt;&gt;"", YEARFRAC(C699, E699) * 12, "")</f>
        <v/>
      </c>
      <c r="J699" s="2">
        <f>IF(I699="", "", IF(OR(AND(A699="Listed Equity Shares", I699&gt;12), AND(A699="Unlisted Equity Shares", I699&gt;24)), "Long Term", "Short Term"))</f>
        <v/>
      </c>
      <c r="K699" s="5">
        <f>IF(J699="", "", IF(J699="Long Term", 12.5%,"as per slab"))</f>
        <v/>
      </c>
      <c r="L699" s="3">
        <f>+IFERROR(IF(J699="","",H699*K699),"as per slab")</f>
        <v/>
      </c>
    </row>
    <row r="700">
      <c r="A700" s="7" t="n"/>
      <c r="B700" s="7" t="n"/>
      <c r="C700" s="8" t="n"/>
      <c r="D700" s="9" t="n"/>
      <c r="E700" s="8" t="n"/>
      <c r="F700" s="9" t="n"/>
      <c r="G700" s="9" t="n"/>
      <c r="H700" s="3">
        <f>IF(AND(D700&lt;&gt;"",F700&lt;&gt;""),F700-D700-G700,"")</f>
        <v/>
      </c>
      <c r="I700" s="14">
        <f>IF(E700&lt;&gt;"", YEARFRAC(C700, E700) * 12, "")</f>
        <v/>
      </c>
      <c r="J700" s="2">
        <f>IF(I700="", "", IF(OR(AND(A700="Listed Equity Shares", I700&gt;12), AND(A700="Unlisted Equity Shares", I700&gt;24)), "Long Term", "Short Term"))</f>
        <v/>
      </c>
      <c r="K700" s="5">
        <f>IF(J700="", "", IF(J700="Long Term", 12.5%,"as per slab"))</f>
        <v/>
      </c>
      <c r="L700" s="3">
        <f>+IFERROR(IF(J700="","",H700*K700),"as per slab")</f>
        <v/>
      </c>
    </row>
    <row r="701">
      <c r="A701" s="7" t="n"/>
      <c r="B701" s="7" t="n"/>
      <c r="C701" s="8" t="n"/>
      <c r="D701" s="9" t="n"/>
      <c r="E701" s="8" t="n"/>
      <c r="F701" s="9" t="n"/>
      <c r="G701" s="9" t="n"/>
      <c r="H701" s="3">
        <f>IF(AND(D701&lt;&gt;"",F701&lt;&gt;""),F701-D701-G701,"")</f>
        <v/>
      </c>
      <c r="I701" s="14">
        <f>IF(E701&lt;&gt;"", YEARFRAC(C701, E701) * 12, "")</f>
        <v/>
      </c>
      <c r="J701" s="2">
        <f>IF(I701="", "", IF(OR(AND(A701="Listed Equity Shares", I701&gt;12), AND(A701="Unlisted Equity Shares", I701&gt;24)), "Long Term", "Short Term"))</f>
        <v/>
      </c>
      <c r="K701" s="5">
        <f>IF(J701="", "", IF(J701="Long Term", 12.5%,"as per slab"))</f>
        <v/>
      </c>
      <c r="L701" s="3">
        <f>+IFERROR(IF(J701="","",H701*K701),"as per slab")</f>
        <v/>
      </c>
    </row>
    <row r="702">
      <c r="A702" s="7" t="n"/>
      <c r="B702" s="7" t="n"/>
      <c r="C702" s="8" t="n"/>
      <c r="D702" s="9" t="n"/>
      <c r="E702" s="8" t="n"/>
      <c r="F702" s="9" t="n"/>
      <c r="G702" s="9" t="n"/>
      <c r="H702" s="3">
        <f>IF(AND(D702&lt;&gt;"",F702&lt;&gt;""),F702-D702-G702,"")</f>
        <v/>
      </c>
      <c r="I702" s="14">
        <f>IF(E702&lt;&gt;"", YEARFRAC(C702, E702) * 12, "")</f>
        <v/>
      </c>
      <c r="J702" s="2">
        <f>IF(I702="", "", IF(OR(AND(A702="Listed Equity Shares", I702&gt;12), AND(A702="Unlisted Equity Shares", I702&gt;24)), "Long Term", "Short Term"))</f>
        <v/>
      </c>
      <c r="K702" s="5">
        <f>IF(J702="", "", IF(J702="Long Term", 12.5%,"as per slab"))</f>
        <v/>
      </c>
      <c r="L702" s="3">
        <f>+IFERROR(IF(J702="","",H702*K702),"as per slab")</f>
        <v/>
      </c>
    </row>
    <row r="703">
      <c r="A703" s="7" t="n"/>
      <c r="B703" s="7" t="n"/>
      <c r="C703" s="8" t="n"/>
      <c r="D703" s="9" t="n"/>
      <c r="E703" s="8" t="n"/>
      <c r="F703" s="9" t="n"/>
      <c r="G703" s="9" t="n"/>
      <c r="H703" s="3">
        <f>IF(AND(D703&lt;&gt;"",F703&lt;&gt;""),F703-D703-G703,"")</f>
        <v/>
      </c>
      <c r="I703" s="14">
        <f>IF(E703&lt;&gt;"", YEARFRAC(C703, E703) * 12, "")</f>
        <v/>
      </c>
      <c r="J703" s="2">
        <f>IF(I703="", "", IF(OR(AND(A703="Listed Equity Shares", I703&gt;12), AND(A703="Unlisted Equity Shares", I703&gt;24)), "Long Term", "Short Term"))</f>
        <v/>
      </c>
      <c r="K703" s="5">
        <f>IF(J703="", "", IF(J703="Long Term", 12.5%,"as per slab"))</f>
        <v/>
      </c>
      <c r="L703" s="3">
        <f>+IFERROR(IF(J703="","",H703*K703),"as per slab")</f>
        <v/>
      </c>
    </row>
    <row r="704">
      <c r="A704" s="7" t="n"/>
      <c r="B704" s="7" t="n"/>
      <c r="C704" s="8" t="n"/>
      <c r="D704" s="9" t="n"/>
      <c r="E704" s="8" t="n"/>
      <c r="F704" s="9" t="n"/>
      <c r="G704" s="9" t="n"/>
      <c r="H704" s="3">
        <f>IF(AND(D704&lt;&gt;"",F704&lt;&gt;""),F704-D704-G704,"")</f>
        <v/>
      </c>
      <c r="I704" s="14">
        <f>IF(E704&lt;&gt;"", YEARFRAC(C704, E704) * 12, "")</f>
        <v/>
      </c>
      <c r="J704" s="2">
        <f>IF(I704="", "", IF(OR(AND(A704="Listed Equity Shares", I704&gt;12), AND(A704="Unlisted Equity Shares", I704&gt;24)), "Long Term", "Short Term"))</f>
        <v/>
      </c>
      <c r="K704" s="5">
        <f>IF(J704="", "", IF(J704="Long Term", 12.5%,"as per slab"))</f>
        <v/>
      </c>
      <c r="L704" s="3">
        <f>+IFERROR(IF(J704="","",H704*K704),"as per slab")</f>
        <v/>
      </c>
    </row>
    <row r="705">
      <c r="A705" s="7" t="n"/>
      <c r="B705" s="7" t="n"/>
      <c r="C705" s="8" t="n"/>
      <c r="D705" s="9" t="n"/>
      <c r="E705" s="8" t="n"/>
      <c r="F705" s="9" t="n"/>
      <c r="G705" s="9" t="n"/>
      <c r="H705" s="3">
        <f>IF(AND(D705&lt;&gt;"",F705&lt;&gt;""),F705-D705-G705,"")</f>
        <v/>
      </c>
      <c r="I705" s="14">
        <f>IF(E705&lt;&gt;"", YEARFRAC(C705, E705) * 12, "")</f>
        <v/>
      </c>
      <c r="J705" s="2">
        <f>IF(I705="", "", IF(OR(AND(A705="Listed Equity Shares", I705&gt;12), AND(A705="Unlisted Equity Shares", I705&gt;24)), "Long Term", "Short Term"))</f>
        <v/>
      </c>
      <c r="K705" s="5">
        <f>IF(J705="", "", IF(J705="Long Term", 12.5%,"as per slab"))</f>
        <v/>
      </c>
      <c r="L705" s="3">
        <f>+IFERROR(IF(J705="","",H705*K705),"as per slab")</f>
        <v/>
      </c>
    </row>
    <row r="706">
      <c r="A706" s="7" t="n"/>
      <c r="B706" s="7" t="n"/>
      <c r="C706" s="8" t="n"/>
      <c r="D706" s="9" t="n"/>
      <c r="E706" s="8" t="n"/>
      <c r="F706" s="9" t="n"/>
      <c r="G706" s="9" t="n"/>
      <c r="H706" s="3">
        <f>IF(AND(D706&lt;&gt;"",F706&lt;&gt;""),F706-D706-G706,"")</f>
        <v/>
      </c>
      <c r="I706" s="14">
        <f>IF(E706&lt;&gt;"", YEARFRAC(C706, E706) * 12, "")</f>
        <v/>
      </c>
      <c r="J706" s="2">
        <f>IF(I706="", "", IF(OR(AND(A706="Listed Equity Shares", I706&gt;12), AND(A706="Unlisted Equity Shares", I706&gt;24)), "Long Term", "Short Term"))</f>
        <v/>
      </c>
      <c r="K706" s="5">
        <f>IF(J706="", "", IF(J706="Long Term", 12.5%,"as per slab"))</f>
        <v/>
      </c>
      <c r="L706" s="3">
        <f>+IFERROR(IF(J706="","",H706*K706),"as per slab")</f>
        <v/>
      </c>
    </row>
    <row r="707">
      <c r="A707" s="7" t="n"/>
      <c r="B707" s="7" t="n"/>
      <c r="C707" s="8" t="n"/>
      <c r="D707" s="9" t="n"/>
      <c r="E707" s="8" t="n"/>
      <c r="F707" s="9" t="n"/>
      <c r="G707" s="9" t="n"/>
      <c r="H707" s="3">
        <f>IF(AND(D707&lt;&gt;"",F707&lt;&gt;""),F707-D707-G707,"")</f>
        <v/>
      </c>
      <c r="I707" s="14">
        <f>IF(E707&lt;&gt;"", YEARFRAC(C707, E707) * 12, "")</f>
        <v/>
      </c>
      <c r="J707" s="2">
        <f>IF(I707="", "", IF(OR(AND(A707="Listed Equity Shares", I707&gt;12), AND(A707="Unlisted Equity Shares", I707&gt;24)), "Long Term", "Short Term"))</f>
        <v/>
      </c>
      <c r="K707" s="5">
        <f>IF(J707="", "", IF(J707="Long Term", 12.5%,"as per slab"))</f>
        <v/>
      </c>
      <c r="L707" s="3">
        <f>+IFERROR(IF(J707="","",H707*K707),"as per slab")</f>
        <v/>
      </c>
    </row>
    <row r="708">
      <c r="A708" s="7" t="n"/>
      <c r="B708" s="7" t="n"/>
      <c r="C708" s="8" t="n"/>
      <c r="D708" s="9" t="n"/>
      <c r="E708" s="8" t="n"/>
      <c r="F708" s="9" t="n"/>
      <c r="G708" s="9" t="n"/>
      <c r="H708" s="3">
        <f>IF(AND(D708&lt;&gt;"",F708&lt;&gt;""),F708-D708-G708,"")</f>
        <v/>
      </c>
      <c r="I708" s="14">
        <f>IF(E708&lt;&gt;"", YEARFRAC(C708, E708) * 12, "")</f>
        <v/>
      </c>
      <c r="J708" s="2">
        <f>IF(I708="", "", IF(OR(AND(A708="Listed Equity Shares", I708&gt;12), AND(A708="Unlisted Equity Shares", I708&gt;24)), "Long Term", "Short Term"))</f>
        <v/>
      </c>
      <c r="K708" s="5">
        <f>IF(J708="", "", IF(J708="Long Term", 12.5%,"as per slab"))</f>
        <v/>
      </c>
      <c r="L708" s="3">
        <f>+IFERROR(IF(J708="","",H708*K708),"as per slab")</f>
        <v/>
      </c>
    </row>
    <row r="709">
      <c r="A709" s="7" t="n"/>
      <c r="B709" s="7" t="n"/>
      <c r="C709" s="8" t="n"/>
      <c r="D709" s="9" t="n"/>
      <c r="E709" s="8" t="n"/>
      <c r="F709" s="9" t="n"/>
      <c r="G709" s="9" t="n"/>
      <c r="H709" s="3">
        <f>IF(AND(D709&lt;&gt;"",F709&lt;&gt;""),F709-D709-G709,"")</f>
        <v/>
      </c>
      <c r="I709" s="14">
        <f>IF(E709&lt;&gt;"", YEARFRAC(C709, E709) * 12, "")</f>
        <v/>
      </c>
      <c r="J709" s="2">
        <f>IF(I709="", "", IF(OR(AND(A709="Listed Equity Shares", I709&gt;12), AND(A709="Unlisted Equity Shares", I709&gt;24)), "Long Term", "Short Term"))</f>
        <v/>
      </c>
      <c r="K709" s="5">
        <f>IF(J709="", "", IF(J709="Long Term", 12.5%,"as per slab"))</f>
        <v/>
      </c>
      <c r="L709" s="3">
        <f>+IFERROR(IF(J709="","",H709*K709),"as per slab")</f>
        <v/>
      </c>
    </row>
    <row r="710">
      <c r="A710" s="7" t="n"/>
      <c r="B710" s="7" t="n"/>
      <c r="C710" s="8" t="n"/>
      <c r="D710" s="9" t="n"/>
      <c r="E710" s="8" t="n"/>
      <c r="F710" s="9" t="n"/>
      <c r="G710" s="9" t="n"/>
      <c r="H710" s="3">
        <f>IF(AND(D710&lt;&gt;"",F710&lt;&gt;""),F710-D710-G710,"")</f>
        <v/>
      </c>
      <c r="I710" s="14">
        <f>IF(E710&lt;&gt;"", YEARFRAC(C710, E710) * 12, "")</f>
        <v/>
      </c>
      <c r="J710" s="2">
        <f>IF(I710="", "", IF(OR(AND(A710="Listed Equity Shares", I710&gt;12), AND(A710="Unlisted Equity Shares", I710&gt;24)), "Long Term", "Short Term"))</f>
        <v/>
      </c>
      <c r="K710" s="5">
        <f>IF(J710="", "", IF(J710="Long Term", 12.5%,"as per slab"))</f>
        <v/>
      </c>
      <c r="L710" s="3">
        <f>+IFERROR(IF(J710="","",H710*K710),"as per slab")</f>
        <v/>
      </c>
    </row>
    <row r="711">
      <c r="A711" s="7" t="n"/>
      <c r="B711" s="7" t="n"/>
      <c r="C711" s="8" t="n"/>
      <c r="D711" s="9" t="n"/>
      <c r="E711" s="8" t="n"/>
      <c r="F711" s="9" t="n"/>
      <c r="G711" s="9" t="n"/>
      <c r="H711" s="3">
        <f>IF(AND(D711&lt;&gt;"",F711&lt;&gt;""),F711-D711-G711,"")</f>
        <v/>
      </c>
      <c r="I711" s="14">
        <f>IF(E711&lt;&gt;"", YEARFRAC(C711, E711) * 12, "")</f>
        <v/>
      </c>
      <c r="J711" s="2">
        <f>IF(I711="", "", IF(OR(AND(A711="Listed Equity Shares", I711&gt;12), AND(A711="Unlisted Equity Shares", I711&gt;24)), "Long Term", "Short Term"))</f>
        <v/>
      </c>
      <c r="K711" s="5">
        <f>IF(J711="", "", IF(J711="Long Term", 12.5%,"as per slab"))</f>
        <v/>
      </c>
      <c r="L711" s="3">
        <f>+IFERROR(IF(J711="","",H711*K711),"as per slab")</f>
        <v/>
      </c>
    </row>
    <row r="712">
      <c r="A712" s="7" t="n"/>
      <c r="B712" s="7" t="n"/>
      <c r="C712" s="8" t="n"/>
      <c r="D712" s="9" t="n"/>
      <c r="E712" s="8" t="n"/>
      <c r="F712" s="9" t="n"/>
      <c r="G712" s="9" t="n"/>
      <c r="H712" s="3">
        <f>IF(AND(D712&lt;&gt;"",F712&lt;&gt;""),F712-D712-G712,"")</f>
        <v/>
      </c>
      <c r="I712" s="14">
        <f>IF(E712&lt;&gt;"", YEARFRAC(C712, E712) * 12, "")</f>
        <v/>
      </c>
      <c r="J712" s="2">
        <f>IF(I712="", "", IF(OR(AND(A712="Listed Equity Shares", I712&gt;12), AND(A712="Unlisted Equity Shares", I712&gt;24)), "Long Term", "Short Term"))</f>
        <v/>
      </c>
      <c r="K712" s="5">
        <f>IF(J712="", "", IF(J712="Long Term", 12.5%,"as per slab"))</f>
        <v/>
      </c>
      <c r="L712" s="3">
        <f>+IFERROR(IF(J712="","",H712*K712),"as per slab")</f>
        <v/>
      </c>
    </row>
    <row r="713">
      <c r="A713" s="7" t="n"/>
      <c r="B713" s="7" t="n"/>
      <c r="C713" s="8" t="n"/>
      <c r="D713" s="9" t="n"/>
      <c r="E713" s="8" t="n"/>
      <c r="F713" s="9" t="n"/>
      <c r="G713" s="9" t="n"/>
      <c r="H713" s="3">
        <f>IF(AND(D713&lt;&gt;"",F713&lt;&gt;""),F713-D713-G713,"")</f>
        <v/>
      </c>
      <c r="I713" s="14">
        <f>IF(E713&lt;&gt;"", YEARFRAC(C713, E713) * 12, "")</f>
        <v/>
      </c>
      <c r="J713" s="2">
        <f>IF(I713="", "", IF(OR(AND(A713="Listed Equity Shares", I713&gt;12), AND(A713="Unlisted Equity Shares", I713&gt;24)), "Long Term", "Short Term"))</f>
        <v/>
      </c>
      <c r="K713" s="5">
        <f>IF(J713="", "", IF(J713="Long Term", 12.5%,"as per slab"))</f>
        <v/>
      </c>
      <c r="L713" s="3">
        <f>+IFERROR(IF(J713="","",H713*K713),"as per slab")</f>
        <v/>
      </c>
    </row>
    <row r="714">
      <c r="A714" s="7" t="n"/>
      <c r="B714" s="7" t="n"/>
      <c r="C714" s="8" t="n"/>
      <c r="D714" s="9" t="n"/>
      <c r="E714" s="8" t="n"/>
      <c r="F714" s="9" t="n"/>
      <c r="G714" s="9" t="n"/>
      <c r="H714" s="3">
        <f>IF(AND(D714&lt;&gt;"",F714&lt;&gt;""),F714-D714-G714,"")</f>
        <v/>
      </c>
      <c r="I714" s="14">
        <f>IF(E714&lt;&gt;"", YEARFRAC(C714, E714) * 12, "")</f>
        <v/>
      </c>
      <c r="J714" s="2">
        <f>IF(I714="", "", IF(OR(AND(A714="Listed Equity Shares", I714&gt;12), AND(A714="Unlisted Equity Shares", I714&gt;24)), "Long Term", "Short Term"))</f>
        <v/>
      </c>
      <c r="K714" s="5">
        <f>IF(J714="", "", IF(J714="Long Term", 12.5%,"as per slab"))</f>
        <v/>
      </c>
      <c r="L714" s="3">
        <f>+IFERROR(IF(J714="","",H714*K714),"as per slab")</f>
        <v/>
      </c>
    </row>
    <row r="715">
      <c r="A715" s="7" t="n"/>
      <c r="B715" s="7" t="n"/>
      <c r="C715" s="8" t="n"/>
      <c r="D715" s="9" t="n"/>
      <c r="E715" s="8" t="n"/>
      <c r="F715" s="9" t="n"/>
      <c r="G715" s="9" t="n"/>
      <c r="H715" s="3">
        <f>IF(AND(D715&lt;&gt;"",F715&lt;&gt;""),F715-D715-G715,"")</f>
        <v/>
      </c>
      <c r="I715" s="14">
        <f>IF(E715&lt;&gt;"", YEARFRAC(C715, E715) * 12, "")</f>
        <v/>
      </c>
      <c r="J715" s="2">
        <f>IF(I715="", "", IF(OR(AND(A715="Listed Equity Shares", I715&gt;12), AND(A715="Unlisted Equity Shares", I715&gt;24)), "Long Term", "Short Term"))</f>
        <v/>
      </c>
      <c r="K715" s="5">
        <f>IF(J715="", "", IF(J715="Long Term", 12.5%,"as per slab"))</f>
        <v/>
      </c>
      <c r="L715" s="3">
        <f>+IFERROR(IF(J715="","",H715*K715),"as per slab")</f>
        <v/>
      </c>
    </row>
    <row r="716">
      <c r="A716" s="7" t="n"/>
      <c r="B716" s="7" t="n"/>
      <c r="C716" s="8" t="n"/>
      <c r="D716" s="9" t="n"/>
      <c r="E716" s="8" t="n"/>
      <c r="F716" s="9" t="n"/>
      <c r="G716" s="9" t="n"/>
      <c r="H716" s="3">
        <f>IF(AND(D716&lt;&gt;"",F716&lt;&gt;""),F716-D716-G716,"")</f>
        <v/>
      </c>
      <c r="I716" s="14">
        <f>IF(E716&lt;&gt;"", YEARFRAC(C716, E716) * 12, "")</f>
        <v/>
      </c>
      <c r="J716" s="2">
        <f>IF(I716="", "", IF(OR(AND(A716="Listed Equity Shares", I716&gt;12), AND(A716="Unlisted Equity Shares", I716&gt;24)), "Long Term", "Short Term"))</f>
        <v/>
      </c>
      <c r="K716" s="5">
        <f>IF(J716="", "", IF(J716="Long Term", 12.5%,"as per slab"))</f>
        <v/>
      </c>
      <c r="L716" s="3">
        <f>+IFERROR(IF(J716="","",H716*K716),"as per slab")</f>
        <v/>
      </c>
    </row>
    <row r="717">
      <c r="A717" s="7" t="n"/>
      <c r="B717" s="7" t="n"/>
      <c r="C717" s="8" t="n"/>
      <c r="D717" s="9" t="n"/>
      <c r="E717" s="8" t="n"/>
      <c r="F717" s="9" t="n"/>
      <c r="G717" s="9" t="n"/>
      <c r="H717" s="3">
        <f>IF(AND(D717&lt;&gt;"",F717&lt;&gt;""),F717-D717-G717,"")</f>
        <v/>
      </c>
      <c r="I717" s="14">
        <f>IF(E717&lt;&gt;"", YEARFRAC(C717, E717) * 12, "")</f>
        <v/>
      </c>
      <c r="J717" s="2">
        <f>IF(I717="", "", IF(OR(AND(A717="Listed Equity Shares", I717&gt;12), AND(A717="Unlisted Equity Shares", I717&gt;24)), "Long Term", "Short Term"))</f>
        <v/>
      </c>
      <c r="K717" s="5">
        <f>IF(J717="", "", IF(J717="Long Term", 12.5%,"as per slab"))</f>
        <v/>
      </c>
      <c r="L717" s="3">
        <f>+IFERROR(IF(J717="","",H717*K717),"as per slab")</f>
        <v/>
      </c>
    </row>
    <row r="718">
      <c r="A718" s="7" t="n"/>
      <c r="B718" s="7" t="n"/>
      <c r="C718" s="8" t="n"/>
      <c r="D718" s="9" t="n"/>
      <c r="E718" s="8" t="n"/>
      <c r="F718" s="9" t="n"/>
      <c r="G718" s="9" t="n"/>
      <c r="H718" s="3">
        <f>IF(AND(D718&lt;&gt;"",F718&lt;&gt;""),F718-D718-G718,"")</f>
        <v/>
      </c>
      <c r="I718" s="14">
        <f>IF(E718&lt;&gt;"", YEARFRAC(C718, E718) * 12, "")</f>
        <v/>
      </c>
      <c r="J718" s="2">
        <f>IF(I718="", "", IF(OR(AND(A718="Listed Equity Shares", I718&gt;12), AND(A718="Unlisted Equity Shares", I718&gt;24)), "Long Term", "Short Term"))</f>
        <v/>
      </c>
      <c r="K718" s="5">
        <f>IF(J718="", "", IF(J718="Long Term", 12.5%,"as per slab"))</f>
        <v/>
      </c>
      <c r="L718" s="3">
        <f>+IFERROR(IF(J718="","",H718*K718),"as per slab")</f>
        <v/>
      </c>
    </row>
    <row r="719">
      <c r="A719" s="7" t="n"/>
      <c r="B719" s="7" t="n"/>
      <c r="C719" s="8" t="n"/>
      <c r="D719" s="9" t="n"/>
      <c r="E719" s="8" t="n"/>
      <c r="F719" s="9" t="n"/>
      <c r="G719" s="9" t="n"/>
      <c r="H719" s="3">
        <f>IF(AND(D719&lt;&gt;"",F719&lt;&gt;""),F719-D719-G719,"")</f>
        <v/>
      </c>
      <c r="I719" s="14">
        <f>IF(E719&lt;&gt;"", YEARFRAC(C719, E719) * 12, "")</f>
        <v/>
      </c>
      <c r="J719" s="2">
        <f>IF(I719="", "", IF(OR(AND(A719="Listed Equity Shares", I719&gt;12), AND(A719="Unlisted Equity Shares", I719&gt;24)), "Long Term", "Short Term"))</f>
        <v/>
      </c>
      <c r="K719" s="5">
        <f>IF(J719="", "", IF(J719="Long Term", 12.5%,"as per slab"))</f>
        <v/>
      </c>
      <c r="L719" s="3">
        <f>+IFERROR(IF(J719="","",H719*K719),"as per slab")</f>
        <v/>
      </c>
    </row>
    <row r="720">
      <c r="A720" s="7" t="n"/>
      <c r="B720" s="7" t="n"/>
      <c r="C720" s="8" t="n"/>
      <c r="D720" s="9" t="n"/>
      <c r="E720" s="8" t="n"/>
      <c r="F720" s="9" t="n"/>
      <c r="G720" s="9" t="n"/>
      <c r="H720" s="3">
        <f>IF(AND(D720&lt;&gt;"",F720&lt;&gt;""),F720-D720-G720,"")</f>
        <v/>
      </c>
      <c r="I720" s="14">
        <f>IF(E720&lt;&gt;"", YEARFRAC(C720, E720) * 12, "")</f>
        <v/>
      </c>
      <c r="J720" s="2">
        <f>IF(I720="", "", IF(OR(AND(A720="Listed Equity Shares", I720&gt;12), AND(A720="Unlisted Equity Shares", I720&gt;24)), "Long Term", "Short Term"))</f>
        <v/>
      </c>
      <c r="K720" s="5">
        <f>IF(J720="", "", IF(J720="Long Term", 12.5%,"as per slab"))</f>
        <v/>
      </c>
      <c r="L720" s="3">
        <f>+IFERROR(IF(J720="","",H720*K720),"as per slab")</f>
        <v/>
      </c>
    </row>
    <row r="721">
      <c r="A721" s="7" t="n"/>
      <c r="B721" s="7" t="n"/>
      <c r="C721" s="8" t="n"/>
      <c r="D721" s="9" t="n"/>
      <c r="E721" s="8" t="n"/>
      <c r="F721" s="9" t="n"/>
      <c r="G721" s="9" t="n"/>
      <c r="H721" s="3">
        <f>IF(AND(D721&lt;&gt;"",F721&lt;&gt;""),F721-D721-G721,"")</f>
        <v/>
      </c>
      <c r="I721" s="14">
        <f>IF(E721&lt;&gt;"", YEARFRAC(C721, E721) * 12, "")</f>
        <v/>
      </c>
      <c r="J721" s="2">
        <f>IF(I721="", "", IF(OR(AND(A721="Listed Equity Shares", I721&gt;12), AND(A721="Unlisted Equity Shares", I721&gt;24)), "Long Term", "Short Term"))</f>
        <v/>
      </c>
      <c r="K721" s="5">
        <f>IF(J721="", "", IF(J721="Long Term", 12.5%,"as per slab"))</f>
        <v/>
      </c>
      <c r="L721" s="3">
        <f>+IFERROR(IF(J721="","",H721*K721),"as per slab")</f>
        <v/>
      </c>
    </row>
    <row r="722">
      <c r="A722" s="7" t="n"/>
      <c r="B722" s="7" t="n"/>
      <c r="C722" s="8" t="n"/>
      <c r="D722" s="9" t="n"/>
      <c r="E722" s="8" t="n"/>
      <c r="F722" s="9" t="n"/>
      <c r="G722" s="9" t="n"/>
      <c r="H722" s="3">
        <f>IF(AND(D722&lt;&gt;"",F722&lt;&gt;""),F722-D722-G722,"")</f>
        <v/>
      </c>
      <c r="I722" s="14">
        <f>IF(E722&lt;&gt;"", YEARFRAC(C722, E722) * 12, "")</f>
        <v/>
      </c>
      <c r="J722" s="2">
        <f>IF(I722="", "", IF(OR(AND(A722="Listed Equity Shares", I722&gt;12), AND(A722="Unlisted Equity Shares", I722&gt;24)), "Long Term", "Short Term"))</f>
        <v/>
      </c>
      <c r="K722" s="5">
        <f>IF(J722="", "", IF(J722="Long Term", 12.5%,"as per slab"))</f>
        <v/>
      </c>
      <c r="L722" s="3">
        <f>+IFERROR(IF(J722="","",H722*K722),"as per slab")</f>
        <v/>
      </c>
    </row>
    <row r="723">
      <c r="A723" s="7" t="n"/>
      <c r="B723" s="7" t="n"/>
      <c r="C723" s="8" t="n"/>
      <c r="D723" s="9" t="n"/>
      <c r="E723" s="8" t="n"/>
      <c r="F723" s="9" t="n"/>
      <c r="G723" s="9" t="n"/>
      <c r="H723" s="3">
        <f>IF(AND(D723&lt;&gt;"",F723&lt;&gt;""),F723-D723-G723,"")</f>
        <v/>
      </c>
      <c r="I723" s="14">
        <f>IF(E723&lt;&gt;"", YEARFRAC(C723, E723) * 12, "")</f>
        <v/>
      </c>
      <c r="J723" s="2">
        <f>IF(I723="", "", IF(OR(AND(A723="Listed Equity Shares", I723&gt;12), AND(A723="Unlisted Equity Shares", I723&gt;24)), "Long Term", "Short Term"))</f>
        <v/>
      </c>
      <c r="K723" s="5">
        <f>IF(J723="", "", IF(J723="Long Term", 12.5%,"as per slab"))</f>
        <v/>
      </c>
      <c r="L723" s="3">
        <f>+IFERROR(IF(J723="","",H723*K723),"as per slab")</f>
        <v/>
      </c>
    </row>
    <row r="724">
      <c r="A724" s="7" t="n"/>
      <c r="B724" s="7" t="n"/>
      <c r="C724" s="8" t="n"/>
      <c r="D724" s="9" t="n"/>
      <c r="E724" s="8" t="n"/>
      <c r="F724" s="9" t="n"/>
      <c r="G724" s="9" t="n"/>
      <c r="H724" s="3">
        <f>IF(AND(D724&lt;&gt;"",F724&lt;&gt;""),F724-D724-G724,"")</f>
        <v/>
      </c>
      <c r="I724" s="14">
        <f>IF(E724&lt;&gt;"", YEARFRAC(C724, E724) * 12, "")</f>
        <v/>
      </c>
      <c r="J724" s="2">
        <f>IF(I724="", "", IF(OR(AND(A724="Listed Equity Shares", I724&gt;12), AND(A724="Unlisted Equity Shares", I724&gt;24)), "Long Term", "Short Term"))</f>
        <v/>
      </c>
      <c r="K724" s="5">
        <f>IF(J724="", "", IF(J724="Long Term", 12.5%,"as per slab"))</f>
        <v/>
      </c>
      <c r="L724" s="3">
        <f>+IFERROR(IF(J724="","",H724*K724),"as per slab")</f>
        <v/>
      </c>
    </row>
    <row r="725">
      <c r="A725" s="7" t="n"/>
      <c r="B725" s="7" t="n"/>
      <c r="C725" s="8" t="n"/>
      <c r="D725" s="9" t="n"/>
      <c r="E725" s="8" t="n"/>
      <c r="F725" s="9" t="n"/>
      <c r="G725" s="9" t="n"/>
      <c r="H725" s="3">
        <f>IF(AND(D725&lt;&gt;"",F725&lt;&gt;""),F725-D725-G725,"")</f>
        <v/>
      </c>
      <c r="I725" s="14">
        <f>IF(E725&lt;&gt;"", YEARFRAC(C725, E725) * 12, "")</f>
        <v/>
      </c>
      <c r="J725" s="2">
        <f>IF(I725="", "", IF(OR(AND(A725="Listed Equity Shares", I725&gt;12), AND(A725="Unlisted Equity Shares", I725&gt;24)), "Long Term", "Short Term"))</f>
        <v/>
      </c>
      <c r="K725" s="5">
        <f>IF(J725="", "", IF(J725="Long Term", 12.5%,"as per slab"))</f>
        <v/>
      </c>
      <c r="L725" s="3">
        <f>+IFERROR(IF(J725="","",H725*K725),"as per slab")</f>
        <v/>
      </c>
    </row>
    <row r="726">
      <c r="A726" s="7" t="n"/>
      <c r="B726" s="7" t="n"/>
      <c r="C726" s="8" t="n"/>
      <c r="D726" s="9" t="n"/>
      <c r="E726" s="8" t="n"/>
      <c r="F726" s="9" t="n"/>
      <c r="G726" s="9" t="n"/>
      <c r="H726" s="3">
        <f>IF(AND(D726&lt;&gt;"",F726&lt;&gt;""),F726-D726-G726,"")</f>
        <v/>
      </c>
      <c r="I726" s="14">
        <f>IF(E726&lt;&gt;"", YEARFRAC(C726, E726) * 12, "")</f>
        <v/>
      </c>
      <c r="J726" s="2">
        <f>IF(I726="", "", IF(OR(AND(A726="Listed Equity Shares", I726&gt;12), AND(A726="Unlisted Equity Shares", I726&gt;24)), "Long Term", "Short Term"))</f>
        <v/>
      </c>
      <c r="K726" s="5">
        <f>IF(J726="", "", IF(J726="Long Term", 12.5%,"as per slab"))</f>
        <v/>
      </c>
      <c r="L726" s="3">
        <f>+IFERROR(IF(J726="","",H726*K726),"as per slab")</f>
        <v/>
      </c>
    </row>
    <row r="727">
      <c r="A727" s="7" t="n"/>
      <c r="B727" s="7" t="n"/>
      <c r="C727" s="8" t="n"/>
      <c r="D727" s="9" t="n"/>
      <c r="E727" s="8" t="n"/>
      <c r="F727" s="9" t="n"/>
      <c r="G727" s="9" t="n"/>
      <c r="H727" s="3">
        <f>IF(AND(D727&lt;&gt;"",F727&lt;&gt;""),F727-D727-G727,"")</f>
        <v/>
      </c>
      <c r="I727" s="14">
        <f>IF(E727&lt;&gt;"", YEARFRAC(C727, E727) * 12, "")</f>
        <v/>
      </c>
      <c r="J727" s="2">
        <f>IF(I727="", "", IF(OR(AND(A727="Listed Equity Shares", I727&gt;12), AND(A727="Unlisted Equity Shares", I727&gt;24)), "Long Term", "Short Term"))</f>
        <v/>
      </c>
      <c r="K727" s="5">
        <f>IF(J727="", "", IF(J727="Long Term", 12.5%,"as per slab"))</f>
        <v/>
      </c>
      <c r="L727" s="3">
        <f>+IFERROR(IF(J727="","",H727*K727),"as per slab")</f>
        <v/>
      </c>
    </row>
    <row r="728">
      <c r="A728" s="7" t="n"/>
      <c r="B728" s="7" t="n"/>
      <c r="C728" s="8" t="n"/>
      <c r="D728" s="9" t="n"/>
      <c r="E728" s="8" t="n"/>
      <c r="F728" s="9" t="n"/>
      <c r="G728" s="9" t="n"/>
      <c r="H728" s="3">
        <f>IF(AND(D728&lt;&gt;"",F728&lt;&gt;""),F728-D728-G728,"")</f>
        <v/>
      </c>
      <c r="I728" s="14">
        <f>IF(E728&lt;&gt;"", YEARFRAC(C728, E728) * 12, "")</f>
        <v/>
      </c>
      <c r="J728" s="2">
        <f>IF(I728="", "", IF(OR(AND(A728="Listed Equity Shares", I728&gt;12), AND(A728="Unlisted Equity Shares", I728&gt;24)), "Long Term", "Short Term"))</f>
        <v/>
      </c>
      <c r="K728" s="5">
        <f>IF(J728="", "", IF(J728="Long Term", 12.5%,"as per slab"))</f>
        <v/>
      </c>
      <c r="L728" s="3">
        <f>+IFERROR(IF(J728="","",H728*K728),"as per slab")</f>
        <v/>
      </c>
    </row>
    <row r="729">
      <c r="A729" s="7" t="n"/>
      <c r="B729" s="7" t="n"/>
      <c r="C729" s="8" t="n"/>
      <c r="D729" s="9" t="n"/>
      <c r="E729" s="8" t="n"/>
      <c r="F729" s="9" t="n"/>
      <c r="G729" s="9" t="n"/>
      <c r="H729" s="3">
        <f>IF(AND(D729&lt;&gt;"",F729&lt;&gt;""),F729-D729-G729,"")</f>
        <v/>
      </c>
      <c r="I729" s="14">
        <f>IF(E729&lt;&gt;"", YEARFRAC(C729, E729) * 12, "")</f>
        <v/>
      </c>
      <c r="J729" s="2">
        <f>IF(I729="", "", IF(OR(AND(A729="Listed Equity Shares", I729&gt;12), AND(A729="Unlisted Equity Shares", I729&gt;24)), "Long Term", "Short Term"))</f>
        <v/>
      </c>
      <c r="K729" s="5">
        <f>IF(J729="", "", IF(J729="Long Term", 12.5%,"as per slab"))</f>
        <v/>
      </c>
      <c r="L729" s="3">
        <f>+IFERROR(IF(J729="","",H729*K729),"as per slab")</f>
        <v/>
      </c>
    </row>
    <row r="730">
      <c r="A730" s="7" t="n"/>
      <c r="B730" s="7" t="n"/>
      <c r="C730" s="8" t="n"/>
      <c r="D730" s="9" t="n"/>
      <c r="E730" s="8" t="n"/>
      <c r="F730" s="9" t="n"/>
      <c r="G730" s="9" t="n"/>
      <c r="H730" s="3">
        <f>IF(AND(D730&lt;&gt;"",F730&lt;&gt;""),F730-D730-G730,"")</f>
        <v/>
      </c>
      <c r="I730" s="14">
        <f>IF(E730&lt;&gt;"", YEARFRAC(C730, E730) * 12, "")</f>
        <v/>
      </c>
      <c r="J730" s="2">
        <f>IF(I730="", "", IF(OR(AND(A730="Listed Equity Shares", I730&gt;12), AND(A730="Unlisted Equity Shares", I730&gt;24)), "Long Term", "Short Term"))</f>
        <v/>
      </c>
      <c r="K730" s="5">
        <f>IF(J730="", "", IF(J730="Long Term", 12.5%,"as per slab"))</f>
        <v/>
      </c>
      <c r="L730" s="3">
        <f>+IFERROR(IF(J730="","",H730*K730),"as per slab")</f>
        <v/>
      </c>
    </row>
    <row r="731">
      <c r="A731" s="7" t="n"/>
      <c r="B731" s="7" t="n"/>
      <c r="C731" s="8" t="n"/>
      <c r="D731" s="9" t="n"/>
      <c r="E731" s="8" t="n"/>
      <c r="F731" s="9" t="n"/>
      <c r="G731" s="9" t="n"/>
      <c r="H731" s="3">
        <f>IF(AND(D731&lt;&gt;"",F731&lt;&gt;""),F731-D731-G731,"")</f>
        <v/>
      </c>
      <c r="I731" s="14">
        <f>IF(E731&lt;&gt;"", YEARFRAC(C731, E731) * 12, "")</f>
        <v/>
      </c>
      <c r="J731" s="2">
        <f>IF(I731="", "", IF(OR(AND(A731="Listed Equity Shares", I731&gt;12), AND(A731="Unlisted Equity Shares", I731&gt;24)), "Long Term", "Short Term"))</f>
        <v/>
      </c>
      <c r="K731" s="5">
        <f>IF(J731="", "", IF(J731="Long Term", 12.5%,"as per slab"))</f>
        <v/>
      </c>
      <c r="L731" s="3">
        <f>+IFERROR(IF(J731="","",H731*K731),"as per slab")</f>
        <v/>
      </c>
    </row>
    <row r="732">
      <c r="A732" s="7" t="n"/>
      <c r="B732" s="7" t="n"/>
      <c r="C732" s="8" t="n"/>
      <c r="D732" s="9" t="n"/>
      <c r="E732" s="8" t="n"/>
      <c r="F732" s="9" t="n"/>
      <c r="G732" s="9" t="n"/>
      <c r="H732" s="3">
        <f>IF(AND(D732&lt;&gt;"",F732&lt;&gt;""),F732-D732-G732,"")</f>
        <v/>
      </c>
      <c r="I732" s="14">
        <f>IF(E732&lt;&gt;"", YEARFRAC(C732, E732) * 12, "")</f>
        <v/>
      </c>
      <c r="J732" s="2">
        <f>IF(I732="", "", IF(OR(AND(A732="Listed Equity Shares", I732&gt;12), AND(A732="Unlisted Equity Shares", I732&gt;24)), "Long Term", "Short Term"))</f>
        <v/>
      </c>
      <c r="K732" s="5">
        <f>IF(J732="", "", IF(J732="Long Term", 12.5%,"as per slab"))</f>
        <v/>
      </c>
      <c r="L732" s="3">
        <f>+IFERROR(IF(J732="","",H732*K732),"as per slab")</f>
        <v/>
      </c>
    </row>
    <row r="733">
      <c r="A733" s="7" t="n"/>
      <c r="B733" s="7" t="n"/>
      <c r="C733" s="8" t="n"/>
      <c r="D733" s="9" t="n"/>
      <c r="E733" s="8" t="n"/>
      <c r="F733" s="9" t="n"/>
      <c r="G733" s="9" t="n"/>
      <c r="H733" s="3">
        <f>IF(AND(D733&lt;&gt;"",F733&lt;&gt;""),F733-D733-G733,"")</f>
        <v/>
      </c>
      <c r="I733" s="14">
        <f>IF(E733&lt;&gt;"", YEARFRAC(C733, E733) * 12, "")</f>
        <v/>
      </c>
      <c r="J733" s="2">
        <f>IF(I733="", "", IF(OR(AND(A733="Listed Equity Shares", I733&gt;12), AND(A733="Unlisted Equity Shares", I733&gt;24)), "Long Term", "Short Term"))</f>
        <v/>
      </c>
      <c r="K733" s="5">
        <f>IF(J733="", "", IF(J733="Long Term", 12.5%,"as per slab"))</f>
        <v/>
      </c>
      <c r="L733" s="3">
        <f>+IFERROR(IF(J733="","",H733*K733),"as per slab")</f>
        <v/>
      </c>
    </row>
    <row r="734">
      <c r="A734" s="7" t="n"/>
      <c r="B734" s="7" t="n"/>
      <c r="C734" s="8" t="n"/>
      <c r="D734" s="9" t="n"/>
      <c r="E734" s="8" t="n"/>
      <c r="F734" s="9" t="n"/>
      <c r="G734" s="9" t="n"/>
      <c r="H734" s="3">
        <f>IF(AND(D734&lt;&gt;"",F734&lt;&gt;""),F734-D734-G734,"")</f>
        <v/>
      </c>
      <c r="I734" s="14">
        <f>IF(E734&lt;&gt;"", YEARFRAC(C734, E734) * 12, "")</f>
        <v/>
      </c>
      <c r="J734" s="2">
        <f>IF(I734="", "", IF(OR(AND(A734="Listed Equity Shares", I734&gt;12), AND(A734="Unlisted Equity Shares", I734&gt;24)), "Long Term", "Short Term"))</f>
        <v/>
      </c>
      <c r="K734" s="5">
        <f>IF(J734="", "", IF(J734="Long Term", 12.5%,"as per slab"))</f>
        <v/>
      </c>
      <c r="L734" s="3">
        <f>+IFERROR(IF(J734="","",H734*K734),"as per slab")</f>
        <v/>
      </c>
    </row>
    <row r="735">
      <c r="A735" s="7" t="n"/>
      <c r="B735" s="7" t="n"/>
      <c r="C735" s="8" t="n"/>
      <c r="D735" s="9" t="n"/>
      <c r="E735" s="8" t="n"/>
      <c r="F735" s="9" t="n"/>
      <c r="G735" s="9" t="n"/>
      <c r="H735" s="3">
        <f>IF(AND(D735&lt;&gt;"",F735&lt;&gt;""),F735-D735-G735,"")</f>
        <v/>
      </c>
      <c r="I735" s="14">
        <f>IF(E735&lt;&gt;"", YEARFRAC(C735, E735) * 12, "")</f>
        <v/>
      </c>
      <c r="J735" s="2">
        <f>IF(I735="", "", IF(OR(AND(A735="Listed Equity Shares", I735&gt;12), AND(A735="Unlisted Equity Shares", I735&gt;24)), "Long Term", "Short Term"))</f>
        <v/>
      </c>
      <c r="K735" s="5">
        <f>IF(J735="", "", IF(J735="Long Term", 12.5%,"as per slab"))</f>
        <v/>
      </c>
      <c r="L735" s="3">
        <f>+IFERROR(IF(J735="","",H735*K735),"as per slab")</f>
        <v/>
      </c>
    </row>
    <row r="736">
      <c r="A736" s="7" t="n"/>
      <c r="B736" s="7" t="n"/>
      <c r="C736" s="8" t="n"/>
      <c r="D736" s="9" t="n"/>
      <c r="E736" s="8" t="n"/>
      <c r="F736" s="9" t="n"/>
      <c r="G736" s="9" t="n"/>
      <c r="H736" s="3">
        <f>IF(AND(D736&lt;&gt;"",F736&lt;&gt;""),F736-D736-G736,"")</f>
        <v/>
      </c>
      <c r="I736" s="14">
        <f>IF(E736&lt;&gt;"", YEARFRAC(C736, E736) * 12, "")</f>
        <v/>
      </c>
      <c r="J736" s="2">
        <f>IF(I736="", "", IF(OR(AND(A736="Listed Equity Shares", I736&gt;12), AND(A736="Unlisted Equity Shares", I736&gt;24)), "Long Term", "Short Term"))</f>
        <v/>
      </c>
      <c r="K736" s="5">
        <f>IF(J736="", "", IF(J736="Long Term", 12.5%,"as per slab"))</f>
        <v/>
      </c>
      <c r="L736" s="3">
        <f>+IFERROR(IF(J736="","",H736*K736),"as per slab")</f>
        <v/>
      </c>
    </row>
    <row r="737">
      <c r="A737" s="7" t="n"/>
      <c r="B737" s="7" t="n"/>
      <c r="C737" s="8" t="n"/>
      <c r="D737" s="9" t="n"/>
      <c r="E737" s="8" t="n"/>
      <c r="F737" s="9" t="n"/>
      <c r="G737" s="9" t="n"/>
      <c r="H737" s="3">
        <f>IF(AND(D737&lt;&gt;"",F737&lt;&gt;""),F737-D737-G737,"")</f>
        <v/>
      </c>
      <c r="I737" s="14">
        <f>IF(E737&lt;&gt;"", YEARFRAC(C737, E737) * 12, "")</f>
        <v/>
      </c>
      <c r="J737" s="2">
        <f>IF(I737="", "", IF(OR(AND(A737="Listed Equity Shares", I737&gt;12), AND(A737="Unlisted Equity Shares", I737&gt;24)), "Long Term", "Short Term"))</f>
        <v/>
      </c>
      <c r="K737" s="5">
        <f>IF(J737="", "", IF(J737="Long Term", 12.5%,"as per slab"))</f>
        <v/>
      </c>
      <c r="L737" s="3">
        <f>+IFERROR(IF(J737="","",H737*K737),"as per slab")</f>
        <v/>
      </c>
    </row>
    <row r="738">
      <c r="A738" s="7" t="n"/>
      <c r="B738" s="7" t="n"/>
      <c r="C738" s="8" t="n"/>
      <c r="D738" s="9" t="n"/>
      <c r="E738" s="8" t="n"/>
      <c r="F738" s="9" t="n"/>
      <c r="G738" s="9" t="n"/>
      <c r="H738" s="3">
        <f>IF(AND(D738&lt;&gt;"",F738&lt;&gt;""),F738-D738-G738,"")</f>
        <v/>
      </c>
      <c r="I738" s="14">
        <f>IF(E738&lt;&gt;"", YEARFRAC(C738, E738) * 12, "")</f>
        <v/>
      </c>
      <c r="J738" s="2">
        <f>IF(I738="", "", IF(OR(AND(A738="Listed Equity Shares", I738&gt;12), AND(A738="Unlisted Equity Shares", I738&gt;24)), "Long Term", "Short Term"))</f>
        <v/>
      </c>
      <c r="K738" s="5">
        <f>IF(J738="", "", IF(J738="Long Term", 12.5%,"as per slab"))</f>
        <v/>
      </c>
      <c r="L738" s="3">
        <f>+IFERROR(IF(J738="","",H738*K738),"as per slab")</f>
        <v/>
      </c>
    </row>
    <row r="739">
      <c r="A739" s="7" t="n"/>
      <c r="B739" s="7" t="n"/>
      <c r="C739" s="8" t="n"/>
      <c r="D739" s="9" t="n"/>
      <c r="E739" s="8" t="n"/>
      <c r="F739" s="9" t="n"/>
      <c r="G739" s="9" t="n"/>
      <c r="H739" s="3">
        <f>IF(AND(D739&lt;&gt;"",F739&lt;&gt;""),F739-D739-G739,"")</f>
        <v/>
      </c>
      <c r="I739" s="14">
        <f>IF(E739&lt;&gt;"", YEARFRAC(C739, E739) * 12, "")</f>
        <v/>
      </c>
      <c r="J739" s="2">
        <f>IF(I739="", "", IF(OR(AND(A739="Listed Equity Shares", I739&gt;12), AND(A739="Unlisted Equity Shares", I739&gt;24)), "Long Term", "Short Term"))</f>
        <v/>
      </c>
      <c r="K739" s="5">
        <f>IF(J739="", "", IF(J739="Long Term", 12.5%,"as per slab"))</f>
        <v/>
      </c>
      <c r="L739" s="3">
        <f>+IFERROR(IF(J739="","",H739*K739),"as per slab")</f>
        <v/>
      </c>
    </row>
    <row r="740">
      <c r="A740" s="7" t="n"/>
      <c r="B740" s="7" t="n"/>
      <c r="C740" s="8" t="n"/>
      <c r="D740" s="9" t="n"/>
      <c r="E740" s="8" t="n"/>
      <c r="F740" s="9" t="n"/>
      <c r="G740" s="9" t="n"/>
      <c r="H740" s="3">
        <f>IF(AND(D740&lt;&gt;"",F740&lt;&gt;""),F740-D740-G740,"")</f>
        <v/>
      </c>
      <c r="I740" s="14">
        <f>IF(E740&lt;&gt;"", YEARFRAC(C740, E740) * 12, "")</f>
        <v/>
      </c>
      <c r="J740" s="2">
        <f>IF(I740="", "", IF(OR(AND(A740="Listed Equity Shares", I740&gt;12), AND(A740="Unlisted Equity Shares", I740&gt;24)), "Long Term", "Short Term"))</f>
        <v/>
      </c>
      <c r="K740" s="5">
        <f>IF(J740="", "", IF(J740="Long Term", 12.5%,"as per slab"))</f>
        <v/>
      </c>
      <c r="L740" s="3">
        <f>+IFERROR(IF(J740="","",H740*K740),"as per slab")</f>
        <v/>
      </c>
    </row>
    <row r="741">
      <c r="A741" s="7" t="n"/>
      <c r="B741" s="7" t="n"/>
      <c r="C741" s="8" t="n"/>
      <c r="D741" s="9" t="n"/>
      <c r="E741" s="8" t="n"/>
      <c r="F741" s="9" t="n"/>
      <c r="G741" s="9" t="n"/>
      <c r="H741" s="3">
        <f>IF(AND(D741&lt;&gt;"",F741&lt;&gt;""),F741-D741-G741,"")</f>
        <v/>
      </c>
      <c r="I741" s="14">
        <f>IF(E741&lt;&gt;"", YEARFRAC(C741, E741) * 12, "")</f>
        <v/>
      </c>
      <c r="J741" s="2">
        <f>IF(I741="", "", IF(OR(AND(A741="Listed Equity Shares", I741&gt;12), AND(A741="Unlisted Equity Shares", I741&gt;24)), "Long Term", "Short Term"))</f>
        <v/>
      </c>
      <c r="K741" s="5">
        <f>IF(J741="", "", IF(J741="Long Term", 12.5%,"as per slab"))</f>
        <v/>
      </c>
      <c r="L741" s="3">
        <f>+IFERROR(IF(J741="","",H741*K741),"as per slab")</f>
        <v/>
      </c>
    </row>
    <row r="742">
      <c r="A742" s="7" t="n"/>
      <c r="B742" s="7" t="n"/>
      <c r="C742" s="8" t="n"/>
      <c r="D742" s="9" t="n"/>
      <c r="E742" s="8" t="n"/>
      <c r="F742" s="9" t="n"/>
      <c r="G742" s="9" t="n"/>
      <c r="H742" s="3">
        <f>IF(AND(D742&lt;&gt;"",F742&lt;&gt;""),F742-D742-G742,"")</f>
        <v/>
      </c>
      <c r="I742" s="14">
        <f>IF(E742&lt;&gt;"", YEARFRAC(C742, E742) * 12, "")</f>
        <v/>
      </c>
      <c r="J742" s="2">
        <f>IF(I742="", "", IF(OR(AND(A742="Listed Equity Shares", I742&gt;12), AND(A742="Unlisted Equity Shares", I742&gt;24)), "Long Term", "Short Term"))</f>
        <v/>
      </c>
      <c r="K742" s="5">
        <f>IF(J742="", "", IF(J742="Long Term", 12.5%,"as per slab"))</f>
        <v/>
      </c>
      <c r="L742" s="3">
        <f>+IFERROR(IF(J742="","",H742*K742),"as per slab")</f>
        <v/>
      </c>
    </row>
    <row r="743">
      <c r="A743" s="7" t="n"/>
      <c r="B743" s="7" t="n"/>
      <c r="C743" s="8" t="n"/>
      <c r="D743" s="9" t="n"/>
      <c r="E743" s="8" t="n"/>
      <c r="F743" s="9" t="n"/>
      <c r="G743" s="9" t="n"/>
      <c r="H743" s="3">
        <f>IF(AND(D743&lt;&gt;"",F743&lt;&gt;""),F743-D743-G743,"")</f>
        <v/>
      </c>
      <c r="I743" s="14">
        <f>IF(E743&lt;&gt;"", YEARFRAC(C743, E743) * 12, "")</f>
        <v/>
      </c>
      <c r="J743" s="2">
        <f>IF(I743="", "", IF(OR(AND(A743="Listed Equity Shares", I743&gt;12), AND(A743="Unlisted Equity Shares", I743&gt;24)), "Long Term", "Short Term"))</f>
        <v/>
      </c>
      <c r="K743" s="5">
        <f>IF(J743="", "", IF(J743="Long Term", 12.5%,"as per slab"))</f>
        <v/>
      </c>
      <c r="L743" s="3">
        <f>+IFERROR(IF(J743="","",H743*K743),"as per slab")</f>
        <v/>
      </c>
    </row>
    <row r="744">
      <c r="A744" s="7" t="n"/>
      <c r="B744" s="7" t="n"/>
      <c r="C744" s="8" t="n"/>
      <c r="D744" s="9" t="n"/>
      <c r="E744" s="8" t="n"/>
      <c r="F744" s="9" t="n"/>
      <c r="G744" s="9" t="n"/>
      <c r="H744" s="3">
        <f>IF(AND(D744&lt;&gt;"",F744&lt;&gt;""),F744-D744-G744,"")</f>
        <v/>
      </c>
      <c r="I744" s="14">
        <f>IF(E744&lt;&gt;"", YEARFRAC(C744, E744) * 12, "")</f>
        <v/>
      </c>
      <c r="J744" s="2">
        <f>IF(I744="", "", IF(OR(AND(A744="Listed Equity Shares", I744&gt;12), AND(A744="Unlisted Equity Shares", I744&gt;24)), "Long Term", "Short Term"))</f>
        <v/>
      </c>
      <c r="K744" s="5">
        <f>IF(J744="", "", IF(J744="Long Term", 12.5%,"as per slab"))</f>
        <v/>
      </c>
      <c r="L744" s="3">
        <f>+IFERROR(IF(J744="","",H744*K744),"as per slab")</f>
        <v/>
      </c>
    </row>
    <row r="745">
      <c r="A745" s="7" t="n"/>
      <c r="B745" s="7" t="n"/>
      <c r="C745" s="8" t="n"/>
      <c r="D745" s="9" t="n"/>
      <c r="E745" s="8" t="n"/>
      <c r="F745" s="9" t="n"/>
      <c r="G745" s="9" t="n"/>
      <c r="H745" s="3">
        <f>IF(AND(D745&lt;&gt;"",F745&lt;&gt;""),F745-D745-G745,"")</f>
        <v/>
      </c>
      <c r="I745" s="14">
        <f>IF(E745&lt;&gt;"", YEARFRAC(C745, E745) * 12, "")</f>
        <v/>
      </c>
      <c r="J745" s="2">
        <f>IF(I745="", "", IF(OR(AND(A745="Listed Equity Shares", I745&gt;12), AND(A745="Unlisted Equity Shares", I745&gt;24)), "Long Term", "Short Term"))</f>
        <v/>
      </c>
      <c r="K745" s="5">
        <f>IF(J745="", "", IF(J745="Long Term", 12.5%,"as per slab"))</f>
        <v/>
      </c>
      <c r="L745" s="3">
        <f>+IFERROR(IF(J745="","",H745*K745),"as per slab")</f>
        <v/>
      </c>
    </row>
    <row r="746">
      <c r="A746" s="7" t="n"/>
      <c r="B746" s="7" t="n"/>
      <c r="C746" s="8" t="n"/>
      <c r="D746" s="9" t="n"/>
      <c r="E746" s="8" t="n"/>
      <c r="F746" s="9" t="n"/>
      <c r="G746" s="9" t="n"/>
      <c r="H746" s="3">
        <f>IF(AND(D746&lt;&gt;"",F746&lt;&gt;""),F746-D746-G746,"")</f>
        <v/>
      </c>
      <c r="I746" s="14">
        <f>IF(E746&lt;&gt;"", YEARFRAC(C746, E746) * 12, "")</f>
        <v/>
      </c>
      <c r="J746" s="2">
        <f>IF(I746="", "", IF(OR(AND(A746="Listed Equity Shares", I746&gt;12), AND(A746="Unlisted Equity Shares", I746&gt;24)), "Long Term", "Short Term"))</f>
        <v/>
      </c>
      <c r="K746" s="5">
        <f>IF(J746="", "", IF(J746="Long Term", 12.5%,"as per slab"))</f>
        <v/>
      </c>
      <c r="L746" s="3">
        <f>+IFERROR(IF(J746="","",H746*K746),"as per slab")</f>
        <v/>
      </c>
    </row>
    <row r="747">
      <c r="A747" s="7" t="n"/>
      <c r="B747" s="7" t="n"/>
      <c r="C747" s="8" t="n"/>
      <c r="D747" s="9" t="n"/>
      <c r="E747" s="8" t="n"/>
      <c r="F747" s="9" t="n"/>
      <c r="G747" s="9" t="n"/>
      <c r="H747" s="3">
        <f>IF(AND(D747&lt;&gt;"",F747&lt;&gt;""),F747-D747-G747,"")</f>
        <v/>
      </c>
      <c r="I747" s="14">
        <f>IF(E747&lt;&gt;"", YEARFRAC(C747, E747) * 12, "")</f>
        <v/>
      </c>
      <c r="J747" s="2">
        <f>IF(I747="", "", IF(OR(AND(A747="Listed Equity Shares", I747&gt;12), AND(A747="Unlisted Equity Shares", I747&gt;24)), "Long Term", "Short Term"))</f>
        <v/>
      </c>
      <c r="K747" s="5">
        <f>IF(J747="", "", IF(J747="Long Term", 12.5%,"as per slab"))</f>
        <v/>
      </c>
      <c r="L747" s="3">
        <f>+IFERROR(IF(J747="","",H747*K747),"as per slab")</f>
        <v/>
      </c>
    </row>
    <row r="748">
      <c r="A748" s="7" t="n"/>
      <c r="B748" s="7" t="n"/>
      <c r="C748" s="8" t="n"/>
      <c r="D748" s="9" t="n"/>
      <c r="E748" s="8" t="n"/>
      <c r="F748" s="9" t="n"/>
      <c r="G748" s="9" t="n"/>
      <c r="H748" s="3">
        <f>IF(AND(D748&lt;&gt;"",F748&lt;&gt;""),F748-D748-G748,"")</f>
        <v/>
      </c>
      <c r="I748" s="14">
        <f>IF(E748&lt;&gt;"", YEARFRAC(C748, E748) * 12, "")</f>
        <v/>
      </c>
      <c r="J748" s="2">
        <f>IF(I748="", "", IF(OR(AND(A748="Listed Equity Shares", I748&gt;12), AND(A748="Unlisted Equity Shares", I748&gt;24)), "Long Term", "Short Term"))</f>
        <v/>
      </c>
      <c r="K748" s="5">
        <f>IF(J748="", "", IF(J748="Long Term", 12.5%,"as per slab"))</f>
        <v/>
      </c>
      <c r="L748" s="3">
        <f>+IFERROR(IF(J748="","",H748*K748),"as per slab")</f>
        <v/>
      </c>
    </row>
    <row r="749">
      <c r="A749" s="7" t="n"/>
      <c r="B749" s="7" t="n"/>
      <c r="C749" s="8" t="n"/>
      <c r="D749" s="9" t="n"/>
      <c r="E749" s="8" t="n"/>
      <c r="F749" s="9" t="n"/>
      <c r="G749" s="9" t="n"/>
      <c r="H749" s="3">
        <f>IF(AND(D749&lt;&gt;"",F749&lt;&gt;""),F749-D749-G749,"")</f>
        <v/>
      </c>
      <c r="I749" s="14">
        <f>IF(E749&lt;&gt;"", YEARFRAC(C749, E749) * 12, "")</f>
        <v/>
      </c>
      <c r="J749" s="2">
        <f>IF(I749="", "", IF(OR(AND(A749="Listed Equity Shares", I749&gt;12), AND(A749="Unlisted Equity Shares", I749&gt;24)), "Long Term", "Short Term"))</f>
        <v/>
      </c>
      <c r="K749" s="5">
        <f>IF(J749="", "", IF(J749="Long Term", 12.5%,"as per slab"))</f>
        <v/>
      </c>
      <c r="L749" s="3">
        <f>+IFERROR(IF(J749="","",H749*K749),"as per slab")</f>
        <v/>
      </c>
    </row>
    <row r="750">
      <c r="A750" s="7" t="n"/>
      <c r="B750" s="7" t="n"/>
      <c r="C750" s="8" t="n"/>
      <c r="D750" s="9" t="n"/>
      <c r="E750" s="8" t="n"/>
      <c r="F750" s="9" t="n"/>
      <c r="G750" s="9" t="n"/>
      <c r="H750" s="3">
        <f>IF(AND(D750&lt;&gt;"",F750&lt;&gt;""),F750-D750-G750,"")</f>
        <v/>
      </c>
      <c r="I750" s="14">
        <f>IF(E750&lt;&gt;"", YEARFRAC(C750, E750) * 12, "")</f>
        <v/>
      </c>
      <c r="J750" s="2">
        <f>IF(I750="", "", IF(OR(AND(A750="Listed Equity Shares", I750&gt;12), AND(A750="Unlisted Equity Shares", I750&gt;24)), "Long Term", "Short Term"))</f>
        <v/>
      </c>
      <c r="K750" s="5">
        <f>IF(J750="", "", IF(J750="Long Term", 12.5%,"as per slab"))</f>
        <v/>
      </c>
      <c r="L750" s="3">
        <f>+IFERROR(IF(J750="","",H750*K750),"as per slab")</f>
        <v/>
      </c>
    </row>
    <row r="751">
      <c r="A751" s="7" t="n"/>
      <c r="B751" s="7" t="n"/>
      <c r="C751" s="8" t="n"/>
      <c r="D751" s="9" t="n"/>
      <c r="E751" s="8" t="n"/>
      <c r="F751" s="9" t="n"/>
      <c r="G751" s="9" t="n"/>
      <c r="H751" s="3">
        <f>IF(AND(D751&lt;&gt;"",F751&lt;&gt;""),F751-D751-G751,"")</f>
        <v/>
      </c>
      <c r="I751" s="14">
        <f>IF(E751&lt;&gt;"", YEARFRAC(C751, E751) * 12, "")</f>
        <v/>
      </c>
      <c r="J751" s="2">
        <f>IF(I751="", "", IF(OR(AND(A751="Listed Equity Shares", I751&gt;12), AND(A751="Unlisted Equity Shares", I751&gt;24)), "Long Term", "Short Term"))</f>
        <v/>
      </c>
      <c r="K751" s="5">
        <f>IF(J751="", "", IF(J751="Long Term", 12.5%,"as per slab"))</f>
        <v/>
      </c>
      <c r="L751" s="3">
        <f>+IFERROR(IF(J751="","",H751*K751),"as per slab")</f>
        <v/>
      </c>
    </row>
    <row r="752">
      <c r="A752" s="7" t="n"/>
      <c r="B752" s="7" t="n"/>
      <c r="C752" s="8" t="n"/>
      <c r="D752" s="9" t="n"/>
      <c r="E752" s="8" t="n"/>
      <c r="F752" s="9" t="n"/>
      <c r="G752" s="9" t="n"/>
      <c r="H752" s="3">
        <f>IF(AND(D752&lt;&gt;"",F752&lt;&gt;""),F752-D752-G752,"")</f>
        <v/>
      </c>
      <c r="I752" s="14">
        <f>IF(E752&lt;&gt;"", YEARFRAC(C752, E752) * 12, "")</f>
        <v/>
      </c>
      <c r="J752" s="2">
        <f>IF(I752="", "", IF(OR(AND(A752="Listed Equity Shares", I752&gt;12), AND(A752="Unlisted Equity Shares", I752&gt;24)), "Long Term", "Short Term"))</f>
        <v/>
      </c>
      <c r="K752" s="5">
        <f>IF(J752="", "", IF(J752="Long Term", 12.5%,"as per slab"))</f>
        <v/>
      </c>
      <c r="L752" s="3">
        <f>+IFERROR(IF(J752="","",H752*K752),"as per slab")</f>
        <v/>
      </c>
    </row>
    <row r="753">
      <c r="A753" s="7" t="n"/>
      <c r="B753" s="7" t="n"/>
      <c r="C753" s="8" t="n"/>
      <c r="D753" s="9" t="n"/>
      <c r="E753" s="8" t="n"/>
      <c r="F753" s="9" t="n"/>
      <c r="G753" s="9" t="n"/>
      <c r="H753" s="3">
        <f>IF(AND(D753&lt;&gt;"",F753&lt;&gt;""),F753-D753-G753,"")</f>
        <v/>
      </c>
      <c r="I753" s="14">
        <f>IF(E753&lt;&gt;"", YEARFRAC(C753, E753) * 12, "")</f>
        <v/>
      </c>
      <c r="J753" s="2">
        <f>IF(I753="", "", IF(OR(AND(A753="Listed Equity Shares", I753&gt;12), AND(A753="Unlisted Equity Shares", I753&gt;24)), "Long Term", "Short Term"))</f>
        <v/>
      </c>
      <c r="K753" s="5">
        <f>IF(J753="", "", IF(J753="Long Term", 12.5%,"as per slab"))</f>
        <v/>
      </c>
      <c r="L753" s="3">
        <f>+IFERROR(IF(J753="","",H753*K753),"as per slab")</f>
        <v/>
      </c>
    </row>
    <row r="754">
      <c r="A754" s="7" t="n"/>
      <c r="B754" s="7" t="n"/>
      <c r="C754" s="8" t="n"/>
      <c r="D754" s="9" t="n"/>
      <c r="E754" s="8" t="n"/>
      <c r="F754" s="9" t="n"/>
      <c r="G754" s="9" t="n"/>
      <c r="H754" s="3">
        <f>IF(AND(D754&lt;&gt;"",F754&lt;&gt;""),F754-D754-G754,"")</f>
        <v/>
      </c>
      <c r="I754" s="14">
        <f>IF(E754&lt;&gt;"", YEARFRAC(C754, E754) * 12, "")</f>
        <v/>
      </c>
      <c r="J754" s="2">
        <f>IF(I754="", "", IF(OR(AND(A754="Listed Equity Shares", I754&gt;12), AND(A754="Unlisted Equity Shares", I754&gt;24)), "Long Term", "Short Term"))</f>
        <v/>
      </c>
      <c r="K754" s="5">
        <f>IF(J754="", "", IF(J754="Long Term", 12.5%,"as per slab"))</f>
        <v/>
      </c>
      <c r="L754" s="3">
        <f>+IFERROR(IF(J754="","",H754*K754),"as per slab")</f>
        <v/>
      </c>
    </row>
    <row r="755">
      <c r="A755" s="7" t="n"/>
      <c r="B755" s="7" t="n"/>
      <c r="C755" s="8" t="n"/>
      <c r="D755" s="9" t="n"/>
      <c r="E755" s="8" t="n"/>
      <c r="F755" s="9" t="n"/>
      <c r="G755" s="9" t="n"/>
      <c r="H755" s="3">
        <f>IF(AND(D755&lt;&gt;"",F755&lt;&gt;""),F755-D755-G755,"")</f>
        <v/>
      </c>
      <c r="I755" s="14">
        <f>IF(E755&lt;&gt;"", YEARFRAC(C755, E755) * 12, "")</f>
        <v/>
      </c>
      <c r="J755" s="2">
        <f>IF(I755="", "", IF(OR(AND(A755="Listed Equity Shares", I755&gt;12), AND(A755="Unlisted Equity Shares", I755&gt;24)), "Long Term", "Short Term"))</f>
        <v/>
      </c>
      <c r="K755" s="5">
        <f>IF(J755="", "", IF(J755="Long Term", 12.5%,"as per slab"))</f>
        <v/>
      </c>
      <c r="L755" s="3">
        <f>+IFERROR(IF(J755="","",H755*K755),"as per slab")</f>
        <v/>
      </c>
    </row>
    <row r="756">
      <c r="A756" s="7" t="n"/>
      <c r="B756" s="7" t="n"/>
      <c r="C756" s="8" t="n"/>
      <c r="D756" s="9" t="n"/>
      <c r="E756" s="8" t="n"/>
      <c r="F756" s="9" t="n"/>
      <c r="G756" s="9" t="n"/>
      <c r="H756" s="3">
        <f>IF(AND(D756&lt;&gt;"",F756&lt;&gt;""),F756-D756-G756,"")</f>
        <v/>
      </c>
      <c r="I756" s="14">
        <f>IF(E756&lt;&gt;"", YEARFRAC(C756, E756) * 12, "")</f>
        <v/>
      </c>
      <c r="J756" s="2">
        <f>IF(I756="", "", IF(OR(AND(A756="Listed Equity Shares", I756&gt;12), AND(A756="Unlisted Equity Shares", I756&gt;24)), "Long Term", "Short Term"))</f>
        <v/>
      </c>
      <c r="K756" s="5">
        <f>IF(J756="", "", IF(J756="Long Term", 12.5%,"as per slab"))</f>
        <v/>
      </c>
      <c r="L756" s="3">
        <f>+IFERROR(IF(J756="","",H756*K756),"as per slab")</f>
        <v/>
      </c>
    </row>
    <row r="757">
      <c r="A757" s="7" t="n"/>
      <c r="B757" s="7" t="n"/>
      <c r="C757" s="8" t="n"/>
      <c r="D757" s="9" t="n"/>
      <c r="E757" s="8" t="n"/>
      <c r="F757" s="9" t="n"/>
      <c r="G757" s="9" t="n"/>
      <c r="H757" s="3">
        <f>IF(AND(D757&lt;&gt;"",F757&lt;&gt;""),F757-D757-G757,"")</f>
        <v/>
      </c>
      <c r="I757" s="14">
        <f>IF(E757&lt;&gt;"", YEARFRAC(C757, E757) * 12, "")</f>
        <v/>
      </c>
      <c r="J757" s="2">
        <f>IF(I757="", "", IF(OR(AND(A757="Listed Equity Shares", I757&gt;12), AND(A757="Unlisted Equity Shares", I757&gt;24)), "Long Term", "Short Term"))</f>
        <v/>
      </c>
      <c r="K757" s="5">
        <f>IF(J757="", "", IF(J757="Long Term", 12.5%,"as per slab"))</f>
        <v/>
      </c>
      <c r="L757" s="3">
        <f>+IFERROR(IF(J757="","",H757*K757),"as per slab")</f>
        <v/>
      </c>
    </row>
    <row r="758">
      <c r="A758" s="7" t="n"/>
      <c r="B758" s="7" t="n"/>
      <c r="C758" s="8" t="n"/>
      <c r="D758" s="9" t="n"/>
      <c r="E758" s="8" t="n"/>
      <c r="F758" s="9" t="n"/>
      <c r="G758" s="9" t="n"/>
      <c r="H758" s="3">
        <f>IF(AND(D758&lt;&gt;"",F758&lt;&gt;""),F758-D758-G758,"")</f>
        <v/>
      </c>
      <c r="I758" s="14">
        <f>IF(E758&lt;&gt;"", YEARFRAC(C758, E758) * 12, "")</f>
        <v/>
      </c>
      <c r="J758" s="2">
        <f>IF(I758="", "", IF(OR(AND(A758="Listed Equity Shares", I758&gt;12), AND(A758="Unlisted Equity Shares", I758&gt;24)), "Long Term", "Short Term"))</f>
        <v/>
      </c>
      <c r="K758" s="5">
        <f>IF(J758="", "", IF(J758="Long Term", 12.5%,"as per slab"))</f>
        <v/>
      </c>
      <c r="L758" s="3">
        <f>+IFERROR(IF(J758="","",H758*K758),"as per slab")</f>
        <v/>
      </c>
    </row>
    <row r="759">
      <c r="A759" s="7" t="n"/>
      <c r="B759" s="7" t="n"/>
      <c r="C759" s="8" t="n"/>
      <c r="D759" s="9" t="n"/>
      <c r="E759" s="8" t="n"/>
      <c r="F759" s="9" t="n"/>
      <c r="G759" s="9" t="n"/>
      <c r="H759" s="3">
        <f>IF(AND(D759&lt;&gt;"",F759&lt;&gt;""),F759-D759-G759,"")</f>
        <v/>
      </c>
      <c r="I759" s="14">
        <f>IF(E759&lt;&gt;"", YEARFRAC(C759, E759) * 12, "")</f>
        <v/>
      </c>
      <c r="J759" s="2">
        <f>IF(I759="", "", IF(OR(AND(A759="Listed Equity Shares", I759&gt;12), AND(A759="Unlisted Equity Shares", I759&gt;24)), "Long Term", "Short Term"))</f>
        <v/>
      </c>
      <c r="K759" s="5">
        <f>IF(J759="", "", IF(J759="Long Term", 12.5%,"as per slab"))</f>
        <v/>
      </c>
      <c r="L759" s="3">
        <f>+IFERROR(IF(J759="","",H759*K759),"as per slab")</f>
        <v/>
      </c>
    </row>
    <row r="760">
      <c r="A760" s="7" t="n"/>
      <c r="B760" s="7" t="n"/>
      <c r="C760" s="8" t="n"/>
      <c r="D760" s="9" t="n"/>
      <c r="E760" s="8" t="n"/>
      <c r="F760" s="9" t="n"/>
      <c r="G760" s="9" t="n"/>
      <c r="H760" s="3">
        <f>IF(AND(D760&lt;&gt;"",F760&lt;&gt;""),F760-D760-G760,"")</f>
        <v/>
      </c>
      <c r="I760" s="14">
        <f>IF(E760&lt;&gt;"", YEARFRAC(C760, E760) * 12, "")</f>
        <v/>
      </c>
      <c r="J760" s="2">
        <f>IF(I760="", "", IF(OR(AND(A760="Listed Equity Shares", I760&gt;12), AND(A760="Unlisted Equity Shares", I760&gt;24)), "Long Term", "Short Term"))</f>
        <v/>
      </c>
      <c r="K760" s="5">
        <f>IF(J760="", "", IF(J760="Long Term", 12.5%,"as per slab"))</f>
        <v/>
      </c>
      <c r="L760" s="3">
        <f>+IFERROR(IF(J760="","",H760*K760),"as per slab")</f>
        <v/>
      </c>
    </row>
    <row r="761">
      <c r="A761" s="7" t="n"/>
      <c r="B761" s="7" t="n"/>
      <c r="C761" s="8" t="n"/>
      <c r="D761" s="9" t="n"/>
      <c r="E761" s="8" t="n"/>
      <c r="F761" s="9" t="n"/>
      <c r="G761" s="9" t="n"/>
      <c r="H761" s="3">
        <f>IF(AND(D761&lt;&gt;"",F761&lt;&gt;""),F761-D761-G761,"")</f>
        <v/>
      </c>
      <c r="I761" s="14">
        <f>IF(E761&lt;&gt;"", YEARFRAC(C761, E761) * 12, "")</f>
        <v/>
      </c>
      <c r="J761" s="2">
        <f>IF(I761="", "", IF(OR(AND(A761="Listed Equity Shares", I761&gt;12), AND(A761="Unlisted Equity Shares", I761&gt;24)), "Long Term", "Short Term"))</f>
        <v/>
      </c>
      <c r="K761" s="5">
        <f>IF(J761="", "", IF(J761="Long Term", 12.5%,"as per slab"))</f>
        <v/>
      </c>
      <c r="L761" s="3">
        <f>+IFERROR(IF(J761="","",H761*K761),"as per slab")</f>
        <v/>
      </c>
    </row>
    <row r="762">
      <c r="A762" s="7" t="n"/>
      <c r="B762" s="7" t="n"/>
      <c r="C762" s="8" t="n"/>
      <c r="D762" s="9" t="n"/>
      <c r="E762" s="8" t="n"/>
      <c r="F762" s="9" t="n"/>
      <c r="G762" s="9" t="n"/>
      <c r="H762" s="3">
        <f>IF(AND(D762&lt;&gt;"",F762&lt;&gt;""),F762-D762-G762,"")</f>
        <v/>
      </c>
      <c r="I762" s="14">
        <f>IF(E762&lt;&gt;"", YEARFRAC(C762, E762) * 12, "")</f>
        <v/>
      </c>
      <c r="J762" s="2">
        <f>IF(I762="", "", IF(OR(AND(A762="Listed Equity Shares", I762&gt;12), AND(A762="Unlisted Equity Shares", I762&gt;24)), "Long Term", "Short Term"))</f>
        <v/>
      </c>
      <c r="K762" s="5">
        <f>IF(J762="", "", IF(J762="Long Term", 12.5%,"as per slab"))</f>
        <v/>
      </c>
      <c r="L762" s="3">
        <f>+IFERROR(IF(J762="","",H762*K762),"as per slab")</f>
        <v/>
      </c>
    </row>
    <row r="763">
      <c r="A763" s="7" t="n"/>
      <c r="B763" s="7" t="n"/>
      <c r="C763" s="8" t="n"/>
      <c r="D763" s="9" t="n"/>
      <c r="E763" s="8" t="n"/>
      <c r="F763" s="9" t="n"/>
      <c r="G763" s="9" t="n"/>
      <c r="H763" s="3">
        <f>IF(AND(D763&lt;&gt;"",F763&lt;&gt;""),F763-D763-G763,"")</f>
        <v/>
      </c>
      <c r="I763" s="14">
        <f>IF(E763&lt;&gt;"", YEARFRAC(C763, E763) * 12, "")</f>
        <v/>
      </c>
      <c r="J763" s="2">
        <f>IF(I763="", "", IF(OR(AND(A763="Listed Equity Shares", I763&gt;12), AND(A763="Unlisted Equity Shares", I763&gt;24)), "Long Term", "Short Term"))</f>
        <v/>
      </c>
      <c r="K763" s="5">
        <f>IF(J763="", "", IF(J763="Long Term", 12.5%,"as per slab"))</f>
        <v/>
      </c>
      <c r="L763" s="3">
        <f>+IFERROR(IF(J763="","",H763*K763),"as per slab")</f>
        <v/>
      </c>
    </row>
    <row r="764">
      <c r="A764" s="7" t="n"/>
      <c r="B764" s="7" t="n"/>
      <c r="C764" s="8" t="n"/>
      <c r="D764" s="9" t="n"/>
      <c r="E764" s="8" t="n"/>
      <c r="F764" s="9" t="n"/>
      <c r="G764" s="9" t="n"/>
      <c r="H764" s="3">
        <f>IF(AND(D764&lt;&gt;"",F764&lt;&gt;""),F764-D764-G764,"")</f>
        <v/>
      </c>
      <c r="I764" s="14">
        <f>IF(E764&lt;&gt;"", YEARFRAC(C764, E764) * 12, "")</f>
        <v/>
      </c>
      <c r="J764" s="2">
        <f>IF(I764="", "", IF(OR(AND(A764="Listed Equity Shares", I764&gt;12), AND(A764="Unlisted Equity Shares", I764&gt;24)), "Long Term", "Short Term"))</f>
        <v/>
      </c>
      <c r="K764" s="5">
        <f>IF(J764="", "", IF(J764="Long Term", 12.5%,"as per slab"))</f>
        <v/>
      </c>
      <c r="L764" s="3">
        <f>+IFERROR(IF(J764="","",H764*K764),"as per slab")</f>
        <v/>
      </c>
    </row>
    <row r="765">
      <c r="A765" s="7" t="n"/>
      <c r="B765" s="7" t="n"/>
      <c r="C765" s="8" t="n"/>
      <c r="D765" s="9" t="n"/>
      <c r="E765" s="8" t="n"/>
      <c r="F765" s="9" t="n"/>
      <c r="G765" s="9" t="n"/>
      <c r="H765" s="3">
        <f>IF(AND(D765&lt;&gt;"",F765&lt;&gt;""),F765-D765-G765,"")</f>
        <v/>
      </c>
      <c r="I765" s="14">
        <f>IF(E765&lt;&gt;"", YEARFRAC(C765, E765) * 12, "")</f>
        <v/>
      </c>
      <c r="J765" s="2">
        <f>IF(I765="", "", IF(OR(AND(A765="Listed Equity Shares", I765&gt;12), AND(A765="Unlisted Equity Shares", I765&gt;24)), "Long Term", "Short Term"))</f>
        <v/>
      </c>
      <c r="K765" s="5">
        <f>IF(J765="", "", IF(J765="Long Term", 12.5%,"as per slab"))</f>
        <v/>
      </c>
      <c r="L765" s="3">
        <f>+IFERROR(IF(J765="","",H765*K765),"as per slab")</f>
        <v/>
      </c>
    </row>
    <row r="766">
      <c r="A766" s="7" t="n"/>
      <c r="B766" s="7" t="n"/>
      <c r="C766" s="8" t="n"/>
      <c r="D766" s="9" t="n"/>
      <c r="E766" s="8" t="n"/>
      <c r="F766" s="9" t="n"/>
      <c r="G766" s="9" t="n"/>
      <c r="H766" s="3">
        <f>IF(AND(D766&lt;&gt;"",F766&lt;&gt;""),F766-D766-G766,"")</f>
        <v/>
      </c>
      <c r="I766" s="14">
        <f>IF(E766&lt;&gt;"", YEARFRAC(C766, E766) * 12, "")</f>
        <v/>
      </c>
      <c r="J766" s="2">
        <f>IF(I766="", "", IF(OR(AND(A766="Listed Equity Shares", I766&gt;12), AND(A766="Unlisted Equity Shares", I766&gt;24)), "Long Term", "Short Term"))</f>
        <v/>
      </c>
      <c r="K766" s="5">
        <f>IF(J766="", "", IF(J766="Long Term", 12.5%,"as per slab"))</f>
        <v/>
      </c>
      <c r="L766" s="3">
        <f>+IFERROR(IF(J766="","",H766*K766),"as per slab")</f>
        <v/>
      </c>
    </row>
    <row r="767">
      <c r="A767" s="7" t="n"/>
      <c r="B767" s="7" t="n"/>
      <c r="C767" s="8" t="n"/>
      <c r="D767" s="9" t="n"/>
      <c r="E767" s="8" t="n"/>
      <c r="F767" s="9" t="n"/>
      <c r="G767" s="9" t="n"/>
      <c r="H767" s="3">
        <f>IF(AND(D767&lt;&gt;"",F767&lt;&gt;""),F767-D767-G767,"")</f>
        <v/>
      </c>
      <c r="I767" s="14">
        <f>IF(E767&lt;&gt;"", YEARFRAC(C767, E767) * 12, "")</f>
        <v/>
      </c>
      <c r="J767" s="2">
        <f>IF(I767="", "", IF(OR(AND(A767="Listed Equity Shares", I767&gt;12), AND(A767="Unlisted Equity Shares", I767&gt;24)), "Long Term", "Short Term"))</f>
        <v/>
      </c>
      <c r="K767" s="5">
        <f>IF(J767="", "", IF(J767="Long Term", 12.5%,"as per slab"))</f>
        <v/>
      </c>
      <c r="L767" s="3">
        <f>+IFERROR(IF(J767="","",H767*K767),"as per slab")</f>
        <v/>
      </c>
    </row>
    <row r="768">
      <c r="A768" s="7" t="n"/>
      <c r="B768" s="7" t="n"/>
      <c r="C768" s="8" t="n"/>
      <c r="D768" s="9" t="n"/>
      <c r="E768" s="8" t="n"/>
      <c r="F768" s="9" t="n"/>
      <c r="G768" s="9" t="n"/>
      <c r="H768" s="3">
        <f>IF(AND(D768&lt;&gt;"",F768&lt;&gt;""),F768-D768-G768,"")</f>
        <v/>
      </c>
      <c r="I768" s="14">
        <f>IF(E768&lt;&gt;"", YEARFRAC(C768, E768) * 12, "")</f>
        <v/>
      </c>
      <c r="J768" s="2">
        <f>IF(I768="", "", IF(OR(AND(A768="Listed Equity Shares", I768&gt;12), AND(A768="Unlisted Equity Shares", I768&gt;24)), "Long Term", "Short Term"))</f>
        <v/>
      </c>
      <c r="K768" s="5">
        <f>IF(J768="", "", IF(J768="Long Term", 12.5%,"as per slab"))</f>
        <v/>
      </c>
      <c r="L768" s="3">
        <f>+IFERROR(IF(J768="","",H768*K768),"as per slab")</f>
        <v/>
      </c>
    </row>
    <row r="769">
      <c r="A769" s="7" t="n"/>
      <c r="B769" s="7" t="n"/>
      <c r="C769" s="8" t="n"/>
      <c r="D769" s="9" t="n"/>
      <c r="E769" s="8" t="n"/>
      <c r="F769" s="9" t="n"/>
      <c r="G769" s="9" t="n"/>
      <c r="H769" s="3">
        <f>IF(AND(D769&lt;&gt;"",F769&lt;&gt;""),F769-D769-G769,"")</f>
        <v/>
      </c>
      <c r="I769" s="14">
        <f>IF(E769&lt;&gt;"", YEARFRAC(C769, E769) * 12, "")</f>
        <v/>
      </c>
      <c r="J769" s="2">
        <f>IF(I769="", "", IF(OR(AND(A769="Listed Equity Shares", I769&gt;12), AND(A769="Unlisted Equity Shares", I769&gt;24)), "Long Term", "Short Term"))</f>
        <v/>
      </c>
      <c r="K769" s="5">
        <f>IF(J769="", "", IF(J769="Long Term", 12.5%,"as per slab"))</f>
        <v/>
      </c>
      <c r="L769" s="3">
        <f>+IFERROR(IF(J769="","",H769*K769),"as per slab")</f>
        <v/>
      </c>
    </row>
    <row r="770">
      <c r="A770" s="7" t="n"/>
      <c r="B770" s="7" t="n"/>
      <c r="C770" s="8" t="n"/>
      <c r="D770" s="9" t="n"/>
      <c r="E770" s="8" t="n"/>
      <c r="F770" s="9" t="n"/>
      <c r="G770" s="9" t="n"/>
      <c r="H770" s="3">
        <f>IF(AND(D770&lt;&gt;"",F770&lt;&gt;""),F770-D770-G770,"")</f>
        <v/>
      </c>
      <c r="I770" s="14">
        <f>IF(E770&lt;&gt;"", YEARFRAC(C770, E770) * 12, "")</f>
        <v/>
      </c>
      <c r="J770" s="2">
        <f>IF(I770="", "", IF(OR(AND(A770="Listed Equity Shares", I770&gt;12), AND(A770="Unlisted Equity Shares", I770&gt;24)), "Long Term", "Short Term"))</f>
        <v/>
      </c>
      <c r="K770" s="5">
        <f>IF(J770="", "", IF(J770="Long Term", 12.5%,"as per slab"))</f>
        <v/>
      </c>
      <c r="L770" s="3">
        <f>+IFERROR(IF(J770="","",H770*K770),"as per slab")</f>
        <v/>
      </c>
    </row>
    <row r="771">
      <c r="A771" s="7" t="n"/>
      <c r="B771" s="7" t="n"/>
      <c r="C771" s="8" t="n"/>
      <c r="D771" s="9" t="n"/>
      <c r="E771" s="8" t="n"/>
      <c r="F771" s="9" t="n"/>
      <c r="G771" s="9" t="n"/>
      <c r="H771" s="3">
        <f>IF(AND(D771&lt;&gt;"",F771&lt;&gt;""),F771-D771-G771,"")</f>
        <v/>
      </c>
      <c r="I771" s="14">
        <f>IF(E771&lt;&gt;"", YEARFRAC(C771, E771) * 12, "")</f>
        <v/>
      </c>
      <c r="J771" s="2">
        <f>IF(I771="", "", IF(OR(AND(A771="Listed Equity Shares", I771&gt;12), AND(A771="Unlisted Equity Shares", I771&gt;24)), "Long Term", "Short Term"))</f>
        <v/>
      </c>
      <c r="K771" s="5">
        <f>IF(J771="", "", IF(J771="Long Term", 12.5%,"as per slab"))</f>
        <v/>
      </c>
      <c r="L771" s="3">
        <f>+IFERROR(IF(J771="","",H771*K771),"as per slab")</f>
        <v/>
      </c>
    </row>
    <row r="772">
      <c r="A772" s="7" t="n"/>
      <c r="B772" s="7" t="n"/>
      <c r="C772" s="8" t="n"/>
      <c r="D772" s="9" t="n"/>
      <c r="E772" s="8" t="n"/>
      <c r="F772" s="9" t="n"/>
      <c r="G772" s="9" t="n"/>
      <c r="H772" s="3">
        <f>IF(AND(D772&lt;&gt;"",F772&lt;&gt;""),F772-D772-G772,"")</f>
        <v/>
      </c>
      <c r="I772" s="14">
        <f>IF(E772&lt;&gt;"", YEARFRAC(C772, E772) * 12, "")</f>
        <v/>
      </c>
      <c r="J772" s="2">
        <f>IF(I772="", "", IF(OR(AND(A772="Listed Equity Shares", I772&gt;12), AND(A772="Unlisted Equity Shares", I772&gt;24)), "Long Term", "Short Term"))</f>
        <v/>
      </c>
      <c r="K772" s="5">
        <f>IF(J772="", "", IF(J772="Long Term", 12.5%,"as per slab"))</f>
        <v/>
      </c>
      <c r="L772" s="3">
        <f>+IFERROR(IF(J772="","",H772*K772),"as per slab")</f>
        <v/>
      </c>
    </row>
    <row r="773">
      <c r="A773" s="7" t="n"/>
      <c r="B773" s="7" t="n"/>
      <c r="C773" s="8" t="n"/>
      <c r="D773" s="9" t="n"/>
      <c r="E773" s="8" t="n"/>
      <c r="F773" s="9" t="n"/>
      <c r="G773" s="9" t="n"/>
      <c r="H773" s="3">
        <f>IF(AND(D773&lt;&gt;"",F773&lt;&gt;""),F773-D773-G773,"")</f>
        <v/>
      </c>
      <c r="I773" s="14">
        <f>IF(E773&lt;&gt;"", YEARFRAC(C773, E773) * 12, "")</f>
        <v/>
      </c>
      <c r="J773" s="2">
        <f>IF(I773="", "", IF(OR(AND(A773="Listed Equity Shares", I773&gt;12), AND(A773="Unlisted Equity Shares", I773&gt;24)), "Long Term", "Short Term"))</f>
        <v/>
      </c>
      <c r="K773" s="5">
        <f>IF(J773="", "", IF(J773="Long Term", 12.5%,"as per slab"))</f>
        <v/>
      </c>
      <c r="L773" s="3">
        <f>+IFERROR(IF(J773="","",H773*K773),"as per slab")</f>
        <v/>
      </c>
    </row>
    <row r="774">
      <c r="A774" s="7" t="n"/>
      <c r="B774" s="7" t="n"/>
      <c r="C774" s="8" t="n"/>
      <c r="D774" s="9" t="n"/>
      <c r="E774" s="8" t="n"/>
      <c r="F774" s="9" t="n"/>
      <c r="G774" s="9" t="n"/>
      <c r="H774" s="3">
        <f>IF(AND(D774&lt;&gt;"",F774&lt;&gt;""),F774-D774-G774,"")</f>
        <v/>
      </c>
      <c r="I774" s="14">
        <f>IF(E774&lt;&gt;"", YEARFRAC(C774, E774) * 12, "")</f>
        <v/>
      </c>
      <c r="J774" s="2">
        <f>IF(I774="", "", IF(OR(AND(A774="Listed Equity Shares", I774&gt;12), AND(A774="Unlisted Equity Shares", I774&gt;24)), "Long Term", "Short Term"))</f>
        <v/>
      </c>
      <c r="K774" s="5">
        <f>IF(J774="", "", IF(J774="Long Term", 12.5%,"as per slab"))</f>
        <v/>
      </c>
      <c r="L774" s="3">
        <f>+IFERROR(IF(J774="","",H774*K774),"as per slab")</f>
        <v/>
      </c>
    </row>
    <row r="775">
      <c r="A775" s="7" t="n"/>
      <c r="B775" s="7" t="n"/>
      <c r="C775" s="8" t="n"/>
      <c r="D775" s="9" t="n"/>
      <c r="E775" s="8" t="n"/>
      <c r="F775" s="9" t="n"/>
      <c r="G775" s="9" t="n"/>
      <c r="H775" s="3">
        <f>IF(AND(D775&lt;&gt;"",F775&lt;&gt;""),F775-D775-G775,"")</f>
        <v/>
      </c>
      <c r="I775" s="14">
        <f>IF(E775&lt;&gt;"", YEARFRAC(C775, E775) * 12, "")</f>
        <v/>
      </c>
      <c r="J775" s="2">
        <f>IF(I775="", "", IF(OR(AND(A775="Listed Equity Shares", I775&gt;12), AND(A775="Unlisted Equity Shares", I775&gt;24)), "Long Term", "Short Term"))</f>
        <v/>
      </c>
      <c r="K775" s="5">
        <f>IF(J775="", "", IF(J775="Long Term", 12.5%,"as per slab"))</f>
        <v/>
      </c>
      <c r="L775" s="3">
        <f>+IFERROR(IF(J775="","",H775*K775),"as per slab")</f>
        <v/>
      </c>
    </row>
    <row r="776">
      <c r="A776" s="7" t="n"/>
      <c r="B776" s="7" t="n"/>
      <c r="C776" s="8" t="n"/>
      <c r="D776" s="9" t="n"/>
      <c r="E776" s="8" t="n"/>
      <c r="F776" s="9" t="n"/>
      <c r="G776" s="9" t="n"/>
      <c r="H776" s="3">
        <f>IF(AND(D776&lt;&gt;"",F776&lt;&gt;""),F776-D776-G776,"")</f>
        <v/>
      </c>
      <c r="I776" s="14">
        <f>IF(E776&lt;&gt;"", YEARFRAC(C776, E776) * 12, "")</f>
        <v/>
      </c>
      <c r="J776" s="2">
        <f>IF(I776="", "", IF(OR(AND(A776="Listed Equity Shares", I776&gt;12), AND(A776="Unlisted Equity Shares", I776&gt;24)), "Long Term", "Short Term"))</f>
        <v/>
      </c>
      <c r="K776" s="5">
        <f>IF(J776="", "", IF(J776="Long Term", 12.5%,"as per slab"))</f>
        <v/>
      </c>
      <c r="L776" s="3">
        <f>+IFERROR(IF(J776="","",H776*K776),"as per slab")</f>
        <v/>
      </c>
    </row>
    <row r="777">
      <c r="A777" s="7" t="n"/>
      <c r="B777" s="7" t="n"/>
      <c r="C777" s="8" t="n"/>
      <c r="D777" s="9" t="n"/>
      <c r="E777" s="8" t="n"/>
      <c r="F777" s="9" t="n"/>
      <c r="G777" s="9" t="n"/>
      <c r="H777" s="3">
        <f>IF(AND(D777&lt;&gt;"",F777&lt;&gt;""),F777-D777-G777,"")</f>
        <v/>
      </c>
      <c r="I777" s="14">
        <f>IF(E777&lt;&gt;"", YEARFRAC(C777, E777) * 12, "")</f>
        <v/>
      </c>
      <c r="J777" s="2">
        <f>IF(I777="", "", IF(OR(AND(A777="Listed Equity Shares", I777&gt;12), AND(A777="Unlisted Equity Shares", I777&gt;24)), "Long Term", "Short Term"))</f>
        <v/>
      </c>
      <c r="K777" s="5">
        <f>IF(J777="", "", IF(J777="Long Term", 12.5%,"as per slab"))</f>
        <v/>
      </c>
      <c r="L777" s="3">
        <f>+IFERROR(IF(J777="","",H777*K777),"as per slab")</f>
        <v/>
      </c>
    </row>
    <row r="778">
      <c r="A778" s="7" t="n"/>
      <c r="B778" s="7" t="n"/>
      <c r="C778" s="8" t="n"/>
      <c r="D778" s="9" t="n"/>
      <c r="E778" s="8" t="n"/>
      <c r="F778" s="9" t="n"/>
      <c r="G778" s="9" t="n"/>
      <c r="H778" s="3">
        <f>IF(AND(D778&lt;&gt;"",F778&lt;&gt;""),F778-D778-G778,"")</f>
        <v/>
      </c>
      <c r="I778" s="14">
        <f>IF(E778&lt;&gt;"", YEARFRAC(C778, E778) * 12, "")</f>
        <v/>
      </c>
      <c r="J778" s="2">
        <f>IF(I778="", "", IF(OR(AND(A778="Listed Equity Shares", I778&gt;12), AND(A778="Unlisted Equity Shares", I778&gt;24)), "Long Term", "Short Term"))</f>
        <v/>
      </c>
      <c r="K778" s="5">
        <f>IF(J778="", "", IF(J778="Long Term", 12.5%,"as per slab"))</f>
        <v/>
      </c>
      <c r="L778" s="3">
        <f>+IFERROR(IF(J778="","",H778*K778),"as per slab")</f>
        <v/>
      </c>
    </row>
    <row r="779">
      <c r="A779" s="7" t="n"/>
      <c r="B779" s="7" t="n"/>
      <c r="C779" s="8" t="n"/>
      <c r="D779" s="9" t="n"/>
      <c r="E779" s="8" t="n"/>
      <c r="F779" s="9" t="n"/>
      <c r="G779" s="9" t="n"/>
      <c r="H779" s="3">
        <f>IF(AND(D779&lt;&gt;"",F779&lt;&gt;""),F779-D779-G779,"")</f>
        <v/>
      </c>
      <c r="I779" s="14">
        <f>IF(E779&lt;&gt;"", YEARFRAC(C779, E779) * 12, "")</f>
        <v/>
      </c>
      <c r="J779" s="2">
        <f>IF(I779="", "", IF(OR(AND(A779="Listed Equity Shares", I779&gt;12), AND(A779="Unlisted Equity Shares", I779&gt;24)), "Long Term", "Short Term"))</f>
        <v/>
      </c>
      <c r="K779" s="5">
        <f>IF(J779="", "", IF(J779="Long Term", 12.5%,"as per slab"))</f>
        <v/>
      </c>
      <c r="L779" s="3">
        <f>+IFERROR(IF(J779="","",H779*K779),"as per slab")</f>
        <v/>
      </c>
    </row>
    <row r="780">
      <c r="A780" s="7" t="n"/>
      <c r="B780" s="7" t="n"/>
      <c r="C780" s="8" t="n"/>
      <c r="D780" s="9" t="n"/>
      <c r="E780" s="8" t="n"/>
      <c r="F780" s="9" t="n"/>
      <c r="G780" s="9" t="n"/>
      <c r="H780" s="3">
        <f>IF(AND(D780&lt;&gt;"",F780&lt;&gt;""),F780-D780-G780,"")</f>
        <v/>
      </c>
      <c r="I780" s="14">
        <f>IF(E780&lt;&gt;"", YEARFRAC(C780, E780) * 12, "")</f>
        <v/>
      </c>
      <c r="J780" s="2">
        <f>IF(I780="", "", IF(OR(AND(A780="Listed Equity Shares", I780&gt;12), AND(A780="Unlisted Equity Shares", I780&gt;24)), "Long Term", "Short Term"))</f>
        <v/>
      </c>
      <c r="K780" s="5">
        <f>IF(J780="", "", IF(J780="Long Term", 12.5%,"as per slab"))</f>
        <v/>
      </c>
      <c r="L780" s="3">
        <f>+IFERROR(IF(J780="","",H780*K780),"as per slab")</f>
        <v/>
      </c>
    </row>
    <row r="781">
      <c r="A781" s="7" t="n"/>
      <c r="B781" s="7" t="n"/>
      <c r="C781" s="8" t="n"/>
      <c r="D781" s="9" t="n"/>
      <c r="E781" s="8" t="n"/>
      <c r="F781" s="9" t="n"/>
      <c r="G781" s="9" t="n"/>
      <c r="H781" s="3">
        <f>IF(AND(D781&lt;&gt;"",F781&lt;&gt;""),F781-D781-G781,"")</f>
        <v/>
      </c>
      <c r="I781" s="14">
        <f>IF(E781&lt;&gt;"", YEARFRAC(C781, E781) * 12, "")</f>
        <v/>
      </c>
      <c r="J781" s="2">
        <f>IF(I781="", "", IF(OR(AND(A781="Listed Equity Shares", I781&gt;12), AND(A781="Unlisted Equity Shares", I781&gt;24)), "Long Term", "Short Term"))</f>
        <v/>
      </c>
      <c r="K781" s="5">
        <f>IF(J781="", "", IF(J781="Long Term", 12.5%,"as per slab"))</f>
        <v/>
      </c>
      <c r="L781" s="3">
        <f>+IFERROR(IF(J781="","",H781*K781),"as per slab")</f>
        <v/>
      </c>
    </row>
    <row r="782">
      <c r="A782" s="7" t="n"/>
      <c r="B782" s="7" t="n"/>
      <c r="C782" s="8" t="n"/>
      <c r="D782" s="9" t="n"/>
      <c r="E782" s="8" t="n"/>
      <c r="F782" s="9" t="n"/>
      <c r="G782" s="9" t="n"/>
      <c r="H782" s="3">
        <f>IF(AND(D782&lt;&gt;"",F782&lt;&gt;""),F782-D782-G782,"")</f>
        <v/>
      </c>
      <c r="I782" s="14">
        <f>IF(E782&lt;&gt;"", YEARFRAC(C782, E782) * 12, "")</f>
        <v/>
      </c>
      <c r="J782" s="2">
        <f>IF(I782="", "", IF(OR(AND(A782="Listed Equity Shares", I782&gt;12), AND(A782="Unlisted Equity Shares", I782&gt;24)), "Long Term", "Short Term"))</f>
        <v/>
      </c>
      <c r="K782" s="5">
        <f>IF(J782="", "", IF(J782="Long Term", 12.5%,"as per slab"))</f>
        <v/>
      </c>
      <c r="L782" s="3">
        <f>+IFERROR(IF(J782="","",H782*K782),"as per slab")</f>
        <v/>
      </c>
    </row>
    <row r="783">
      <c r="A783" s="7" t="n"/>
      <c r="B783" s="7" t="n"/>
      <c r="C783" s="8" t="n"/>
      <c r="D783" s="9" t="n"/>
      <c r="E783" s="8" t="n"/>
      <c r="F783" s="9" t="n"/>
      <c r="G783" s="9" t="n"/>
      <c r="H783" s="3">
        <f>IF(AND(D783&lt;&gt;"",F783&lt;&gt;""),F783-D783-G783,"")</f>
        <v/>
      </c>
      <c r="I783" s="14">
        <f>IF(E783&lt;&gt;"", YEARFRAC(C783, E783) * 12, "")</f>
        <v/>
      </c>
      <c r="J783" s="2">
        <f>IF(I783="", "", IF(OR(AND(A783="Listed Equity Shares", I783&gt;12), AND(A783="Unlisted Equity Shares", I783&gt;24)), "Long Term", "Short Term"))</f>
        <v/>
      </c>
      <c r="K783" s="5">
        <f>IF(J783="", "", IF(J783="Long Term", 12.5%,"as per slab"))</f>
        <v/>
      </c>
      <c r="L783" s="3">
        <f>+IFERROR(IF(J783="","",H783*K783),"as per slab")</f>
        <v/>
      </c>
    </row>
    <row r="784">
      <c r="A784" s="7" t="n"/>
      <c r="B784" s="7" t="n"/>
      <c r="C784" s="8" t="n"/>
      <c r="D784" s="9" t="n"/>
      <c r="E784" s="8" t="n"/>
      <c r="F784" s="9" t="n"/>
      <c r="G784" s="9" t="n"/>
      <c r="H784" s="3">
        <f>IF(AND(D784&lt;&gt;"",F784&lt;&gt;""),F784-D784-G784,"")</f>
        <v/>
      </c>
      <c r="I784" s="14">
        <f>IF(E784&lt;&gt;"", YEARFRAC(C784, E784) * 12, "")</f>
        <v/>
      </c>
      <c r="J784" s="2">
        <f>IF(I784="", "", IF(OR(AND(A784="Listed Equity Shares", I784&gt;12), AND(A784="Unlisted Equity Shares", I784&gt;24)), "Long Term", "Short Term"))</f>
        <v/>
      </c>
      <c r="K784" s="5">
        <f>IF(J784="", "", IF(J784="Long Term", 12.5%,"as per slab"))</f>
        <v/>
      </c>
      <c r="L784" s="3">
        <f>+IFERROR(IF(J784="","",H784*K784),"as per slab")</f>
        <v/>
      </c>
    </row>
    <row r="785">
      <c r="A785" s="7" t="n"/>
      <c r="B785" s="7" t="n"/>
      <c r="C785" s="8" t="n"/>
      <c r="D785" s="9" t="n"/>
      <c r="E785" s="8" t="n"/>
      <c r="F785" s="9" t="n"/>
      <c r="G785" s="9" t="n"/>
      <c r="H785" s="3">
        <f>IF(AND(D785&lt;&gt;"",F785&lt;&gt;""),F785-D785-G785,"")</f>
        <v/>
      </c>
      <c r="I785" s="14">
        <f>IF(E785&lt;&gt;"", YEARFRAC(C785, E785) * 12, "")</f>
        <v/>
      </c>
      <c r="J785" s="2">
        <f>IF(I785="", "", IF(OR(AND(A785="Listed Equity Shares", I785&gt;12), AND(A785="Unlisted Equity Shares", I785&gt;24)), "Long Term", "Short Term"))</f>
        <v/>
      </c>
      <c r="K785" s="5">
        <f>IF(J785="", "", IF(J785="Long Term", 12.5%,"as per slab"))</f>
        <v/>
      </c>
      <c r="L785" s="3">
        <f>+IFERROR(IF(J785="","",H785*K785),"as per slab")</f>
        <v/>
      </c>
    </row>
    <row r="786">
      <c r="A786" s="7" t="n"/>
      <c r="B786" s="7" t="n"/>
      <c r="C786" s="8" t="n"/>
      <c r="D786" s="9" t="n"/>
      <c r="E786" s="8" t="n"/>
      <c r="F786" s="9" t="n"/>
      <c r="G786" s="9" t="n"/>
      <c r="H786" s="3">
        <f>IF(AND(D786&lt;&gt;"",F786&lt;&gt;""),F786-D786-G786,"")</f>
        <v/>
      </c>
      <c r="I786" s="14">
        <f>IF(E786&lt;&gt;"", YEARFRAC(C786, E786) * 12, "")</f>
        <v/>
      </c>
      <c r="J786" s="2">
        <f>IF(I786="", "", IF(OR(AND(A786="Listed Equity Shares", I786&gt;12), AND(A786="Unlisted Equity Shares", I786&gt;24)), "Long Term", "Short Term"))</f>
        <v/>
      </c>
      <c r="K786" s="5">
        <f>IF(J786="", "", IF(J786="Long Term", 12.5%,"as per slab"))</f>
        <v/>
      </c>
      <c r="L786" s="3">
        <f>+IFERROR(IF(J786="","",H786*K786),"as per slab")</f>
        <v/>
      </c>
    </row>
    <row r="787">
      <c r="A787" s="7" t="n"/>
      <c r="B787" s="7" t="n"/>
      <c r="C787" s="8" t="n"/>
      <c r="D787" s="9" t="n"/>
      <c r="E787" s="8" t="n"/>
      <c r="F787" s="9" t="n"/>
      <c r="G787" s="9" t="n"/>
      <c r="H787" s="3">
        <f>IF(AND(D787&lt;&gt;"",F787&lt;&gt;""),F787-D787-G787,"")</f>
        <v/>
      </c>
      <c r="I787" s="14">
        <f>IF(E787&lt;&gt;"", YEARFRAC(C787, E787) * 12, "")</f>
        <v/>
      </c>
      <c r="J787" s="2">
        <f>IF(I787="", "", IF(OR(AND(A787="Listed Equity Shares", I787&gt;12), AND(A787="Unlisted Equity Shares", I787&gt;24)), "Long Term", "Short Term"))</f>
        <v/>
      </c>
      <c r="K787" s="5">
        <f>IF(J787="", "", IF(J787="Long Term", 12.5%,"as per slab"))</f>
        <v/>
      </c>
      <c r="L787" s="3">
        <f>+IFERROR(IF(J787="","",H787*K787),"as per slab")</f>
        <v/>
      </c>
    </row>
    <row r="788">
      <c r="A788" s="7" t="n"/>
      <c r="B788" s="7" t="n"/>
      <c r="C788" s="8" t="n"/>
      <c r="D788" s="9" t="n"/>
      <c r="E788" s="8" t="n"/>
      <c r="F788" s="9" t="n"/>
      <c r="G788" s="9" t="n"/>
      <c r="H788" s="3">
        <f>IF(AND(D788&lt;&gt;"",F788&lt;&gt;""),F788-D788-G788,"")</f>
        <v/>
      </c>
      <c r="I788" s="14">
        <f>IF(E788&lt;&gt;"", YEARFRAC(C788, E788) * 12, "")</f>
        <v/>
      </c>
      <c r="J788" s="2">
        <f>IF(I788="", "", IF(OR(AND(A788="Listed Equity Shares", I788&gt;12), AND(A788="Unlisted Equity Shares", I788&gt;24)), "Long Term", "Short Term"))</f>
        <v/>
      </c>
      <c r="K788" s="5">
        <f>IF(J788="", "", IF(J788="Long Term", 12.5%,"as per slab"))</f>
        <v/>
      </c>
      <c r="L788" s="3">
        <f>+IFERROR(IF(J788="","",H788*K788),"as per slab")</f>
        <v/>
      </c>
    </row>
    <row r="789">
      <c r="A789" s="7" t="n"/>
      <c r="B789" s="7" t="n"/>
      <c r="C789" s="8" t="n"/>
      <c r="D789" s="9" t="n"/>
      <c r="E789" s="8" t="n"/>
      <c r="F789" s="9" t="n"/>
      <c r="G789" s="9" t="n"/>
      <c r="H789" s="3">
        <f>IF(AND(D789&lt;&gt;"",F789&lt;&gt;""),F789-D789-G789,"")</f>
        <v/>
      </c>
      <c r="I789" s="14">
        <f>IF(E789&lt;&gt;"", YEARFRAC(C789, E789) * 12, "")</f>
        <v/>
      </c>
      <c r="J789" s="2">
        <f>IF(I789="", "", IF(OR(AND(A789="Listed Equity Shares", I789&gt;12), AND(A789="Unlisted Equity Shares", I789&gt;24)), "Long Term", "Short Term"))</f>
        <v/>
      </c>
      <c r="K789" s="5">
        <f>IF(J789="", "", IF(J789="Long Term", 12.5%,"as per slab"))</f>
        <v/>
      </c>
      <c r="L789" s="3">
        <f>+IFERROR(IF(J789="","",H789*K789),"as per slab")</f>
        <v/>
      </c>
    </row>
    <row r="790">
      <c r="A790" s="7" t="n"/>
      <c r="B790" s="7" t="n"/>
      <c r="C790" s="8" t="n"/>
      <c r="D790" s="9" t="n"/>
      <c r="E790" s="8" t="n"/>
      <c r="F790" s="9" t="n"/>
      <c r="G790" s="9" t="n"/>
      <c r="H790" s="3">
        <f>IF(AND(D790&lt;&gt;"",F790&lt;&gt;""),F790-D790-G790,"")</f>
        <v/>
      </c>
      <c r="I790" s="14">
        <f>IF(E790&lt;&gt;"", YEARFRAC(C790, E790) * 12, "")</f>
        <v/>
      </c>
      <c r="J790" s="2">
        <f>IF(I790="", "", IF(OR(AND(A790="Listed Equity Shares", I790&gt;12), AND(A790="Unlisted Equity Shares", I790&gt;24)), "Long Term", "Short Term"))</f>
        <v/>
      </c>
      <c r="K790" s="5">
        <f>IF(J790="", "", IF(J790="Long Term", 12.5%,"as per slab"))</f>
        <v/>
      </c>
      <c r="L790" s="3">
        <f>+IFERROR(IF(J790="","",H790*K790),"as per slab")</f>
        <v/>
      </c>
    </row>
    <row r="791">
      <c r="A791" s="7" t="n"/>
      <c r="B791" s="7" t="n"/>
      <c r="C791" s="8" t="n"/>
      <c r="D791" s="9" t="n"/>
      <c r="E791" s="8" t="n"/>
      <c r="F791" s="9" t="n"/>
      <c r="G791" s="9" t="n"/>
      <c r="H791" s="3">
        <f>IF(AND(D791&lt;&gt;"",F791&lt;&gt;""),F791-D791-G791,"")</f>
        <v/>
      </c>
      <c r="I791" s="14">
        <f>IF(E791&lt;&gt;"", YEARFRAC(C791, E791) * 12, "")</f>
        <v/>
      </c>
      <c r="J791" s="2">
        <f>IF(I791="", "", IF(OR(AND(A791="Listed Equity Shares", I791&gt;12), AND(A791="Unlisted Equity Shares", I791&gt;24)), "Long Term", "Short Term"))</f>
        <v/>
      </c>
      <c r="K791" s="5">
        <f>IF(J791="", "", IF(J791="Long Term", 12.5%,"as per slab"))</f>
        <v/>
      </c>
      <c r="L791" s="3">
        <f>+IFERROR(IF(J791="","",H791*K791),"as per slab")</f>
        <v/>
      </c>
    </row>
    <row r="792">
      <c r="A792" s="7" t="n"/>
      <c r="B792" s="7" t="n"/>
      <c r="C792" s="8" t="n"/>
      <c r="D792" s="9" t="n"/>
      <c r="E792" s="8" t="n"/>
      <c r="F792" s="9" t="n"/>
      <c r="G792" s="9" t="n"/>
      <c r="H792" s="3">
        <f>IF(AND(D792&lt;&gt;"",F792&lt;&gt;""),F792-D792-G792,"")</f>
        <v/>
      </c>
      <c r="I792" s="14">
        <f>IF(E792&lt;&gt;"", YEARFRAC(C792, E792) * 12, "")</f>
        <v/>
      </c>
      <c r="J792" s="2">
        <f>IF(I792="", "", IF(OR(AND(A792="Listed Equity Shares", I792&gt;12), AND(A792="Unlisted Equity Shares", I792&gt;24)), "Long Term", "Short Term"))</f>
        <v/>
      </c>
      <c r="K792" s="5">
        <f>IF(J792="", "", IF(J792="Long Term", 12.5%,"as per slab"))</f>
        <v/>
      </c>
      <c r="L792" s="3">
        <f>+IFERROR(IF(J792="","",H792*K792),"as per slab")</f>
        <v/>
      </c>
    </row>
    <row r="793">
      <c r="A793" s="7" t="n"/>
      <c r="B793" s="7" t="n"/>
      <c r="C793" s="8" t="n"/>
      <c r="D793" s="9" t="n"/>
      <c r="E793" s="8" t="n"/>
      <c r="F793" s="9" t="n"/>
      <c r="G793" s="9" t="n"/>
      <c r="H793" s="3">
        <f>IF(AND(D793&lt;&gt;"",F793&lt;&gt;""),F793-D793-G793,"")</f>
        <v/>
      </c>
      <c r="I793" s="14">
        <f>IF(E793&lt;&gt;"", YEARFRAC(C793, E793) * 12, "")</f>
        <v/>
      </c>
      <c r="J793" s="2">
        <f>IF(I793="", "", IF(OR(AND(A793="Listed Equity Shares", I793&gt;12), AND(A793="Unlisted Equity Shares", I793&gt;24)), "Long Term", "Short Term"))</f>
        <v/>
      </c>
      <c r="K793" s="5">
        <f>IF(J793="", "", IF(J793="Long Term", 12.5%,"as per slab"))</f>
        <v/>
      </c>
      <c r="L793" s="3">
        <f>+IFERROR(IF(J793="","",H793*K793),"as per slab")</f>
        <v/>
      </c>
    </row>
    <row r="794">
      <c r="A794" s="7" t="n"/>
      <c r="B794" s="7" t="n"/>
      <c r="C794" s="8" t="n"/>
      <c r="D794" s="9" t="n"/>
      <c r="E794" s="8" t="n"/>
      <c r="F794" s="9" t="n"/>
      <c r="G794" s="9" t="n"/>
      <c r="H794" s="3">
        <f>IF(AND(D794&lt;&gt;"",F794&lt;&gt;""),F794-D794-G794,"")</f>
        <v/>
      </c>
      <c r="I794" s="14">
        <f>IF(E794&lt;&gt;"", YEARFRAC(C794, E794) * 12, "")</f>
        <v/>
      </c>
      <c r="J794" s="2">
        <f>IF(I794="", "", IF(OR(AND(A794="Listed Equity Shares", I794&gt;12), AND(A794="Unlisted Equity Shares", I794&gt;24)), "Long Term", "Short Term"))</f>
        <v/>
      </c>
      <c r="K794" s="5">
        <f>IF(J794="", "", IF(J794="Long Term", 12.5%,"as per slab"))</f>
        <v/>
      </c>
      <c r="L794" s="3">
        <f>+IFERROR(IF(J794="","",H794*K794),"as per slab")</f>
        <v/>
      </c>
    </row>
    <row r="795">
      <c r="A795" s="7" t="n"/>
      <c r="B795" s="7" t="n"/>
      <c r="C795" s="8" t="n"/>
      <c r="D795" s="9" t="n"/>
      <c r="E795" s="8" t="n"/>
      <c r="F795" s="9" t="n"/>
      <c r="G795" s="9" t="n"/>
      <c r="H795" s="3">
        <f>IF(AND(D795&lt;&gt;"",F795&lt;&gt;""),F795-D795-G795,"")</f>
        <v/>
      </c>
      <c r="I795" s="14">
        <f>IF(E795&lt;&gt;"", YEARFRAC(C795, E795) * 12, "")</f>
        <v/>
      </c>
      <c r="J795" s="2">
        <f>IF(I795="", "", IF(OR(AND(A795="Listed Equity Shares", I795&gt;12), AND(A795="Unlisted Equity Shares", I795&gt;24)), "Long Term", "Short Term"))</f>
        <v/>
      </c>
      <c r="K795" s="5">
        <f>IF(J795="", "", IF(J795="Long Term", 12.5%,"as per slab"))</f>
        <v/>
      </c>
      <c r="L795" s="3">
        <f>+IFERROR(IF(J795="","",H795*K795),"as per slab")</f>
        <v/>
      </c>
    </row>
    <row r="796">
      <c r="A796" s="7" t="n"/>
      <c r="B796" s="7" t="n"/>
      <c r="C796" s="8" t="n"/>
      <c r="D796" s="9" t="n"/>
      <c r="E796" s="8" t="n"/>
      <c r="F796" s="9" t="n"/>
      <c r="G796" s="9" t="n"/>
      <c r="H796" s="3">
        <f>IF(AND(D796&lt;&gt;"",F796&lt;&gt;""),F796-D796-G796,"")</f>
        <v/>
      </c>
      <c r="I796" s="14">
        <f>IF(E796&lt;&gt;"", YEARFRAC(C796, E796) * 12, "")</f>
        <v/>
      </c>
      <c r="J796" s="2">
        <f>IF(I796="", "", IF(OR(AND(A796="Listed Equity Shares", I796&gt;12), AND(A796="Unlisted Equity Shares", I796&gt;24)), "Long Term", "Short Term"))</f>
        <v/>
      </c>
      <c r="K796" s="5">
        <f>IF(J796="", "", IF(J796="Long Term", 12.5%,"as per slab"))</f>
        <v/>
      </c>
      <c r="L796" s="3">
        <f>+IFERROR(IF(J796="","",H796*K796),"as per slab")</f>
        <v/>
      </c>
    </row>
    <row r="797">
      <c r="A797" s="7" t="n"/>
      <c r="B797" s="7" t="n"/>
      <c r="C797" s="8" t="n"/>
      <c r="D797" s="9" t="n"/>
      <c r="E797" s="8" t="n"/>
      <c r="F797" s="9" t="n"/>
      <c r="G797" s="9" t="n"/>
      <c r="H797" s="3">
        <f>IF(AND(D797&lt;&gt;"",F797&lt;&gt;""),F797-D797-G797,"")</f>
        <v/>
      </c>
      <c r="I797" s="14">
        <f>IF(E797&lt;&gt;"", YEARFRAC(C797, E797) * 12, "")</f>
        <v/>
      </c>
      <c r="J797" s="2">
        <f>IF(I797="", "", IF(OR(AND(A797="Listed Equity Shares", I797&gt;12), AND(A797="Unlisted Equity Shares", I797&gt;24)), "Long Term", "Short Term"))</f>
        <v/>
      </c>
      <c r="K797" s="5">
        <f>IF(J797="", "", IF(J797="Long Term", 12.5%,"as per slab"))</f>
        <v/>
      </c>
      <c r="L797" s="3">
        <f>+IFERROR(IF(J797="","",H797*K797),"as per slab")</f>
        <v/>
      </c>
    </row>
    <row r="798">
      <c r="A798" s="7" t="n"/>
      <c r="B798" s="7" t="n"/>
      <c r="C798" s="8" t="n"/>
      <c r="D798" s="9" t="n"/>
      <c r="E798" s="8" t="n"/>
      <c r="F798" s="9" t="n"/>
      <c r="G798" s="9" t="n"/>
      <c r="H798" s="3">
        <f>IF(AND(D798&lt;&gt;"",F798&lt;&gt;""),F798-D798-G798,"")</f>
        <v/>
      </c>
      <c r="I798" s="14">
        <f>IF(E798&lt;&gt;"", YEARFRAC(C798, E798) * 12, "")</f>
        <v/>
      </c>
      <c r="J798" s="2">
        <f>IF(I798="", "", IF(OR(AND(A798="Listed Equity Shares", I798&gt;12), AND(A798="Unlisted Equity Shares", I798&gt;24)), "Long Term", "Short Term"))</f>
        <v/>
      </c>
      <c r="K798" s="5">
        <f>IF(J798="", "", IF(J798="Long Term", 12.5%,"as per slab"))</f>
        <v/>
      </c>
      <c r="L798" s="3">
        <f>+IFERROR(IF(J798="","",H798*K798),"as per slab")</f>
        <v/>
      </c>
    </row>
    <row r="799">
      <c r="A799" s="7" t="n"/>
      <c r="B799" s="7" t="n"/>
      <c r="C799" s="8" t="n"/>
      <c r="D799" s="9" t="n"/>
      <c r="E799" s="8" t="n"/>
      <c r="F799" s="9" t="n"/>
      <c r="G799" s="9" t="n"/>
      <c r="H799" s="3">
        <f>IF(AND(D799&lt;&gt;"",F799&lt;&gt;""),F799-D799-G799,"")</f>
        <v/>
      </c>
      <c r="I799" s="14">
        <f>IF(E799&lt;&gt;"", YEARFRAC(C799, E799) * 12, "")</f>
        <v/>
      </c>
      <c r="J799" s="2">
        <f>IF(I799="", "", IF(OR(AND(A799="Listed Equity Shares", I799&gt;12), AND(A799="Unlisted Equity Shares", I799&gt;24)), "Long Term", "Short Term"))</f>
        <v/>
      </c>
      <c r="K799" s="5">
        <f>IF(J799="", "", IF(J799="Long Term", 12.5%,"as per slab"))</f>
        <v/>
      </c>
      <c r="L799" s="3">
        <f>+IFERROR(IF(J799="","",H799*K799),"as per slab")</f>
        <v/>
      </c>
    </row>
    <row r="800">
      <c r="A800" s="7" t="n"/>
      <c r="B800" s="7" t="n"/>
      <c r="C800" s="8" t="n"/>
      <c r="D800" s="9" t="n"/>
      <c r="E800" s="8" t="n"/>
      <c r="F800" s="9" t="n"/>
      <c r="G800" s="9" t="n"/>
      <c r="H800" s="3">
        <f>IF(AND(D800&lt;&gt;"",F800&lt;&gt;""),F800-D800-G800,"")</f>
        <v/>
      </c>
      <c r="I800" s="14">
        <f>IF(E800&lt;&gt;"", YEARFRAC(C800, E800) * 12, "")</f>
        <v/>
      </c>
      <c r="J800" s="2">
        <f>IF(I800="", "", IF(OR(AND(A800="Listed Equity Shares", I800&gt;12), AND(A800="Unlisted Equity Shares", I800&gt;24)), "Long Term", "Short Term"))</f>
        <v/>
      </c>
      <c r="K800" s="5">
        <f>IF(J800="", "", IF(J800="Long Term", 12.5%,"as per slab"))</f>
        <v/>
      </c>
      <c r="L800" s="3">
        <f>+IFERROR(IF(J800="","",H800*K800),"as per slab")</f>
        <v/>
      </c>
    </row>
    <row r="801">
      <c r="A801" s="7" t="n"/>
      <c r="B801" s="7" t="n"/>
      <c r="C801" s="8" t="n"/>
      <c r="D801" s="9" t="n"/>
      <c r="E801" s="8" t="n"/>
      <c r="F801" s="9" t="n"/>
      <c r="G801" s="9" t="n"/>
      <c r="H801" s="3">
        <f>IF(AND(D801&lt;&gt;"",F801&lt;&gt;""),F801-D801-G801,"")</f>
        <v/>
      </c>
      <c r="I801" s="14">
        <f>IF(E801&lt;&gt;"", YEARFRAC(C801, E801) * 12, "")</f>
        <v/>
      </c>
      <c r="J801" s="2">
        <f>IF(I801="", "", IF(OR(AND(A801="Listed Equity Shares", I801&gt;12), AND(A801="Unlisted Equity Shares", I801&gt;24)), "Long Term", "Short Term"))</f>
        <v/>
      </c>
      <c r="K801" s="5">
        <f>IF(J801="", "", IF(J801="Long Term", 12.5%,"as per slab"))</f>
        <v/>
      </c>
      <c r="L801" s="3">
        <f>+IFERROR(IF(J801="","",H801*K801),"as per slab")</f>
        <v/>
      </c>
    </row>
    <row r="802">
      <c r="A802" s="7" t="n"/>
      <c r="B802" s="7" t="n"/>
      <c r="C802" s="8" t="n"/>
      <c r="D802" s="9" t="n"/>
      <c r="E802" s="8" t="n"/>
      <c r="F802" s="9" t="n"/>
      <c r="G802" s="9" t="n"/>
      <c r="H802" s="3">
        <f>IF(AND(D802&lt;&gt;"",F802&lt;&gt;""),F802-D802-G802,"")</f>
        <v/>
      </c>
      <c r="I802" s="14">
        <f>IF(E802&lt;&gt;"", YEARFRAC(C802, E802) * 12, "")</f>
        <v/>
      </c>
      <c r="J802" s="2">
        <f>IF(I802="", "", IF(OR(AND(A802="Listed Equity Shares", I802&gt;12), AND(A802="Unlisted Equity Shares", I802&gt;24)), "Long Term", "Short Term"))</f>
        <v/>
      </c>
      <c r="K802" s="5">
        <f>IF(J802="", "", IF(J802="Long Term", 12.5%,"as per slab"))</f>
        <v/>
      </c>
      <c r="L802" s="3">
        <f>+IFERROR(IF(J802="","",H802*K802),"as per slab")</f>
        <v/>
      </c>
    </row>
    <row r="803">
      <c r="A803" s="7" t="n"/>
      <c r="B803" s="7" t="n"/>
      <c r="C803" s="8" t="n"/>
      <c r="D803" s="9" t="n"/>
      <c r="E803" s="8" t="n"/>
      <c r="F803" s="9" t="n"/>
      <c r="G803" s="9" t="n"/>
      <c r="H803" s="3">
        <f>IF(AND(D803&lt;&gt;"",F803&lt;&gt;""),F803-D803-G803,"")</f>
        <v/>
      </c>
      <c r="I803" s="14">
        <f>IF(E803&lt;&gt;"", YEARFRAC(C803, E803) * 12, "")</f>
        <v/>
      </c>
      <c r="J803" s="2">
        <f>IF(I803="", "", IF(OR(AND(A803="Listed Equity Shares", I803&gt;12), AND(A803="Unlisted Equity Shares", I803&gt;24)), "Long Term", "Short Term"))</f>
        <v/>
      </c>
      <c r="K803" s="5">
        <f>IF(J803="", "", IF(J803="Long Term", 12.5%,"as per slab"))</f>
        <v/>
      </c>
      <c r="L803" s="3">
        <f>+IFERROR(IF(J803="","",H803*K803),"as per slab")</f>
        <v/>
      </c>
    </row>
    <row r="804">
      <c r="A804" s="7" t="n"/>
      <c r="B804" s="7" t="n"/>
      <c r="C804" s="8" t="n"/>
      <c r="D804" s="9" t="n"/>
      <c r="E804" s="8" t="n"/>
      <c r="F804" s="9" t="n"/>
      <c r="G804" s="9" t="n"/>
      <c r="H804" s="3">
        <f>IF(AND(D804&lt;&gt;"",F804&lt;&gt;""),F804-D804-G804,"")</f>
        <v/>
      </c>
      <c r="I804" s="14">
        <f>IF(E804&lt;&gt;"", YEARFRAC(C804, E804) * 12, "")</f>
        <v/>
      </c>
      <c r="J804" s="2">
        <f>IF(I804="", "", IF(OR(AND(A804="Listed Equity Shares", I804&gt;12), AND(A804="Unlisted Equity Shares", I804&gt;24)), "Long Term", "Short Term"))</f>
        <v/>
      </c>
      <c r="K804" s="5">
        <f>IF(J804="", "", IF(J804="Long Term", 12.5%,"as per slab"))</f>
        <v/>
      </c>
      <c r="L804" s="3">
        <f>+IFERROR(IF(J804="","",H804*K804),"as per slab")</f>
        <v/>
      </c>
    </row>
    <row r="805">
      <c r="A805" s="7" t="n"/>
      <c r="B805" s="7" t="n"/>
      <c r="C805" s="8" t="n"/>
      <c r="D805" s="9" t="n"/>
      <c r="E805" s="8" t="n"/>
      <c r="F805" s="9" t="n"/>
      <c r="G805" s="9" t="n"/>
      <c r="H805" s="3">
        <f>IF(AND(D805&lt;&gt;"",F805&lt;&gt;""),F805-D805-G805,"")</f>
        <v/>
      </c>
      <c r="I805" s="14">
        <f>IF(E805&lt;&gt;"", YEARFRAC(C805, E805) * 12, "")</f>
        <v/>
      </c>
      <c r="J805" s="2">
        <f>IF(I805="", "", IF(OR(AND(A805="Listed Equity Shares", I805&gt;12), AND(A805="Unlisted Equity Shares", I805&gt;24)), "Long Term", "Short Term"))</f>
        <v/>
      </c>
      <c r="K805" s="5">
        <f>IF(J805="", "", IF(J805="Long Term", 12.5%,"as per slab"))</f>
        <v/>
      </c>
      <c r="L805" s="3">
        <f>+IFERROR(IF(J805="","",H805*K805),"as per slab")</f>
        <v/>
      </c>
    </row>
    <row r="806">
      <c r="A806" s="7" t="n"/>
      <c r="B806" s="7" t="n"/>
      <c r="C806" s="8" t="n"/>
      <c r="D806" s="9" t="n"/>
      <c r="E806" s="8" t="n"/>
      <c r="F806" s="9" t="n"/>
      <c r="G806" s="9" t="n"/>
      <c r="H806" s="3">
        <f>IF(AND(D806&lt;&gt;"",F806&lt;&gt;""),F806-D806-G806,"")</f>
        <v/>
      </c>
      <c r="I806" s="14">
        <f>IF(E806&lt;&gt;"", YEARFRAC(C806, E806) * 12, "")</f>
        <v/>
      </c>
      <c r="J806" s="2">
        <f>IF(I806="", "", IF(OR(AND(A806="Listed Equity Shares", I806&gt;12), AND(A806="Unlisted Equity Shares", I806&gt;24)), "Long Term", "Short Term"))</f>
        <v/>
      </c>
      <c r="K806" s="5">
        <f>IF(J806="", "", IF(J806="Long Term", 12.5%,"as per slab"))</f>
        <v/>
      </c>
      <c r="L806" s="3">
        <f>+IFERROR(IF(J806="","",H806*K806),"as per slab")</f>
        <v/>
      </c>
    </row>
    <row r="807">
      <c r="A807" s="7" t="n"/>
      <c r="B807" s="7" t="n"/>
      <c r="C807" s="8" t="n"/>
      <c r="D807" s="9" t="n"/>
      <c r="E807" s="8" t="n"/>
      <c r="F807" s="9" t="n"/>
      <c r="G807" s="9" t="n"/>
      <c r="H807" s="3">
        <f>IF(AND(D807&lt;&gt;"",F807&lt;&gt;""),F807-D807-G807,"")</f>
        <v/>
      </c>
      <c r="I807" s="14">
        <f>IF(E807&lt;&gt;"", YEARFRAC(C807, E807) * 12, "")</f>
        <v/>
      </c>
      <c r="J807" s="2">
        <f>IF(I807="", "", IF(OR(AND(A807="Listed Equity Shares", I807&gt;12), AND(A807="Unlisted Equity Shares", I807&gt;24)), "Long Term", "Short Term"))</f>
        <v/>
      </c>
      <c r="K807" s="5">
        <f>IF(J807="", "", IF(J807="Long Term", 12.5%,"as per slab"))</f>
        <v/>
      </c>
      <c r="L807" s="3">
        <f>+IFERROR(IF(J807="","",H807*K807),"as per slab")</f>
        <v/>
      </c>
    </row>
    <row r="808">
      <c r="A808" s="7" t="n"/>
      <c r="B808" s="7" t="n"/>
      <c r="C808" s="8" t="n"/>
      <c r="D808" s="9" t="n"/>
      <c r="E808" s="8" t="n"/>
      <c r="F808" s="9" t="n"/>
      <c r="G808" s="9" t="n"/>
      <c r="H808" s="3">
        <f>IF(AND(D808&lt;&gt;"",F808&lt;&gt;""),F808-D808-G808,"")</f>
        <v/>
      </c>
      <c r="I808" s="14">
        <f>IF(E808&lt;&gt;"", YEARFRAC(C808, E808) * 12, "")</f>
        <v/>
      </c>
      <c r="J808" s="2">
        <f>IF(I808="", "", IF(OR(AND(A808="Listed Equity Shares", I808&gt;12), AND(A808="Unlisted Equity Shares", I808&gt;24)), "Long Term", "Short Term"))</f>
        <v/>
      </c>
      <c r="K808" s="5">
        <f>IF(J808="", "", IF(J808="Long Term", 12.5%,"as per slab"))</f>
        <v/>
      </c>
      <c r="L808" s="3">
        <f>+IFERROR(IF(J808="","",H808*K808),"as per slab")</f>
        <v/>
      </c>
    </row>
    <row r="809">
      <c r="A809" s="7" t="n"/>
      <c r="B809" s="7" t="n"/>
      <c r="C809" s="8" t="n"/>
      <c r="D809" s="9" t="n"/>
      <c r="E809" s="8" t="n"/>
      <c r="F809" s="9" t="n"/>
      <c r="G809" s="9" t="n"/>
      <c r="H809" s="3">
        <f>IF(AND(D809&lt;&gt;"",F809&lt;&gt;""),F809-D809-G809,"")</f>
        <v/>
      </c>
      <c r="I809" s="14">
        <f>IF(E809&lt;&gt;"", YEARFRAC(C809, E809) * 12, "")</f>
        <v/>
      </c>
      <c r="J809" s="2">
        <f>IF(I809="", "", IF(OR(AND(A809="Listed Equity Shares", I809&gt;12), AND(A809="Unlisted Equity Shares", I809&gt;24)), "Long Term", "Short Term"))</f>
        <v/>
      </c>
      <c r="K809" s="5">
        <f>IF(J809="", "", IF(J809="Long Term", 12.5%,"as per slab"))</f>
        <v/>
      </c>
      <c r="L809" s="3">
        <f>+IFERROR(IF(J809="","",H809*K809),"as per slab")</f>
        <v/>
      </c>
    </row>
    <row r="810">
      <c r="A810" s="7" t="n"/>
      <c r="B810" s="7" t="n"/>
      <c r="C810" s="8" t="n"/>
      <c r="D810" s="9" t="n"/>
      <c r="E810" s="8" t="n"/>
      <c r="F810" s="9" t="n"/>
      <c r="G810" s="9" t="n"/>
      <c r="H810" s="3">
        <f>IF(AND(D810&lt;&gt;"",F810&lt;&gt;""),F810-D810-G810,"")</f>
        <v/>
      </c>
      <c r="I810" s="14">
        <f>IF(E810&lt;&gt;"", YEARFRAC(C810, E810) * 12, "")</f>
        <v/>
      </c>
      <c r="J810" s="2">
        <f>IF(I810="", "", IF(OR(AND(A810="Listed Equity Shares", I810&gt;12), AND(A810="Unlisted Equity Shares", I810&gt;24)), "Long Term", "Short Term"))</f>
        <v/>
      </c>
      <c r="K810" s="5">
        <f>IF(J810="", "", IF(J810="Long Term", 12.5%,"as per slab"))</f>
        <v/>
      </c>
      <c r="L810" s="3">
        <f>+IFERROR(IF(J810="","",H810*K810),"as per slab")</f>
        <v/>
      </c>
    </row>
    <row r="811">
      <c r="A811" s="7" t="n"/>
      <c r="B811" s="7" t="n"/>
      <c r="C811" s="8" t="n"/>
      <c r="D811" s="9" t="n"/>
      <c r="E811" s="8" t="n"/>
      <c r="F811" s="9" t="n"/>
      <c r="G811" s="9" t="n"/>
      <c r="H811" s="3">
        <f>IF(AND(D811&lt;&gt;"",F811&lt;&gt;""),F811-D811-G811,"")</f>
        <v/>
      </c>
      <c r="I811" s="14">
        <f>IF(E811&lt;&gt;"", YEARFRAC(C811, E811) * 12, "")</f>
        <v/>
      </c>
      <c r="J811" s="2">
        <f>IF(I811="", "", IF(OR(AND(A811="Listed Equity Shares", I811&gt;12), AND(A811="Unlisted Equity Shares", I811&gt;24)), "Long Term", "Short Term"))</f>
        <v/>
      </c>
      <c r="K811" s="5">
        <f>IF(J811="", "", IF(J811="Long Term", 12.5%,"as per slab"))</f>
        <v/>
      </c>
      <c r="L811" s="3">
        <f>+IFERROR(IF(J811="","",H811*K811),"as per slab")</f>
        <v/>
      </c>
    </row>
    <row r="812">
      <c r="A812" s="7" t="n"/>
      <c r="B812" s="7" t="n"/>
      <c r="C812" s="8" t="n"/>
      <c r="D812" s="9" t="n"/>
      <c r="E812" s="8" t="n"/>
      <c r="F812" s="9" t="n"/>
      <c r="G812" s="9" t="n"/>
      <c r="H812" s="3">
        <f>IF(AND(D812&lt;&gt;"",F812&lt;&gt;""),F812-D812-G812,"")</f>
        <v/>
      </c>
      <c r="I812" s="14">
        <f>IF(E812&lt;&gt;"", YEARFRAC(C812, E812) * 12, "")</f>
        <v/>
      </c>
      <c r="J812" s="2">
        <f>IF(I812="", "", IF(OR(AND(A812="Listed Equity Shares", I812&gt;12), AND(A812="Unlisted Equity Shares", I812&gt;24)), "Long Term", "Short Term"))</f>
        <v/>
      </c>
      <c r="K812" s="5">
        <f>IF(J812="", "", IF(J812="Long Term", 12.5%,"as per slab"))</f>
        <v/>
      </c>
      <c r="L812" s="3">
        <f>+IFERROR(IF(J812="","",H812*K812),"as per slab")</f>
        <v/>
      </c>
    </row>
    <row r="813">
      <c r="A813" s="7" t="n"/>
      <c r="B813" s="7" t="n"/>
      <c r="C813" s="8" t="n"/>
      <c r="D813" s="9" t="n"/>
      <c r="E813" s="8" t="n"/>
      <c r="F813" s="9" t="n"/>
      <c r="G813" s="9" t="n"/>
      <c r="H813" s="3">
        <f>IF(AND(D813&lt;&gt;"",F813&lt;&gt;""),F813-D813-G813,"")</f>
        <v/>
      </c>
      <c r="I813" s="14">
        <f>IF(E813&lt;&gt;"", YEARFRAC(C813, E813) * 12, "")</f>
        <v/>
      </c>
      <c r="J813" s="2">
        <f>IF(I813="", "", IF(OR(AND(A813="Listed Equity Shares", I813&gt;12), AND(A813="Unlisted Equity Shares", I813&gt;24)), "Long Term", "Short Term"))</f>
        <v/>
      </c>
      <c r="K813" s="5">
        <f>IF(J813="", "", IF(J813="Long Term", 12.5%,"as per slab"))</f>
        <v/>
      </c>
      <c r="L813" s="3">
        <f>+IFERROR(IF(J813="","",H813*K813),"as per slab")</f>
        <v/>
      </c>
    </row>
    <row r="814">
      <c r="A814" s="7" t="n"/>
      <c r="B814" s="7" t="n"/>
      <c r="C814" s="8" t="n"/>
      <c r="D814" s="9" t="n"/>
      <c r="E814" s="8" t="n"/>
      <c r="F814" s="9" t="n"/>
      <c r="G814" s="9" t="n"/>
      <c r="H814" s="3">
        <f>IF(AND(D814&lt;&gt;"",F814&lt;&gt;""),F814-D814-G814,"")</f>
        <v/>
      </c>
      <c r="I814" s="14">
        <f>IF(E814&lt;&gt;"", YEARFRAC(C814, E814) * 12, "")</f>
        <v/>
      </c>
      <c r="J814" s="2">
        <f>IF(I814="", "", IF(OR(AND(A814="Listed Equity Shares", I814&gt;12), AND(A814="Unlisted Equity Shares", I814&gt;24)), "Long Term", "Short Term"))</f>
        <v/>
      </c>
      <c r="K814" s="5">
        <f>IF(J814="", "", IF(J814="Long Term", 12.5%,"as per slab"))</f>
        <v/>
      </c>
      <c r="L814" s="3">
        <f>+IFERROR(IF(J814="","",H814*K814),"as per slab")</f>
        <v/>
      </c>
    </row>
    <row r="815">
      <c r="A815" s="7" t="n"/>
      <c r="B815" s="7" t="n"/>
      <c r="C815" s="8" t="n"/>
      <c r="D815" s="9" t="n"/>
      <c r="E815" s="8" t="n"/>
      <c r="F815" s="9" t="n"/>
      <c r="G815" s="9" t="n"/>
      <c r="H815" s="3">
        <f>IF(AND(D815&lt;&gt;"",F815&lt;&gt;""),F815-D815-G815,"")</f>
        <v/>
      </c>
      <c r="I815" s="14">
        <f>IF(E815&lt;&gt;"", YEARFRAC(C815, E815) * 12, "")</f>
        <v/>
      </c>
      <c r="J815" s="2">
        <f>IF(I815="", "", IF(OR(AND(A815="Listed Equity Shares", I815&gt;12), AND(A815="Unlisted Equity Shares", I815&gt;24)), "Long Term", "Short Term"))</f>
        <v/>
      </c>
      <c r="K815" s="5">
        <f>IF(J815="", "", IF(J815="Long Term", 12.5%,"as per slab"))</f>
        <v/>
      </c>
      <c r="L815" s="3">
        <f>+IFERROR(IF(J815="","",H815*K815),"as per slab")</f>
        <v/>
      </c>
    </row>
    <row r="816">
      <c r="A816" s="7" t="n"/>
      <c r="B816" s="7" t="n"/>
      <c r="C816" s="8" t="n"/>
      <c r="D816" s="9" t="n"/>
      <c r="E816" s="8" t="n"/>
      <c r="F816" s="9" t="n"/>
      <c r="G816" s="9" t="n"/>
      <c r="H816" s="3">
        <f>IF(AND(D816&lt;&gt;"",F816&lt;&gt;""),F816-D816-G816,"")</f>
        <v/>
      </c>
      <c r="I816" s="14">
        <f>IF(E816&lt;&gt;"", YEARFRAC(C816, E816) * 12, "")</f>
        <v/>
      </c>
      <c r="J816" s="2">
        <f>IF(I816="", "", IF(OR(AND(A816="Listed Equity Shares", I816&gt;12), AND(A816="Unlisted Equity Shares", I816&gt;24)), "Long Term", "Short Term"))</f>
        <v/>
      </c>
      <c r="K816" s="5">
        <f>IF(J816="", "", IF(J816="Long Term", 12.5%,"as per slab"))</f>
        <v/>
      </c>
      <c r="L816" s="3">
        <f>+IFERROR(IF(J816="","",H816*K816),"as per slab")</f>
        <v/>
      </c>
    </row>
    <row r="817">
      <c r="A817" s="7" t="n"/>
      <c r="B817" s="7" t="n"/>
      <c r="C817" s="8" t="n"/>
      <c r="D817" s="9" t="n"/>
      <c r="E817" s="8" t="n"/>
      <c r="F817" s="9" t="n"/>
      <c r="G817" s="9" t="n"/>
      <c r="H817" s="3">
        <f>IF(AND(D817&lt;&gt;"",F817&lt;&gt;""),F817-D817-G817,"")</f>
        <v/>
      </c>
      <c r="I817" s="14">
        <f>IF(E817&lt;&gt;"", YEARFRAC(C817, E817) * 12, "")</f>
        <v/>
      </c>
      <c r="J817" s="2">
        <f>IF(I817="", "", IF(OR(AND(A817="Listed Equity Shares", I817&gt;12), AND(A817="Unlisted Equity Shares", I817&gt;24)), "Long Term", "Short Term"))</f>
        <v/>
      </c>
      <c r="K817" s="5">
        <f>IF(J817="", "", IF(J817="Long Term", 12.5%,"as per slab"))</f>
        <v/>
      </c>
      <c r="L817" s="3">
        <f>+IFERROR(IF(J817="","",H817*K817),"as per slab")</f>
        <v/>
      </c>
    </row>
    <row r="818">
      <c r="A818" s="7" t="n"/>
      <c r="B818" s="7" t="n"/>
      <c r="C818" s="8" t="n"/>
      <c r="D818" s="9" t="n"/>
      <c r="E818" s="8" t="n"/>
      <c r="F818" s="9" t="n"/>
      <c r="G818" s="9" t="n"/>
      <c r="H818" s="3">
        <f>IF(AND(D818&lt;&gt;"",F818&lt;&gt;""),F818-D818-G818,"")</f>
        <v/>
      </c>
      <c r="I818" s="14">
        <f>IF(E818&lt;&gt;"", YEARFRAC(C818, E818) * 12, "")</f>
        <v/>
      </c>
      <c r="J818" s="2">
        <f>IF(I818="", "", IF(OR(AND(A818="Listed Equity Shares", I818&gt;12), AND(A818="Unlisted Equity Shares", I818&gt;24)), "Long Term", "Short Term"))</f>
        <v/>
      </c>
      <c r="K818" s="5">
        <f>IF(J818="", "", IF(J818="Long Term", 12.5%,"as per slab"))</f>
        <v/>
      </c>
      <c r="L818" s="3">
        <f>+IFERROR(IF(J818="","",H818*K818),"as per slab")</f>
        <v/>
      </c>
    </row>
    <row r="819">
      <c r="A819" s="7" t="n"/>
      <c r="B819" s="7" t="n"/>
      <c r="C819" s="8" t="n"/>
      <c r="D819" s="9" t="n"/>
      <c r="E819" s="8" t="n"/>
      <c r="F819" s="9" t="n"/>
      <c r="G819" s="9" t="n"/>
      <c r="H819" s="3">
        <f>IF(AND(D819&lt;&gt;"",F819&lt;&gt;""),F819-D819-G819,"")</f>
        <v/>
      </c>
      <c r="I819" s="14">
        <f>IF(E819&lt;&gt;"", YEARFRAC(C819, E819) * 12, "")</f>
        <v/>
      </c>
      <c r="J819" s="2">
        <f>IF(I819="", "", IF(OR(AND(A819="Listed Equity Shares", I819&gt;12), AND(A819="Unlisted Equity Shares", I819&gt;24)), "Long Term", "Short Term"))</f>
        <v/>
      </c>
      <c r="K819" s="5">
        <f>IF(J819="", "", IF(J819="Long Term", 12.5%,"as per slab"))</f>
        <v/>
      </c>
      <c r="L819" s="3">
        <f>+IFERROR(IF(J819="","",H819*K819),"as per slab")</f>
        <v/>
      </c>
    </row>
    <row r="820">
      <c r="A820" s="7" t="n"/>
      <c r="B820" s="7" t="n"/>
      <c r="C820" s="8" t="n"/>
      <c r="D820" s="9" t="n"/>
      <c r="E820" s="8" t="n"/>
      <c r="F820" s="9" t="n"/>
      <c r="G820" s="9" t="n"/>
      <c r="H820" s="3">
        <f>IF(AND(D820&lt;&gt;"",F820&lt;&gt;""),F820-D820-G820,"")</f>
        <v/>
      </c>
      <c r="I820" s="14">
        <f>IF(E820&lt;&gt;"", YEARFRAC(C820, E820) * 12, "")</f>
        <v/>
      </c>
      <c r="J820" s="2">
        <f>IF(I820="", "", IF(OR(AND(A820="Listed Equity Shares", I820&gt;12), AND(A820="Unlisted Equity Shares", I820&gt;24)), "Long Term", "Short Term"))</f>
        <v/>
      </c>
      <c r="K820" s="5">
        <f>IF(J820="", "", IF(J820="Long Term", 12.5%,"as per slab"))</f>
        <v/>
      </c>
      <c r="L820" s="3">
        <f>+IFERROR(IF(J820="","",H820*K820),"as per slab")</f>
        <v/>
      </c>
    </row>
    <row r="821">
      <c r="A821" s="7" t="n"/>
      <c r="B821" s="7" t="n"/>
      <c r="C821" s="8" t="n"/>
      <c r="D821" s="9" t="n"/>
      <c r="E821" s="8" t="n"/>
      <c r="F821" s="9" t="n"/>
      <c r="G821" s="9" t="n"/>
      <c r="H821" s="3">
        <f>IF(AND(D821&lt;&gt;"",F821&lt;&gt;""),F821-D821-G821,"")</f>
        <v/>
      </c>
      <c r="I821" s="14">
        <f>IF(E821&lt;&gt;"", YEARFRAC(C821, E821) * 12, "")</f>
        <v/>
      </c>
      <c r="J821" s="2">
        <f>IF(I821="", "", IF(OR(AND(A821="Listed Equity Shares", I821&gt;12), AND(A821="Unlisted Equity Shares", I821&gt;24)), "Long Term", "Short Term"))</f>
        <v/>
      </c>
      <c r="K821" s="5">
        <f>IF(J821="", "", IF(J821="Long Term", 12.5%,"as per slab"))</f>
        <v/>
      </c>
      <c r="L821" s="3">
        <f>+IFERROR(IF(J821="","",H821*K821),"as per slab")</f>
        <v/>
      </c>
    </row>
    <row r="822">
      <c r="A822" s="7" t="n"/>
      <c r="B822" s="7" t="n"/>
      <c r="C822" s="8" t="n"/>
      <c r="D822" s="9" t="n"/>
      <c r="E822" s="8" t="n"/>
      <c r="F822" s="9" t="n"/>
      <c r="G822" s="9" t="n"/>
      <c r="H822" s="3">
        <f>IF(AND(D822&lt;&gt;"",F822&lt;&gt;""),F822-D822-G822,"")</f>
        <v/>
      </c>
      <c r="I822" s="14">
        <f>IF(E822&lt;&gt;"", YEARFRAC(C822, E822) * 12, "")</f>
        <v/>
      </c>
      <c r="J822" s="2">
        <f>IF(I822="", "", IF(OR(AND(A822="Listed Equity Shares", I822&gt;12), AND(A822="Unlisted Equity Shares", I822&gt;24)), "Long Term", "Short Term"))</f>
        <v/>
      </c>
      <c r="K822" s="5">
        <f>IF(J822="", "", IF(J822="Long Term", 12.5%,"as per slab"))</f>
        <v/>
      </c>
      <c r="L822" s="3">
        <f>+IFERROR(IF(J822="","",H822*K822),"as per slab")</f>
        <v/>
      </c>
    </row>
    <row r="823">
      <c r="A823" s="7" t="n"/>
      <c r="B823" s="7" t="n"/>
      <c r="C823" s="8" t="n"/>
      <c r="D823" s="9" t="n"/>
      <c r="E823" s="8" t="n"/>
      <c r="F823" s="9" t="n"/>
      <c r="G823" s="9" t="n"/>
      <c r="H823" s="3">
        <f>IF(AND(D823&lt;&gt;"",F823&lt;&gt;""),F823-D823-G823,"")</f>
        <v/>
      </c>
      <c r="I823" s="14">
        <f>IF(E823&lt;&gt;"", YEARFRAC(C823, E823) * 12, "")</f>
        <v/>
      </c>
      <c r="J823" s="2">
        <f>IF(I823="", "", IF(OR(AND(A823="Listed Equity Shares", I823&gt;12), AND(A823="Unlisted Equity Shares", I823&gt;24)), "Long Term", "Short Term"))</f>
        <v/>
      </c>
      <c r="K823" s="5">
        <f>IF(J823="", "", IF(J823="Long Term", 12.5%,"as per slab"))</f>
        <v/>
      </c>
      <c r="L823" s="3">
        <f>+IFERROR(IF(J823="","",H823*K823),"as per slab")</f>
        <v/>
      </c>
    </row>
    <row r="824">
      <c r="A824" s="7" t="n"/>
      <c r="B824" s="7" t="n"/>
      <c r="C824" s="8" t="n"/>
      <c r="D824" s="9" t="n"/>
      <c r="E824" s="8" t="n"/>
      <c r="F824" s="9" t="n"/>
      <c r="G824" s="9" t="n"/>
      <c r="H824" s="3">
        <f>IF(AND(D824&lt;&gt;"",F824&lt;&gt;""),F824-D824-G824,"")</f>
        <v/>
      </c>
      <c r="I824" s="14">
        <f>IF(E824&lt;&gt;"", YEARFRAC(C824, E824) * 12, "")</f>
        <v/>
      </c>
      <c r="J824" s="2">
        <f>IF(I824="", "", IF(OR(AND(A824="Listed Equity Shares", I824&gt;12), AND(A824="Unlisted Equity Shares", I824&gt;24)), "Long Term", "Short Term"))</f>
        <v/>
      </c>
      <c r="K824" s="5">
        <f>IF(J824="", "", IF(J824="Long Term", 12.5%,"as per slab"))</f>
        <v/>
      </c>
      <c r="L824" s="3">
        <f>+IFERROR(IF(J824="","",H824*K824),"as per slab")</f>
        <v/>
      </c>
    </row>
    <row r="825">
      <c r="A825" s="7" t="n"/>
      <c r="B825" s="7" t="n"/>
      <c r="C825" s="8" t="n"/>
      <c r="D825" s="9" t="n"/>
      <c r="E825" s="8" t="n"/>
      <c r="F825" s="9" t="n"/>
      <c r="G825" s="9" t="n"/>
      <c r="H825" s="3">
        <f>IF(AND(D825&lt;&gt;"",F825&lt;&gt;""),F825-D825-G825,"")</f>
        <v/>
      </c>
      <c r="I825" s="14">
        <f>IF(E825&lt;&gt;"", YEARFRAC(C825, E825) * 12, "")</f>
        <v/>
      </c>
      <c r="J825" s="2">
        <f>IF(I825="", "", IF(OR(AND(A825="Listed Equity Shares", I825&gt;12), AND(A825="Unlisted Equity Shares", I825&gt;24)), "Long Term", "Short Term"))</f>
        <v/>
      </c>
      <c r="K825" s="5">
        <f>IF(J825="", "", IF(J825="Long Term", 12.5%,"as per slab"))</f>
        <v/>
      </c>
      <c r="L825" s="3">
        <f>+IFERROR(IF(J825="","",H825*K825),"as per slab")</f>
        <v/>
      </c>
    </row>
    <row r="826">
      <c r="A826" s="7" t="n"/>
      <c r="B826" s="7" t="n"/>
      <c r="C826" s="8" t="n"/>
      <c r="D826" s="9" t="n"/>
      <c r="E826" s="8" t="n"/>
      <c r="F826" s="9" t="n"/>
      <c r="G826" s="9" t="n"/>
      <c r="H826" s="3">
        <f>IF(AND(D826&lt;&gt;"",F826&lt;&gt;""),F826-D826-G826,"")</f>
        <v/>
      </c>
      <c r="I826" s="14">
        <f>IF(E826&lt;&gt;"", YEARFRAC(C826, E826) * 12, "")</f>
        <v/>
      </c>
      <c r="J826" s="2">
        <f>IF(I826="", "", IF(OR(AND(A826="Listed Equity Shares", I826&gt;12), AND(A826="Unlisted Equity Shares", I826&gt;24)), "Long Term", "Short Term"))</f>
        <v/>
      </c>
      <c r="K826" s="5">
        <f>IF(J826="", "", IF(J826="Long Term", 12.5%,"as per slab"))</f>
        <v/>
      </c>
      <c r="L826" s="3">
        <f>+IFERROR(IF(J826="","",H826*K826),"as per slab")</f>
        <v/>
      </c>
    </row>
    <row r="827">
      <c r="A827" s="7" t="n"/>
      <c r="B827" s="7" t="n"/>
      <c r="C827" s="8" t="n"/>
      <c r="D827" s="9" t="n"/>
      <c r="E827" s="8" t="n"/>
      <c r="F827" s="9" t="n"/>
      <c r="G827" s="9" t="n"/>
      <c r="H827" s="3">
        <f>IF(AND(D827&lt;&gt;"",F827&lt;&gt;""),F827-D827-G827,"")</f>
        <v/>
      </c>
      <c r="I827" s="14">
        <f>IF(E827&lt;&gt;"", YEARFRAC(C827, E827) * 12, "")</f>
        <v/>
      </c>
      <c r="J827" s="2">
        <f>IF(I827="", "", IF(OR(AND(A827="Listed Equity Shares", I827&gt;12), AND(A827="Unlisted Equity Shares", I827&gt;24)), "Long Term", "Short Term"))</f>
        <v/>
      </c>
      <c r="K827" s="5">
        <f>IF(J827="", "", IF(J827="Long Term", 12.5%,"as per slab"))</f>
        <v/>
      </c>
      <c r="L827" s="3">
        <f>+IFERROR(IF(J827="","",H827*K827),"as per slab")</f>
        <v/>
      </c>
    </row>
    <row r="828">
      <c r="A828" s="7" t="n"/>
      <c r="B828" s="7" t="n"/>
      <c r="C828" s="8" t="n"/>
      <c r="D828" s="9" t="n"/>
      <c r="E828" s="8" t="n"/>
      <c r="F828" s="9" t="n"/>
      <c r="G828" s="9" t="n"/>
      <c r="H828" s="3">
        <f>IF(AND(D828&lt;&gt;"",F828&lt;&gt;""),F828-D828-G828,"")</f>
        <v/>
      </c>
      <c r="I828" s="14">
        <f>IF(E828&lt;&gt;"", YEARFRAC(C828, E828) * 12, "")</f>
        <v/>
      </c>
      <c r="J828" s="2">
        <f>IF(I828="", "", IF(OR(AND(A828="Listed Equity Shares", I828&gt;12), AND(A828="Unlisted Equity Shares", I828&gt;24)), "Long Term", "Short Term"))</f>
        <v/>
      </c>
      <c r="K828" s="5">
        <f>IF(J828="", "", IF(J828="Long Term", 12.5%,"as per slab"))</f>
        <v/>
      </c>
      <c r="L828" s="3">
        <f>+IFERROR(IF(J828="","",H828*K828),"as per slab")</f>
        <v/>
      </c>
    </row>
    <row r="829">
      <c r="A829" s="7" t="n"/>
      <c r="B829" s="7" t="n"/>
      <c r="C829" s="8" t="n"/>
      <c r="D829" s="9" t="n"/>
      <c r="E829" s="8" t="n"/>
      <c r="F829" s="9" t="n"/>
      <c r="G829" s="9" t="n"/>
      <c r="H829" s="3">
        <f>IF(AND(D829&lt;&gt;"",F829&lt;&gt;""),F829-D829-G829,"")</f>
        <v/>
      </c>
      <c r="I829" s="14">
        <f>IF(E829&lt;&gt;"", YEARFRAC(C829, E829) * 12, "")</f>
        <v/>
      </c>
      <c r="J829" s="2">
        <f>IF(I829="", "", IF(OR(AND(A829="Listed Equity Shares", I829&gt;12), AND(A829="Unlisted Equity Shares", I829&gt;24)), "Long Term", "Short Term"))</f>
        <v/>
      </c>
      <c r="K829" s="5">
        <f>IF(J829="", "", IF(J829="Long Term", 12.5%,"as per slab"))</f>
        <v/>
      </c>
      <c r="L829" s="3">
        <f>+IFERROR(IF(J829="","",H829*K829),"as per slab")</f>
        <v/>
      </c>
    </row>
    <row r="830">
      <c r="A830" s="7" t="n"/>
      <c r="B830" s="7" t="n"/>
      <c r="C830" s="8" t="n"/>
      <c r="D830" s="9" t="n"/>
      <c r="E830" s="8" t="n"/>
      <c r="F830" s="9" t="n"/>
      <c r="G830" s="9" t="n"/>
      <c r="H830" s="3">
        <f>IF(AND(D830&lt;&gt;"",F830&lt;&gt;""),F830-D830-G830,"")</f>
        <v/>
      </c>
      <c r="I830" s="14">
        <f>IF(E830&lt;&gt;"", YEARFRAC(C830, E830) * 12, "")</f>
        <v/>
      </c>
      <c r="J830" s="2">
        <f>IF(I830="", "", IF(OR(AND(A830="Listed Equity Shares", I830&gt;12), AND(A830="Unlisted Equity Shares", I830&gt;24)), "Long Term", "Short Term"))</f>
        <v/>
      </c>
      <c r="K830" s="5">
        <f>IF(J830="", "", IF(J830="Long Term", 12.5%,"as per slab"))</f>
        <v/>
      </c>
      <c r="L830" s="3">
        <f>+IFERROR(IF(J830="","",H830*K830),"as per slab")</f>
        <v/>
      </c>
    </row>
    <row r="831">
      <c r="A831" s="7" t="n"/>
      <c r="B831" s="7" t="n"/>
      <c r="C831" s="8" t="n"/>
      <c r="D831" s="9" t="n"/>
      <c r="E831" s="8" t="n"/>
      <c r="F831" s="9" t="n"/>
      <c r="G831" s="9" t="n"/>
      <c r="H831" s="3">
        <f>IF(AND(D831&lt;&gt;"",F831&lt;&gt;""),F831-D831-G831,"")</f>
        <v/>
      </c>
      <c r="I831" s="14">
        <f>IF(E831&lt;&gt;"", YEARFRAC(C831, E831) * 12, "")</f>
        <v/>
      </c>
      <c r="J831" s="2">
        <f>IF(I831="", "", IF(OR(AND(A831="Listed Equity Shares", I831&gt;12), AND(A831="Unlisted Equity Shares", I831&gt;24)), "Long Term", "Short Term"))</f>
        <v/>
      </c>
      <c r="K831" s="5">
        <f>IF(J831="", "", IF(J831="Long Term", 12.5%,"as per slab"))</f>
        <v/>
      </c>
      <c r="L831" s="3">
        <f>+IFERROR(IF(J831="","",H831*K831),"as per slab")</f>
        <v/>
      </c>
    </row>
    <row r="832">
      <c r="A832" s="7" t="n"/>
      <c r="B832" s="7" t="n"/>
      <c r="C832" s="8" t="n"/>
      <c r="D832" s="9" t="n"/>
      <c r="E832" s="8" t="n"/>
      <c r="F832" s="9" t="n"/>
      <c r="G832" s="9" t="n"/>
      <c r="H832" s="3">
        <f>IF(AND(D832&lt;&gt;"",F832&lt;&gt;""),F832-D832-G832,"")</f>
        <v/>
      </c>
      <c r="I832" s="14">
        <f>IF(E832&lt;&gt;"", YEARFRAC(C832, E832) * 12, "")</f>
        <v/>
      </c>
      <c r="J832" s="2">
        <f>IF(I832="", "", IF(OR(AND(A832="Listed Equity Shares", I832&gt;12), AND(A832="Unlisted Equity Shares", I832&gt;24)), "Long Term", "Short Term"))</f>
        <v/>
      </c>
      <c r="K832" s="5">
        <f>IF(J832="", "", IF(J832="Long Term", 12.5%,"as per slab"))</f>
        <v/>
      </c>
      <c r="L832" s="3">
        <f>+IFERROR(IF(J832="","",H832*K832),"as per slab")</f>
        <v/>
      </c>
    </row>
    <row r="833">
      <c r="A833" s="7" t="n"/>
      <c r="B833" s="7" t="n"/>
      <c r="C833" s="8" t="n"/>
      <c r="D833" s="9" t="n"/>
      <c r="E833" s="8" t="n"/>
      <c r="F833" s="9" t="n"/>
      <c r="G833" s="9" t="n"/>
      <c r="H833" s="3">
        <f>IF(AND(D833&lt;&gt;"",F833&lt;&gt;""),F833-D833-G833,"")</f>
        <v/>
      </c>
      <c r="I833" s="14">
        <f>IF(E833&lt;&gt;"", YEARFRAC(C833, E833) * 12, "")</f>
        <v/>
      </c>
      <c r="J833" s="2">
        <f>IF(I833="", "", IF(OR(AND(A833="Listed Equity Shares", I833&gt;12), AND(A833="Unlisted Equity Shares", I833&gt;24)), "Long Term", "Short Term"))</f>
        <v/>
      </c>
      <c r="K833" s="5">
        <f>IF(J833="", "", IF(J833="Long Term", 12.5%,"as per slab"))</f>
        <v/>
      </c>
      <c r="L833" s="3">
        <f>+IFERROR(IF(J833="","",H833*K833),"as per slab")</f>
        <v/>
      </c>
    </row>
    <row r="834">
      <c r="A834" s="7" t="n"/>
      <c r="B834" s="7" t="n"/>
      <c r="C834" s="8" t="n"/>
      <c r="D834" s="9" t="n"/>
      <c r="E834" s="8" t="n"/>
      <c r="F834" s="9" t="n"/>
      <c r="G834" s="9" t="n"/>
      <c r="H834" s="3">
        <f>IF(AND(D834&lt;&gt;"",F834&lt;&gt;""),F834-D834-G834,"")</f>
        <v/>
      </c>
      <c r="I834" s="14">
        <f>IF(E834&lt;&gt;"", YEARFRAC(C834, E834) * 12, "")</f>
        <v/>
      </c>
      <c r="J834" s="2">
        <f>IF(I834="", "", IF(OR(AND(A834="Listed Equity Shares", I834&gt;12), AND(A834="Unlisted Equity Shares", I834&gt;24)), "Long Term", "Short Term"))</f>
        <v/>
      </c>
      <c r="K834" s="5">
        <f>IF(J834="", "", IF(J834="Long Term", 12.5%,"as per slab"))</f>
        <v/>
      </c>
      <c r="L834" s="3">
        <f>+IFERROR(IF(J834="","",H834*K834),"as per slab")</f>
        <v/>
      </c>
    </row>
    <row r="835">
      <c r="A835" s="7" t="n"/>
      <c r="B835" s="7" t="n"/>
      <c r="C835" s="8" t="n"/>
      <c r="D835" s="9" t="n"/>
      <c r="E835" s="8" t="n"/>
      <c r="F835" s="9" t="n"/>
      <c r="G835" s="9" t="n"/>
      <c r="H835" s="3">
        <f>IF(AND(D835&lt;&gt;"",F835&lt;&gt;""),F835-D835-G835,"")</f>
        <v/>
      </c>
      <c r="I835" s="14">
        <f>IF(E835&lt;&gt;"", YEARFRAC(C835, E835) * 12, "")</f>
        <v/>
      </c>
      <c r="J835" s="2">
        <f>IF(I835="", "", IF(OR(AND(A835="Listed Equity Shares", I835&gt;12), AND(A835="Unlisted Equity Shares", I835&gt;24)), "Long Term", "Short Term"))</f>
        <v/>
      </c>
      <c r="K835" s="5">
        <f>IF(J835="", "", IF(J835="Long Term", 12.5%,"as per slab"))</f>
        <v/>
      </c>
      <c r="L835" s="3">
        <f>+IFERROR(IF(J835="","",H835*K835),"as per slab")</f>
        <v/>
      </c>
    </row>
    <row r="836">
      <c r="A836" s="7" t="n"/>
      <c r="B836" s="7" t="n"/>
      <c r="C836" s="8" t="n"/>
      <c r="D836" s="9" t="n"/>
      <c r="E836" s="8" t="n"/>
      <c r="F836" s="9" t="n"/>
      <c r="G836" s="9" t="n"/>
      <c r="H836" s="3">
        <f>IF(AND(D836&lt;&gt;"",F836&lt;&gt;""),F836-D836-G836,"")</f>
        <v/>
      </c>
      <c r="I836" s="14">
        <f>IF(E836&lt;&gt;"", YEARFRAC(C836, E836) * 12, "")</f>
        <v/>
      </c>
      <c r="J836" s="2">
        <f>IF(I836="", "", IF(OR(AND(A836="Listed Equity Shares", I836&gt;12), AND(A836="Unlisted Equity Shares", I836&gt;24)), "Long Term", "Short Term"))</f>
        <v/>
      </c>
      <c r="K836" s="5">
        <f>IF(J836="", "", IF(J836="Long Term", 12.5%,"as per slab"))</f>
        <v/>
      </c>
      <c r="L836" s="3">
        <f>+IFERROR(IF(J836="","",H836*K836),"as per slab")</f>
        <v/>
      </c>
    </row>
    <row r="837">
      <c r="A837" s="7" t="n"/>
      <c r="B837" s="7" t="n"/>
      <c r="C837" s="8" t="n"/>
      <c r="D837" s="9" t="n"/>
      <c r="E837" s="8" t="n"/>
      <c r="F837" s="9" t="n"/>
      <c r="G837" s="9" t="n"/>
      <c r="H837" s="3">
        <f>IF(AND(D837&lt;&gt;"",F837&lt;&gt;""),F837-D837-G837,"")</f>
        <v/>
      </c>
      <c r="I837" s="14">
        <f>IF(E837&lt;&gt;"", YEARFRAC(C837, E837) * 12, "")</f>
        <v/>
      </c>
      <c r="J837" s="2">
        <f>IF(I837="", "", IF(OR(AND(A837="Listed Equity Shares", I837&gt;12), AND(A837="Unlisted Equity Shares", I837&gt;24)), "Long Term", "Short Term"))</f>
        <v/>
      </c>
      <c r="K837" s="5">
        <f>IF(J837="", "", IF(J837="Long Term", 12.5%,"as per slab"))</f>
        <v/>
      </c>
      <c r="L837" s="3">
        <f>+IFERROR(IF(J837="","",H837*K837),"as per slab")</f>
        <v/>
      </c>
    </row>
    <row r="838">
      <c r="A838" s="7" t="n"/>
      <c r="B838" s="7" t="n"/>
      <c r="C838" s="8" t="n"/>
      <c r="D838" s="9" t="n"/>
      <c r="E838" s="8" t="n"/>
      <c r="F838" s="9" t="n"/>
      <c r="G838" s="9" t="n"/>
      <c r="H838" s="3">
        <f>IF(AND(D838&lt;&gt;"",F838&lt;&gt;""),F838-D838-G838,"")</f>
        <v/>
      </c>
      <c r="I838" s="14">
        <f>IF(E838&lt;&gt;"", YEARFRAC(C838, E838) * 12, "")</f>
        <v/>
      </c>
      <c r="J838" s="2">
        <f>IF(I838="", "", IF(OR(AND(A838="Listed Equity Shares", I838&gt;12), AND(A838="Unlisted Equity Shares", I838&gt;24)), "Long Term", "Short Term"))</f>
        <v/>
      </c>
      <c r="K838" s="5">
        <f>IF(J838="", "", IF(J838="Long Term", 12.5%,"as per slab"))</f>
        <v/>
      </c>
      <c r="L838" s="3">
        <f>+IFERROR(IF(J838="","",H838*K838),"as per slab")</f>
        <v/>
      </c>
    </row>
    <row r="839">
      <c r="A839" s="7" t="n"/>
      <c r="B839" s="7" t="n"/>
      <c r="C839" s="8" t="n"/>
      <c r="D839" s="9" t="n"/>
      <c r="E839" s="8" t="n"/>
      <c r="F839" s="9" t="n"/>
      <c r="G839" s="9" t="n"/>
      <c r="H839" s="3">
        <f>IF(AND(D839&lt;&gt;"",F839&lt;&gt;""),F839-D839-G839,"")</f>
        <v/>
      </c>
      <c r="I839" s="14">
        <f>IF(E839&lt;&gt;"", YEARFRAC(C839, E839) * 12, "")</f>
        <v/>
      </c>
      <c r="J839" s="2">
        <f>IF(I839="", "", IF(OR(AND(A839="Listed Equity Shares", I839&gt;12), AND(A839="Unlisted Equity Shares", I839&gt;24)), "Long Term", "Short Term"))</f>
        <v/>
      </c>
      <c r="K839" s="5">
        <f>IF(J839="", "", IF(J839="Long Term", 12.5%,"as per slab"))</f>
        <v/>
      </c>
      <c r="L839" s="3">
        <f>+IFERROR(IF(J839="","",H839*K839),"as per slab")</f>
        <v/>
      </c>
    </row>
    <row r="840">
      <c r="A840" s="7" t="n"/>
      <c r="B840" s="7" t="n"/>
      <c r="C840" s="8" t="n"/>
      <c r="D840" s="9" t="n"/>
      <c r="E840" s="8" t="n"/>
      <c r="F840" s="9" t="n"/>
      <c r="G840" s="9" t="n"/>
      <c r="H840" s="3">
        <f>IF(AND(D840&lt;&gt;"",F840&lt;&gt;""),F840-D840-G840,"")</f>
        <v/>
      </c>
      <c r="I840" s="14">
        <f>IF(E840&lt;&gt;"", YEARFRAC(C840, E840) * 12, "")</f>
        <v/>
      </c>
      <c r="J840" s="2">
        <f>IF(I840="", "", IF(OR(AND(A840="Listed Equity Shares", I840&gt;12), AND(A840="Unlisted Equity Shares", I840&gt;24)), "Long Term", "Short Term"))</f>
        <v/>
      </c>
      <c r="K840" s="5">
        <f>IF(J840="", "", IF(J840="Long Term", 12.5%,"as per slab"))</f>
        <v/>
      </c>
      <c r="L840" s="3">
        <f>+IFERROR(IF(J840="","",H840*K840),"as per slab")</f>
        <v/>
      </c>
    </row>
    <row r="841">
      <c r="A841" s="7" t="n"/>
      <c r="B841" s="7" t="n"/>
      <c r="C841" s="8" t="n"/>
      <c r="D841" s="9" t="n"/>
      <c r="E841" s="8" t="n"/>
      <c r="F841" s="9" t="n"/>
      <c r="G841" s="9" t="n"/>
      <c r="H841" s="3">
        <f>IF(AND(D841&lt;&gt;"",F841&lt;&gt;""),F841-D841-G841,"")</f>
        <v/>
      </c>
      <c r="I841" s="14">
        <f>IF(E841&lt;&gt;"", YEARFRAC(C841, E841) * 12, "")</f>
        <v/>
      </c>
      <c r="J841" s="2">
        <f>IF(I841="", "", IF(OR(AND(A841="Listed Equity Shares", I841&gt;12), AND(A841="Unlisted Equity Shares", I841&gt;24)), "Long Term", "Short Term"))</f>
        <v/>
      </c>
      <c r="K841" s="5">
        <f>IF(J841="", "", IF(J841="Long Term", 12.5%,"as per slab"))</f>
        <v/>
      </c>
      <c r="L841" s="3">
        <f>+IFERROR(IF(J841="","",H841*K841),"as per slab")</f>
        <v/>
      </c>
    </row>
    <row r="842">
      <c r="A842" s="7" t="n"/>
      <c r="B842" s="7" t="n"/>
      <c r="C842" s="8" t="n"/>
      <c r="D842" s="9" t="n"/>
      <c r="E842" s="8" t="n"/>
      <c r="F842" s="9" t="n"/>
      <c r="G842" s="9" t="n"/>
      <c r="H842" s="3">
        <f>IF(AND(D842&lt;&gt;"",F842&lt;&gt;""),F842-D842-G842,"")</f>
        <v/>
      </c>
      <c r="I842" s="14">
        <f>IF(E842&lt;&gt;"", YEARFRAC(C842, E842) * 12, "")</f>
        <v/>
      </c>
      <c r="J842" s="2">
        <f>IF(I842="", "", IF(OR(AND(A842="Listed Equity Shares", I842&gt;12), AND(A842="Unlisted Equity Shares", I842&gt;24)), "Long Term", "Short Term"))</f>
        <v/>
      </c>
      <c r="K842" s="5">
        <f>IF(J842="", "", IF(J842="Long Term", 12.5%,"as per slab"))</f>
        <v/>
      </c>
      <c r="L842" s="3">
        <f>+IFERROR(IF(J842="","",H842*K842),"as per slab")</f>
        <v/>
      </c>
    </row>
    <row r="843">
      <c r="A843" s="7" t="n"/>
      <c r="B843" s="7" t="n"/>
      <c r="C843" s="8" t="n"/>
      <c r="D843" s="9" t="n"/>
      <c r="E843" s="8" t="n"/>
      <c r="F843" s="9" t="n"/>
      <c r="G843" s="9" t="n"/>
      <c r="H843" s="3">
        <f>IF(AND(D843&lt;&gt;"",F843&lt;&gt;""),F843-D843-G843,"")</f>
        <v/>
      </c>
      <c r="I843" s="14">
        <f>IF(E843&lt;&gt;"", YEARFRAC(C843, E843) * 12, "")</f>
        <v/>
      </c>
      <c r="J843" s="2">
        <f>IF(I843="", "", IF(OR(AND(A843="Listed Equity Shares", I843&gt;12), AND(A843="Unlisted Equity Shares", I843&gt;24)), "Long Term", "Short Term"))</f>
        <v/>
      </c>
      <c r="K843" s="5">
        <f>IF(J843="", "", IF(J843="Long Term", 12.5%,"as per slab"))</f>
        <v/>
      </c>
      <c r="L843" s="3">
        <f>+IFERROR(IF(J843="","",H843*K843),"as per slab")</f>
        <v/>
      </c>
    </row>
    <row r="844">
      <c r="A844" s="7" t="n"/>
      <c r="B844" s="7" t="n"/>
      <c r="C844" s="8" t="n"/>
      <c r="D844" s="9" t="n"/>
      <c r="E844" s="8" t="n"/>
      <c r="F844" s="9" t="n"/>
      <c r="G844" s="9" t="n"/>
      <c r="H844" s="3">
        <f>IF(AND(D844&lt;&gt;"",F844&lt;&gt;""),F844-D844-G844,"")</f>
        <v/>
      </c>
      <c r="I844" s="14">
        <f>IF(E844&lt;&gt;"", YEARFRAC(C844, E844) * 12, "")</f>
        <v/>
      </c>
      <c r="J844" s="2">
        <f>IF(I844="", "", IF(OR(AND(A844="Listed Equity Shares", I844&gt;12), AND(A844="Unlisted Equity Shares", I844&gt;24)), "Long Term", "Short Term"))</f>
        <v/>
      </c>
      <c r="K844" s="5">
        <f>IF(J844="", "", IF(J844="Long Term", 12.5%,"as per slab"))</f>
        <v/>
      </c>
      <c r="L844" s="3">
        <f>+IFERROR(IF(J844="","",H844*K844),"as per slab")</f>
        <v/>
      </c>
    </row>
    <row r="845">
      <c r="A845" s="7" t="n"/>
      <c r="B845" s="7" t="n"/>
      <c r="C845" s="8" t="n"/>
      <c r="D845" s="9" t="n"/>
      <c r="E845" s="8" t="n"/>
      <c r="F845" s="9" t="n"/>
      <c r="G845" s="9" t="n"/>
      <c r="H845" s="3">
        <f>IF(AND(D845&lt;&gt;"",F845&lt;&gt;""),F845-D845-G845,"")</f>
        <v/>
      </c>
      <c r="I845" s="14">
        <f>IF(E845&lt;&gt;"", YEARFRAC(C845, E845) * 12, "")</f>
        <v/>
      </c>
      <c r="J845" s="2">
        <f>IF(I845="", "", IF(OR(AND(A845="Listed Equity Shares", I845&gt;12), AND(A845="Unlisted Equity Shares", I845&gt;24)), "Long Term", "Short Term"))</f>
        <v/>
      </c>
      <c r="K845" s="5">
        <f>IF(J845="", "", IF(J845="Long Term", 12.5%,"as per slab"))</f>
        <v/>
      </c>
      <c r="L845" s="3">
        <f>+IFERROR(IF(J845="","",H845*K845),"as per slab")</f>
        <v/>
      </c>
    </row>
    <row r="846">
      <c r="A846" s="7" t="n"/>
      <c r="B846" s="7" t="n"/>
      <c r="C846" s="8" t="n"/>
      <c r="D846" s="9" t="n"/>
      <c r="E846" s="8" t="n"/>
      <c r="F846" s="9" t="n"/>
      <c r="G846" s="9" t="n"/>
      <c r="H846" s="3">
        <f>IF(AND(D846&lt;&gt;"",F846&lt;&gt;""),F846-D846-G846,"")</f>
        <v/>
      </c>
      <c r="I846" s="14">
        <f>IF(E846&lt;&gt;"", YEARFRAC(C846, E846) * 12, "")</f>
        <v/>
      </c>
      <c r="J846" s="2">
        <f>IF(I846="", "", IF(OR(AND(A846="Listed Equity Shares", I846&gt;12), AND(A846="Unlisted Equity Shares", I846&gt;24)), "Long Term", "Short Term"))</f>
        <v/>
      </c>
      <c r="K846" s="5">
        <f>IF(J846="", "", IF(J846="Long Term", 12.5%,"as per slab"))</f>
        <v/>
      </c>
      <c r="L846" s="3">
        <f>+IFERROR(IF(J846="","",H846*K846),"as per slab")</f>
        <v/>
      </c>
    </row>
    <row r="847">
      <c r="A847" s="7" t="n"/>
      <c r="B847" s="7" t="n"/>
      <c r="C847" s="8" t="n"/>
      <c r="D847" s="9" t="n"/>
      <c r="E847" s="8" t="n"/>
      <c r="F847" s="9" t="n"/>
      <c r="G847" s="9" t="n"/>
      <c r="H847" s="3">
        <f>IF(AND(D847&lt;&gt;"",F847&lt;&gt;""),F847-D847-G847,"")</f>
        <v/>
      </c>
      <c r="I847" s="14">
        <f>IF(E847&lt;&gt;"", YEARFRAC(C847, E847) * 12, "")</f>
        <v/>
      </c>
      <c r="J847" s="2">
        <f>IF(I847="", "", IF(OR(AND(A847="Listed Equity Shares", I847&gt;12), AND(A847="Unlisted Equity Shares", I847&gt;24)), "Long Term", "Short Term"))</f>
        <v/>
      </c>
      <c r="K847" s="5">
        <f>IF(J847="", "", IF(J847="Long Term", 12.5%,"as per slab"))</f>
        <v/>
      </c>
      <c r="L847" s="3">
        <f>+IFERROR(IF(J847="","",H847*K847),"as per slab")</f>
        <v/>
      </c>
    </row>
    <row r="848">
      <c r="A848" s="7" t="n"/>
      <c r="B848" s="7" t="n"/>
      <c r="C848" s="8" t="n"/>
      <c r="D848" s="9" t="n"/>
      <c r="E848" s="8" t="n"/>
      <c r="F848" s="9" t="n"/>
      <c r="G848" s="9" t="n"/>
      <c r="H848" s="3">
        <f>IF(AND(D848&lt;&gt;"",F848&lt;&gt;""),F848-D848-G848,"")</f>
        <v/>
      </c>
      <c r="I848" s="14">
        <f>IF(E848&lt;&gt;"", YEARFRAC(C848, E848) * 12, "")</f>
        <v/>
      </c>
      <c r="J848" s="2">
        <f>IF(I848="", "", IF(OR(AND(A848="Listed Equity Shares", I848&gt;12), AND(A848="Unlisted Equity Shares", I848&gt;24)), "Long Term", "Short Term"))</f>
        <v/>
      </c>
      <c r="K848" s="5">
        <f>IF(J848="", "", IF(J848="Long Term", 12.5%,"as per slab"))</f>
        <v/>
      </c>
      <c r="L848" s="3">
        <f>+IFERROR(IF(J848="","",H848*K848),"as per slab")</f>
        <v/>
      </c>
    </row>
    <row r="849">
      <c r="A849" s="7" t="n"/>
      <c r="B849" s="7" t="n"/>
      <c r="C849" s="8" t="n"/>
      <c r="D849" s="9" t="n"/>
      <c r="E849" s="8" t="n"/>
      <c r="F849" s="9" t="n"/>
      <c r="G849" s="9" t="n"/>
      <c r="H849" s="3">
        <f>IF(AND(D849&lt;&gt;"",F849&lt;&gt;""),F849-D849-G849,"")</f>
        <v/>
      </c>
      <c r="I849" s="14">
        <f>IF(E849&lt;&gt;"", YEARFRAC(C849, E849) * 12, "")</f>
        <v/>
      </c>
      <c r="J849" s="2">
        <f>IF(I849="", "", IF(OR(AND(A849="Listed Equity Shares", I849&gt;12), AND(A849="Unlisted Equity Shares", I849&gt;24)), "Long Term", "Short Term"))</f>
        <v/>
      </c>
      <c r="K849" s="5">
        <f>IF(J849="", "", IF(J849="Long Term", 12.5%,"as per slab"))</f>
        <v/>
      </c>
      <c r="L849" s="3">
        <f>+IFERROR(IF(J849="","",H849*K849),"as per slab")</f>
        <v/>
      </c>
    </row>
    <row r="850">
      <c r="A850" s="7" t="n"/>
      <c r="B850" s="7" t="n"/>
      <c r="C850" s="8" t="n"/>
      <c r="D850" s="9" t="n"/>
      <c r="E850" s="8" t="n"/>
      <c r="F850" s="9" t="n"/>
      <c r="G850" s="9" t="n"/>
      <c r="H850" s="3">
        <f>IF(AND(D850&lt;&gt;"",F850&lt;&gt;""),F850-D850-G850,"")</f>
        <v/>
      </c>
      <c r="I850" s="14">
        <f>IF(E850&lt;&gt;"", YEARFRAC(C850, E850) * 12, "")</f>
        <v/>
      </c>
      <c r="J850" s="2">
        <f>IF(I850="", "", IF(OR(AND(A850="Listed Equity Shares", I850&gt;12), AND(A850="Unlisted Equity Shares", I850&gt;24)), "Long Term", "Short Term"))</f>
        <v/>
      </c>
      <c r="K850" s="5">
        <f>IF(J850="", "", IF(J850="Long Term", 12.5%,"as per slab"))</f>
        <v/>
      </c>
      <c r="L850" s="3">
        <f>+IFERROR(IF(J850="","",H850*K850),"as per slab")</f>
        <v/>
      </c>
    </row>
    <row r="851">
      <c r="A851" s="7" t="n"/>
      <c r="B851" s="7" t="n"/>
      <c r="C851" s="8" t="n"/>
      <c r="D851" s="9" t="n"/>
      <c r="E851" s="8" t="n"/>
      <c r="F851" s="9" t="n"/>
      <c r="G851" s="9" t="n"/>
      <c r="H851" s="3">
        <f>IF(AND(D851&lt;&gt;"",F851&lt;&gt;""),F851-D851-G851,"")</f>
        <v/>
      </c>
      <c r="I851" s="14">
        <f>IF(E851&lt;&gt;"", YEARFRAC(C851, E851) * 12, "")</f>
        <v/>
      </c>
      <c r="J851" s="2">
        <f>IF(I851="", "", IF(OR(AND(A851="Listed Equity Shares", I851&gt;12), AND(A851="Unlisted Equity Shares", I851&gt;24)), "Long Term", "Short Term"))</f>
        <v/>
      </c>
      <c r="K851" s="5">
        <f>IF(J851="", "", IF(J851="Long Term", 12.5%,"as per slab"))</f>
        <v/>
      </c>
      <c r="L851" s="3">
        <f>+IFERROR(IF(J851="","",H851*K851),"as per slab")</f>
        <v/>
      </c>
    </row>
    <row r="852">
      <c r="A852" s="7" t="n"/>
      <c r="B852" s="7" t="n"/>
      <c r="C852" s="8" t="n"/>
      <c r="D852" s="9" t="n"/>
      <c r="E852" s="8" t="n"/>
      <c r="F852" s="9" t="n"/>
      <c r="G852" s="9" t="n"/>
      <c r="H852" s="3">
        <f>IF(AND(D852&lt;&gt;"",F852&lt;&gt;""),F852-D852-G852,"")</f>
        <v/>
      </c>
      <c r="I852" s="14">
        <f>IF(E852&lt;&gt;"", YEARFRAC(C852, E852) * 12, "")</f>
        <v/>
      </c>
      <c r="J852" s="2">
        <f>IF(I852="", "", IF(OR(AND(A852="Listed Equity Shares", I852&gt;12), AND(A852="Unlisted Equity Shares", I852&gt;24)), "Long Term", "Short Term"))</f>
        <v/>
      </c>
      <c r="K852" s="5">
        <f>IF(J852="", "", IF(J852="Long Term", 12.5%,"as per slab"))</f>
        <v/>
      </c>
      <c r="L852" s="3">
        <f>+IFERROR(IF(J852="","",H852*K852),"as per slab")</f>
        <v/>
      </c>
    </row>
    <row r="853">
      <c r="A853" s="7" t="n"/>
      <c r="B853" s="7" t="n"/>
      <c r="C853" s="8" t="n"/>
      <c r="D853" s="9" t="n"/>
      <c r="E853" s="8" t="n"/>
      <c r="F853" s="9" t="n"/>
      <c r="G853" s="9" t="n"/>
      <c r="H853" s="3">
        <f>IF(AND(D853&lt;&gt;"",F853&lt;&gt;""),F853-D853-G853,"")</f>
        <v/>
      </c>
      <c r="I853" s="14">
        <f>IF(E853&lt;&gt;"", YEARFRAC(C853, E853) * 12, "")</f>
        <v/>
      </c>
      <c r="J853" s="2">
        <f>IF(I853="", "", IF(OR(AND(A853="Listed Equity Shares", I853&gt;12), AND(A853="Unlisted Equity Shares", I853&gt;24)), "Long Term", "Short Term"))</f>
        <v/>
      </c>
      <c r="K853" s="5">
        <f>IF(J853="", "", IF(J853="Long Term", 12.5%,"as per slab"))</f>
        <v/>
      </c>
      <c r="L853" s="3">
        <f>+IFERROR(IF(J853="","",H853*K853),"as per slab")</f>
        <v/>
      </c>
    </row>
    <row r="854">
      <c r="A854" s="7" t="n"/>
      <c r="B854" s="7" t="n"/>
      <c r="C854" s="8" t="n"/>
      <c r="D854" s="9" t="n"/>
      <c r="E854" s="8" t="n"/>
      <c r="F854" s="9" t="n"/>
      <c r="G854" s="9" t="n"/>
      <c r="H854" s="3">
        <f>IF(AND(D854&lt;&gt;"",F854&lt;&gt;""),F854-D854-G854,"")</f>
        <v/>
      </c>
      <c r="I854" s="14">
        <f>IF(E854&lt;&gt;"", YEARFRAC(C854, E854) * 12, "")</f>
        <v/>
      </c>
      <c r="J854" s="2">
        <f>IF(I854="", "", IF(OR(AND(A854="Listed Equity Shares", I854&gt;12), AND(A854="Unlisted Equity Shares", I854&gt;24)), "Long Term", "Short Term"))</f>
        <v/>
      </c>
      <c r="K854" s="5">
        <f>IF(J854="", "", IF(J854="Long Term", 12.5%,"as per slab"))</f>
        <v/>
      </c>
      <c r="L854" s="3">
        <f>+IFERROR(IF(J854="","",H854*K854),"as per slab")</f>
        <v/>
      </c>
    </row>
    <row r="855">
      <c r="A855" s="7" t="n"/>
      <c r="B855" s="7" t="n"/>
      <c r="C855" s="8" t="n"/>
      <c r="D855" s="9" t="n"/>
      <c r="E855" s="8" t="n"/>
      <c r="F855" s="9" t="n"/>
      <c r="G855" s="9" t="n"/>
      <c r="H855" s="3">
        <f>IF(AND(D855&lt;&gt;"",F855&lt;&gt;""),F855-D855-G855,"")</f>
        <v/>
      </c>
      <c r="I855" s="14">
        <f>IF(E855&lt;&gt;"", YEARFRAC(C855, E855) * 12, "")</f>
        <v/>
      </c>
      <c r="J855" s="2">
        <f>IF(I855="", "", IF(OR(AND(A855="Listed Equity Shares", I855&gt;12), AND(A855="Unlisted Equity Shares", I855&gt;24)), "Long Term", "Short Term"))</f>
        <v/>
      </c>
      <c r="K855" s="5">
        <f>IF(J855="", "", IF(J855="Long Term", 12.5%,"as per slab"))</f>
        <v/>
      </c>
      <c r="L855" s="3">
        <f>+IFERROR(IF(J855="","",H855*K855),"as per slab")</f>
        <v/>
      </c>
    </row>
    <row r="856">
      <c r="A856" s="7" t="n"/>
      <c r="B856" s="7" t="n"/>
      <c r="C856" s="8" t="n"/>
      <c r="D856" s="9" t="n"/>
      <c r="E856" s="8" t="n"/>
      <c r="F856" s="9" t="n"/>
      <c r="G856" s="9" t="n"/>
      <c r="H856" s="3">
        <f>IF(AND(D856&lt;&gt;"",F856&lt;&gt;""),F856-D856-G856,"")</f>
        <v/>
      </c>
      <c r="I856" s="14">
        <f>IF(E856&lt;&gt;"", YEARFRAC(C856, E856) * 12, "")</f>
        <v/>
      </c>
      <c r="J856" s="2">
        <f>IF(I856="", "", IF(OR(AND(A856="Listed Equity Shares", I856&gt;12), AND(A856="Unlisted Equity Shares", I856&gt;24)), "Long Term", "Short Term"))</f>
        <v/>
      </c>
      <c r="K856" s="5">
        <f>IF(J856="", "", IF(J856="Long Term", 12.5%,"as per slab"))</f>
        <v/>
      </c>
      <c r="L856" s="3">
        <f>+IFERROR(IF(J856="","",H856*K856),"as per slab")</f>
        <v/>
      </c>
    </row>
    <row r="857">
      <c r="A857" s="7" t="n"/>
      <c r="B857" s="7" t="n"/>
      <c r="C857" s="8" t="n"/>
      <c r="D857" s="9" t="n"/>
      <c r="E857" s="8" t="n"/>
      <c r="F857" s="9" t="n"/>
      <c r="G857" s="9" t="n"/>
      <c r="H857" s="3">
        <f>IF(AND(D857&lt;&gt;"",F857&lt;&gt;""),F857-D857-G857,"")</f>
        <v/>
      </c>
      <c r="I857" s="14">
        <f>IF(E857&lt;&gt;"", YEARFRAC(C857, E857) * 12, "")</f>
        <v/>
      </c>
      <c r="J857" s="2">
        <f>IF(I857="", "", IF(OR(AND(A857="Listed Equity Shares", I857&gt;12), AND(A857="Unlisted Equity Shares", I857&gt;24)), "Long Term", "Short Term"))</f>
        <v/>
      </c>
      <c r="K857" s="5">
        <f>IF(J857="", "", IF(J857="Long Term", 12.5%,"as per slab"))</f>
        <v/>
      </c>
      <c r="L857" s="3">
        <f>+IFERROR(IF(J857="","",H857*K857),"as per slab")</f>
        <v/>
      </c>
    </row>
    <row r="858">
      <c r="A858" s="7" t="n"/>
      <c r="B858" s="7" t="n"/>
      <c r="C858" s="8" t="n"/>
      <c r="D858" s="9" t="n"/>
      <c r="E858" s="8" t="n"/>
      <c r="F858" s="9" t="n"/>
      <c r="G858" s="9" t="n"/>
      <c r="H858" s="3">
        <f>IF(AND(D858&lt;&gt;"",F858&lt;&gt;""),F858-D858-G858,"")</f>
        <v/>
      </c>
      <c r="I858" s="14">
        <f>IF(E858&lt;&gt;"", YEARFRAC(C858, E858) * 12, "")</f>
        <v/>
      </c>
      <c r="J858" s="2">
        <f>IF(I858="", "", IF(OR(AND(A858="Listed Equity Shares", I858&gt;12), AND(A858="Unlisted Equity Shares", I858&gt;24)), "Long Term", "Short Term"))</f>
        <v/>
      </c>
      <c r="K858" s="5">
        <f>IF(J858="", "", IF(J858="Long Term", 12.5%,"as per slab"))</f>
        <v/>
      </c>
      <c r="L858" s="3">
        <f>+IFERROR(IF(J858="","",H858*K858),"as per slab")</f>
        <v/>
      </c>
    </row>
    <row r="859">
      <c r="A859" s="7" t="n"/>
      <c r="B859" s="7" t="n"/>
      <c r="C859" s="8" t="n"/>
      <c r="D859" s="9" t="n"/>
      <c r="E859" s="8" t="n"/>
      <c r="F859" s="9" t="n"/>
      <c r="G859" s="9" t="n"/>
      <c r="H859" s="3">
        <f>IF(AND(D859&lt;&gt;"",F859&lt;&gt;""),F859-D859-G859,"")</f>
        <v/>
      </c>
      <c r="I859" s="14">
        <f>IF(E859&lt;&gt;"", YEARFRAC(C859, E859) * 12, "")</f>
        <v/>
      </c>
      <c r="J859" s="2">
        <f>IF(I859="", "", IF(OR(AND(A859="Listed Equity Shares", I859&gt;12), AND(A859="Unlisted Equity Shares", I859&gt;24)), "Long Term", "Short Term"))</f>
        <v/>
      </c>
      <c r="K859" s="5">
        <f>IF(J859="", "", IF(J859="Long Term", 12.5%,"as per slab"))</f>
        <v/>
      </c>
      <c r="L859" s="3">
        <f>+IFERROR(IF(J859="","",H859*K859),"as per slab")</f>
        <v/>
      </c>
    </row>
    <row r="860">
      <c r="A860" s="7" t="n"/>
      <c r="B860" s="7" t="n"/>
      <c r="C860" s="8" t="n"/>
      <c r="D860" s="9" t="n"/>
      <c r="E860" s="8" t="n"/>
      <c r="F860" s="9" t="n"/>
      <c r="G860" s="9" t="n"/>
      <c r="H860" s="3">
        <f>IF(AND(D860&lt;&gt;"",F860&lt;&gt;""),F860-D860-G860,"")</f>
        <v/>
      </c>
      <c r="I860" s="14">
        <f>IF(E860&lt;&gt;"", YEARFRAC(C860, E860) * 12, "")</f>
        <v/>
      </c>
      <c r="J860" s="2">
        <f>IF(I860="", "", IF(OR(AND(A860="Listed Equity Shares", I860&gt;12), AND(A860="Unlisted Equity Shares", I860&gt;24)), "Long Term", "Short Term"))</f>
        <v/>
      </c>
      <c r="K860" s="5">
        <f>IF(J860="", "", IF(J860="Long Term", 12.5%,"as per slab"))</f>
        <v/>
      </c>
      <c r="L860" s="3">
        <f>+IFERROR(IF(J860="","",H860*K860),"as per slab")</f>
        <v/>
      </c>
    </row>
    <row r="861">
      <c r="A861" s="7" t="n"/>
      <c r="B861" s="7" t="n"/>
      <c r="C861" s="8" t="n"/>
      <c r="D861" s="9" t="n"/>
      <c r="E861" s="8" t="n"/>
      <c r="F861" s="9" t="n"/>
      <c r="G861" s="9" t="n"/>
      <c r="H861" s="3">
        <f>IF(AND(D861&lt;&gt;"",F861&lt;&gt;""),F861-D861-G861,"")</f>
        <v/>
      </c>
      <c r="I861" s="14">
        <f>IF(E861&lt;&gt;"", YEARFRAC(C861, E861) * 12, "")</f>
        <v/>
      </c>
      <c r="J861" s="2">
        <f>IF(I861="", "", IF(OR(AND(A861="Listed Equity Shares", I861&gt;12), AND(A861="Unlisted Equity Shares", I861&gt;24)), "Long Term", "Short Term"))</f>
        <v/>
      </c>
      <c r="K861" s="5">
        <f>IF(J861="", "", IF(J861="Long Term", 12.5%,"as per slab"))</f>
        <v/>
      </c>
      <c r="L861" s="3">
        <f>+IFERROR(IF(J861="","",H861*K861),"as per slab")</f>
        <v/>
      </c>
    </row>
    <row r="862">
      <c r="A862" s="7" t="n"/>
      <c r="B862" s="7" t="n"/>
      <c r="C862" s="8" t="n"/>
      <c r="D862" s="9" t="n"/>
      <c r="E862" s="8" t="n"/>
      <c r="F862" s="9" t="n"/>
      <c r="G862" s="9" t="n"/>
      <c r="H862" s="3">
        <f>IF(AND(D862&lt;&gt;"",F862&lt;&gt;""),F862-D862-G862,"")</f>
        <v/>
      </c>
      <c r="I862" s="14">
        <f>IF(E862&lt;&gt;"", YEARFRAC(C862, E862) * 12, "")</f>
        <v/>
      </c>
      <c r="J862" s="2">
        <f>IF(I862="", "", IF(OR(AND(A862="Listed Equity Shares", I862&gt;12), AND(A862="Unlisted Equity Shares", I862&gt;24)), "Long Term", "Short Term"))</f>
        <v/>
      </c>
      <c r="K862" s="5">
        <f>IF(J862="", "", IF(J862="Long Term", 12.5%,"as per slab"))</f>
        <v/>
      </c>
      <c r="L862" s="3">
        <f>+IFERROR(IF(J862="","",H862*K862),"as per slab")</f>
        <v/>
      </c>
    </row>
    <row r="863">
      <c r="A863" s="7" t="n"/>
      <c r="B863" s="7" t="n"/>
      <c r="C863" s="8" t="n"/>
      <c r="D863" s="9" t="n"/>
      <c r="E863" s="8" t="n"/>
      <c r="F863" s="9" t="n"/>
      <c r="G863" s="9" t="n"/>
      <c r="H863" s="3">
        <f>IF(AND(D863&lt;&gt;"",F863&lt;&gt;""),F863-D863-G863,"")</f>
        <v/>
      </c>
      <c r="I863" s="14">
        <f>IF(E863&lt;&gt;"", YEARFRAC(C863, E863) * 12, "")</f>
        <v/>
      </c>
      <c r="J863" s="2">
        <f>IF(I863="", "", IF(OR(AND(A863="Listed Equity Shares", I863&gt;12), AND(A863="Unlisted Equity Shares", I863&gt;24)), "Long Term", "Short Term"))</f>
        <v/>
      </c>
      <c r="K863" s="5">
        <f>IF(J863="", "", IF(J863="Long Term", 12.5%,"as per slab"))</f>
        <v/>
      </c>
      <c r="L863" s="3">
        <f>+IFERROR(IF(J863="","",H863*K863),"as per slab")</f>
        <v/>
      </c>
    </row>
    <row r="864">
      <c r="A864" s="7" t="n"/>
      <c r="B864" s="7" t="n"/>
      <c r="C864" s="8" t="n"/>
      <c r="D864" s="9" t="n"/>
      <c r="E864" s="8" t="n"/>
      <c r="F864" s="9" t="n"/>
      <c r="G864" s="9" t="n"/>
      <c r="H864" s="3">
        <f>IF(AND(D864&lt;&gt;"",F864&lt;&gt;""),F864-D864-G864,"")</f>
        <v/>
      </c>
      <c r="I864" s="14">
        <f>IF(E864&lt;&gt;"", YEARFRAC(C864, E864) * 12, "")</f>
        <v/>
      </c>
      <c r="J864" s="2">
        <f>IF(I864="", "", IF(OR(AND(A864="Listed Equity Shares", I864&gt;12), AND(A864="Unlisted Equity Shares", I864&gt;24)), "Long Term", "Short Term"))</f>
        <v/>
      </c>
      <c r="K864" s="5">
        <f>IF(J864="", "", IF(J864="Long Term", 12.5%,"as per slab"))</f>
        <v/>
      </c>
      <c r="L864" s="3">
        <f>+IFERROR(IF(J864="","",H864*K864),"as per slab")</f>
        <v/>
      </c>
    </row>
    <row r="865">
      <c r="A865" s="7" t="n"/>
      <c r="B865" s="7" t="n"/>
      <c r="C865" s="8" t="n"/>
      <c r="D865" s="9" t="n"/>
      <c r="E865" s="8" t="n"/>
      <c r="F865" s="9" t="n"/>
      <c r="G865" s="9" t="n"/>
      <c r="H865" s="3">
        <f>IF(AND(D865&lt;&gt;"",F865&lt;&gt;""),F865-D865-G865,"")</f>
        <v/>
      </c>
      <c r="I865" s="14">
        <f>IF(E865&lt;&gt;"", YEARFRAC(C865, E865) * 12, "")</f>
        <v/>
      </c>
      <c r="J865" s="2">
        <f>IF(I865="", "", IF(OR(AND(A865="Listed Equity Shares", I865&gt;12), AND(A865="Unlisted Equity Shares", I865&gt;24)), "Long Term", "Short Term"))</f>
        <v/>
      </c>
      <c r="K865" s="5">
        <f>IF(J865="", "", IF(J865="Long Term", 12.5%,"as per slab"))</f>
        <v/>
      </c>
      <c r="L865" s="3">
        <f>+IFERROR(IF(J865="","",H865*K865),"as per slab")</f>
        <v/>
      </c>
    </row>
    <row r="866">
      <c r="A866" s="7" t="n"/>
      <c r="B866" s="7" t="n"/>
      <c r="C866" s="8" t="n"/>
      <c r="D866" s="9" t="n"/>
      <c r="E866" s="8" t="n"/>
      <c r="F866" s="9" t="n"/>
      <c r="G866" s="9" t="n"/>
      <c r="H866" s="3">
        <f>IF(AND(D866&lt;&gt;"",F866&lt;&gt;""),F866-D866-G866,"")</f>
        <v/>
      </c>
      <c r="I866" s="14">
        <f>IF(E866&lt;&gt;"", YEARFRAC(C866, E866) * 12, "")</f>
        <v/>
      </c>
      <c r="J866" s="2">
        <f>IF(I866="", "", IF(OR(AND(A866="Listed Equity Shares", I866&gt;12), AND(A866="Unlisted Equity Shares", I866&gt;24)), "Long Term", "Short Term"))</f>
        <v/>
      </c>
      <c r="K866" s="5">
        <f>IF(J866="", "", IF(J866="Long Term", 12.5%,"as per slab"))</f>
        <v/>
      </c>
      <c r="L866" s="3">
        <f>+IFERROR(IF(J866="","",H866*K866),"as per slab")</f>
        <v/>
      </c>
    </row>
    <row r="867">
      <c r="A867" s="7" t="n"/>
      <c r="B867" s="7" t="n"/>
      <c r="C867" s="8" t="n"/>
      <c r="D867" s="9" t="n"/>
      <c r="E867" s="8" t="n"/>
      <c r="F867" s="9" t="n"/>
      <c r="G867" s="9" t="n"/>
      <c r="H867" s="3">
        <f>IF(AND(D867&lt;&gt;"",F867&lt;&gt;""),F867-D867-G867,"")</f>
        <v/>
      </c>
      <c r="I867" s="14">
        <f>IF(E867&lt;&gt;"", YEARFRAC(C867, E867) * 12, "")</f>
        <v/>
      </c>
      <c r="J867" s="2">
        <f>IF(I867="", "", IF(OR(AND(A867="Listed Equity Shares", I867&gt;12), AND(A867="Unlisted Equity Shares", I867&gt;24)), "Long Term", "Short Term"))</f>
        <v/>
      </c>
      <c r="K867" s="5">
        <f>IF(J867="", "", IF(J867="Long Term", 12.5%,"as per slab"))</f>
        <v/>
      </c>
      <c r="L867" s="3">
        <f>+IFERROR(IF(J867="","",H867*K867),"as per slab")</f>
        <v/>
      </c>
    </row>
    <row r="868">
      <c r="A868" s="7" t="n"/>
      <c r="B868" s="7" t="n"/>
      <c r="C868" s="8" t="n"/>
      <c r="D868" s="9" t="n"/>
      <c r="E868" s="8" t="n"/>
      <c r="F868" s="9" t="n"/>
      <c r="G868" s="9" t="n"/>
      <c r="H868" s="3">
        <f>IF(AND(D868&lt;&gt;"",F868&lt;&gt;""),F868-D868-G868,"")</f>
        <v/>
      </c>
      <c r="I868" s="14">
        <f>IF(E868&lt;&gt;"", YEARFRAC(C868, E868) * 12, "")</f>
        <v/>
      </c>
      <c r="J868" s="2">
        <f>IF(I868="", "", IF(OR(AND(A868="Listed Equity Shares", I868&gt;12), AND(A868="Unlisted Equity Shares", I868&gt;24)), "Long Term", "Short Term"))</f>
        <v/>
      </c>
      <c r="K868" s="5">
        <f>IF(J868="", "", IF(J868="Long Term", 12.5%,"as per slab"))</f>
        <v/>
      </c>
      <c r="L868" s="3">
        <f>+IFERROR(IF(J868="","",H868*K868),"as per slab")</f>
        <v/>
      </c>
    </row>
    <row r="869">
      <c r="A869" s="7" t="n"/>
      <c r="B869" s="7" t="n"/>
      <c r="C869" s="8" t="n"/>
      <c r="D869" s="9" t="n"/>
      <c r="E869" s="8" t="n"/>
      <c r="F869" s="9" t="n"/>
      <c r="G869" s="9" t="n"/>
      <c r="H869" s="3">
        <f>IF(AND(D869&lt;&gt;"",F869&lt;&gt;""),F869-D869-G869,"")</f>
        <v/>
      </c>
      <c r="I869" s="14">
        <f>IF(E869&lt;&gt;"", YEARFRAC(C869, E869) * 12, "")</f>
        <v/>
      </c>
      <c r="J869" s="2">
        <f>IF(I869="", "", IF(OR(AND(A869="Listed Equity Shares", I869&gt;12), AND(A869="Unlisted Equity Shares", I869&gt;24)), "Long Term", "Short Term"))</f>
        <v/>
      </c>
      <c r="K869" s="5">
        <f>IF(J869="", "", IF(J869="Long Term", 12.5%,"as per slab"))</f>
        <v/>
      </c>
      <c r="L869" s="3">
        <f>+IFERROR(IF(J869="","",H869*K869),"as per slab")</f>
        <v/>
      </c>
    </row>
    <row r="870">
      <c r="A870" s="7" t="n"/>
      <c r="B870" s="7" t="n"/>
      <c r="C870" s="8" t="n"/>
      <c r="D870" s="9" t="n"/>
      <c r="E870" s="8" t="n"/>
      <c r="F870" s="9" t="n"/>
      <c r="G870" s="9" t="n"/>
      <c r="H870" s="3">
        <f>IF(AND(D870&lt;&gt;"",F870&lt;&gt;""),F870-D870-G870,"")</f>
        <v/>
      </c>
      <c r="I870" s="14">
        <f>IF(E870&lt;&gt;"", YEARFRAC(C870, E870) * 12, "")</f>
        <v/>
      </c>
      <c r="J870" s="2">
        <f>IF(I870="", "", IF(OR(AND(A870="Listed Equity Shares", I870&gt;12), AND(A870="Unlisted Equity Shares", I870&gt;24)), "Long Term", "Short Term"))</f>
        <v/>
      </c>
      <c r="K870" s="5">
        <f>IF(J870="", "", IF(J870="Long Term", 12.5%,"as per slab"))</f>
        <v/>
      </c>
      <c r="L870" s="3">
        <f>+IFERROR(IF(J870="","",H870*K870),"as per slab")</f>
        <v/>
      </c>
    </row>
    <row r="871">
      <c r="A871" s="7" t="n"/>
      <c r="B871" s="7" t="n"/>
      <c r="C871" s="8" t="n"/>
      <c r="D871" s="9" t="n"/>
      <c r="E871" s="8" t="n"/>
      <c r="F871" s="9" t="n"/>
      <c r="G871" s="9" t="n"/>
      <c r="H871" s="3">
        <f>IF(AND(D871&lt;&gt;"",F871&lt;&gt;""),F871-D871-G871,"")</f>
        <v/>
      </c>
      <c r="I871" s="14">
        <f>IF(E871&lt;&gt;"", YEARFRAC(C871, E871) * 12, "")</f>
        <v/>
      </c>
      <c r="J871" s="2">
        <f>IF(I871="", "", IF(OR(AND(A871="Listed Equity Shares", I871&gt;12), AND(A871="Unlisted Equity Shares", I871&gt;24)), "Long Term", "Short Term"))</f>
        <v/>
      </c>
      <c r="K871" s="5">
        <f>IF(J871="", "", IF(J871="Long Term", 12.5%,"as per slab"))</f>
        <v/>
      </c>
      <c r="L871" s="3">
        <f>+IFERROR(IF(J871="","",H871*K871),"as per slab")</f>
        <v/>
      </c>
    </row>
    <row r="872">
      <c r="A872" s="7" t="n"/>
      <c r="B872" s="7" t="n"/>
      <c r="C872" s="8" t="n"/>
      <c r="D872" s="9" t="n"/>
      <c r="E872" s="8" t="n"/>
      <c r="F872" s="9" t="n"/>
      <c r="G872" s="9" t="n"/>
      <c r="H872" s="3">
        <f>IF(AND(D872&lt;&gt;"",F872&lt;&gt;""),F872-D872-G872,"")</f>
        <v/>
      </c>
      <c r="I872" s="14">
        <f>IF(E872&lt;&gt;"", YEARFRAC(C872, E872) * 12, "")</f>
        <v/>
      </c>
      <c r="J872" s="2">
        <f>IF(I872="", "", IF(OR(AND(A872="Listed Equity Shares", I872&gt;12), AND(A872="Unlisted Equity Shares", I872&gt;24)), "Long Term", "Short Term"))</f>
        <v/>
      </c>
      <c r="K872" s="5">
        <f>IF(J872="", "", IF(J872="Long Term", 12.5%,"as per slab"))</f>
        <v/>
      </c>
      <c r="L872" s="3">
        <f>+IFERROR(IF(J872="","",H872*K872),"as per slab")</f>
        <v/>
      </c>
    </row>
    <row r="873">
      <c r="A873" s="7" t="n"/>
      <c r="B873" s="7" t="n"/>
      <c r="C873" s="8" t="n"/>
      <c r="D873" s="9" t="n"/>
      <c r="E873" s="8" t="n"/>
      <c r="F873" s="9" t="n"/>
      <c r="G873" s="9" t="n"/>
      <c r="H873" s="3">
        <f>IF(AND(D873&lt;&gt;"",F873&lt;&gt;""),F873-D873-G873,"")</f>
        <v/>
      </c>
      <c r="I873" s="14">
        <f>IF(E873&lt;&gt;"", YEARFRAC(C873, E873) * 12, "")</f>
        <v/>
      </c>
      <c r="J873" s="2">
        <f>IF(I873="", "", IF(OR(AND(A873="Listed Equity Shares", I873&gt;12), AND(A873="Unlisted Equity Shares", I873&gt;24)), "Long Term", "Short Term"))</f>
        <v/>
      </c>
      <c r="K873" s="5">
        <f>IF(J873="", "", IF(J873="Long Term", 12.5%,"as per slab"))</f>
        <v/>
      </c>
      <c r="L873" s="3">
        <f>+IFERROR(IF(J873="","",H873*K873),"as per slab")</f>
        <v/>
      </c>
    </row>
    <row r="874">
      <c r="A874" s="7" t="n"/>
      <c r="B874" s="7" t="n"/>
      <c r="C874" s="8" t="n"/>
      <c r="D874" s="9" t="n"/>
      <c r="E874" s="8" t="n"/>
      <c r="F874" s="9" t="n"/>
      <c r="G874" s="9" t="n"/>
      <c r="H874" s="3">
        <f>IF(AND(D874&lt;&gt;"",F874&lt;&gt;""),F874-D874-G874,"")</f>
        <v/>
      </c>
      <c r="I874" s="14">
        <f>IF(E874&lt;&gt;"", YEARFRAC(C874, E874) * 12, "")</f>
        <v/>
      </c>
      <c r="J874" s="2">
        <f>IF(I874="", "", IF(OR(AND(A874="Listed Equity Shares", I874&gt;12), AND(A874="Unlisted Equity Shares", I874&gt;24)), "Long Term", "Short Term"))</f>
        <v/>
      </c>
      <c r="K874" s="5">
        <f>IF(J874="", "", IF(J874="Long Term", 12.5%,"as per slab"))</f>
        <v/>
      </c>
      <c r="L874" s="3">
        <f>+IFERROR(IF(J874="","",H874*K874),"as per slab")</f>
        <v/>
      </c>
    </row>
    <row r="875">
      <c r="A875" s="7" t="n"/>
      <c r="B875" s="7" t="n"/>
      <c r="C875" s="8" t="n"/>
      <c r="D875" s="9" t="n"/>
      <c r="E875" s="8" t="n"/>
      <c r="F875" s="9" t="n"/>
      <c r="G875" s="9" t="n"/>
      <c r="H875" s="3">
        <f>IF(AND(D875&lt;&gt;"",F875&lt;&gt;""),F875-D875-G875,"")</f>
        <v/>
      </c>
      <c r="I875" s="14">
        <f>IF(E875&lt;&gt;"", YEARFRAC(C875, E875) * 12, "")</f>
        <v/>
      </c>
      <c r="J875" s="2">
        <f>IF(I875="", "", IF(OR(AND(A875="Listed Equity Shares", I875&gt;12), AND(A875="Unlisted Equity Shares", I875&gt;24)), "Long Term", "Short Term"))</f>
        <v/>
      </c>
      <c r="K875" s="5">
        <f>IF(J875="", "", IF(J875="Long Term", 12.5%,"as per slab"))</f>
        <v/>
      </c>
      <c r="L875" s="3">
        <f>+IFERROR(IF(J875="","",H875*K875),"as per slab")</f>
        <v/>
      </c>
    </row>
    <row r="876">
      <c r="A876" s="7" t="n"/>
      <c r="B876" s="7" t="n"/>
      <c r="C876" s="8" t="n"/>
      <c r="D876" s="9" t="n"/>
      <c r="E876" s="8" t="n"/>
      <c r="F876" s="9" t="n"/>
      <c r="G876" s="9" t="n"/>
      <c r="H876" s="3">
        <f>IF(AND(D876&lt;&gt;"",F876&lt;&gt;""),F876-D876-G876,"")</f>
        <v/>
      </c>
      <c r="I876" s="14">
        <f>IF(E876&lt;&gt;"", YEARFRAC(C876, E876) * 12, "")</f>
        <v/>
      </c>
      <c r="J876" s="2">
        <f>IF(I876="", "", IF(OR(AND(A876="Listed Equity Shares", I876&gt;12), AND(A876="Unlisted Equity Shares", I876&gt;24)), "Long Term", "Short Term"))</f>
        <v/>
      </c>
      <c r="K876" s="5">
        <f>IF(J876="", "", IF(J876="Long Term", 12.5%,"as per slab"))</f>
        <v/>
      </c>
      <c r="L876" s="3">
        <f>+IFERROR(IF(J876="","",H876*K876),"as per slab")</f>
        <v/>
      </c>
    </row>
    <row r="877">
      <c r="A877" s="7" t="n"/>
      <c r="B877" s="7" t="n"/>
      <c r="C877" s="8" t="n"/>
      <c r="D877" s="9" t="n"/>
      <c r="E877" s="8" t="n"/>
      <c r="F877" s="9" t="n"/>
      <c r="G877" s="9" t="n"/>
      <c r="H877" s="3">
        <f>IF(AND(D877&lt;&gt;"",F877&lt;&gt;""),F877-D877-G877,"")</f>
        <v/>
      </c>
      <c r="I877" s="14">
        <f>IF(E877&lt;&gt;"", YEARFRAC(C877, E877) * 12, "")</f>
        <v/>
      </c>
      <c r="J877" s="2">
        <f>IF(I877="", "", IF(OR(AND(A877="Listed Equity Shares", I877&gt;12), AND(A877="Unlisted Equity Shares", I877&gt;24)), "Long Term", "Short Term"))</f>
        <v/>
      </c>
      <c r="K877" s="5">
        <f>IF(J877="", "", IF(J877="Long Term", 12.5%,"as per slab"))</f>
        <v/>
      </c>
      <c r="L877" s="3">
        <f>+IFERROR(IF(J877="","",H877*K877),"as per slab")</f>
        <v/>
      </c>
    </row>
    <row r="878">
      <c r="A878" s="7" t="n"/>
      <c r="B878" s="7" t="n"/>
      <c r="C878" s="8" t="n"/>
      <c r="D878" s="9" t="n"/>
      <c r="E878" s="8" t="n"/>
      <c r="F878" s="9" t="n"/>
      <c r="G878" s="9" t="n"/>
      <c r="H878" s="3">
        <f>IF(AND(D878&lt;&gt;"",F878&lt;&gt;""),F878-D878-G878,"")</f>
        <v/>
      </c>
      <c r="I878" s="14">
        <f>IF(E878&lt;&gt;"", YEARFRAC(C878, E878) * 12, "")</f>
        <v/>
      </c>
      <c r="J878" s="2">
        <f>IF(I878="", "", IF(OR(AND(A878="Listed Equity Shares", I878&gt;12), AND(A878="Unlisted Equity Shares", I878&gt;24)), "Long Term", "Short Term"))</f>
        <v/>
      </c>
      <c r="K878" s="5">
        <f>IF(J878="", "", IF(J878="Long Term", 12.5%,"as per slab"))</f>
        <v/>
      </c>
      <c r="L878" s="3">
        <f>+IFERROR(IF(J878="","",H878*K878),"as per slab")</f>
        <v/>
      </c>
    </row>
    <row r="879">
      <c r="A879" s="7" t="n"/>
      <c r="B879" s="7" t="n"/>
      <c r="C879" s="8" t="n"/>
      <c r="D879" s="9" t="n"/>
      <c r="E879" s="8" t="n"/>
      <c r="F879" s="9" t="n"/>
      <c r="G879" s="9" t="n"/>
      <c r="H879" s="3">
        <f>IF(AND(D879&lt;&gt;"",F879&lt;&gt;""),F879-D879-G879,"")</f>
        <v/>
      </c>
      <c r="I879" s="14">
        <f>IF(E879&lt;&gt;"", YEARFRAC(C879, E879) * 12, "")</f>
        <v/>
      </c>
      <c r="J879" s="2">
        <f>IF(I879="", "", IF(OR(AND(A879="Listed Equity Shares", I879&gt;12), AND(A879="Unlisted Equity Shares", I879&gt;24)), "Long Term", "Short Term"))</f>
        <v/>
      </c>
      <c r="K879" s="5">
        <f>IF(J879="", "", IF(J879="Long Term", 12.5%,"as per slab"))</f>
        <v/>
      </c>
      <c r="L879" s="3">
        <f>+IFERROR(IF(J879="","",H879*K879),"as per slab")</f>
        <v/>
      </c>
    </row>
    <row r="880">
      <c r="A880" s="7" t="n"/>
      <c r="B880" s="7" t="n"/>
      <c r="C880" s="8" t="n"/>
      <c r="D880" s="9" t="n"/>
      <c r="E880" s="8" t="n"/>
      <c r="F880" s="9" t="n"/>
      <c r="G880" s="9" t="n"/>
      <c r="H880" s="3">
        <f>IF(AND(D880&lt;&gt;"",F880&lt;&gt;""),F880-D880-G880,"")</f>
        <v/>
      </c>
      <c r="I880" s="14">
        <f>IF(E880&lt;&gt;"", YEARFRAC(C880, E880) * 12, "")</f>
        <v/>
      </c>
      <c r="J880" s="2">
        <f>IF(I880="", "", IF(OR(AND(A880="Listed Equity Shares", I880&gt;12), AND(A880="Unlisted Equity Shares", I880&gt;24)), "Long Term", "Short Term"))</f>
        <v/>
      </c>
      <c r="K880" s="5">
        <f>IF(J880="", "", IF(J880="Long Term", 12.5%,"as per slab"))</f>
        <v/>
      </c>
      <c r="L880" s="3">
        <f>+IFERROR(IF(J880="","",H880*K880),"as per slab")</f>
        <v/>
      </c>
    </row>
    <row r="881">
      <c r="A881" s="7" t="n"/>
      <c r="B881" s="7" t="n"/>
      <c r="C881" s="8" t="n"/>
      <c r="D881" s="9" t="n"/>
      <c r="E881" s="8" t="n"/>
      <c r="F881" s="9" t="n"/>
      <c r="G881" s="9" t="n"/>
      <c r="H881" s="3">
        <f>IF(AND(D881&lt;&gt;"",F881&lt;&gt;""),F881-D881-G881,"")</f>
        <v/>
      </c>
      <c r="I881" s="14">
        <f>IF(E881&lt;&gt;"", YEARFRAC(C881, E881) * 12, "")</f>
        <v/>
      </c>
      <c r="J881" s="2">
        <f>IF(I881="", "", IF(OR(AND(A881="Listed Equity Shares", I881&gt;12), AND(A881="Unlisted Equity Shares", I881&gt;24)), "Long Term", "Short Term"))</f>
        <v/>
      </c>
      <c r="K881" s="5">
        <f>IF(J881="", "", IF(J881="Long Term", 12.5%,"as per slab"))</f>
        <v/>
      </c>
      <c r="L881" s="3">
        <f>+IFERROR(IF(J881="","",H881*K881),"as per slab")</f>
        <v/>
      </c>
    </row>
    <row r="882">
      <c r="A882" s="7" t="n"/>
      <c r="B882" s="7" t="n"/>
      <c r="C882" s="8" t="n"/>
      <c r="D882" s="9" t="n"/>
      <c r="E882" s="8" t="n"/>
      <c r="F882" s="9" t="n"/>
      <c r="G882" s="9" t="n"/>
      <c r="H882" s="3">
        <f>IF(AND(D882&lt;&gt;"",F882&lt;&gt;""),F882-D882-G882,"")</f>
        <v/>
      </c>
      <c r="I882" s="14">
        <f>IF(E882&lt;&gt;"", YEARFRAC(C882, E882) * 12, "")</f>
        <v/>
      </c>
      <c r="J882" s="2">
        <f>IF(I882="", "", IF(OR(AND(A882="Listed Equity Shares", I882&gt;12), AND(A882="Unlisted Equity Shares", I882&gt;24)), "Long Term", "Short Term"))</f>
        <v/>
      </c>
      <c r="K882" s="5">
        <f>IF(J882="", "", IF(J882="Long Term", 12.5%,"as per slab"))</f>
        <v/>
      </c>
      <c r="L882" s="3">
        <f>+IFERROR(IF(J882="","",H882*K882),"as per slab")</f>
        <v/>
      </c>
    </row>
    <row r="883">
      <c r="A883" s="7" t="n"/>
      <c r="B883" s="7" t="n"/>
      <c r="C883" s="8" t="n"/>
      <c r="D883" s="9" t="n"/>
      <c r="E883" s="8" t="n"/>
      <c r="F883" s="9" t="n"/>
      <c r="G883" s="9" t="n"/>
      <c r="H883" s="3">
        <f>IF(AND(D883&lt;&gt;"",F883&lt;&gt;""),F883-D883-G883,"")</f>
        <v/>
      </c>
      <c r="I883" s="14">
        <f>IF(E883&lt;&gt;"", YEARFRAC(C883, E883) * 12, "")</f>
        <v/>
      </c>
      <c r="J883" s="2">
        <f>IF(I883="", "", IF(OR(AND(A883="Listed Equity Shares", I883&gt;12), AND(A883="Unlisted Equity Shares", I883&gt;24)), "Long Term", "Short Term"))</f>
        <v/>
      </c>
      <c r="K883" s="5">
        <f>IF(J883="", "", IF(J883="Long Term", 12.5%,"as per slab"))</f>
        <v/>
      </c>
      <c r="L883" s="3">
        <f>+IFERROR(IF(J883="","",H883*K883),"as per slab")</f>
        <v/>
      </c>
    </row>
    <row r="884">
      <c r="A884" s="7" t="n"/>
      <c r="B884" s="7" t="n"/>
      <c r="C884" s="8" t="n"/>
      <c r="D884" s="9" t="n"/>
      <c r="E884" s="8" t="n"/>
      <c r="F884" s="9" t="n"/>
      <c r="G884" s="9" t="n"/>
      <c r="H884" s="3">
        <f>IF(AND(D884&lt;&gt;"",F884&lt;&gt;""),F884-D884-G884,"")</f>
        <v/>
      </c>
      <c r="I884" s="14">
        <f>IF(E884&lt;&gt;"", YEARFRAC(C884, E884) * 12, "")</f>
        <v/>
      </c>
      <c r="J884" s="2">
        <f>IF(I884="", "", IF(OR(AND(A884="Listed Equity Shares", I884&gt;12), AND(A884="Unlisted Equity Shares", I884&gt;24)), "Long Term", "Short Term"))</f>
        <v/>
      </c>
      <c r="K884" s="5">
        <f>IF(J884="", "", IF(J884="Long Term", 12.5%,"as per slab"))</f>
        <v/>
      </c>
      <c r="L884" s="3">
        <f>+IFERROR(IF(J884="","",H884*K884),"as per slab")</f>
        <v/>
      </c>
    </row>
    <row r="885">
      <c r="A885" s="7" t="n"/>
      <c r="B885" s="7" t="n"/>
      <c r="C885" s="8" t="n"/>
      <c r="D885" s="9" t="n"/>
      <c r="E885" s="8" t="n"/>
      <c r="F885" s="9" t="n"/>
      <c r="G885" s="9" t="n"/>
      <c r="H885" s="3">
        <f>IF(AND(D885&lt;&gt;"",F885&lt;&gt;""),F885-D885-G885,"")</f>
        <v/>
      </c>
      <c r="I885" s="14">
        <f>IF(E885&lt;&gt;"", YEARFRAC(C885, E885) * 12, "")</f>
        <v/>
      </c>
      <c r="J885" s="2">
        <f>IF(I885="", "", IF(OR(AND(A885="Listed Equity Shares", I885&gt;12), AND(A885="Unlisted Equity Shares", I885&gt;24)), "Long Term", "Short Term"))</f>
        <v/>
      </c>
      <c r="K885" s="5">
        <f>IF(J885="", "", IF(J885="Long Term", 12.5%,"as per slab"))</f>
        <v/>
      </c>
      <c r="L885" s="3">
        <f>+IFERROR(IF(J885="","",H885*K885),"as per slab")</f>
        <v/>
      </c>
    </row>
    <row r="886">
      <c r="A886" s="7" t="n"/>
      <c r="B886" s="7" t="n"/>
      <c r="C886" s="8" t="n"/>
      <c r="D886" s="9" t="n"/>
      <c r="E886" s="8" t="n"/>
      <c r="F886" s="9" t="n"/>
      <c r="G886" s="9" t="n"/>
      <c r="H886" s="3">
        <f>IF(AND(D886&lt;&gt;"",F886&lt;&gt;""),F886-D886-G886,"")</f>
        <v/>
      </c>
      <c r="I886" s="14">
        <f>IF(E886&lt;&gt;"", YEARFRAC(C886, E886) * 12, "")</f>
        <v/>
      </c>
      <c r="J886" s="2">
        <f>IF(I886="", "", IF(OR(AND(A886="Listed Equity Shares", I886&gt;12), AND(A886="Unlisted Equity Shares", I886&gt;24)), "Long Term", "Short Term"))</f>
        <v/>
      </c>
      <c r="K886" s="5">
        <f>IF(J886="", "", IF(J886="Long Term", 12.5%,"as per slab"))</f>
        <v/>
      </c>
      <c r="L886" s="3">
        <f>+IFERROR(IF(J886="","",H886*K886),"as per slab")</f>
        <v/>
      </c>
    </row>
    <row r="887">
      <c r="A887" s="7" t="n"/>
      <c r="B887" s="7" t="n"/>
      <c r="C887" s="8" t="n"/>
      <c r="D887" s="9" t="n"/>
      <c r="E887" s="8" t="n"/>
      <c r="F887" s="9" t="n"/>
      <c r="G887" s="9" t="n"/>
      <c r="H887" s="3">
        <f>IF(AND(D887&lt;&gt;"",F887&lt;&gt;""),F887-D887-G887,"")</f>
        <v/>
      </c>
      <c r="I887" s="14">
        <f>IF(E887&lt;&gt;"", YEARFRAC(C887, E887) * 12, "")</f>
        <v/>
      </c>
      <c r="J887" s="2">
        <f>IF(I887="", "", IF(OR(AND(A887="Listed Equity Shares", I887&gt;12), AND(A887="Unlisted Equity Shares", I887&gt;24)), "Long Term", "Short Term"))</f>
        <v/>
      </c>
      <c r="K887" s="5">
        <f>IF(J887="", "", IF(J887="Long Term", 12.5%,"as per slab"))</f>
        <v/>
      </c>
      <c r="L887" s="3">
        <f>+IFERROR(IF(J887="","",H887*K887),"as per slab")</f>
        <v/>
      </c>
    </row>
    <row r="888">
      <c r="A888" s="7" t="n"/>
      <c r="B888" s="7" t="n"/>
      <c r="C888" s="8" t="n"/>
      <c r="D888" s="9" t="n"/>
      <c r="E888" s="8" t="n"/>
      <c r="F888" s="9" t="n"/>
      <c r="G888" s="9" t="n"/>
      <c r="H888" s="3">
        <f>IF(AND(D888&lt;&gt;"",F888&lt;&gt;""),F888-D888-G888,"")</f>
        <v/>
      </c>
      <c r="I888" s="14">
        <f>IF(E888&lt;&gt;"", YEARFRAC(C888, E888) * 12, "")</f>
        <v/>
      </c>
      <c r="J888" s="2">
        <f>IF(I888="", "", IF(OR(AND(A888="Listed Equity Shares", I888&gt;12), AND(A888="Unlisted Equity Shares", I888&gt;24)), "Long Term", "Short Term"))</f>
        <v/>
      </c>
      <c r="K888" s="5">
        <f>IF(J888="", "", IF(J888="Long Term", 12.5%,"as per slab"))</f>
        <v/>
      </c>
      <c r="L888" s="3">
        <f>+IFERROR(IF(J888="","",H888*K888),"as per slab")</f>
        <v/>
      </c>
    </row>
    <row r="889">
      <c r="A889" s="7" t="n"/>
      <c r="B889" s="7" t="n"/>
      <c r="C889" s="8" t="n"/>
      <c r="D889" s="9" t="n"/>
      <c r="E889" s="8" t="n"/>
      <c r="F889" s="9" t="n"/>
      <c r="G889" s="9" t="n"/>
      <c r="H889" s="3">
        <f>IF(AND(D889&lt;&gt;"",F889&lt;&gt;""),F889-D889-G889,"")</f>
        <v/>
      </c>
      <c r="I889" s="14">
        <f>IF(E889&lt;&gt;"", YEARFRAC(C889, E889) * 12, "")</f>
        <v/>
      </c>
      <c r="J889" s="2">
        <f>IF(I889="", "", IF(OR(AND(A889="Listed Equity Shares", I889&gt;12), AND(A889="Unlisted Equity Shares", I889&gt;24)), "Long Term", "Short Term"))</f>
        <v/>
      </c>
      <c r="K889" s="5">
        <f>IF(J889="", "", IF(J889="Long Term", 12.5%,"as per slab"))</f>
        <v/>
      </c>
      <c r="L889" s="3">
        <f>+IFERROR(IF(J889="","",H889*K889),"as per slab")</f>
        <v/>
      </c>
    </row>
    <row r="890">
      <c r="A890" s="7" t="n"/>
      <c r="B890" s="7" t="n"/>
      <c r="C890" s="8" t="n"/>
      <c r="D890" s="9" t="n"/>
      <c r="E890" s="8" t="n"/>
      <c r="F890" s="9" t="n"/>
      <c r="G890" s="9" t="n"/>
      <c r="H890" s="3">
        <f>IF(AND(D890&lt;&gt;"",F890&lt;&gt;""),F890-D890-G890,"")</f>
        <v/>
      </c>
      <c r="I890" s="14">
        <f>IF(E890&lt;&gt;"", YEARFRAC(C890, E890) * 12, "")</f>
        <v/>
      </c>
      <c r="J890" s="2">
        <f>IF(I890="", "", IF(OR(AND(A890="Listed Equity Shares", I890&gt;12), AND(A890="Unlisted Equity Shares", I890&gt;24)), "Long Term", "Short Term"))</f>
        <v/>
      </c>
      <c r="K890" s="5">
        <f>IF(J890="", "", IF(J890="Long Term", 12.5%,"as per slab"))</f>
        <v/>
      </c>
      <c r="L890" s="3">
        <f>+IFERROR(IF(J890="","",H890*K890),"as per slab")</f>
        <v/>
      </c>
    </row>
    <row r="891">
      <c r="A891" s="7" t="n"/>
      <c r="B891" s="7" t="n"/>
      <c r="C891" s="8" t="n"/>
      <c r="D891" s="9" t="n"/>
      <c r="E891" s="8" t="n"/>
      <c r="F891" s="9" t="n"/>
      <c r="G891" s="9" t="n"/>
      <c r="H891" s="3">
        <f>IF(AND(D891&lt;&gt;"",F891&lt;&gt;""),F891-D891-G891,"")</f>
        <v/>
      </c>
      <c r="I891" s="14">
        <f>IF(E891&lt;&gt;"", YEARFRAC(C891, E891) * 12, "")</f>
        <v/>
      </c>
      <c r="J891" s="2">
        <f>IF(I891="", "", IF(OR(AND(A891="Listed Equity Shares", I891&gt;12), AND(A891="Unlisted Equity Shares", I891&gt;24)), "Long Term", "Short Term"))</f>
        <v/>
      </c>
      <c r="K891" s="5">
        <f>IF(J891="", "", IF(J891="Long Term", 12.5%,"as per slab"))</f>
        <v/>
      </c>
      <c r="L891" s="3">
        <f>+IFERROR(IF(J891="","",H891*K891),"as per slab")</f>
        <v/>
      </c>
    </row>
    <row r="892">
      <c r="A892" s="7" t="n"/>
      <c r="B892" s="7" t="n"/>
      <c r="C892" s="8" t="n"/>
      <c r="D892" s="9" t="n"/>
      <c r="E892" s="8" t="n"/>
      <c r="F892" s="9" t="n"/>
      <c r="G892" s="9" t="n"/>
      <c r="H892" s="3">
        <f>IF(AND(D892&lt;&gt;"",F892&lt;&gt;""),F892-D892-G892,"")</f>
        <v/>
      </c>
      <c r="I892" s="14">
        <f>IF(E892&lt;&gt;"", YEARFRAC(C892, E892) * 12, "")</f>
        <v/>
      </c>
      <c r="J892" s="2">
        <f>IF(I892="", "", IF(OR(AND(A892="Listed Equity Shares", I892&gt;12), AND(A892="Unlisted Equity Shares", I892&gt;24)), "Long Term", "Short Term"))</f>
        <v/>
      </c>
      <c r="K892" s="5">
        <f>IF(J892="", "", IF(J892="Long Term", 12.5%,"as per slab"))</f>
        <v/>
      </c>
      <c r="L892" s="3">
        <f>+IFERROR(IF(J892="","",H892*K892),"as per slab")</f>
        <v/>
      </c>
    </row>
    <row r="893">
      <c r="A893" s="7" t="n"/>
      <c r="B893" s="7" t="n"/>
      <c r="C893" s="8" t="n"/>
      <c r="D893" s="9" t="n"/>
      <c r="E893" s="8" t="n"/>
      <c r="F893" s="9" t="n"/>
      <c r="G893" s="9" t="n"/>
      <c r="H893" s="3">
        <f>IF(AND(D893&lt;&gt;"",F893&lt;&gt;""),F893-D893-G893,"")</f>
        <v/>
      </c>
      <c r="I893" s="14">
        <f>IF(E893&lt;&gt;"", YEARFRAC(C893, E893) * 12, "")</f>
        <v/>
      </c>
      <c r="J893" s="2">
        <f>IF(I893="", "", IF(OR(AND(A893="Listed Equity Shares", I893&gt;12), AND(A893="Unlisted Equity Shares", I893&gt;24)), "Long Term", "Short Term"))</f>
        <v/>
      </c>
      <c r="K893" s="5">
        <f>IF(J893="", "", IF(J893="Long Term", 12.5%,"as per slab"))</f>
        <v/>
      </c>
      <c r="L893" s="3">
        <f>+IFERROR(IF(J893="","",H893*K893),"as per slab")</f>
        <v/>
      </c>
    </row>
    <row r="894">
      <c r="A894" s="7" t="n"/>
      <c r="B894" s="7" t="n"/>
      <c r="C894" s="8" t="n"/>
      <c r="D894" s="9" t="n"/>
      <c r="E894" s="8" t="n"/>
      <c r="F894" s="9" t="n"/>
      <c r="G894" s="9" t="n"/>
      <c r="H894" s="3">
        <f>IF(AND(D894&lt;&gt;"",F894&lt;&gt;""),F894-D894-G894,"")</f>
        <v/>
      </c>
      <c r="I894" s="14">
        <f>IF(E894&lt;&gt;"", YEARFRAC(C894, E894) * 12, "")</f>
        <v/>
      </c>
      <c r="J894" s="2">
        <f>IF(I894="", "", IF(OR(AND(A894="Listed Equity Shares", I894&gt;12), AND(A894="Unlisted Equity Shares", I894&gt;24)), "Long Term", "Short Term"))</f>
        <v/>
      </c>
      <c r="K894" s="5">
        <f>IF(J894="", "", IF(J894="Long Term", 12.5%,"as per slab"))</f>
        <v/>
      </c>
      <c r="L894" s="3">
        <f>+IFERROR(IF(J894="","",H894*K894),"as per slab")</f>
        <v/>
      </c>
    </row>
    <row r="895">
      <c r="A895" s="7" t="n"/>
      <c r="B895" s="7" t="n"/>
      <c r="C895" s="8" t="n"/>
      <c r="D895" s="9" t="n"/>
      <c r="E895" s="8" t="n"/>
      <c r="F895" s="9" t="n"/>
      <c r="G895" s="9" t="n"/>
      <c r="H895" s="3">
        <f>IF(AND(D895&lt;&gt;"",F895&lt;&gt;""),F895-D895-G895,"")</f>
        <v/>
      </c>
      <c r="I895" s="14">
        <f>IF(E895&lt;&gt;"", YEARFRAC(C895, E895) * 12, "")</f>
        <v/>
      </c>
      <c r="J895" s="2">
        <f>IF(I895="", "", IF(OR(AND(A895="Listed Equity Shares", I895&gt;12), AND(A895="Unlisted Equity Shares", I895&gt;24)), "Long Term", "Short Term"))</f>
        <v/>
      </c>
      <c r="K895" s="5">
        <f>IF(J895="", "", IF(J895="Long Term", 12.5%,"as per slab"))</f>
        <v/>
      </c>
      <c r="L895" s="3">
        <f>+IFERROR(IF(J895="","",H895*K895),"as per slab")</f>
        <v/>
      </c>
    </row>
    <row r="896">
      <c r="A896" s="7" t="n"/>
      <c r="B896" s="7" t="n"/>
      <c r="C896" s="8" t="n"/>
      <c r="D896" s="9" t="n"/>
      <c r="E896" s="8" t="n"/>
      <c r="F896" s="9" t="n"/>
      <c r="G896" s="9" t="n"/>
      <c r="H896" s="3">
        <f>IF(AND(D896&lt;&gt;"",F896&lt;&gt;""),F896-D896-G896,"")</f>
        <v/>
      </c>
      <c r="I896" s="14">
        <f>IF(E896&lt;&gt;"", YEARFRAC(C896, E896) * 12, "")</f>
        <v/>
      </c>
      <c r="J896" s="2">
        <f>IF(I896="", "", IF(OR(AND(A896="Listed Equity Shares", I896&gt;12), AND(A896="Unlisted Equity Shares", I896&gt;24)), "Long Term", "Short Term"))</f>
        <v/>
      </c>
      <c r="K896" s="5">
        <f>IF(J896="", "", IF(J896="Long Term", 12.5%,"as per slab"))</f>
        <v/>
      </c>
      <c r="L896" s="3">
        <f>+IFERROR(IF(J896="","",H896*K896),"as per slab")</f>
        <v/>
      </c>
    </row>
    <row r="897">
      <c r="A897" s="7" t="n"/>
      <c r="B897" s="7" t="n"/>
      <c r="C897" s="8" t="n"/>
      <c r="D897" s="9" t="n"/>
      <c r="E897" s="8" t="n"/>
      <c r="F897" s="9" t="n"/>
      <c r="G897" s="9" t="n"/>
      <c r="H897" s="3">
        <f>IF(AND(D897&lt;&gt;"",F897&lt;&gt;""),F897-D897-G897,"")</f>
        <v/>
      </c>
      <c r="I897" s="14">
        <f>IF(E897&lt;&gt;"", YEARFRAC(C897, E897) * 12, "")</f>
        <v/>
      </c>
      <c r="J897" s="2">
        <f>IF(I897="", "", IF(OR(AND(A897="Listed Equity Shares", I897&gt;12), AND(A897="Unlisted Equity Shares", I897&gt;24)), "Long Term", "Short Term"))</f>
        <v/>
      </c>
      <c r="K897" s="5">
        <f>IF(J897="", "", IF(J897="Long Term", 12.5%,"as per slab"))</f>
        <v/>
      </c>
      <c r="L897" s="3">
        <f>+IFERROR(IF(J897="","",H897*K897),"as per slab")</f>
        <v/>
      </c>
    </row>
    <row r="898">
      <c r="A898" s="7" t="n"/>
      <c r="B898" s="7" t="n"/>
      <c r="C898" s="8" t="n"/>
      <c r="D898" s="9" t="n"/>
      <c r="E898" s="8" t="n"/>
      <c r="F898" s="9" t="n"/>
      <c r="G898" s="9" t="n"/>
      <c r="H898" s="3">
        <f>IF(AND(D898&lt;&gt;"",F898&lt;&gt;""),F898-D898-G898,"")</f>
        <v/>
      </c>
      <c r="I898" s="14">
        <f>IF(E898&lt;&gt;"", YEARFRAC(C898, E898) * 12, "")</f>
        <v/>
      </c>
      <c r="J898" s="2">
        <f>IF(I898="", "", IF(OR(AND(A898="Listed Equity Shares", I898&gt;12), AND(A898="Unlisted Equity Shares", I898&gt;24)), "Long Term", "Short Term"))</f>
        <v/>
      </c>
      <c r="K898" s="5">
        <f>IF(J898="", "", IF(J898="Long Term", 12.5%,"as per slab"))</f>
        <v/>
      </c>
      <c r="L898" s="3">
        <f>+IFERROR(IF(J898="","",H898*K898),"as per slab")</f>
        <v/>
      </c>
    </row>
    <row r="899">
      <c r="A899" s="7" t="n"/>
      <c r="B899" s="7" t="n"/>
      <c r="C899" s="8" t="n"/>
      <c r="D899" s="9" t="n"/>
      <c r="E899" s="8" t="n"/>
      <c r="F899" s="9" t="n"/>
      <c r="G899" s="9" t="n"/>
      <c r="H899" s="3">
        <f>IF(AND(D899&lt;&gt;"",F899&lt;&gt;""),F899-D899-G899,"")</f>
        <v/>
      </c>
      <c r="I899" s="14">
        <f>IF(E899&lt;&gt;"", YEARFRAC(C899, E899) * 12, "")</f>
        <v/>
      </c>
      <c r="J899" s="2">
        <f>IF(I899="", "", IF(OR(AND(A899="Listed Equity Shares", I899&gt;12), AND(A899="Unlisted Equity Shares", I899&gt;24)), "Long Term", "Short Term"))</f>
        <v/>
      </c>
      <c r="K899" s="5">
        <f>IF(J899="", "", IF(J899="Long Term", 12.5%,"as per slab"))</f>
        <v/>
      </c>
      <c r="L899" s="3">
        <f>+IFERROR(IF(J899="","",H899*K899),"as per slab")</f>
        <v/>
      </c>
    </row>
    <row r="900">
      <c r="A900" s="7" t="n"/>
      <c r="B900" s="7" t="n"/>
      <c r="C900" s="8" t="n"/>
      <c r="D900" s="9" t="n"/>
      <c r="E900" s="8" t="n"/>
      <c r="F900" s="9" t="n"/>
      <c r="G900" s="9" t="n"/>
      <c r="H900" s="3">
        <f>IF(AND(D900&lt;&gt;"",F900&lt;&gt;""),F900-D900-G900,"")</f>
        <v/>
      </c>
      <c r="I900" s="14">
        <f>IF(E900&lt;&gt;"", YEARFRAC(C900, E900) * 12, "")</f>
        <v/>
      </c>
      <c r="J900" s="2">
        <f>IF(I900="", "", IF(OR(AND(A900="Listed Equity Shares", I900&gt;12), AND(A900="Unlisted Equity Shares", I900&gt;24)), "Long Term", "Short Term"))</f>
        <v/>
      </c>
      <c r="K900" s="5">
        <f>IF(J900="", "", IF(J900="Long Term", 12.5%,"as per slab"))</f>
        <v/>
      </c>
      <c r="L900" s="3">
        <f>+IFERROR(IF(J900="","",H900*K900),"as per slab")</f>
        <v/>
      </c>
    </row>
    <row r="901">
      <c r="A901" s="7" t="n"/>
      <c r="B901" s="7" t="n"/>
      <c r="C901" s="8" t="n"/>
      <c r="D901" s="9" t="n"/>
      <c r="E901" s="8" t="n"/>
      <c r="F901" s="9" t="n"/>
      <c r="G901" s="9" t="n"/>
      <c r="H901" s="3">
        <f>IF(AND(D901&lt;&gt;"",F901&lt;&gt;""),F901-D901-G901,"")</f>
        <v/>
      </c>
      <c r="I901" s="14">
        <f>IF(E901&lt;&gt;"", YEARFRAC(C901, E901) * 12, "")</f>
        <v/>
      </c>
      <c r="J901" s="2">
        <f>IF(I901="", "", IF(OR(AND(A901="Listed Equity Shares", I901&gt;12), AND(A901="Unlisted Equity Shares", I901&gt;24)), "Long Term", "Short Term"))</f>
        <v/>
      </c>
      <c r="K901" s="5">
        <f>IF(J901="", "", IF(J901="Long Term", 12.5%,"as per slab"))</f>
        <v/>
      </c>
      <c r="L901" s="3">
        <f>+IFERROR(IF(J901="","",H901*K901),"as per slab")</f>
        <v/>
      </c>
    </row>
    <row r="902">
      <c r="A902" s="7" t="n"/>
      <c r="B902" s="7" t="n"/>
      <c r="C902" s="8" t="n"/>
      <c r="D902" s="9" t="n"/>
      <c r="E902" s="8" t="n"/>
      <c r="F902" s="9" t="n"/>
      <c r="G902" s="9" t="n"/>
      <c r="H902" s="3">
        <f>IF(AND(D902&lt;&gt;"",F902&lt;&gt;""),F902-D902-G902,"")</f>
        <v/>
      </c>
      <c r="I902" s="14">
        <f>IF(E902&lt;&gt;"", YEARFRAC(C902, E902) * 12, "")</f>
        <v/>
      </c>
      <c r="J902" s="2">
        <f>IF(I902="", "", IF(OR(AND(A902="Listed Equity Shares", I902&gt;12), AND(A902="Unlisted Equity Shares", I902&gt;24)), "Long Term", "Short Term"))</f>
        <v/>
      </c>
      <c r="K902" s="5">
        <f>IF(J902="", "", IF(J902="Long Term", 12.5%,"as per slab"))</f>
        <v/>
      </c>
      <c r="L902" s="3">
        <f>+IFERROR(IF(J902="","",H902*K902),"as per slab")</f>
        <v/>
      </c>
    </row>
    <row r="903">
      <c r="A903" s="7" t="n"/>
      <c r="B903" s="7" t="n"/>
      <c r="C903" s="8" t="n"/>
      <c r="D903" s="9" t="n"/>
      <c r="E903" s="8" t="n"/>
      <c r="F903" s="9" t="n"/>
      <c r="G903" s="9" t="n"/>
      <c r="H903" s="3">
        <f>IF(AND(D903&lt;&gt;"",F903&lt;&gt;""),F903-D903-G903,"")</f>
        <v/>
      </c>
      <c r="I903" s="14">
        <f>IF(E903&lt;&gt;"", YEARFRAC(C903, E903) * 12, "")</f>
        <v/>
      </c>
      <c r="J903" s="2">
        <f>IF(I903="", "", IF(OR(AND(A903="Listed Equity Shares", I903&gt;12), AND(A903="Unlisted Equity Shares", I903&gt;24)), "Long Term", "Short Term"))</f>
        <v/>
      </c>
      <c r="K903" s="5">
        <f>IF(J903="", "", IF(J903="Long Term", 12.5%,"as per slab"))</f>
        <v/>
      </c>
      <c r="L903" s="3">
        <f>+IFERROR(IF(J903="","",H903*K903),"as per slab")</f>
        <v/>
      </c>
    </row>
    <row r="904">
      <c r="A904" s="7" t="n"/>
      <c r="B904" s="7" t="n"/>
      <c r="C904" s="8" t="n"/>
      <c r="D904" s="9" t="n"/>
      <c r="E904" s="8" t="n"/>
      <c r="F904" s="9" t="n"/>
      <c r="G904" s="9" t="n"/>
      <c r="H904" s="3">
        <f>IF(AND(D904&lt;&gt;"",F904&lt;&gt;""),F904-D904-G904,"")</f>
        <v/>
      </c>
      <c r="I904" s="14">
        <f>IF(E904&lt;&gt;"", YEARFRAC(C904, E904) * 12, "")</f>
        <v/>
      </c>
      <c r="J904" s="2">
        <f>IF(I904="", "", IF(OR(AND(A904="Listed Equity Shares", I904&gt;12), AND(A904="Unlisted Equity Shares", I904&gt;24)), "Long Term", "Short Term"))</f>
        <v/>
      </c>
      <c r="K904" s="5">
        <f>IF(J904="", "", IF(J904="Long Term", 12.5%,"as per slab"))</f>
        <v/>
      </c>
      <c r="L904" s="3">
        <f>+IFERROR(IF(J904="","",H904*K904),"as per slab")</f>
        <v/>
      </c>
    </row>
    <row r="905">
      <c r="A905" s="7" t="n"/>
      <c r="B905" s="7" t="n"/>
      <c r="C905" s="8" t="n"/>
      <c r="D905" s="9" t="n"/>
      <c r="E905" s="8" t="n"/>
      <c r="F905" s="9" t="n"/>
      <c r="G905" s="9" t="n"/>
      <c r="H905" s="3">
        <f>IF(AND(D905&lt;&gt;"",F905&lt;&gt;""),F905-D905-G905,"")</f>
        <v/>
      </c>
      <c r="I905" s="14">
        <f>IF(E905&lt;&gt;"", YEARFRAC(C905, E905) * 12, "")</f>
        <v/>
      </c>
      <c r="J905" s="2">
        <f>IF(I905="", "", IF(OR(AND(A905="Listed Equity Shares", I905&gt;12), AND(A905="Unlisted Equity Shares", I905&gt;24)), "Long Term", "Short Term"))</f>
        <v/>
      </c>
      <c r="K905" s="5">
        <f>IF(J905="", "", IF(J905="Long Term", 12.5%,"as per slab"))</f>
        <v/>
      </c>
      <c r="L905" s="3">
        <f>+IFERROR(IF(J905="","",H905*K905),"as per slab")</f>
        <v/>
      </c>
    </row>
    <row r="906">
      <c r="A906" s="7" t="n"/>
      <c r="B906" s="7" t="n"/>
      <c r="C906" s="8" t="n"/>
      <c r="D906" s="9" t="n"/>
      <c r="E906" s="8" t="n"/>
      <c r="F906" s="9" t="n"/>
      <c r="G906" s="9" t="n"/>
      <c r="H906" s="3">
        <f>IF(AND(D906&lt;&gt;"",F906&lt;&gt;""),F906-D906-G906,"")</f>
        <v/>
      </c>
      <c r="I906" s="14">
        <f>IF(E906&lt;&gt;"", YEARFRAC(C906, E906) * 12, "")</f>
        <v/>
      </c>
      <c r="J906" s="2">
        <f>IF(I906="", "", IF(OR(AND(A906="Listed Equity Shares", I906&gt;12), AND(A906="Unlisted Equity Shares", I906&gt;24)), "Long Term", "Short Term"))</f>
        <v/>
      </c>
      <c r="K906" s="5">
        <f>IF(J906="", "", IF(J906="Long Term", 12.5%,"as per slab"))</f>
        <v/>
      </c>
      <c r="L906" s="3">
        <f>+IFERROR(IF(J906="","",H906*K906),"as per slab")</f>
        <v/>
      </c>
    </row>
    <row r="907">
      <c r="A907" s="7" t="n"/>
      <c r="B907" s="7" t="n"/>
      <c r="C907" s="8" t="n"/>
      <c r="D907" s="9" t="n"/>
      <c r="E907" s="8" t="n"/>
      <c r="F907" s="9" t="n"/>
      <c r="G907" s="9" t="n"/>
      <c r="H907" s="3">
        <f>IF(AND(D907&lt;&gt;"",F907&lt;&gt;""),F907-D907-G907,"")</f>
        <v/>
      </c>
      <c r="I907" s="14">
        <f>IF(E907&lt;&gt;"", YEARFRAC(C907, E907) * 12, "")</f>
        <v/>
      </c>
      <c r="J907" s="2">
        <f>IF(I907="", "", IF(OR(AND(A907="Listed Equity Shares", I907&gt;12), AND(A907="Unlisted Equity Shares", I907&gt;24)), "Long Term", "Short Term"))</f>
        <v/>
      </c>
      <c r="K907" s="5">
        <f>IF(J907="", "", IF(J907="Long Term", 12.5%,"as per slab"))</f>
        <v/>
      </c>
      <c r="L907" s="3">
        <f>+IFERROR(IF(J907="","",H907*K907),"as per slab")</f>
        <v/>
      </c>
    </row>
    <row r="908">
      <c r="A908" s="7" t="n"/>
      <c r="B908" s="7" t="n"/>
      <c r="C908" s="8" t="n"/>
      <c r="D908" s="9" t="n"/>
      <c r="E908" s="8" t="n"/>
      <c r="F908" s="9" t="n"/>
      <c r="G908" s="9" t="n"/>
      <c r="H908" s="3">
        <f>IF(AND(D908&lt;&gt;"",F908&lt;&gt;""),F908-D908-G908,"")</f>
        <v/>
      </c>
      <c r="I908" s="14">
        <f>IF(E908&lt;&gt;"", YEARFRAC(C908, E908) * 12, "")</f>
        <v/>
      </c>
      <c r="J908" s="2">
        <f>IF(I908="", "", IF(OR(AND(A908="Listed Equity Shares", I908&gt;12), AND(A908="Unlisted Equity Shares", I908&gt;24)), "Long Term", "Short Term"))</f>
        <v/>
      </c>
      <c r="K908" s="5">
        <f>IF(J908="", "", IF(J908="Long Term", 12.5%,"as per slab"))</f>
        <v/>
      </c>
      <c r="L908" s="3">
        <f>+IFERROR(IF(J908="","",H908*K908),"as per slab")</f>
        <v/>
      </c>
    </row>
    <row r="909">
      <c r="A909" s="7" t="n"/>
      <c r="B909" s="7" t="n"/>
      <c r="C909" s="8" t="n"/>
      <c r="D909" s="9" t="n"/>
      <c r="E909" s="8" t="n"/>
      <c r="F909" s="9" t="n"/>
      <c r="G909" s="9" t="n"/>
      <c r="H909" s="3">
        <f>IF(AND(D909&lt;&gt;"",F909&lt;&gt;""),F909-D909-G909,"")</f>
        <v/>
      </c>
      <c r="I909" s="14">
        <f>IF(E909&lt;&gt;"", YEARFRAC(C909, E909) * 12, "")</f>
        <v/>
      </c>
      <c r="J909" s="2">
        <f>IF(I909="", "", IF(OR(AND(A909="Listed Equity Shares", I909&gt;12), AND(A909="Unlisted Equity Shares", I909&gt;24)), "Long Term", "Short Term"))</f>
        <v/>
      </c>
      <c r="K909" s="5">
        <f>IF(J909="", "", IF(J909="Long Term", 12.5%,"as per slab"))</f>
        <v/>
      </c>
      <c r="L909" s="3">
        <f>+IFERROR(IF(J909="","",H909*K909),"as per slab")</f>
        <v/>
      </c>
    </row>
    <row r="910">
      <c r="A910" s="7" t="n"/>
      <c r="B910" s="7" t="n"/>
      <c r="C910" s="8" t="n"/>
      <c r="D910" s="9" t="n"/>
      <c r="E910" s="8" t="n"/>
      <c r="F910" s="9" t="n"/>
      <c r="G910" s="9" t="n"/>
      <c r="H910" s="3">
        <f>IF(AND(D910&lt;&gt;"",F910&lt;&gt;""),F910-D910-G910,"")</f>
        <v/>
      </c>
      <c r="I910" s="14">
        <f>IF(E910&lt;&gt;"", YEARFRAC(C910, E910) * 12, "")</f>
        <v/>
      </c>
      <c r="J910" s="2">
        <f>IF(I910="", "", IF(OR(AND(A910="Listed Equity Shares", I910&gt;12), AND(A910="Unlisted Equity Shares", I910&gt;24)), "Long Term", "Short Term"))</f>
        <v/>
      </c>
      <c r="K910" s="5">
        <f>IF(J910="", "", IF(J910="Long Term", 12.5%,"as per slab"))</f>
        <v/>
      </c>
      <c r="L910" s="3">
        <f>+IFERROR(IF(J910="","",H910*K910),"as per slab")</f>
        <v/>
      </c>
    </row>
    <row r="911">
      <c r="A911" s="7" t="n"/>
      <c r="B911" s="7" t="n"/>
      <c r="C911" s="8" t="n"/>
      <c r="D911" s="9" t="n"/>
      <c r="E911" s="8" t="n"/>
      <c r="F911" s="9" t="n"/>
      <c r="G911" s="9" t="n"/>
      <c r="H911" s="3">
        <f>IF(AND(D911&lt;&gt;"",F911&lt;&gt;""),F911-D911-G911,"")</f>
        <v/>
      </c>
      <c r="I911" s="14">
        <f>IF(E911&lt;&gt;"", YEARFRAC(C911, E911) * 12, "")</f>
        <v/>
      </c>
      <c r="J911" s="2">
        <f>IF(I911="", "", IF(OR(AND(A911="Listed Equity Shares", I911&gt;12), AND(A911="Unlisted Equity Shares", I911&gt;24)), "Long Term", "Short Term"))</f>
        <v/>
      </c>
      <c r="K911" s="5">
        <f>IF(J911="", "", IF(J911="Long Term", 12.5%,"as per slab"))</f>
        <v/>
      </c>
      <c r="L911" s="3">
        <f>+IFERROR(IF(J911="","",H911*K911),"as per slab")</f>
        <v/>
      </c>
    </row>
    <row r="912">
      <c r="A912" s="7" t="n"/>
      <c r="B912" s="7" t="n"/>
      <c r="C912" s="8" t="n"/>
      <c r="D912" s="9" t="n"/>
      <c r="E912" s="8" t="n"/>
      <c r="F912" s="9" t="n"/>
      <c r="G912" s="9" t="n"/>
      <c r="H912" s="3">
        <f>IF(AND(D912&lt;&gt;"",F912&lt;&gt;""),F912-D912-G912,"")</f>
        <v/>
      </c>
      <c r="I912" s="14">
        <f>IF(E912&lt;&gt;"", YEARFRAC(C912, E912) * 12, "")</f>
        <v/>
      </c>
      <c r="J912" s="2">
        <f>IF(I912="", "", IF(OR(AND(A912="Listed Equity Shares", I912&gt;12), AND(A912="Unlisted Equity Shares", I912&gt;24)), "Long Term", "Short Term"))</f>
        <v/>
      </c>
      <c r="K912" s="5">
        <f>IF(J912="", "", IF(J912="Long Term", 12.5%,"as per slab"))</f>
        <v/>
      </c>
      <c r="L912" s="3">
        <f>+IFERROR(IF(J912="","",H912*K912),"as per slab")</f>
        <v/>
      </c>
    </row>
    <row r="913">
      <c r="A913" s="7" t="n"/>
      <c r="B913" s="7" t="n"/>
      <c r="C913" s="8" t="n"/>
      <c r="D913" s="9" t="n"/>
      <c r="E913" s="8" t="n"/>
      <c r="F913" s="9" t="n"/>
      <c r="G913" s="9" t="n"/>
      <c r="H913" s="3">
        <f>IF(AND(D913&lt;&gt;"",F913&lt;&gt;""),F913-D913-G913,"")</f>
        <v/>
      </c>
      <c r="I913" s="14">
        <f>IF(E913&lt;&gt;"", YEARFRAC(C913, E913) * 12, "")</f>
        <v/>
      </c>
      <c r="J913" s="2">
        <f>IF(I913="", "", IF(OR(AND(A913="Listed Equity Shares", I913&gt;12), AND(A913="Unlisted Equity Shares", I913&gt;24)), "Long Term", "Short Term"))</f>
        <v/>
      </c>
      <c r="K913" s="5">
        <f>IF(J913="", "", IF(J913="Long Term", 12.5%,"as per slab"))</f>
        <v/>
      </c>
      <c r="L913" s="3">
        <f>+IFERROR(IF(J913="","",H913*K913),"as per slab")</f>
        <v/>
      </c>
    </row>
    <row r="914">
      <c r="A914" s="7" t="n"/>
      <c r="B914" s="7" t="n"/>
      <c r="C914" s="8" t="n"/>
      <c r="D914" s="9" t="n"/>
      <c r="E914" s="8" t="n"/>
      <c r="F914" s="9" t="n"/>
      <c r="G914" s="9" t="n"/>
      <c r="H914" s="3">
        <f>IF(AND(D914&lt;&gt;"",F914&lt;&gt;""),F914-D914-G914,"")</f>
        <v/>
      </c>
      <c r="I914" s="14">
        <f>IF(E914&lt;&gt;"", YEARFRAC(C914, E914) * 12, "")</f>
        <v/>
      </c>
      <c r="J914" s="2">
        <f>IF(I914="", "", IF(OR(AND(A914="Listed Equity Shares", I914&gt;12), AND(A914="Unlisted Equity Shares", I914&gt;24)), "Long Term", "Short Term"))</f>
        <v/>
      </c>
      <c r="K914" s="5">
        <f>IF(J914="", "", IF(J914="Long Term", 12.5%,"as per slab"))</f>
        <v/>
      </c>
      <c r="L914" s="3">
        <f>+IFERROR(IF(J914="","",H914*K914),"as per slab")</f>
        <v/>
      </c>
    </row>
    <row r="915">
      <c r="A915" s="7" t="n"/>
      <c r="B915" s="7" t="n"/>
      <c r="C915" s="8" t="n"/>
      <c r="D915" s="9" t="n"/>
      <c r="E915" s="8" t="n"/>
      <c r="F915" s="9" t="n"/>
      <c r="G915" s="9" t="n"/>
      <c r="H915" s="3">
        <f>IF(AND(D915&lt;&gt;"",F915&lt;&gt;""),F915-D915-G915,"")</f>
        <v/>
      </c>
      <c r="I915" s="14">
        <f>IF(E915&lt;&gt;"", YEARFRAC(C915, E915) * 12, "")</f>
        <v/>
      </c>
      <c r="J915" s="2">
        <f>IF(I915="", "", IF(OR(AND(A915="Listed Equity Shares", I915&gt;12), AND(A915="Unlisted Equity Shares", I915&gt;24)), "Long Term", "Short Term"))</f>
        <v/>
      </c>
      <c r="K915" s="5">
        <f>IF(J915="", "", IF(J915="Long Term", 12.5%,"as per slab"))</f>
        <v/>
      </c>
      <c r="L915" s="3">
        <f>+IFERROR(IF(J915="","",H915*K915),"as per slab")</f>
        <v/>
      </c>
    </row>
    <row r="916">
      <c r="A916" s="7" t="n"/>
      <c r="B916" s="7" t="n"/>
      <c r="C916" s="8" t="n"/>
      <c r="D916" s="9" t="n"/>
      <c r="E916" s="8" t="n"/>
      <c r="F916" s="9" t="n"/>
      <c r="G916" s="9" t="n"/>
      <c r="H916" s="3">
        <f>IF(AND(D916&lt;&gt;"",F916&lt;&gt;""),F916-D916-G916,"")</f>
        <v/>
      </c>
      <c r="I916" s="14">
        <f>IF(E916&lt;&gt;"", YEARFRAC(C916, E916) * 12, "")</f>
        <v/>
      </c>
      <c r="J916" s="2">
        <f>IF(I916="", "", IF(OR(AND(A916="Listed Equity Shares", I916&gt;12), AND(A916="Unlisted Equity Shares", I916&gt;24)), "Long Term", "Short Term"))</f>
        <v/>
      </c>
      <c r="K916" s="5">
        <f>IF(J916="", "", IF(J916="Long Term", 12.5%,"as per slab"))</f>
        <v/>
      </c>
      <c r="L916" s="3">
        <f>+IFERROR(IF(J916="","",H916*K916),"as per slab")</f>
        <v/>
      </c>
    </row>
    <row r="917">
      <c r="A917" s="7" t="n"/>
      <c r="B917" s="7" t="n"/>
      <c r="C917" s="8" t="n"/>
      <c r="D917" s="9" t="n"/>
      <c r="E917" s="8" t="n"/>
      <c r="F917" s="9" t="n"/>
      <c r="G917" s="9" t="n"/>
      <c r="H917" s="3">
        <f>IF(AND(D917&lt;&gt;"",F917&lt;&gt;""),F917-D917-G917,"")</f>
        <v/>
      </c>
      <c r="I917" s="14">
        <f>IF(E917&lt;&gt;"", YEARFRAC(C917, E917) * 12, "")</f>
        <v/>
      </c>
      <c r="J917" s="2">
        <f>IF(I917="", "", IF(OR(AND(A917="Listed Equity Shares", I917&gt;12), AND(A917="Unlisted Equity Shares", I917&gt;24)), "Long Term", "Short Term"))</f>
        <v/>
      </c>
      <c r="K917" s="5">
        <f>IF(J917="", "", IF(J917="Long Term", 12.5%,"as per slab"))</f>
        <v/>
      </c>
      <c r="L917" s="3">
        <f>+IFERROR(IF(J917="","",H917*K917),"as per slab")</f>
        <v/>
      </c>
    </row>
    <row r="918">
      <c r="A918" s="7" t="n"/>
      <c r="B918" s="7" t="n"/>
      <c r="C918" s="8" t="n"/>
      <c r="D918" s="9" t="n"/>
      <c r="E918" s="8" t="n"/>
      <c r="F918" s="9" t="n"/>
      <c r="G918" s="9" t="n"/>
      <c r="H918" s="3">
        <f>IF(AND(D918&lt;&gt;"",F918&lt;&gt;""),F918-D918-G918,"")</f>
        <v/>
      </c>
      <c r="I918" s="14">
        <f>IF(E918&lt;&gt;"", YEARFRAC(C918, E918) * 12, "")</f>
        <v/>
      </c>
      <c r="J918" s="2">
        <f>IF(I918="", "", IF(OR(AND(A918="Listed Equity Shares", I918&gt;12), AND(A918="Unlisted Equity Shares", I918&gt;24)), "Long Term", "Short Term"))</f>
        <v/>
      </c>
      <c r="K918" s="5">
        <f>IF(J918="", "", IF(J918="Long Term", 12.5%,"as per slab"))</f>
        <v/>
      </c>
      <c r="L918" s="3">
        <f>+IFERROR(IF(J918="","",H918*K918),"as per slab")</f>
        <v/>
      </c>
    </row>
    <row r="919">
      <c r="A919" s="7" t="n"/>
      <c r="B919" s="7" t="n"/>
      <c r="C919" s="8" t="n"/>
      <c r="D919" s="9" t="n"/>
      <c r="E919" s="8" t="n"/>
      <c r="F919" s="9" t="n"/>
      <c r="G919" s="9" t="n"/>
      <c r="H919" s="3">
        <f>IF(AND(D919&lt;&gt;"",F919&lt;&gt;""),F919-D919-G919,"")</f>
        <v/>
      </c>
      <c r="I919" s="14">
        <f>IF(E919&lt;&gt;"", YEARFRAC(C919, E919) * 12, "")</f>
        <v/>
      </c>
      <c r="J919" s="2">
        <f>IF(I919="", "", IF(OR(AND(A919="Listed Equity Shares", I919&gt;12), AND(A919="Unlisted Equity Shares", I919&gt;24)), "Long Term", "Short Term"))</f>
        <v/>
      </c>
      <c r="K919" s="5">
        <f>IF(J919="", "", IF(J919="Long Term", 12.5%,"as per slab"))</f>
        <v/>
      </c>
      <c r="L919" s="3">
        <f>+IFERROR(IF(J919="","",H919*K919),"as per slab")</f>
        <v/>
      </c>
    </row>
    <row r="920">
      <c r="A920" s="7" t="n"/>
      <c r="B920" s="7" t="n"/>
      <c r="C920" s="8" t="n"/>
      <c r="D920" s="9" t="n"/>
      <c r="E920" s="8" t="n"/>
      <c r="F920" s="9" t="n"/>
      <c r="G920" s="9" t="n"/>
      <c r="H920" s="3">
        <f>IF(AND(D920&lt;&gt;"",F920&lt;&gt;""),F920-D920-G920,"")</f>
        <v/>
      </c>
      <c r="I920" s="14">
        <f>IF(E920&lt;&gt;"", YEARFRAC(C920, E920) * 12, "")</f>
        <v/>
      </c>
      <c r="J920" s="2">
        <f>IF(I920="", "", IF(OR(AND(A920="Listed Equity Shares", I920&gt;12), AND(A920="Unlisted Equity Shares", I920&gt;24)), "Long Term", "Short Term"))</f>
        <v/>
      </c>
      <c r="K920" s="5">
        <f>IF(J920="", "", IF(J920="Long Term", 12.5%,"as per slab"))</f>
        <v/>
      </c>
      <c r="L920" s="3">
        <f>+IFERROR(IF(J920="","",H920*K920),"as per slab")</f>
        <v/>
      </c>
    </row>
    <row r="921">
      <c r="A921" s="7" t="n"/>
      <c r="B921" s="7" t="n"/>
      <c r="C921" s="8" t="n"/>
      <c r="D921" s="9" t="n"/>
      <c r="E921" s="8" t="n"/>
      <c r="F921" s="9" t="n"/>
      <c r="G921" s="9" t="n"/>
      <c r="H921" s="3">
        <f>IF(AND(D921&lt;&gt;"",F921&lt;&gt;""),F921-D921-G921,"")</f>
        <v/>
      </c>
      <c r="I921" s="14">
        <f>IF(E921&lt;&gt;"", YEARFRAC(C921, E921) * 12, "")</f>
        <v/>
      </c>
      <c r="J921" s="2">
        <f>IF(I921="", "", IF(OR(AND(A921="Listed Equity Shares", I921&gt;12), AND(A921="Unlisted Equity Shares", I921&gt;24)), "Long Term", "Short Term"))</f>
        <v/>
      </c>
      <c r="K921" s="5">
        <f>IF(J921="", "", IF(J921="Long Term", 12.5%,"as per slab"))</f>
        <v/>
      </c>
      <c r="L921" s="3">
        <f>+IFERROR(IF(J921="","",H921*K921),"as per slab")</f>
        <v/>
      </c>
    </row>
    <row r="922">
      <c r="A922" s="7" t="n"/>
      <c r="B922" s="7" t="n"/>
      <c r="C922" s="8" t="n"/>
      <c r="D922" s="9" t="n"/>
      <c r="E922" s="8" t="n"/>
      <c r="F922" s="9" t="n"/>
      <c r="G922" s="9" t="n"/>
      <c r="H922" s="3">
        <f>IF(AND(D922&lt;&gt;"",F922&lt;&gt;""),F922-D922-G922,"")</f>
        <v/>
      </c>
      <c r="I922" s="14">
        <f>IF(E922&lt;&gt;"", YEARFRAC(C922, E922) * 12, "")</f>
        <v/>
      </c>
      <c r="J922" s="2">
        <f>IF(I922="", "", IF(OR(AND(A922="Listed Equity Shares", I922&gt;12), AND(A922="Unlisted Equity Shares", I922&gt;24)), "Long Term", "Short Term"))</f>
        <v/>
      </c>
      <c r="K922" s="5">
        <f>IF(J922="", "", IF(J922="Long Term", 12.5%,"as per slab"))</f>
        <v/>
      </c>
      <c r="L922" s="3">
        <f>+IFERROR(IF(J922="","",H922*K922),"as per slab")</f>
        <v/>
      </c>
    </row>
    <row r="923">
      <c r="A923" s="7" t="n"/>
      <c r="B923" s="7" t="n"/>
      <c r="C923" s="8" t="n"/>
      <c r="D923" s="9" t="n"/>
      <c r="E923" s="8" t="n"/>
      <c r="F923" s="9" t="n"/>
      <c r="G923" s="9" t="n"/>
      <c r="H923" s="3">
        <f>IF(AND(D923&lt;&gt;"",F923&lt;&gt;""),F923-D923-G923,"")</f>
        <v/>
      </c>
      <c r="I923" s="14">
        <f>IF(E923&lt;&gt;"", YEARFRAC(C923, E923) * 12, "")</f>
        <v/>
      </c>
      <c r="J923" s="2">
        <f>IF(I923="", "", IF(OR(AND(A923="Listed Equity Shares", I923&gt;12), AND(A923="Unlisted Equity Shares", I923&gt;24)), "Long Term", "Short Term"))</f>
        <v/>
      </c>
      <c r="K923" s="5">
        <f>IF(J923="", "", IF(J923="Long Term", 12.5%,"as per slab"))</f>
        <v/>
      </c>
      <c r="L923" s="3">
        <f>+IFERROR(IF(J923="","",H923*K923),"as per slab")</f>
        <v/>
      </c>
    </row>
    <row r="924">
      <c r="A924" s="7" t="n"/>
      <c r="B924" s="7" t="n"/>
      <c r="C924" s="8" t="n"/>
      <c r="D924" s="9" t="n"/>
      <c r="E924" s="8" t="n"/>
      <c r="F924" s="9" t="n"/>
      <c r="G924" s="9" t="n"/>
      <c r="H924" s="3">
        <f>IF(AND(D924&lt;&gt;"",F924&lt;&gt;""),F924-D924-G924,"")</f>
        <v/>
      </c>
      <c r="I924" s="14">
        <f>IF(E924&lt;&gt;"", YEARFRAC(C924, E924) * 12, "")</f>
        <v/>
      </c>
      <c r="J924" s="2">
        <f>IF(I924="", "", IF(OR(AND(A924="Listed Equity Shares", I924&gt;12), AND(A924="Unlisted Equity Shares", I924&gt;24)), "Long Term", "Short Term"))</f>
        <v/>
      </c>
      <c r="K924" s="5">
        <f>IF(J924="", "", IF(J924="Long Term", 12.5%,"as per slab"))</f>
        <v/>
      </c>
      <c r="L924" s="3">
        <f>+IFERROR(IF(J924="","",H924*K924),"as per slab")</f>
        <v/>
      </c>
    </row>
    <row r="925">
      <c r="A925" s="7" t="n"/>
      <c r="B925" s="7" t="n"/>
      <c r="C925" s="8" t="n"/>
      <c r="D925" s="9" t="n"/>
      <c r="E925" s="8" t="n"/>
      <c r="F925" s="9" t="n"/>
      <c r="G925" s="9" t="n"/>
      <c r="H925" s="3">
        <f>IF(AND(D925&lt;&gt;"",F925&lt;&gt;""),F925-D925-G925,"")</f>
        <v/>
      </c>
      <c r="I925" s="14">
        <f>IF(E925&lt;&gt;"", YEARFRAC(C925, E925) * 12, "")</f>
        <v/>
      </c>
      <c r="J925" s="2">
        <f>IF(I925="", "", IF(OR(AND(A925="Listed Equity Shares", I925&gt;12), AND(A925="Unlisted Equity Shares", I925&gt;24)), "Long Term", "Short Term"))</f>
        <v/>
      </c>
      <c r="K925" s="5">
        <f>IF(J925="", "", IF(J925="Long Term", 12.5%,"as per slab"))</f>
        <v/>
      </c>
      <c r="L925" s="3">
        <f>+IFERROR(IF(J925="","",H925*K925),"as per slab")</f>
        <v/>
      </c>
    </row>
    <row r="926">
      <c r="A926" s="7" t="n"/>
      <c r="B926" s="7" t="n"/>
      <c r="C926" s="8" t="n"/>
      <c r="D926" s="9" t="n"/>
      <c r="E926" s="8" t="n"/>
      <c r="F926" s="9" t="n"/>
      <c r="G926" s="9" t="n"/>
      <c r="H926" s="3">
        <f>IF(AND(D926&lt;&gt;"",F926&lt;&gt;""),F926-D926-G926,"")</f>
        <v/>
      </c>
      <c r="I926" s="14">
        <f>IF(E926&lt;&gt;"", YEARFRAC(C926, E926) * 12, "")</f>
        <v/>
      </c>
      <c r="J926" s="2">
        <f>IF(I926="", "", IF(OR(AND(A926="Listed Equity Shares", I926&gt;12), AND(A926="Unlisted Equity Shares", I926&gt;24)), "Long Term", "Short Term"))</f>
        <v/>
      </c>
      <c r="K926" s="5">
        <f>IF(J926="", "", IF(J926="Long Term", 12.5%,"as per slab"))</f>
        <v/>
      </c>
      <c r="L926" s="3">
        <f>+IFERROR(IF(J926="","",H926*K926),"as per slab")</f>
        <v/>
      </c>
    </row>
    <row r="927">
      <c r="A927" s="7" t="n"/>
      <c r="B927" s="7" t="n"/>
      <c r="C927" s="8" t="n"/>
      <c r="D927" s="9" t="n"/>
      <c r="E927" s="8" t="n"/>
      <c r="F927" s="9" t="n"/>
      <c r="G927" s="9" t="n"/>
      <c r="H927" s="3">
        <f>IF(AND(D927&lt;&gt;"",F927&lt;&gt;""),F927-D927-G927,"")</f>
        <v/>
      </c>
      <c r="I927" s="14">
        <f>IF(E927&lt;&gt;"", YEARFRAC(C927, E927) * 12, "")</f>
        <v/>
      </c>
      <c r="J927" s="2">
        <f>IF(I927="", "", IF(OR(AND(A927="Listed Equity Shares", I927&gt;12), AND(A927="Unlisted Equity Shares", I927&gt;24)), "Long Term", "Short Term"))</f>
        <v/>
      </c>
      <c r="K927" s="5">
        <f>IF(J927="", "", IF(J927="Long Term", 12.5%,"as per slab"))</f>
        <v/>
      </c>
      <c r="L927" s="3">
        <f>+IFERROR(IF(J927="","",H927*K927),"as per slab")</f>
        <v/>
      </c>
    </row>
    <row r="928">
      <c r="A928" s="7" t="n"/>
      <c r="B928" s="7" t="n"/>
      <c r="C928" s="8" t="n"/>
      <c r="D928" s="9" t="n"/>
      <c r="E928" s="8" t="n"/>
      <c r="F928" s="9" t="n"/>
      <c r="G928" s="9" t="n"/>
      <c r="H928" s="3">
        <f>IF(AND(D928&lt;&gt;"",F928&lt;&gt;""),F928-D928-G928,"")</f>
        <v/>
      </c>
      <c r="I928" s="14">
        <f>IF(E928&lt;&gt;"", YEARFRAC(C928, E928) * 12, "")</f>
        <v/>
      </c>
      <c r="J928" s="2">
        <f>IF(I928="", "", IF(OR(AND(A928="Listed Equity Shares", I928&gt;12), AND(A928="Unlisted Equity Shares", I928&gt;24)), "Long Term", "Short Term"))</f>
        <v/>
      </c>
      <c r="K928" s="5">
        <f>IF(J928="", "", IF(J928="Long Term", 12.5%,"as per slab"))</f>
        <v/>
      </c>
      <c r="L928" s="3">
        <f>+IFERROR(IF(J928="","",H928*K928),"as per slab")</f>
        <v/>
      </c>
    </row>
    <row r="929">
      <c r="A929" s="7" t="n"/>
      <c r="B929" s="7" t="n"/>
      <c r="C929" s="8" t="n"/>
      <c r="D929" s="9" t="n"/>
      <c r="E929" s="8" t="n"/>
      <c r="F929" s="9" t="n"/>
      <c r="G929" s="9" t="n"/>
      <c r="H929" s="3">
        <f>IF(AND(D929&lt;&gt;"",F929&lt;&gt;""),F929-D929-G929,"")</f>
        <v/>
      </c>
      <c r="I929" s="14">
        <f>IF(E929&lt;&gt;"", YEARFRAC(C929, E929) * 12, "")</f>
        <v/>
      </c>
      <c r="J929" s="2">
        <f>IF(I929="", "", IF(OR(AND(A929="Listed Equity Shares", I929&gt;12), AND(A929="Unlisted Equity Shares", I929&gt;24)), "Long Term", "Short Term"))</f>
        <v/>
      </c>
      <c r="K929" s="5">
        <f>IF(J929="", "", IF(J929="Long Term", 12.5%,"as per slab"))</f>
        <v/>
      </c>
      <c r="L929" s="3">
        <f>+IFERROR(IF(J929="","",H929*K929),"as per slab")</f>
        <v/>
      </c>
    </row>
    <row r="930">
      <c r="A930" s="7" t="n"/>
      <c r="B930" s="7" t="n"/>
      <c r="C930" s="8" t="n"/>
      <c r="D930" s="9" t="n"/>
      <c r="E930" s="8" t="n"/>
      <c r="F930" s="9" t="n"/>
      <c r="G930" s="9" t="n"/>
      <c r="H930" s="3">
        <f>IF(AND(D930&lt;&gt;"",F930&lt;&gt;""),F930-D930-G930,"")</f>
        <v/>
      </c>
      <c r="I930" s="14">
        <f>IF(E930&lt;&gt;"", YEARFRAC(C930, E930) * 12, "")</f>
        <v/>
      </c>
      <c r="J930" s="2">
        <f>IF(I930="", "", IF(OR(AND(A930="Listed Equity Shares", I930&gt;12), AND(A930="Unlisted Equity Shares", I930&gt;24)), "Long Term", "Short Term"))</f>
        <v/>
      </c>
      <c r="K930" s="5">
        <f>IF(J930="", "", IF(J930="Long Term", 12.5%,"as per slab"))</f>
        <v/>
      </c>
      <c r="L930" s="3">
        <f>+IFERROR(IF(J930="","",H930*K930),"as per slab")</f>
        <v/>
      </c>
    </row>
    <row r="931">
      <c r="A931" s="7" t="n"/>
      <c r="B931" s="7" t="n"/>
      <c r="C931" s="8" t="n"/>
      <c r="D931" s="9" t="n"/>
      <c r="E931" s="8" t="n"/>
      <c r="F931" s="9" t="n"/>
      <c r="G931" s="9" t="n"/>
      <c r="H931" s="3">
        <f>IF(AND(D931&lt;&gt;"",F931&lt;&gt;""),F931-D931-G931,"")</f>
        <v/>
      </c>
      <c r="I931" s="14">
        <f>IF(E931&lt;&gt;"", YEARFRAC(C931, E931) * 12, "")</f>
        <v/>
      </c>
      <c r="J931" s="2">
        <f>IF(I931="", "", IF(OR(AND(A931="Listed Equity Shares", I931&gt;12), AND(A931="Unlisted Equity Shares", I931&gt;24)), "Long Term", "Short Term"))</f>
        <v/>
      </c>
      <c r="K931" s="5">
        <f>IF(J931="", "", IF(J931="Long Term", 12.5%,"as per slab"))</f>
        <v/>
      </c>
      <c r="L931" s="3">
        <f>+IFERROR(IF(J931="","",H931*K931),"as per slab")</f>
        <v/>
      </c>
    </row>
    <row r="932">
      <c r="A932" s="7" t="n"/>
      <c r="B932" s="7" t="n"/>
      <c r="C932" s="8" t="n"/>
      <c r="D932" s="9" t="n"/>
      <c r="E932" s="8" t="n"/>
      <c r="F932" s="9" t="n"/>
      <c r="G932" s="9" t="n"/>
      <c r="H932" s="3">
        <f>IF(AND(D932&lt;&gt;"",F932&lt;&gt;""),F932-D932-G932,"")</f>
        <v/>
      </c>
      <c r="I932" s="14">
        <f>IF(E932&lt;&gt;"", YEARFRAC(C932, E932) * 12, "")</f>
        <v/>
      </c>
      <c r="J932" s="2">
        <f>IF(I932="", "", IF(OR(AND(A932="Listed Equity Shares", I932&gt;12), AND(A932="Unlisted Equity Shares", I932&gt;24)), "Long Term", "Short Term"))</f>
        <v/>
      </c>
      <c r="K932" s="5">
        <f>IF(J932="", "", IF(J932="Long Term", 12.5%,"as per slab"))</f>
        <v/>
      </c>
      <c r="L932" s="3">
        <f>+IFERROR(IF(J932="","",H932*K932),"as per slab")</f>
        <v/>
      </c>
    </row>
    <row r="933">
      <c r="A933" s="7" t="n"/>
      <c r="B933" s="7" t="n"/>
      <c r="C933" s="8" t="n"/>
      <c r="D933" s="9" t="n"/>
      <c r="E933" s="8" t="n"/>
      <c r="F933" s="9" t="n"/>
      <c r="G933" s="9" t="n"/>
      <c r="H933" s="3">
        <f>IF(AND(D933&lt;&gt;"",F933&lt;&gt;""),F933-D933-G933,"")</f>
        <v/>
      </c>
      <c r="I933" s="14">
        <f>IF(E933&lt;&gt;"", YEARFRAC(C933, E933) * 12, "")</f>
        <v/>
      </c>
      <c r="J933" s="2">
        <f>IF(I933="", "", IF(OR(AND(A933="Listed Equity Shares", I933&gt;12), AND(A933="Unlisted Equity Shares", I933&gt;24)), "Long Term", "Short Term"))</f>
        <v/>
      </c>
      <c r="K933" s="5">
        <f>IF(J933="", "", IF(J933="Long Term", 12.5%,"as per slab"))</f>
        <v/>
      </c>
      <c r="L933" s="3">
        <f>+IFERROR(IF(J933="","",H933*K933),"as per slab")</f>
        <v/>
      </c>
    </row>
    <row r="934">
      <c r="A934" s="7" t="n"/>
      <c r="B934" s="7" t="n"/>
      <c r="C934" s="8" t="n"/>
      <c r="D934" s="9" t="n"/>
      <c r="E934" s="8" t="n"/>
      <c r="F934" s="9" t="n"/>
      <c r="G934" s="9" t="n"/>
      <c r="H934" s="3">
        <f>IF(AND(D934&lt;&gt;"",F934&lt;&gt;""),F934-D934-G934,"")</f>
        <v/>
      </c>
      <c r="I934" s="14">
        <f>IF(E934&lt;&gt;"", YEARFRAC(C934, E934) * 12, "")</f>
        <v/>
      </c>
      <c r="J934" s="2">
        <f>IF(I934="", "", IF(OR(AND(A934="Listed Equity Shares", I934&gt;12), AND(A934="Unlisted Equity Shares", I934&gt;24)), "Long Term", "Short Term"))</f>
        <v/>
      </c>
      <c r="K934" s="5">
        <f>IF(J934="", "", IF(J934="Long Term", 12.5%,"as per slab"))</f>
        <v/>
      </c>
      <c r="L934" s="3">
        <f>+IFERROR(IF(J934="","",H934*K934),"as per slab")</f>
        <v/>
      </c>
    </row>
    <row r="935">
      <c r="A935" s="7" t="n"/>
      <c r="B935" s="7" t="n"/>
      <c r="C935" s="8" t="n"/>
      <c r="D935" s="9" t="n"/>
      <c r="E935" s="8" t="n"/>
      <c r="F935" s="9" t="n"/>
      <c r="G935" s="9" t="n"/>
      <c r="H935" s="3">
        <f>IF(AND(D935&lt;&gt;"",F935&lt;&gt;""),F935-D935-G935,"")</f>
        <v/>
      </c>
      <c r="I935" s="14">
        <f>IF(E935&lt;&gt;"", YEARFRAC(C935, E935) * 12, "")</f>
        <v/>
      </c>
      <c r="J935" s="2">
        <f>IF(I935="", "", IF(OR(AND(A935="Listed Equity Shares", I935&gt;12), AND(A935="Unlisted Equity Shares", I935&gt;24)), "Long Term", "Short Term"))</f>
        <v/>
      </c>
      <c r="K935" s="5">
        <f>IF(J935="", "", IF(J935="Long Term", 12.5%,"as per slab"))</f>
        <v/>
      </c>
      <c r="L935" s="3">
        <f>+IFERROR(IF(J935="","",H935*K935),"as per slab")</f>
        <v/>
      </c>
    </row>
    <row r="936">
      <c r="A936" s="7" t="n"/>
      <c r="B936" s="7" t="n"/>
      <c r="C936" s="8" t="n"/>
      <c r="D936" s="9" t="n"/>
      <c r="E936" s="8" t="n"/>
      <c r="F936" s="9" t="n"/>
      <c r="G936" s="9" t="n"/>
      <c r="H936" s="3">
        <f>IF(AND(D936&lt;&gt;"",F936&lt;&gt;""),F936-D936-G936,"")</f>
        <v/>
      </c>
      <c r="I936" s="14">
        <f>IF(E936&lt;&gt;"", YEARFRAC(C936, E936) * 12, "")</f>
        <v/>
      </c>
      <c r="J936" s="2">
        <f>IF(I936="", "", IF(OR(AND(A936="Listed Equity Shares", I936&gt;12), AND(A936="Unlisted Equity Shares", I936&gt;24)), "Long Term", "Short Term"))</f>
        <v/>
      </c>
      <c r="K936" s="5">
        <f>IF(J936="", "", IF(J936="Long Term", 12.5%,"as per slab"))</f>
        <v/>
      </c>
      <c r="L936" s="3">
        <f>+IFERROR(IF(J936="","",H936*K936),"as per slab")</f>
        <v/>
      </c>
    </row>
    <row r="937">
      <c r="A937" s="7" t="n"/>
      <c r="B937" s="7" t="n"/>
      <c r="C937" s="8" t="n"/>
      <c r="D937" s="9" t="n"/>
      <c r="E937" s="8" t="n"/>
      <c r="F937" s="9" t="n"/>
      <c r="G937" s="9" t="n"/>
      <c r="H937" s="3">
        <f>IF(AND(D937&lt;&gt;"",F937&lt;&gt;""),F937-D937-G937,"")</f>
        <v/>
      </c>
      <c r="I937" s="14">
        <f>IF(E937&lt;&gt;"", YEARFRAC(C937, E937) * 12, "")</f>
        <v/>
      </c>
      <c r="J937" s="2">
        <f>IF(I937="", "", IF(OR(AND(A937="Listed Equity Shares", I937&gt;12), AND(A937="Unlisted Equity Shares", I937&gt;24)), "Long Term", "Short Term"))</f>
        <v/>
      </c>
      <c r="K937" s="5">
        <f>IF(J937="", "", IF(J937="Long Term", 12.5%,"as per slab"))</f>
        <v/>
      </c>
      <c r="L937" s="3">
        <f>+IFERROR(IF(J937="","",H937*K937),"as per slab")</f>
        <v/>
      </c>
    </row>
    <row r="938">
      <c r="A938" s="7" t="n"/>
      <c r="B938" s="7" t="n"/>
      <c r="C938" s="8" t="n"/>
      <c r="D938" s="9" t="n"/>
      <c r="E938" s="8" t="n"/>
      <c r="F938" s="9" t="n"/>
      <c r="G938" s="9" t="n"/>
      <c r="H938" s="3">
        <f>IF(AND(D938&lt;&gt;"",F938&lt;&gt;""),F938-D938-G938,"")</f>
        <v/>
      </c>
      <c r="I938" s="14">
        <f>IF(E938&lt;&gt;"", YEARFRAC(C938, E938) * 12, "")</f>
        <v/>
      </c>
      <c r="J938" s="2">
        <f>IF(I938="", "", IF(OR(AND(A938="Listed Equity Shares", I938&gt;12), AND(A938="Unlisted Equity Shares", I938&gt;24)), "Long Term", "Short Term"))</f>
        <v/>
      </c>
      <c r="K938" s="5">
        <f>IF(J938="", "", IF(J938="Long Term", 12.5%,"as per slab"))</f>
        <v/>
      </c>
      <c r="L938" s="3">
        <f>+IFERROR(IF(J938="","",H938*K938),"as per slab")</f>
        <v/>
      </c>
    </row>
    <row r="939">
      <c r="A939" s="7" t="n"/>
      <c r="B939" s="7" t="n"/>
      <c r="C939" s="8" t="n"/>
      <c r="D939" s="9" t="n"/>
      <c r="E939" s="8" t="n"/>
      <c r="F939" s="9" t="n"/>
      <c r="G939" s="9" t="n"/>
      <c r="H939" s="3">
        <f>IF(AND(D939&lt;&gt;"",F939&lt;&gt;""),F939-D939-G939,"")</f>
        <v/>
      </c>
      <c r="I939" s="14">
        <f>IF(E939&lt;&gt;"", YEARFRAC(C939, E939) * 12, "")</f>
        <v/>
      </c>
      <c r="J939" s="2">
        <f>IF(I939="", "", IF(OR(AND(A939="Listed Equity Shares", I939&gt;12), AND(A939="Unlisted Equity Shares", I939&gt;24)), "Long Term", "Short Term"))</f>
        <v/>
      </c>
      <c r="K939" s="5">
        <f>IF(J939="", "", IF(J939="Long Term", 12.5%,"as per slab"))</f>
        <v/>
      </c>
      <c r="L939" s="3">
        <f>+IFERROR(IF(J939="","",H939*K939),"as per slab")</f>
        <v/>
      </c>
    </row>
    <row r="940">
      <c r="A940" s="7" t="n"/>
      <c r="B940" s="7" t="n"/>
      <c r="C940" s="8" t="n"/>
      <c r="D940" s="9" t="n"/>
      <c r="E940" s="8" t="n"/>
      <c r="F940" s="9" t="n"/>
      <c r="G940" s="9" t="n"/>
      <c r="H940" s="3">
        <f>IF(AND(D940&lt;&gt;"",F940&lt;&gt;""),F940-D940-G940,"")</f>
        <v/>
      </c>
      <c r="I940" s="14">
        <f>IF(E940&lt;&gt;"", YEARFRAC(C940, E940) * 12, "")</f>
        <v/>
      </c>
      <c r="J940" s="2">
        <f>IF(I940="", "", IF(OR(AND(A940="Listed Equity Shares", I940&gt;12), AND(A940="Unlisted Equity Shares", I940&gt;24)), "Long Term", "Short Term"))</f>
        <v/>
      </c>
      <c r="K940" s="5">
        <f>IF(J940="", "", IF(J940="Long Term", 12.5%,"as per slab"))</f>
        <v/>
      </c>
      <c r="L940" s="3">
        <f>+IFERROR(IF(J940="","",H940*K940),"as per slab")</f>
        <v/>
      </c>
    </row>
    <row r="941">
      <c r="A941" s="7" t="n"/>
      <c r="B941" s="7" t="n"/>
      <c r="C941" s="8" t="n"/>
      <c r="D941" s="9" t="n"/>
      <c r="E941" s="8" t="n"/>
      <c r="F941" s="9" t="n"/>
      <c r="G941" s="9" t="n"/>
      <c r="H941" s="3">
        <f>IF(AND(D941&lt;&gt;"",F941&lt;&gt;""),F941-D941-G941,"")</f>
        <v/>
      </c>
      <c r="I941" s="14">
        <f>IF(E941&lt;&gt;"", YEARFRAC(C941, E941) * 12, "")</f>
        <v/>
      </c>
      <c r="J941" s="2">
        <f>IF(I941="", "", IF(OR(AND(A941="Listed Equity Shares", I941&gt;12), AND(A941="Unlisted Equity Shares", I941&gt;24)), "Long Term", "Short Term"))</f>
        <v/>
      </c>
      <c r="K941" s="5">
        <f>IF(J941="", "", IF(J941="Long Term", 12.5%,"as per slab"))</f>
        <v/>
      </c>
      <c r="L941" s="3">
        <f>+IFERROR(IF(J941="","",H941*K941),"as per slab")</f>
        <v/>
      </c>
    </row>
    <row r="942">
      <c r="A942" s="7" t="n"/>
      <c r="B942" s="7" t="n"/>
      <c r="C942" s="8" t="n"/>
      <c r="D942" s="9" t="n"/>
      <c r="E942" s="8" t="n"/>
      <c r="F942" s="9" t="n"/>
      <c r="G942" s="9" t="n"/>
      <c r="H942" s="3">
        <f>IF(AND(D942&lt;&gt;"",F942&lt;&gt;""),F942-D942-G942,"")</f>
        <v/>
      </c>
      <c r="I942" s="14">
        <f>IF(E942&lt;&gt;"", YEARFRAC(C942, E942) * 12, "")</f>
        <v/>
      </c>
      <c r="J942" s="2">
        <f>IF(I942="", "", IF(OR(AND(A942="Listed Equity Shares", I942&gt;12), AND(A942="Unlisted Equity Shares", I942&gt;24)), "Long Term", "Short Term"))</f>
        <v/>
      </c>
      <c r="K942" s="5">
        <f>IF(J942="", "", IF(J942="Long Term", 12.5%,"as per slab"))</f>
        <v/>
      </c>
      <c r="L942" s="3">
        <f>+IFERROR(IF(J942="","",H942*K942),"as per slab")</f>
        <v/>
      </c>
    </row>
    <row r="943">
      <c r="A943" s="7" t="n"/>
      <c r="B943" s="7" t="n"/>
      <c r="C943" s="8" t="n"/>
      <c r="D943" s="9" t="n"/>
      <c r="E943" s="8" t="n"/>
      <c r="F943" s="9" t="n"/>
      <c r="G943" s="9" t="n"/>
      <c r="H943" s="3">
        <f>IF(AND(D943&lt;&gt;"",F943&lt;&gt;""),F943-D943-G943,"")</f>
        <v/>
      </c>
      <c r="I943" s="14">
        <f>IF(E943&lt;&gt;"", YEARFRAC(C943, E943) * 12, "")</f>
        <v/>
      </c>
      <c r="J943" s="2">
        <f>IF(I943="", "", IF(OR(AND(A943="Listed Equity Shares", I943&gt;12), AND(A943="Unlisted Equity Shares", I943&gt;24)), "Long Term", "Short Term"))</f>
        <v/>
      </c>
      <c r="K943" s="5">
        <f>IF(J943="", "", IF(J943="Long Term", 12.5%,"as per slab"))</f>
        <v/>
      </c>
      <c r="L943" s="3">
        <f>+IFERROR(IF(J943="","",H943*K943),"as per slab")</f>
        <v/>
      </c>
    </row>
    <row r="944">
      <c r="A944" s="7" t="n"/>
      <c r="B944" s="7" t="n"/>
      <c r="C944" s="8" t="n"/>
      <c r="D944" s="9" t="n"/>
      <c r="E944" s="8" t="n"/>
      <c r="F944" s="9" t="n"/>
      <c r="G944" s="9" t="n"/>
      <c r="H944" s="3">
        <f>IF(AND(D944&lt;&gt;"",F944&lt;&gt;""),F944-D944-G944,"")</f>
        <v/>
      </c>
      <c r="I944" s="14">
        <f>IF(E944&lt;&gt;"", YEARFRAC(C944, E944) * 12, "")</f>
        <v/>
      </c>
      <c r="J944" s="2">
        <f>IF(I944="", "", IF(OR(AND(A944="Listed Equity Shares", I944&gt;12), AND(A944="Unlisted Equity Shares", I944&gt;24)), "Long Term", "Short Term"))</f>
        <v/>
      </c>
      <c r="K944" s="5">
        <f>IF(J944="", "", IF(J944="Long Term", 12.5%,"as per slab"))</f>
        <v/>
      </c>
      <c r="L944" s="3">
        <f>+IFERROR(IF(J944="","",H944*K944),"as per slab")</f>
        <v/>
      </c>
    </row>
    <row r="945">
      <c r="A945" s="7" t="n"/>
      <c r="B945" s="7" t="n"/>
      <c r="C945" s="8" t="n"/>
      <c r="D945" s="9" t="n"/>
      <c r="E945" s="8" t="n"/>
      <c r="F945" s="9" t="n"/>
      <c r="G945" s="9" t="n"/>
      <c r="H945" s="3">
        <f>IF(AND(D945&lt;&gt;"",F945&lt;&gt;""),F945-D945-G945,"")</f>
        <v/>
      </c>
      <c r="I945" s="14">
        <f>IF(E945&lt;&gt;"", YEARFRAC(C945, E945) * 12, "")</f>
        <v/>
      </c>
      <c r="J945" s="2">
        <f>IF(I945="", "", IF(OR(AND(A945="Listed Equity Shares", I945&gt;12), AND(A945="Unlisted Equity Shares", I945&gt;24)), "Long Term", "Short Term"))</f>
        <v/>
      </c>
      <c r="K945" s="5">
        <f>IF(J945="", "", IF(J945="Long Term", 12.5%,"as per slab"))</f>
        <v/>
      </c>
      <c r="L945" s="3">
        <f>+IFERROR(IF(J945="","",H945*K945),"as per slab")</f>
        <v/>
      </c>
    </row>
    <row r="946">
      <c r="A946" s="7" t="n"/>
      <c r="B946" s="7" t="n"/>
      <c r="C946" s="8" t="n"/>
      <c r="D946" s="9" t="n"/>
      <c r="E946" s="8" t="n"/>
      <c r="F946" s="9" t="n"/>
      <c r="G946" s="9" t="n"/>
      <c r="H946" s="3">
        <f>IF(AND(D946&lt;&gt;"",F946&lt;&gt;""),F946-D946-G946,"")</f>
        <v/>
      </c>
      <c r="I946" s="14">
        <f>IF(E946&lt;&gt;"", YEARFRAC(C946, E946) * 12, "")</f>
        <v/>
      </c>
      <c r="J946" s="2">
        <f>IF(I946="", "", IF(OR(AND(A946="Listed Equity Shares", I946&gt;12), AND(A946="Unlisted Equity Shares", I946&gt;24)), "Long Term", "Short Term"))</f>
        <v/>
      </c>
      <c r="K946" s="5">
        <f>IF(J946="", "", IF(J946="Long Term", 12.5%,"as per slab"))</f>
        <v/>
      </c>
      <c r="L946" s="3">
        <f>+IFERROR(IF(J946="","",H946*K946),"as per slab")</f>
        <v/>
      </c>
    </row>
    <row r="947">
      <c r="A947" s="7" t="n"/>
      <c r="B947" s="7" t="n"/>
      <c r="C947" s="8" t="n"/>
      <c r="D947" s="9" t="n"/>
      <c r="E947" s="8" t="n"/>
      <c r="F947" s="9" t="n"/>
      <c r="G947" s="9" t="n"/>
      <c r="H947" s="3">
        <f>IF(AND(D947&lt;&gt;"",F947&lt;&gt;""),F947-D947-G947,"")</f>
        <v/>
      </c>
      <c r="I947" s="14">
        <f>IF(E947&lt;&gt;"", YEARFRAC(C947, E947) * 12, "")</f>
        <v/>
      </c>
      <c r="J947" s="2">
        <f>IF(I947="", "", IF(OR(AND(A947="Listed Equity Shares", I947&gt;12), AND(A947="Unlisted Equity Shares", I947&gt;24)), "Long Term", "Short Term"))</f>
        <v/>
      </c>
      <c r="K947" s="5">
        <f>IF(J947="", "", IF(J947="Long Term", 12.5%,"as per slab"))</f>
        <v/>
      </c>
      <c r="L947" s="3">
        <f>+IFERROR(IF(J947="","",H947*K947),"as per slab")</f>
        <v/>
      </c>
    </row>
    <row r="948">
      <c r="A948" s="7" t="n"/>
      <c r="B948" s="7" t="n"/>
      <c r="C948" s="8" t="n"/>
      <c r="D948" s="9" t="n"/>
      <c r="E948" s="8" t="n"/>
      <c r="F948" s="9" t="n"/>
      <c r="G948" s="9" t="n"/>
      <c r="H948" s="3">
        <f>IF(AND(D948&lt;&gt;"",F948&lt;&gt;""),F948-D948-G948,"")</f>
        <v/>
      </c>
      <c r="I948" s="14">
        <f>IF(E948&lt;&gt;"", YEARFRAC(C948, E948) * 12, "")</f>
        <v/>
      </c>
      <c r="J948" s="2">
        <f>IF(I948="", "", IF(OR(AND(A948="Listed Equity Shares", I948&gt;12), AND(A948="Unlisted Equity Shares", I948&gt;24)), "Long Term", "Short Term"))</f>
        <v/>
      </c>
      <c r="K948" s="5">
        <f>IF(J948="", "", IF(J948="Long Term", 12.5%,"as per slab"))</f>
        <v/>
      </c>
      <c r="L948" s="3">
        <f>+IFERROR(IF(J948="","",H948*K948),"as per slab")</f>
        <v/>
      </c>
    </row>
    <row r="949">
      <c r="A949" s="7" t="n"/>
      <c r="B949" s="7" t="n"/>
      <c r="C949" s="8" t="n"/>
      <c r="D949" s="9" t="n"/>
      <c r="E949" s="8" t="n"/>
      <c r="F949" s="9" t="n"/>
      <c r="G949" s="9" t="n"/>
      <c r="H949" s="3">
        <f>IF(AND(D949&lt;&gt;"",F949&lt;&gt;""),F949-D949-G949,"")</f>
        <v/>
      </c>
      <c r="I949" s="14">
        <f>IF(E949&lt;&gt;"", YEARFRAC(C949, E949) * 12, "")</f>
        <v/>
      </c>
      <c r="J949" s="2">
        <f>IF(I949="", "", IF(OR(AND(A949="Listed Equity Shares", I949&gt;12), AND(A949="Unlisted Equity Shares", I949&gt;24)), "Long Term", "Short Term"))</f>
        <v/>
      </c>
      <c r="K949" s="5">
        <f>IF(J949="", "", IF(J949="Long Term", 12.5%,"as per slab"))</f>
        <v/>
      </c>
      <c r="L949" s="3">
        <f>+IFERROR(IF(J949="","",H949*K949),"as per slab")</f>
        <v/>
      </c>
    </row>
    <row r="950">
      <c r="A950" s="7" t="n"/>
      <c r="B950" s="7" t="n"/>
      <c r="C950" s="8" t="n"/>
      <c r="D950" s="9" t="n"/>
      <c r="E950" s="8" t="n"/>
      <c r="F950" s="9" t="n"/>
      <c r="G950" s="9" t="n"/>
      <c r="H950" s="3">
        <f>IF(AND(D950&lt;&gt;"",F950&lt;&gt;""),F950-D950-G950,"")</f>
        <v/>
      </c>
      <c r="I950" s="14">
        <f>IF(E950&lt;&gt;"", YEARFRAC(C950, E950) * 12, "")</f>
        <v/>
      </c>
      <c r="J950" s="2">
        <f>IF(I950="", "", IF(OR(AND(A950="Listed Equity Shares", I950&gt;12), AND(A950="Unlisted Equity Shares", I950&gt;24)), "Long Term", "Short Term"))</f>
        <v/>
      </c>
      <c r="K950" s="5">
        <f>IF(J950="", "", IF(J950="Long Term", 12.5%,"as per slab"))</f>
        <v/>
      </c>
      <c r="L950" s="3">
        <f>+IFERROR(IF(J950="","",H950*K950),"as per slab")</f>
        <v/>
      </c>
    </row>
    <row r="951">
      <c r="A951" s="7" t="n"/>
      <c r="B951" s="7" t="n"/>
      <c r="C951" s="8" t="n"/>
      <c r="D951" s="9" t="n"/>
      <c r="E951" s="8" t="n"/>
      <c r="F951" s="9" t="n"/>
      <c r="G951" s="9" t="n"/>
      <c r="H951" s="3">
        <f>IF(AND(D951&lt;&gt;"",F951&lt;&gt;""),F951-D951-G951,"")</f>
        <v/>
      </c>
      <c r="I951" s="14">
        <f>IF(E951&lt;&gt;"", YEARFRAC(C951, E951) * 12, "")</f>
        <v/>
      </c>
      <c r="J951" s="2">
        <f>IF(I951="", "", IF(OR(AND(A951="Listed Equity Shares", I951&gt;12), AND(A951="Unlisted Equity Shares", I951&gt;24)), "Long Term", "Short Term"))</f>
        <v/>
      </c>
      <c r="K951" s="5">
        <f>IF(J951="", "", IF(J951="Long Term", 12.5%,"as per slab"))</f>
        <v/>
      </c>
      <c r="L951" s="3">
        <f>+IFERROR(IF(J951="","",H951*K951),"as per slab")</f>
        <v/>
      </c>
    </row>
    <row r="952">
      <c r="A952" s="7" t="n"/>
      <c r="B952" s="7" t="n"/>
      <c r="C952" s="8" t="n"/>
      <c r="D952" s="9" t="n"/>
      <c r="E952" s="8" t="n"/>
      <c r="F952" s="9" t="n"/>
      <c r="G952" s="9" t="n"/>
      <c r="H952" s="3">
        <f>IF(AND(D952&lt;&gt;"",F952&lt;&gt;""),F952-D952-G952,"")</f>
        <v/>
      </c>
      <c r="I952" s="14">
        <f>IF(E952&lt;&gt;"", YEARFRAC(C952, E952) * 12, "")</f>
        <v/>
      </c>
      <c r="J952" s="2">
        <f>IF(I952="", "", IF(OR(AND(A952="Listed Equity Shares", I952&gt;12), AND(A952="Unlisted Equity Shares", I952&gt;24)), "Long Term", "Short Term"))</f>
        <v/>
      </c>
      <c r="K952" s="5">
        <f>IF(J952="", "", IF(J952="Long Term", 12.5%,"as per slab"))</f>
        <v/>
      </c>
      <c r="L952" s="3">
        <f>+IFERROR(IF(J952="","",H952*K952),"as per slab")</f>
        <v/>
      </c>
    </row>
    <row r="953">
      <c r="A953" s="7" t="n"/>
      <c r="B953" s="7" t="n"/>
      <c r="C953" s="8" t="n"/>
      <c r="D953" s="9" t="n"/>
      <c r="E953" s="8" t="n"/>
      <c r="F953" s="9" t="n"/>
      <c r="G953" s="9" t="n"/>
      <c r="H953" s="3">
        <f>IF(AND(D953&lt;&gt;"",F953&lt;&gt;""),F953-D953-G953,"")</f>
        <v/>
      </c>
      <c r="I953" s="14">
        <f>IF(E953&lt;&gt;"", YEARFRAC(C953, E953) * 12, "")</f>
        <v/>
      </c>
      <c r="J953" s="2">
        <f>IF(I953="", "", IF(OR(AND(A953="Listed Equity Shares", I953&gt;12), AND(A953="Unlisted Equity Shares", I953&gt;24)), "Long Term", "Short Term"))</f>
        <v/>
      </c>
      <c r="K953" s="5">
        <f>IF(J953="", "", IF(J953="Long Term", 12.5%,"as per slab"))</f>
        <v/>
      </c>
      <c r="L953" s="3">
        <f>+IFERROR(IF(J953="","",H953*K953),"as per slab")</f>
        <v/>
      </c>
    </row>
    <row r="954">
      <c r="A954" s="7" t="n"/>
      <c r="B954" s="7" t="n"/>
      <c r="C954" s="8" t="n"/>
      <c r="D954" s="9" t="n"/>
      <c r="E954" s="8" t="n"/>
      <c r="F954" s="9" t="n"/>
      <c r="G954" s="9" t="n"/>
      <c r="H954" s="3">
        <f>IF(AND(D954&lt;&gt;"",F954&lt;&gt;""),F954-D954-G954,"")</f>
        <v/>
      </c>
      <c r="I954" s="14">
        <f>IF(E954&lt;&gt;"", YEARFRAC(C954, E954) * 12, "")</f>
        <v/>
      </c>
      <c r="J954" s="2">
        <f>IF(I954="", "", IF(OR(AND(A954="Listed Equity Shares", I954&gt;12), AND(A954="Unlisted Equity Shares", I954&gt;24)), "Long Term", "Short Term"))</f>
        <v/>
      </c>
      <c r="K954" s="5">
        <f>IF(J954="", "", IF(J954="Long Term", 12.5%,"as per slab"))</f>
        <v/>
      </c>
      <c r="L954" s="3">
        <f>+IFERROR(IF(J954="","",H954*K954),"as per slab")</f>
        <v/>
      </c>
    </row>
    <row r="955">
      <c r="A955" s="7" t="n"/>
      <c r="B955" s="7" t="n"/>
      <c r="C955" s="8" t="n"/>
      <c r="D955" s="9" t="n"/>
      <c r="E955" s="8" t="n"/>
      <c r="F955" s="9" t="n"/>
      <c r="G955" s="9" t="n"/>
      <c r="H955" s="3">
        <f>IF(AND(D955&lt;&gt;"",F955&lt;&gt;""),F955-D955-G955,"")</f>
        <v/>
      </c>
      <c r="I955" s="14">
        <f>IF(E955&lt;&gt;"", YEARFRAC(C955, E955) * 12, "")</f>
        <v/>
      </c>
      <c r="J955" s="2">
        <f>IF(I955="", "", IF(OR(AND(A955="Listed Equity Shares", I955&gt;12), AND(A955="Unlisted Equity Shares", I955&gt;24)), "Long Term", "Short Term"))</f>
        <v/>
      </c>
      <c r="K955" s="5">
        <f>IF(J955="", "", IF(J955="Long Term", 12.5%,"as per slab"))</f>
        <v/>
      </c>
      <c r="L955" s="3">
        <f>+IFERROR(IF(J955="","",H955*K955),"as per slab")</f>
        <v/>
      </c>
    </row>
    <row r="956">
      <c r="A956" s="7" t="n"/>
      <c r="B956" s="7" t="n"/>
      <c r="C956" s="8" t="n"/>
      <c r="D956" s="9" t="n"/>
      <c r="E956" s="8" t="n"/>
      <c r="F956" s="9" t="n"/>
      <c r="G956" s="9" t="n"/>
      <c r="H956" s="3">
        <f>IF(AND(D956&lt;&gt;"",F956&lt;&gt;""),F956-D956-G956,"")</f>
        <v/>
      </c>
      <c r="I956" s="14">
        <f>IF(E956&lt;&gt;"", YEARFRAC(C956, E956) * 12, "")</f>
        <v/>
      </c>
      <c r="J956" s="2">
        <f>IF(I956="", "", IF(OR(AND(A956="Listed Equity Shares", I956&gt;12), AND(A956="Unlisted Equity Shares", I956&gt;24)), "Long Term", "Short Term"))</f>
        <v/>
      </c>
      <c r="K956" s="5">
        <f>IF(J956="", "", IF(J956="Long Term", 12.5%,"as per slab"))</f>
        <v/>
      </c>
      <c r="L956" s="3">
        <f>+IFERROR(IF(J956="","",H956*K956),"as per slab")</f>
        <v/>
      </c>
    </row>
    <row r="957">
      <c r="A957" s="7" t="n"/>
      <c r="B957" s="7" t="n"/>
      <c r="C957" s="8" t="n"/>
      <c r="D957" s="9" t="n"/>
      <c r="E957" s="8" t="n"/>
      <c r="F957" s="9" t="n"/>
      <c r="G957" s="9" t="n"/>
      <c r="H957" s="3">
        <f>IF(AND(D957&lt;&gt;"",F957&lt;&gt;""),F957-D957-G957,"")</f>
        <v/>
      </c>
      <c r="I957" s="14">
        <f>IF(E957&lt;&gt;"", YEARFRAC(C957, E957) * 12, "")</f>
        <v/>
      </c>
      <c r="J957" s="2">
        <f>IF(I957="", "", IF(OR(AND(A957="Listed Equity Shares", I957&gt;12), AND(A957="Unlisted Equity Shares", I957&gt;24)), "Long Term", "Short Term"))</f>
        <v/>
      </c>
      <c r="K957" s="5">
        <f>IF(J957="", "", IF(J957="Long Term", 12.5%,"as per slab"))</f>
        <v/>
      </c>
      <c r="L957" s="3">
        <f>+IFERROR(IF(J957="","",H957*K957),"as per slab")</f>
        <v/>
      </c>
    </row>
    <row r="958">
      <c r="A958" s="7" t="n"/>
      <c r="B958" s="7" t="n"/>
      <c r="C958" s="8" t="n"/>
      <c r="D958" s="9" t="n"/>
      <c r="E958" s="8" t="n"/>
      <c r="F958" s="9" t="n"/>
      <c r="G958" s="9" t="n"/>
      <c r="H958" s="3">
        <f>IF(AND(D958&lt;&gt;"",F958&lt;&gt;""),F958-D958-G958,"")</f>
        <v/>
      </c>
      <c r="I958" s="14">
        <f>IF(E958&lt;&gt;"", YEARFRAC(C958, E958) * 12, "")</f>
        <v/>
      </c>
      <c r="J958" s="2">
        <f>IF(I958="", "", IF(OR(AND(A958="Listed Equity Shares", I958&gt;12), AND(A958="Unlisted Equity Shares", I958&gt;24)), "Long Term", "Short Term"))</f>
        <v/>
      </c>
      <c r="K958" s="5">
        <f>IF(J958="", "", IF(J958="Long Term", 12.5%,"as per slab"))</f>
        <v/>
      </c>
      <c r="L958" s="3">
        <f>+IFERROR(IF(J958="","",H958*K958),"as per slab")</f>
        <v/>
      </c>
    </row>
    <row r="959">
      <c r="A959" s="7" t="n"/>
      <c r="B959" s="7" t="n"/>
      <c r="C959" s="8" t="n"/>
      <c r="D959" s="9" t="n"/>
      <c r="E959" s="8" t="n"/>
      <c r="F959" s="9" t="n"/>
      <c r="G959" s="9" t="n"/>
      <c r="H959" s="3">
        <f>IF(AND(D959&lt;&gt;"",F959&lt;&gt;""),F959-D959-G959,"")</f>
        <v/>
      </c>
      <c r="I959" s="14">
        <f>IF(E959&lt;&gt;"", YEARFRAC(C959, E959) * 12, "")</f>
        <v/>
      </c>
      <c r="J959" s="2">
        <f>IF(I959="", "", IF(OR(AND(A959="Listed Equity Shares", I959&gt;12), AND(A959="Unlisted Equity Shares", I959&gt;24)), "Long Term", "Short Term"))</f>
        <v/>
      </c>
      <c r="K959" s="5">
        <f>IF(J959="", "", IF(J959="Long Term", 12.5%,"as per slab"))</f>
        <v/>
      </c>
      <c r="L959" s="3">
        <f>+IFERROR(IF(J959="","",H959*K959),"as per slab")</f>
        <v/>
      </c>
    </row>
    <row r="960">
      <c r="A960" s="7" t="n"/>
      <c r="B960" s="7" t="n"/>
      <c r="C960" s="8" t="n"/>
      <c r="D960" s="9" t="n"/>
      <c r="E960" s="8" t="n"/>
      <c r="F960" s="9" t="n"/>
      <c r="G960" s="9" t="n"/>
      <c r="H960" s="3">
        <f>IF(AND(D960&lt;&gt;"",F960&lt;&gt;""),F960-D960-G960,"")</f>
        <v/>
      </c>
      <c r="I960" s="14">
        <f>IF(E960&lt;&gt;"", YEARFRAC(C960, E960) * 12, "")</f>
        <v/>
      </c>
      <c r="J960" s="2">
        <f>IF(I960="", "", IF(OR(AND(A960="Listed Equity Shares", I960&gt;12), AND(A960="Unlisted Equity Shares", I960&gt;24)), "Long Term", "Short Term"))</f>
        <v/>
      </c>
      <c r="K960" s="5">
        <f>IF(J960="", "", IF(J960="Long Term", 12.5%,"as per slab"))</f>
        <v/>
      </c>
      <c r="L960" s="3">
        <f>+IFERROR(IF(J960="","",H960*K960),"as per slab")</f>
        <v/>
      </c>
    </row>
    <row r="961">
      <c r="A961" s="7" t="n"/>
      <c r="B961" s="7" t="n"/>
      <c r="C961" s="8" t="n"/>
      <c r="D961" s="9" t="n"/>
      <c r="E961" s="8" t="n"/>
      <c r="F961" s="9" t="n"/>
      <c r="G961" s="9" t="n"/>
      <c r="H961" s="3">
        <f>IF(AND(D961&lt;&gt;"",F961&lt;&gt;""),F961-D961-G961,"")</f>
        <v/>
      </c>
      <c r="I961" s="14">
        <f>IF(E961&lt;&gt;"", YEARFRAC(C961, E961) * 12, "")</f>
        <v/>
      </c>
      <c r="J961" s="2">
        <f>IF(I961="", "", IF(OR(AND(A961="Listed Equity Shares", I961&gt;12), AND(A961="Unlisted Equity Shares", I961&gt;24)), "Long Term", "Short Term"))</f>
        <v/>
      </c>
      <c r="K961" s="5">
        <f>IF(J961="", "", IF(J961="Long Term", 12.5%,"as per slab"))</f>
        <v/>
      </c>
      <c r="L961" s="3">
        <f>+IFERROR(IF(J961="","",H961*K961),"as per slab")</f>
        <v/>
      </c>
    </row>
    <row r="962">
      <c r="A962" s="7" t="n"/>
      <c r="B962" s="7" t="n"/>
      <c r="C962" s="8" t="n"/>
      <c r="D962" s="9" t="n"/>
      <c r="E962" s="8" t="n"/>
      <c r="F962" s="9" t="n"/>
      <c r="G962" s="9" t="n"/>
      <c r="H962" s="3">
        <f>IF(AND(D962&lt;&gt;"",F962&lt;&gt;""),F962-D962-G962,"")</f>
        <v/>
      </c>
      <c r="I962" s="14">
        <f>IF(E962&lt;&gt;"", YEARFRAC(C962, E962) * 12, "")</f>
        <v/>
      </c>
      <c r="J962" s="2">
        <f>IF(I962="", "", IF(OR(AND(A962="Listed Equity Shares", I962&gt;12), AND(A962="Unlisted Equity Shares", I962&gt;24)), "Long Term", "Short Term"))</f>
        <v/>
      </c>
      <c r="K962" s="5">
        <f>IF(J962="", "", IF(J962="Long Term", 12.5%,"as per slab"))</f>
        <v/>
      </c>
      <c r="L962" s="3">
        <f>+IFERROR(IF(J962="","",H962*K962),"as per slab")</f>
        <v/>
      </c>
    </row>
    <row r="963">
      <c r="A963" s="7" t="n"/>
      <c r="B963" s="7" t="n"/>
      <c r="C963" s="8" t="n"/>
      <c r="D963" s="9" t="n"/>
      <c r="E963" s="8" t="n"/>
      <c r="F963" s="9" t="n"/>
      <c r="G963" s="9" t="n"/>
      <c r="H963" s="3">
        <f>IF(AND(D963&lt;&gt;"",F963&lt;&gt;""),F963-D963-G963,"")</f>
        <v/>
      </c>
      <c r="I963" s="14">
        <f>IF(E963&lt;&gt;"", YEARFRAC(C963, E963) * 12, "")</f>
        <v/>
      </c>
      <c r="J963" s="2">
        <f>IF(I963="", "", IF(OR(AND(A963="Listed Equity Shares", I963&gt;12), AND(A963="Unlisted Equity Shares", I963&gt;24)), "Long Term", "Short Term"))</f>
        <v/>
      </c>
      <c r="K963" s="5">
        <f>IF(J963="", "", IF(J963="Long Term", 12.5%,"as per slab"))</f>
        <v/>
      </c>
      <c r="L963" s="3">
        <f>+IFERROR(IF(J963="","",H963*K963),"as per slab")</f>
        <v/>
      </c>
    </row>
    <row r="964">
      <c r="A964" s="7" t="n"/>
      <c r="B964" s="7" t="n"/>
      <c r="C964" s="8" t="n"/>
      <c r="D964" s="9" t="n"/>
      <c r="E964" s="8" t="n"/>
      <c r="F964" s="9" t="n"/>
      <c r="G964" s="9" t="n"/>
      <c r="H964" s="3">
        <f>IF(AND(D964&lt;&gt;"",F964&lt;&gt;""),F964-D964-G964,"")</f>
        <v/>
      </c>
      <c r="I964" s="14">
        <f>IF(E964&lt;&gt;"", YEARFRAC(C964, E964) * 12, "")</f>
        <v/>
      </c>
      <c r="J964" s="2">
        <f>IF(I964="", "", IF(OR(AND(A964="Listed Equity Shares", I964&gt;12), AND(A964="Unlisted Equity Shares", I964&gt;24)), "Long Term", "Short Term"))</f>
        <v/>
      </c>
      <c r="K964" s="5">
        <f>IF(J964="", "", IF(J964="Long Term", 12.5%,"as per slab"))</f>
        <v/>
      </c>
      <c r="L964" s="3">
        <f>+IFERROR(IF(J964="","",H964*K964),"as per slab")</f>
        <v/>
      </c>
    </row>
    <row r="965">
      <c r="A965" s="7" t="n"/>
      <c r="B965" s="7" t="n"/>
      <c r="C965" s="8" t="n"/>
      <c r="D965" s="9" t="n"/>
      <c r="E965" s="8" t="n"/>
      <c r="F965" s="9" t="n"/>
      <c r="G965" s="9" t="n"/>
      <c r="H965" s="3">
        <f>IF(AND(D965&lt;&gt;"",F965&lt;&gt;""),F965-D965-G965,"")</f>
        <v/>
      </c>
      <c r="I965" s="14">
        <f>IF(E965&lt;&gt;"", YEARFRAC(C965, E965) * 12, "")</f>
        <v/>
      </c>
      <c r="J965" s="2">
        <f>IF(I965="", "", IF(OR(AND(A965="Listed Equity Shares", I965&gt;12), AND(A965="Unlisted Equity Shares", I965&gt;24)), "Long Term", "Short Term"))</f>
        <v/>
      </c>
      <c r="K965" s="5">
        <f>IF(J965="", "", IF(J965="Long Term", 12.5%,"as per slab"))</f>
        <v/>
      </c>
      <c r="L965" s="3">
        <f>+IFERROR(IF(J965="","",H965*K965),"as per slab")</f>
        <v/>
      </c>
    </row>
    <row r="966">
      <c r="A966" s="7" t="n"/>
      <c r="B966" s="7" t="n"/>
      <c r="C966" s="8" t="n"/>
      <c r="D966" s="9" t="n"/>
      <c r="E966" s="8" t="n"/>
      <c r="F966" s="9" t="n"/>
      <c r="G966" s="9" t="n"/>
      <c r="H966" s="3">
        <f>IF(AND(D966&lt;&gt;"",F966&lt;&gt;""),F966-D966-G966,"")</f>
        <v/>
      </c>
      <c r="I966" s="14">
        <f>IF(E966&lt;&gt;"", YEARFRAC(C966, E966) * 12, "")</f>
        <v/>
      </c>
      <c r="J966" s="2">
        <f>IF(I966="", "", IF(OR(AND(A966="Listed Equity Shares", I966&gt;12), AND(A966="Unlisted Equity Shares", I966&gt;24)), "Long Term", "Short Term"))</f>
        <v/>
      </c>
      <c r="K966" s="5">
        <f>IF(J966="", "", IF(J966="Long Term", 12.5%,"as per slab"))</f>
        <v/>
      </c>
      <c r="L966" s="3">
        <f>+IFERROR(IF(J966="","",H966*K966),"as per slab")</f>
        <v/>
      </c>
    </row>
    <row r="967">
      <c r="A967" s="7" t="n"/>
      <c r="B967" s="7" t="n"/>
      <c r="C967" s="8" t="n"/>
      <c r="D967" s="9" t="n"/>
      <c r="E967" s="8" t="n"/>
      <c r="F967" s="9" t="n"/>
      <c r="G967" s="9" t="n"/>
      <c r="H967" s="3">
        <f>IF(AND(D967&lt;&gt;"",F967&lt;&gt;""),F967-D967-G967,"")</f>
        <v/>
      </c>
      <c r="I967" s="14">
        <f>IF(E967&lt;&gt;"", YEARFRAC(C967, E967) * 12, "")</f>
        <v/>
      </c>
      <c r="J967" s="2">
        <f>IF(I967="", "", IF(OR(AND(A967="Listed Equity Shares", I967&gt;12), AND(A967="Unlisted Equity Shares", I967&gt;24)), "Long Term", "Short Term"))</f>
        <v/>
      </c>
      <c r="K967" s="5">
        <f>IF(J967="", "", IF(J967="Long Term", 12.5%,"as per slab"))</f>
        <v/>
      </c>
      <c r="L967" s="3">
        <f>+IFERROR(IF(J967="","",H967*K967),"as per slab")</f>
        <v/>
      </c>
    </row>
    <row r="968">
      <c r="A968" s="7" t="n"/>
      <c r="B968" s="7" t="n"/>
      <c r="C968" s="8" t="n"/>
      <c r="D968" s="9" t="n"/>
      <c r="E968" s="8" t="n"/>
      <c r="F968" s="9" t="n"/>
      <c r="G968" s="9" t="n"/>
      <c r="H968" s="3">
        <f>IF(AND(D968&lt;&gt;"",F968&lt;&gt;""),F968-D968-G968,"")</f>
        <v/>
      </c>
      <c r="I968" s="14">
        <f>IF(E968&lt;&gt;"", YEARFRAC(C968, E968) * 12, "")</f>
        <v/>
      </c>
      <c r="J968" s="2">
        <f>IF(I968="", "", IF(OR(AND(A968="Listed Equity Shares", I968&gt;12), AND(A968="Unlisted Equity Shares", I968&gt;24)), "Long Term", "Short Term"))</f>
        <v/>
      </c>
      <c r="K968" s="5">
        <f>IF(J968="", "", IF(J968="Long Term", 12.5%,"as per slab"))</f>
        <v/>
      </c>
      <c r="L968" s="3">
        <f>+IFERROR(IF(J968="","",H968*K968),"as per slab")</f>
        <v/>
      </c>
    </row>
    <row r="969">
      <c r="A969" s="7" t="n"/>
      <c r="B969" s="7" t="n"/>
      <c r="C969" s="8" t="n"/>
      <c r="D969" s="9" t="n"/>
      <c r="E969" s="8" t="n"/>
      <c r="F969" s="9" t="n"/>
      <c r="G969" s="9" t="n"/>
      <c r="H969" s="3">
        <f>IF(AND(D969&lt;&gt;"",F969&lt;&gt;""),F969-D969-G969,"")</f>
        <v/>
      </c>
      <c r="I969" s="14">
        <f>IF(E969&lt;&gt;"", YEARFRAC(C969, E969) * 12, "")</f>
        <v/>
      </c>
      <c r="J969" s="2">
        <f>IF(I969="", "", IF(OR(AND(A969="Listed Equity Shares", I969&gt;12), AND(A969="Unlisted Equity Shares", I969&gt;24)), "Long Term", "Short Term"))</f>
        <v/>
      </c>
      <c r="K969" s="5">
        <f>IF(J969="", "", IF(J969="Long Term", 12.5%,"as per slab"))</f>
        <v/>
      </c>
      <c r="L969" s="3">
        <f>+IFERROR(IF(J969="","",H969*K969),"as per slab")</f>
        <v/>
      </c>
    </row>
    <row r="970">
      <c r="A970" s="7" t="n"/>
      <c r="B970" s="7" t="n"/>
      <c r="C970" s="8" t="n"/>
      <c r="D970" s="9" t="n"/>
      <c r="E970" s="8" t="n"/>
      <c r="F970" s="9" t="n"/>
      <c r="G970" s="9" t="n"/>
      <c r="H970" s="3">
        <f>IF(AND(D970&lt;&gt;"",F970&lt;&gt;""),F970-D970-G970,"")</f>
        <v/>
      </c>
      <c r="I970" s="14">
        <f>IF(E970&lt;&gt;"", YEARFRAC(C970, E970) * 12, "")</f>
        <v/>
      </c>
      <c r="J970" s="2">
        <f>IF(I970="", "", IF(OR(AND(A970="Listed Equity Shares", I970&gt;12), AND(A970="Unlisted Equity Shares", I970&gt;24)), "Long Term", "Short Term"))</f>
        <v/>
      </c>
      <c r="K970" s="5">
        <f>IF(J970="", "", IF(J970="Long Term", 12.5%,"as per slab"))</f>
        <v/>
      </c>
      <c r="L970" s="3">
        <f>+IFERROR(IF(J970="","",H970*K970),"as per slab")</f>
        <v/>
      </c>
    </row>
    <row r="971">
      <c r="A971" s="7" t="n"/>
      <c r="B971" s="7" t="n"/>
      <c r="C971" s="8" t="n"/>
      <c r="D971" s="9" t="n"/>
      <c r="E971" s="8" t="n"/>
      <c r="F971" s="9" t="n"/>
      <c r="G971" s="9" t="n"/>
      <c r="H971" s="3">
        <f>IF(AND(D971&lt;&gt;"",F971&lt;&gt;""),F971-D971-G971,"")</f>
        <v/>
      </c>
      <c r="I971" s="14">
        <f>IF(E971&lt;&gt;"", YEARFRAC(C971, E971) * 12, "")</f>
        <v/>
      </c>
      <c r="J971" s="2">
        <f>IF(I971="", "", IF(OR(AND(A971="Listed Equity Shares", I971&gt;12), AND(A971="Unlisted Equity Shares", I971&gt;24)), "Long Term", "Short Term"))</f>
        <v/>
      </c>
      <c r="K971" s="5">
        <f>IF(J971="", "", IF(J971="Long Term", 12.5%,"as per slab"))</f>
        <v/>
      </c>
      <c r="L971" s="3">
        <f>+IFERROR(IF(J971="","",H971*K971),"as per slab")</f>
        <v/>
      </c>
    </row>
    <row r="972">
      <c r="A972" s="7" t="n"/>
      <c r="B972" s="7" t="n"/>
      <c r="C972" s="8" t="n"/>
      <c r="D972" s="9" t="n"/>
      <c r="E972" s="8" t="n"/>
      <c r="F972" s="9" t="n"/>
      <c r="G972" s="9" t="n"/>
      <c r="H972" s="3">
        <f>IF(AND(D972&lt;&gt;"",F972&lt;&gt;""),F972-D972-G972,"")</f>
        <v/>
      </c>
      <c r="I972" s="14">
        <f>IF(E972&lt;&gt;"", YEARFRAC(C972, E972) * 12, "")</f>
        <v/>
      </c>
      <c r="J972" s="2">
        <f>IF(I972="", "", IF(OR(AND(A972="Listed Equity Shares", I972&gt;12), AND(A972="Unlisted Equity Shares", I972&gt;24)), "Long Term", "Short Term"))</f>
        <v/>
      </c>
      <c r="K972" s="5">
        <f>IF(J972="", "", IF(J972="Long Term", 12.5%,"as per slab"))</f>
        <v/>
      </c>
      <c r="L972" s="3">
        <f>+IFERROR(IF(J972="","",H972*K972),"as per slab")</f>
        <v/>
      </c>
    </row>
    <row r="973">
      <c r="A973" s="7" t="n"/>
      <c r="B973" s="7" t="n"/>
      <c r="C973" s="8" t="n"/>
      <c r="D973" s="9" t="n"/>
      <c r="E973" s="8" t="n"/>
      <c r="F973" s="9" t="n"/>
      <c r="G973" s="9" t="n"/>
      <c r="H973" s="3">
        <f>IF(AND(D973&lt;&gt;"",F973&lt;&gt;""),F973-D973-G973,"")</f>
        <v/>
      </c>
      <c r="I973" s="14">
        <f>IF(E973&lt;&gt;"", YEARFRAC(C973, E973) * 12, "")</f>
        <v/>
      </c>
      <c r="J973" s="2">
        <f>IF(I973="", "", IF(OR(AND(A973="Listed Equity Shares", I973&gt;12), AND(A973="Unlisted Equity Shares", I973&gt;24)), "Long Term", "Short Term"))</f>
        <v/>
      </c>
      <c r="K973" s="5">
        <f>IF(J973="", "", IF(J973="Long Term", 12.5%,"as per slab"))</f>
        <v/>
      </c>
      <c r="L973" s="3">
        <f>+IFERROR(IF(J973="","",H973*K973),"as per slab")</f>
        <v/>
      </c>
    </row>
    <row r="974">
      <c r="A974" s="7" t="n"/>
      <c r="B974" s="7" t="n"/>
      <c r="C974" s="8" t="n"/>
      <c r="D974" s="9" t="n"/>
      <c r="E974" s="8" t="n"/>
      <c r="F974" s="9" t="n"/>
      <c r="G974" s="9" t="n"/>
      <c r="H974" s="3">
        <f>IF(AND(D974&lt;&gt;"",F974&lt;&gt;""),F974-D974-G974,"")</f>
        <v/>
      </c>
      <c r="I974" s="14">
        <f>IF(E974&lt;&gt;"", YEARFRAC(C974, E974) * 12, "")</f>
        <v/>
      </c>
      <c r="J974" s="2">
        <f>IF(I974="", "", IF(OR(AND(A974="Listed Equity Shares", I974&gt;12), AND(A974="Unlisted Equity Shares", I974&gt;24)), "Long Term", "Short Term"))</f>
        <v/>
      </c>
      <c r="K974" s="5">
        <f>IF(J974="", "", IF(J974="Long Term", 12.5%,"as per slab"))</f>
        <v/>
      </c>
      <c r="L974" s="3">
        <f>+IFERROR(IF(J974="","",H974*K974),"as per slab")</f>
        <v/>
      </c>
    </row>
    <row r="975">
      <c r="A975" s="7" t="n"/>
      <c r="B975" s="7" t="n"/>
      <c r="C975" s="8" t="n"/>
      <c r="D975" s="9" t="n"/>
      <c r="E975" s="8" t="n"/>
      <c r="F975" s="9" t="n"/>
      <c r="G975" s="9" t="n"/>
      <c r="H975" s="3">
        <f>IF(AND(D975&lt;&gt;"",F975&lt;&gt;""),F975-D975-G975,"")</f>
        <v/>
      </c>
      <c r="I975" s="14">
        <f>IF(E975&lt;&gt;"", YEARFRAC(C975, E975) * 12, "")</f>
        <v/>
      </c>
      <c r="J975" s="2">
        <f>IF(I975="", "", IF(OR(AND(A975="Listed Equity Shares", I975&gt;12), AND(A975="Unlisted Equity Shares", I975&gt;24)), "Long Term", "Short Term"))</f>
        <v/>
      </c>
      <c r="K975" s="5">
        <f>IF(J975="", "", IF(J975="Long Term", 12.5%,"as per slab"))</f>
        <v/>
      </c>
      <c r="L975" s="3">
        <f>+IFERROR(IF(J975="","",H975*K975),"as per slab")</f>
        <v/>
      </c>
    </row>
    <row r="976">
      <c r="A976" s="7" t="n"/>
      <c r="B976" s="7" t="n"/>
      <c r="C976" s="8" t="n"/>
      <c r="D976" s="9" t="n"/>
      <c r="E976" s="8" t="n"/>
      <c r="F976" s="9" t="n"/>
      <c r="G976" s="9" t="n"/>
      <c r="H976" s="3">
        <f>IF(AND(D976&lt;&gt;"",F976&lt;&gt;""),F976-D976-G976,"")</f>
        <v/>
      </c>
      <c r="I976" s="14">
        <f>IF(E976&lt;&gt;"", YEARFRAC(C976, E976) * 12, "")</f>
        <v/>
      </c>
      <c r="J976" s="2">
        <f>IF(I976="", "", IF(OR(AND(A976="Listed Equity Shares", I976&gt;12), AND(A976="Unlisted Equity Shares", I976&gt;24)), "Long Term", "Short Term"))</f>
        <v/>
      </c>
      <c r="K976" s="5">
        <f>IF(J976="", "", IF(J976="Long Term", 12.5%,"as per slab"))</f>
        <v/>
      </c>
      <c r="L976" s="3">
        <f>+IFERROR(IF(J976="","",H976*K976),"as per slab")</f>
        <v/>
      </c>
    </row>
    <row r="977">
      <c r="A977" s="7" t="n"/>
      <c r="B977" s="7" t="n"/>
      <c r="C977" s="8" t="n"/>
      <c r="D977" s="9" t="n"/>
      <c r="E977" s="8" t="n"/>
      <c r="F977" s="9" t="n"/>
      <c r="G977" s="9" t="n"/>
      <c r="H977" s="3">
        <f>IF(AND(D977&lt;&gt;"",F977&lt;&gt;""),F977-D977-G977,"")</f>
        <v/>
      </c>
      <c r="I977" s="14">
        <f>IF(E977&lt;&gt;"", YEARFRAC(C977, E977) * 12, "")</f>
        <v/>
      </c>
      <c r="J977" s="2">
        <f>IF(I977="", "", IF(OR(AND(A977="Listed Equity Shares", I977&gt;12), AND(A977="Unlisted Equity Shares", I977&gt;24)), "Long Term", "Short Term"))</f>
        <v/>
      </c>
      <c r="K977" s="5">
        <f>IF(J977="", "", IF(J977="Long Term", 12.5%,"as per slab"))</f>
        <v/>
      </c>
      <c r="L977" s="3">
        <f>+IFERROR(IF(J977="","",H977*K977),"as per slab")</f>
        <v/>
      </c>
    </row>
    <row r="978">
      <c r="A978" s="7" t="n"/>
      <c r="B978" s="7" t="n"/>
      <c r="C978" s="8" t="n"/>
      <c r="D978" s="9" t="n"/>
      <c r="E978" s="8" t="n"/>
      <c r="F978" s="9" t="n"/>
      <c r="G978" s="9" t="n"/>
      <c r="H978" s="3">
        <f>IF(AND(D978&lt;&gt;"",F978&lt;&gt;""),F978-D978-G978,"")</f>
        <v/>
      </c>
      <c r="I978" s="14">
        <f>IF(E978&lt;&gt;"", YEARFRAC(C978, E978) * 12, "")</f>
        <v/>
      </c>
      <c r="J978" s="2">
        <f>IF(I978="", "", IF(OR(AND(A978="Listed Equity Shares", I978&gt;12), AND(A978="Unlisted Equity Shares", I978&gt;24)), "Long Term", "Short Term"))</f>
        <v/>
      </c>
      <c r="K978" s="5">
        <f>IF(J978="", "", IF(J978="Long Term", 12.5%,"as per slab"))</f>
        <v/>
      </c>
      <c r="L978" s="3">
        <f>+IFERROR(IF(J978="","",H978*K978),"as per slab")</f>
        <v/>
      </c>
    </row>
    <row r="979">
      <c r="A979" s="7" t="n"/>
      <c r="B979" s="7" t="n"/>
      <c r="C979" s="8" t="n"/>
      <c r="D979" s="9" t="n"/>
      <c r="E979" s="8" t="n"/>
      <c r="F979" s="9" t="n"/>
      <c r="G979" s="9" t="n"/>
      <c r="H979" s="3">
        <f>IF(AND(D979&lt;&gt;"",F979&lt;&gt;""),F979-D979-G979,"")</f>
        <v/>
      </c>
      <c r="I979" s="14">
        <f>IF(E979&lt;&gt;"", YEARFRAC(C979, E979) * 12, "")</f>
        <v/>
      </c>
      <c r="J979" s="2">
        <f>IF(I979="", "", IF(OR(AND(A979="Listed Equity Shares", I979&gt;12), AND(A979="Unlisted Equity Shares", I979&gt;24)), "Long Term", "Short Term"))</f>
        <v/>
      </c>
      <c r="K979" s="5">
        <f>IF(J979="", "", IF(J979="Long Term", 12.5%,"as per slab"))</f>
        <v/>
      </c>
      <c r="L979" s="3">
        <f>+IFERROR(IF(J979="","",H979*K979),"as per slab")</f>
        <v/>
      </c>
    </row>
    <row r="980">
      <c r="A980" s="7" t="n"/>
      <c r="B980" s="7" t="n"/>
      <c r="C980" s="8" t="n"/>
      <c r="D980" s="9" t="n"/>
      <c r="E980" s="8" t="n"/>
      <c r="F980" s="9" t="n"/>
      <c r="G980" s="9" t="n"/>
      <c r="H980" s="3">
        <f>IF(AND(D980&lt;&gt;"",F980&lt;&gt;""),F980-D980-G980,"")</f>
        <v/>
      </c>
      <c r="I980" s="14">
        <f>IF(E980&lt;&gt;"", YEARFRAC(C980, E980) * 12, "")</f>
        <v/>
      </c>
      <c r="J980" s="2">
        <f>IF(I980="", "", IF(OR(AND(A980="Listed Equity Shares", I980&gt;12), AND(A980="Unlisted Equity Shares", I980&gt;24)), "Long Term", "Short Term"))</f>
        <v/>
      </c>
      <c r="K980" s="5">
        <f>IF(J980="", "", IF(J980="Long Term", 12.5%,"as per slab"))</f>
        <v/>
      </c>
      <c r="L980" s="3">
        <f>+IFERROR(IF(J980="","",H980*K980),"as per slab")</f>
        <v/>
      </c>
    </row>
    <row r="981">
      <c r="A981" s="7" t="n"/>
      <c r="B981" s="7" t="n"/>
      <c r="C981" s="8" t="n"/>
      <c r="D981" s="9" t="n"/>
      <c r="E981" s="8" t="n"/>
      <c r="F981" s="9" t="n"/>
      <c r="G981" s="9" t="n"/>
      <c r="H981" s="3">
        <f>IF(AND(D981&lt;&gt;"",F981&lt;&gt;""),F981-D981-G981,"")</f>
        <v/>
      </c>
      <c r="I981" s="14">
        <f>IF(E981&lt;&gt;"", YEARFRAC(C981, E981) * 12, "")</f>
        <v/>
      </c>
      <c r="J981" s="2">
        <f>IF(I981="", "", IF(OR(AND(A981="Listed Equity Shares", I981&gt;12), AND(A981="Unlisted Equity Shares", I981&gt;24)), "Long Term", "Short Term"))</f>
        <v/>
      </c>
      <c r="K981" s="5">
        <f>IF(J981="", "", IF(J981="Long Term", 12.5%,"as per slab"))</f>
        <v/>
      </c>
      <c r="L981" s="3">
        <f>+IFERROR(IF(J981="","",H981*K981),"as per slab")</f>
        <v/>
      </c>
    </row>
    <row r="982">
      <c r="A982" s="7" t="n"/>
      <c r="B982" s="7" t="n"/>
      <c r="C982" s="8" t="n"/>
      <c r="D982" s="9" t="n"/>
      <c r="E982" s="8" t="n"/>
      <c r="F982" s="9" t="n"/>
      <c r="G982" s="9" t="n"/>
      <c r="H982" s="3">
        <f>IF(AND(D982&lt;&gt;"",F982&lt;&gt;""),F982-D982-G982,"")</f>
        <v/>
      </c>
      <c r="I982" s="14">
        <f>IF(E982&lt;&gt;"", YEARFRAC(C982, E982) * 12, "")</f>
        <v/>
      </c>
      <c r="J982" s="2">
        <f>IF(I982="", "", IF(OR(AND(A982="Listed Equity Shares", I982&gt;12), AND(A982="Unlisted Equity Shares", I982&gt;24)), "Long Term", "Short Term"))</f>
        <v/>
      </c>
      <c r="K982" s="5">
        <f>IF(J982="", "", IF(J982="Long Term", 12.5%,"as per slab"))</f>
        <v/>
      </c>
      <c r="L982" s="3">
        <f>+IFERROR(IF(J982="","",H982*K982),"as per slab")</f>
        <v/>
      </c>
    </row>
    <row r="983">
      <c r="A983" s="7" t="n"/>
      <c r="B983" s="7" t="n"/>
      <c r="C983" s="8" t="n"/>
      <c r="D983" s="9" t="n"/>
      <c r="E983" s="8" t="n"/>
      <c r="F983" s="9" t="n"/>
      <c r="G983" s="9" t="n"/>
      <c r="H983" s="3">
        <f>IF(AND(D983&lt;&gt;"",F983&lt;&gt;""),F983-D983-G983,"")</f>
        <v/>
      </c>
      <c r="I983" s="14">
        <f>IF(E983&lt;&gt;"", YEARFRAC(C983, E983) * 12, "")</f>
        <v/>
      </c>
      <c r="J983" s="2">
        <f>IF(I983="", "", IF(OR(AND(A983="Listed Equity Shares", I983&gt;12), AND(A983="Unlisted Equity Shares", I983&gt;24)), "Long Term", "Short Term"))</f>
        <v/>
      </c>
      <c r="K983" s="5">
        <f>IF(J983="", "", IF(J983="Long Term", 12.5%,"as per slab"))</f>
        <v/>
      </c>
      <c r="L983" s="3">
        <f>+IFERROR(IF(J983="","",H983*K983),"as per slab")</f>
        <v/>
      </c>
    </row>
    <row r="984">
      <c r="A984" s="7" t="n"/>
      <c r="B984" s="7" t="n"/>
      <c r="C984" s="8" t="n"/>
      <c r="D984" s="9" t="n"/>
      <c r="E984" s="8" t="n"/>
      <c r="F984" s="9" t="n"/>
      <c r="G984" s="9" t="n"/>
      <c r="H984" s="3">
        <f>IF(AND(D984&lt;&gt;"",F984&lt;&gt;""),F984-D984-G984,"")</f>
        <v/>
      </c>
      <c r="I984" s="14">
        <f>IF(E984&lt;&gt;"", YEARFRAC(C984, E984) * 12, "")</f>
        <v/>
      </c>
      <c r="J984" s="2">
        <f>IF(I984="", "", IF(OR(AND(A984="Listed Equity Shares", I984&gt;12), AND(A984="Unlisted Equity Shares", I984&gt;24)), "Long Term", "Short Term"))</f>
        <v/>
      </c>
      <c r="K984" s="5">
        <f>IF(J984="", "", IF(J984="Long Term", 12.5%,"as per slab"))</f>
        <v/>
      </c>
      <c r="L984" s="3">
        <f>+IFERROR(IF(J984="","",H984*K984),"as per slab")</f>
        <v/>
      </c>
    </row>
    <row r="985">
      <c r="A985" s="7" t="n"/>
      <c r="B985" s="7" t="n"/>
      <c r="C985" s="8" t="n"/>
      <c r="D985" s="9" t="n"/>
      <c r="E985" s="8" t="n"/>
      <c r="F985" s="9" t="n"/>
      <c r="G985" s="9" t="n"/>
      <c r="H985" s="3">
        <f>IF(AND(D985&lt;&gt;"",F985&lt;&gt;""),F985-D985-G985,"")</f>
        <v/>
      </c>
      <c r="I985" s="14">
        <f>IF(E985&lt;&gt;"", YEARFRAC(C985, E985) * 12, "")</f>
        <v/>
      </c>
      <c r="J985" s="2">
        <f>IF(I985="", "", IF(OR(AND(A985="Listed Equity Shares", I985&gt;12), AND(A985="Unlisted Equity Shares", I985&gt;24)), "Long Term", "Short Term"))</f>
        <v/>
      </c>
      <c r="K985" s="5">
        <f>IF(J985="", "", IF(J985="Long Term", 12.5%,"as per slab"))</f>
        <v/>
      </c>
      <c r="L985" s="3">
        <f>+IFERROR(IF(J985="","",H985*K985),"as per slab")</f>
        <v/>
      </c>
    </row>
    <row r="986">
      <c r="A986" s="7" t="n"/>
      <c r="B986" s="7" t="n"/>
      <c r="C986" s="8" t="n"/>
      <c r="D986" s="9" t="n"/>
      <c r="E986" s="8" t="n"/>
      <c r="F986" s="9" t="n"/>
      <c r="G986" s="9" t="n"/>
      <c r="H986" s="3">
        <f>IF(AND(D986&lt;&gt;"",F986&lt;&gt;""),F986-D986-G986,"")</f>
        <v/>
      </c>
      <c r="I986" s="14">
        <f>IF(E986&lt;&gt;"", YEARFRAC(C986, E986) * 12, "")</f>
        <v/>
      </c>
      <c r="J986" s="2">
        <f>IF(I986="", "", IF(OR(AND(A986="Listed Equity Shares", I986&gt;12), AND(A986="Unlisted Equity Shares", I986&gt;24)), "Long Term", "Short Term"))</f>
        <v/>
      </c>
      <c r="K986" s="5">
        <f>IF(J986="", "", IF(J986="Long Term", 12.5%,"as per slab"))</f>
        <v/>
      </c>
      <c r="L986" s="3">
        <f>+IFERROR(IF(J986="","",H986*K986),"as per slab")</f>
        <v/>
      </c>
    </row>
    <row r="987">
      <c r="A987" s="7" t="n"/>
      <c r="B987" s="7" t="n"/>
      <c r="C987" s="8" t="n"/>
      <c r="D987" s="9" t="n"/>
      <c r="E987" s="8" t="n"/>
      <c r="F987" s="9" t="n"/>
      <c r="G987" s="9" t="n"/>
      <c r="H987" s="3">
        <f>IF(AND(D987&lt;&gt;"",F987&lt;&gt;""),F987-D987-G987,"")</f>
        <v/>
      </c>
      <c r="I987" s="14">
        <f>IF(E987&lt;&gt;"", YEARFRAC(C987, E987) * 12, "")</f>
        <v/>
      </c>
      <c r="J987" s="2">
        <f>IF(I987="", "", IF(OR(AND(A987="Listed Equity Shares", I987&gt;12), AND(A987="Unlisted Equity Shares", I987&gt;24)), "Long Term", "Short Term"))</f>
        <v/>
      </c>
      <c r="K987" s="5">
        <f>IF(J987="", "", IF(J987="Long Term", 12.5%,"as per slab"))</f>
        <v/>
      </c>
      <c r="L987" s="3">
        <f>+IFERROR(IF(J987="","",H987*K987),"as per slab")</f>
        <v/>
      </c>
    </row>
    <row r="988">
      <c r="A988" s="7" t="n"/>
      <c r="B988" s="7" t="n"/>
      <c r="C988" s="8" t="n"/>
      <c r="D988" s="9" t="n"/>
      <c r="E988" s="8" t="n"/>
      <c r="F988" s="9" t="n"/>
      <c r="G988" s="9" t="n"/>
      <c r="H988" s="3">
        <f>IF(AND(D988&lt;&gt;"",F988&lt;&gt;""),F988-D988-G988,"")</f>
        <v/>
      </c>
      <c r="I988" s="14">
        <f>IF(E988&lt;&gt;"", YEARFRAC(C988, E988) * 12, "")</f>
        <v/>
      </c>
      <c r="J988" s="2">
        <f>IF(I988="", "", IF(OR(AND(A988="Listed Equity Shares", I988&gt;12), AND(A988="Unlisted Equity Shares", I988&gt;24)), "Long Term", "Short Term"))</f>
        <v/>
      </c>
      <c r="K988" s="5">
        <f>IF(J988="", "", IF(J988="Long Term", 12.5%,"as per slab"))</f>
        <v/>
      </c>
      <c r="L988" s="3">
        <f>+IFERROR(IF(J988="","",H988*K988),"as per slab")</f>
        <v/>
      </c>
    </row>
    <row r="989">
      <c r="A989" s="7" t="n"/>
      <c r="B989" s="7" t="n"/>
      <c r="C989" s="8" t="n"/>
      <c r="D989" s="9" t="n"/>
      <c r="E989" s="8" t="n"/>
      <c r="F989" s="9" t="n"/>
      <c r="G989" s="9" t="n"/>
      <c r="H989" s="3">
        <f>IF(AND(D989&lt;&gt;"",F989&lt;&gt;""),F989-D989-G989,"")</f>
        <v/>
      </c>
      <c r="I989" s="14">
        <f>IF(E989&lt;&gt;"", YEARFRAC(C989, E989) * 12, "")</f>
        <v/>
      </c>
      <c r="J989" s="2">
        <f>IF(I989="", "", IF(OR(AND(A989="Listed Equity Shares", I989&gt;12), AND(A989="Unlisted Equity Shares", I989&gt;24)), "Long Term", "Short Term"))</f>
        <v/>
      </c>
      <c r="K989" s="5">
        <f>IF(J989="", "", IF(J989="Long Term", 12.5%,"as per slab"))</f>
        <v/>
      </c>
      <c r="L989" s="3">
        <f>+IFERROR(IF(J989="","",H989*K989),"as per slab")</f>
        <v/>
      </c>
    </row>
    <row r="990">
      <c r="A990" s="7" t="n"/>
      <c r="B990" s="7" t="n"/>
      <c r="C990" s="8" t="n"/>
      <c r="D990" s="9" t="n"/>
      <c r="E990" s="8" t="n"/>
      <c r="F990" s="9" t="n"/>
      <c r="G990" s="9" t="n"/>
      <c r="H990" s="3">
        <f>IF(AND(D990&lt;&gt;"",F990&lt;&gt;""),F990-D990-G990,"")</f>
        <v/>
      </c>
      <c r="I990" s="14">
        <f>IF(E990&lt;&gt;"", YEARFRAC(C990, E990) * 12, "")</f>
        <v/>
      </c>
      <c r="J990" s="2">
        <f>IF(I990="", "", IF(OR(AND(A990="Listed Equity Shares", I990&gt;12), AND(A990="Unlisted Equity Shares", I990&gt;24)), "Long Term", "Short Term"))</f>
        <v/>
      </c>
      <c r="K990" s="5">
        <f>IF(J990="", "", IF(J990="Long Term", 12.5%,"as per slab"))</f>
        <v/>
      </c>
      <c r="L990" s="3">
        <f>+IFERROR(IF(J990="","",H990*K990),"as per slab")</f>
        <v/>
      </c>
    </row>
    <row r="991">
      <c r="A991" s="7" t="n"/>
      <c r="B991" s="7" t="n"/>
      <c r="C991" s="8" t="n"/>
      <c r="D991" s="9" t="n"/>
      <c r="E991" s="8" t="n"/>
      <c r="F991" s="9" t="n"/>
      <c r="G991" s="9" t="n"/>
      <c r="H991" s="3">
        <f>IF(AND(D991&lt;&gt;"",F991&lt;&gt;""),F991-D991-G991,"")</f>
        <v/>
      </c>
      <c r="I991" s="14">
        <f>IF(E991&lt;&gt;"", YEARFRAC(C991, E991) * 12, "")</f>
        <v/>
      </c>
      <c r="J991" s="2">
        <f>IF(I991="", "", IF(OR(AND(A991="Listed Equity Shares", I991&gt;12), AND(A991="Unlisted Equity Shares", I991&gt;24)), "Long Term", "Short Term"))</f>
        <v/>
      </c>
      <c r="K991" s="5">
        <f>IF(J991="", "", IF(J991="Long Term", 12.5%,"as per slab"))</f>
        <v/>
      </c>
      <c r="L991" s="3">
        <f>+IFERROR(IF(J991="","",H991*K991),"as per slab")</f>
        <v/>
      </c>
    </row>
    <row r="992">
      <c r="A992" s="7" t="n"/>
      <c r="B992" s="7" t="n"/>
      <c r="C992" s="8" t="n"/>
      <c r="D992" s="9" t="n"/>
      <c r="E992" s="8" t="n"/>
      <c r="F992" s="9" t="n"/>
      <c r="G992" s="9" t="n"/>
      <c r="H992" s="3">
        <f>IF(AND(D992&lt;&gt;"",F992&lt;&gt;""),F992-D992-G992,"")</f>
        <v/>
      </c>
      <c r="I992" s="14">
        <f>IF(E992&lt;&gt;"", YEARFRAC(C992, E992) * 12, "")</f>
        <v/>
      </c>
      <c r="J992" s="2">
        <f>IF(I992="", "", IF(OR(AND(A992="Listed Equity Shares", I992&gt;12), AND(A992="Unlisted Equity Shares", I992&gt;24)), "Long Term", "Short Term"))</f>
        <v/>
      </c>
      <c r="K992" s="5">
        <f>IF(J992="", "", IF(J992="Long Term", 12.5%,"as per slab"))</f>
        <v/>
      </c>
      <c r="L992" s="3">
        <f>+IFERROR(IF(J992="","",H992*K992),"as per slab")</f>
        <v/>
      </c>
    </row>
    <row r="993">
      <c r="A993" s="7" t="n"/>
      <c r="B993" s="7" t="n"/>
      <c r="C993" s="8" t="n"/>
      <c r="D993" s="9" t="n"/>
      <c r="E993" s="8" t="n"/>
      <c r="F993" s="9" t="n"/>
      <c r="G993" s="9" t="n"/>
      <c r="H993" s="3">
        <f>IF(AND(D993&lt;&gt;"",F993&lt;&gt;""),F993-D993-G993,"")</f>
        <v/>
      </c>
      <c r="I993" s="14">
        <f>IF(E993&lt;&gt;"", YEARFRAC(C993, E993) * 12, "")</f>
        <v/>
      </c>
      <c r="J993" s="2">
        <f>IF(I993="", "", IF(OR(AND(A993="Listed Equity Shares", I993&gt;12), AND(A993="Unlisted Equity Shares", I993&gt;24)), "Long Term", "Short Term"))</f>
        <v/>
      </c>
      <c r="K993" s="5">
        <f>IF(J993="", "", IF(J993="Long Term", 12.5%,"as per slab"))</f>
        <v/>
      </c>
      <c r="L993" s="3">
        <f>+IFERROR(IF(J993="","",H993*K993),"as per slab")</f>
        <v/>
      </c>
    </row>
    <row r="994">
      <c r="A994" s="7" t="n"/>
      <c r="B994" s="7" t="n"/>
      <c r="C994" s="8" t="n"/>
      <c r="D994" s="9" t="n"/>
      <c r="E994" s="8" t="n"/>
      <c r="F994" s="9" t="n"/>
      <c r="G994" s="9" t="n"/>
      <c r="H994" s="3">
        <f>IF(AND(D994&lt;&gt;"",F994&lt;&gt;""),F994-D994-G994,"")</f>
        <v/>
      </c>
      <c r="I994" s="14">
        <f>IF(E994&lt;&gt;"", YEARFRAC(C994, E994) * 12, "")</f>
        <v/>
      </c>
      <c r="J994" s="2">
        <f>IF(I994="", "", IF(OR(AND(A994="Listed Equity Shares", I994&gt;12), AND(A994="Unlisted Equity Shares", I994&gt;24)), "Long Term", "Short Term"))</f>
        <v/>
      </c>
      <c r="K994" s="5">
        <f>IF(J994="", "", IF(J994="Long Term", 12.5%,"as per slab"))</f>
        <v/>
      </c>
      <c r="L994" s="3">
        <f>+IFERROR(IF(J994="","",H994*K994),"as per slab")</f>
        <v/>
      </c>
    </row>
    <row r="995">
      <c r="A995" s="7" t="n"/>
      <c r="B995" s="7" t="n"/>
      <c r="C995" s="8" t="n"/>
      <c r="D995" s="9" t="n"/>
      <c r="E995" s="8" t="n"/>
      <c r="F995" s="9" t="n"/>
      <c r="G995" s="9" t="n"/>
      <c r="H995" s="3">
        <f>IF(AND(D995&lt;&gt;"",F995&lt;&gt;""),F995-D995-G995,"")</f>
        <v/>
      </c>
      <c r="I995" s="14">
        <f>IF(E995&lt;&gt;"", YEARFRAC(C995, E995) * 12, "")</f>
        <v/>
      </c>
      <c r="J995" s="2">
        <f>IF(I995="", "", IF(OR(AND(A995="Listed Equity Shares", I995&gt;12), AND(A995="Unlisted Equity Shares", I995&gt;24)), "Long Term", "Short Term"))</f>
        <v/>
      </c>
      <c r="K995" s="5">
        <f>IF(J995="", "", IF(J995="Long Term", 12.5%,"as per slab"))</f>
        <v/>
      </c>
      <c r="L995" s="3">
        <f>+IFERROR(IF(J995="","",H995*K995),"as per slab")</f>
        <v/>
      </c>
    </row>
    <row r="996">
      <c r="A996" s="7" t="n"/>
      <c r="B996" s="7" t="n"/>
      <c r="C996" s="8" t="n"/>
      <c r="D996" s="9" t="n"/>
      <c r="E996" s="8" t="n"/>
      <c r="F996" s="9" t="n"/>
      <c r="G996" s="9" t="n"/>
      <c r="H996" s="3">
        <f>IF(AND(D996&lt;&gt;"",F996&lt;&gt;""),F996-D996-G996,"")</f>
        <v/>
      </c>
      <c r="I996" s="14">
        <f>IF(E996&lt;&gt;"", YEARFRAC(C996, E996) * 12, "")</f>
        <v/>
      </c>
      <c r="J996" s="2">
        <f>IF(I996="", "", IF(OR(AND(A996="Listed Equity Shares", I996&gt;12), AND(A996="Unlisted Equity Shares", I996&gt;24)), "Long Term", "Short Term"))</f>
        <v/>
      </c>
      <c r="K996" s="5">
        <f>IF(J996="", "", IF(J996="Long Term", 12.5%,"as per slab"))</f>
        <v/>
      </c>
      <c r="L996" s="3">
        <f>+IFERROR(IF(J996="","",H996*K996),"as per slab")</f>
        <v/>
      </c>
    </row>
    <row r="997">
      <c r="A997" s="7" t="n"/>
      <c r="B997" s="7" t="n"/>
      <c r="C997" s="8" t="n"/>
      <c r="D997" s="9" t="n"/>
      <c r="E997" s="8" t="n"/>
      <c r="F997" s="9" t="n"/>
      <c r="G997" s="9" t="n"/>
      <c r="H997" s="3">
        <f>IF(AND(D997&lt;&gt;"",F997&lt;&gt;""),F997-D997-G997,"")</f>
        <v/>
      </c>
      <c r="I997" s="14">
        <f>IF(E997&lt;&gt;"", YEARFRAC(C997, E997) * 12, "")</f>
        <v/>
      </c>
      <c r="J997" s="2">
        <f>IF(I997="", "", IF(OR(AND(A997="Listed Equity Shares", I997&gt;12), AND(A997="Unlisted Equity Shares", I997&gt;24)), "Long Term", "Short Term"))</f>
        <v/>
      </c>
      <c r="K997" s="5">
        <f>IF(J997="", "", IF(J997="Long Term", 12.5%,"as per slab"))</f>
        <v/>
      </c>
      <c r="L997" s="3">
        <f>+IFERROR(IF(J997="","",H997*K997),"as per slab")</f>
        <v/>
      </c>
    </row>
    <row r="998">
      <c r="A998" s="7" t="n"/>
      <c r="B998" s="7" t="n"/>
      <c r="C998" s="8" t="n"/>
      <c r="D998" s="9" t="n"/>
      <c r="E998" s="8" t="n"/>
      <c r="F998" s="9" t="n"/>
      <c r="G998" s="9" t="n"/>
      <c r="H998" s="3">
        <f>IF(AND(D998&lt;&gt;"",F998&lt;&gt;""),F998-D998-G998,"")</f>
        <v/>
      </c>
      <c r="I998" s="14">
        <f>IF(E998&lt;&gt;"", YEARFRAC(C998, E998) * 12, "")</f>
        <v/>
      </c>
      <c r="J998" s="2">
        <f>IF(I998="", "", IF(OR(AND(A998="Listed Equity Shares", I998&gt;12), AND(A998="Unlisted Equity Shares", I998&gt;24)), "Long Term", "Short Term"))</f>
        <v/>
      </c>
      <c r="K998" s="5">
        <f>IF(J998="", "", IF(J998="Long Term", 12.5%,"as per slab"))</f>
        <v/>
      </c>
      <c r="L998" s="3">
        <f>+IFERROR(IF(J998="","",H998*K998),"as per slab")</f>
        <v/>
      </c>
    </row>
    <row r="999">
      <c r="A999" s="7" t="n"/>
      <c r="B999" s="7" t="n"/>
      <c r="C999" s="8" t="n"/>
      <c r="D999" s="9" t="n"/>
      <c r="E999" s="8" t="n"/>
      <c r="F999" s="9" t="n"/>
      <c r="G999" s="9" t="n"/>
      <c r="H999" s="3">
        <f>IF(AND(D999&lt;&gt;"",F999&lt;&gt;""),F999-D999-G999,"")</f>
        <v/>
      </c>
      <c r="I999" s="14">
        <f>IF(E999&lt;&gt;"", YEARFRAC(C999, E999) * 12, "")</f>
        <v/>
      </c>
      <c r="J999" s="2">
        <f>IF(I999="", "", IF(OR(AND(A999="Listed Equity Shares", I999&gt;12), AND(A999="Unlisted Equity Shares", I999&gt;24)), "Long Term", "Short Term"))</f>
        <v/>
      </c>
      <c r="K999" s="5">
        <f>IF(J999="", "", IF(J999="Long Term", 12.5%,"as per slab"))</f>
        <v/>
      </c>
      <c r="L999" s="3">
        <f>+IFERROR(IF(J999="","",H999*K999),"as per slab")</f>
        <v/>
      </c>
    </row>
    <row r="1000">
      <c r="A1000" s="7" t="n"/>
      <c r="B1000" s="7" t="n"/>
      <c r="C1000" s="8" t="n"/>
      <c r="D1000" s="9" t="n"/>
      <c r="E1000" s="8" t="n"/>
      <c r="F1000" s="9" t="n"/>
      <c r="G1000" s="9" t="n"/>
      <c r="H1000" s="3">
        <f>IF(AND(D1000&lt;&gt;"",F1000&lt;&gt;""),F1000-D1000-G1000,"")</f>
        <v/>
      </c>
      <c r="I1000" s="14">
        <f>IF(E1000&lt;&gt;"", YEARFRAC(C1000, E1000) * 12, "")</f>
        <v/>
      </c>
      <c r="J1000" s="2">
        <f>IF(I1000="", "", IF(OR(AND(A1000="Listed Equity Shares", I1000&gt;12), AND(A1000="Unlisted Equity Shares", I1000&gt;24)), "Long Term", "Short Term"))</f>
        <v/>
      </c>
      <c r="K1000" s="5">
        <f>IF(J1000="", "", IF(J1000="Long Term", 12.5%,"as per slab"))</f>
        <v/>
      </c>
      <c r="L1000" s="3">
        <f>+IFERROR(IF(J1000="","",H1000*K1000),"as per slab")</f>
        <v/>
      </c>
    </row>
    <row r="1001">
      <c r="A1001" s="7" t="n"/>
      <c r="B1001" s="7" t="n"/>
      <c r="C1001" s="8" t="n"/>
      <c r="D1001" s="9" t="n"/>
      <c r="E1001" s="8" t="n"/>
      <c r="F1001" s="9" t="n"/>
      <c r="G1001" s="9" t="n"/>
      <c r="H1001" s="3">
        <f>IF(AND(D1001&lt;&gt;"",F1001&lt;&gt;""),F1001-D1001-G1001,"")</f>
        <v/>
      </c>
      <c r="I1001" s="14">
        <f>IF(E1001&lt;&gt;"", YEARFRAC(C1001, E1001) * 12, "")</f>
        <v/>
      </c>
      <c r="J1001" s="2">
        <f>IF(I1001="", "", IF(OR(AND(A1001="Listed Equity Shares", I1001&gt;12), AND(A1001="Unlisted Equity Shares", I1001&gt;24)), "Long Term", "Short Term"))</f>
        <v/>
      </c>
      <c r="K1001" s="5">
        <f>IF(J1001="", "", IF(J1001="Long Term", 12.5%,"as per slab"))</f>
        <v/>
      </c>
      <c r="L1001" s="3">
        <f>+IFERROR(IF(J1001="","",H1001*K1001),"as per slab")</f>
        <v/>
      </c>
    </row>
    <row r="1002">
      <c r="A1002" s="7" t="n"/>
      <c r="B1002" s="7" t="n"/>
      <c r="C1002" s="8" t="n"/>
      <c r="D1002" s="9" t="n"/>
      <c r="E1002" s="8" t="n"/>
      <c r="F1002" s="9" t="n"/>
      <c r="G1002" s="9" t="n"/>
      <c r="H1002" s="3">
        <f>IF(AND(D1002&lt;&gt;"",F1002&lt;&gt;""),F1002-D1002-G1002,"")</f>
        <v/>
      </c>
      <c r="I1002" s="14">
        <f>IF(E1002&lt;&gt;"", YEARFRAC(C1002, E1002) * 12, "")</f>
        <v/>
      </c>
      <c r="J1002" s="2">
        <f>IF(I1002="", "", IF(OR(AND(A1002="Listed Equity Shares", I1002&gt;12), AND(A1002="Unlisted Equity Shares", I1002&gt;24)), "Long Term", "Short Term"))</f>
        <v/>
      </c>
      <c r="K1002" s="5">
        <f>IF(J1002="", "", IF(J1002="Long Term", 12.5%,"as per slab"))</f>
        <v/>
      </c>
      <c r="L1002" s="3">
        <f>+IFERROR(IF(J1002="","",H1002*K1002),"as per slab")</f>
        <v/>
      </c>
    </row>
    <row r="1003">
      <c r="A1003" s="7" t="n"/>
      <c r="B1003" s="7" t="n"/>
      <c r="C1003" s="8" t="n"/>
      <c r="D1003" s="9" t="n"/>
      <c r="E1003" s="8" t="n"/>
      <c r="F1003" s="9" t="n"/>
      <c r="G1003" s="9" t="n"/>
      <c r="H1003" s="3">
        <f>IF(AND(D1003&lt;&gt;"",F1003&lt;&gt;""),F1003-D1003-G1003,"")</f>
        <v/>
      </c>
      <c r="I1003" s="14">
        <f>IF(E1003&lt;&gt;"", YEARFRAC(C1003, E1003) * 12, "")</f>
        <v/>
      </c>
      <c r="J1003" s="2">
        <f>IF(I1003="", "", IF(OR(AND(A1003="Listed Equity Shares", I1003&gt;12), AND(A1003="Unlisted Equity Shares", I1003&gt;24)), "Long Term", "Short Term"))</f>
        <v/>
      </c>
      <c r="K1003" s="5">
        <f>IF(J1003="", "", IF(J1003="Long Term", 12.5%,"as per slab"))</f>
        <v/>
      </c>
      <c r="L1003" s="3">
        <f>+IFERROR(IF(J1003="","",H1003*K1003),"as per slab")</f>
        <v/>
      </c>
    </row>
    <row r="1004">
      <c r="A1004" s="7" t="n"/>
      <c r="B1004" s="7" t="n"/>
      <c r="C1004" s="8" t="n"/>
      <c r="D1004" s="9" t="n"/>
      <c r="E1004" s="8" t="n"/>
      <c r="F1004" s="9" t="n"/>
      <c r="G1004" s="9" t="n"/>
      <c r="H1004" s="3">
        <f>IF(AND(D1004&lt;&gt;"",F1004&lt;&gt;""),F1004-D1004-G1004,"")</f>
        <v/>
      </c>
      <c r="I1004" s="14">
        <f>IF(E1004&lt;&gt;"", YEARFRAC(C1004, E1004) * 12, "")</f>
        <v/>
      </c>
      <c r="J1004" s="2">
        <f>IF(I1004="", "", IF(OR(AND(A1004="Listed Equity Shares", I1004&gt;12), AND(A1004="Unlisted Equity Shares", I1004&gt;24)), "Long Term", "Short Term"))</f>
        <v/>
      </c>
      <c r="K1004" s="5">
        <f>IF(J1004="", "", IF(J1004="Long Term", 12.5%,"as per slab"))</f>
        <v/>
      </c>
      <c r="L1004" s="3">
        <f>+IFERROR(IF(J1004="","",H1004*K1004),"as per slab")</f>
        <v/>
      </c>
    </row>
    <row r="1005">
      <c r="A1005" s="7" t="n"/>
      <c r="B1005" s="7" t="n"/>
      <c r="C1005" s="8" t="n"/>
      <c r="D1005" s="9" t="n"/>
      <c r="E1005" s="8" t="n"/>
      <c r="F1005" s="9" t="n"/>
      <c r="G1005" s="9" t="n"/>
      <c r="H1005" s="3">
        <f>IF(AND(D1005&lt;&gt;"",F1005&lt;&gt;""),F1005-D1005-G1005,"")</f>
        <v/>
      </c>
      <c r="I1005" s="14">
        <f>IF(E1005&lt;&gt;"", YEARFRAC(C1005, E1005) * 12, "")</f>
        <v/>
      </c>
      <c r="J1005" s="2">
        <f>IF(I1005="", "", IF(OR(AND(A1005="Listed Equity Shares", I1005&gt;12), AND(A1005="Unlisted Equity Shares", I1005&gt;24)), "Long Term", "Short Term"))</f>
        <v/>
      </c>
      <c r="K1005" s="5">
        <f>IF(J1005="", "", IF(J1005="Long Term", 12.5%,"as per slab"))</f>
        <v/>
      </c>
      <c r="L1005" s="3">
        <f>+IFERROR(IF(J1005="","",H1005*K1005),"as per slab")</f>
        <v/>
      </c>
    </row>
    <row r="1006">
      <c r="A1006" s="7" t="n"/>
      <c r="B1006" s="7" t="n"/>
      <c r="C1006" s="8" t="n"/>
      <c r="D1006" s="9" t="n"/>
      <c r="E1006" s="8" t="n"/>
      <c r="F1006" s="9" t="n"/>
      <c r="G1006" s="9" t="n"/>
      <c r="H1006" s="3">
        <f>IF(AND(D1006&lt;&gt;"",F1006&lt;&gt;""),F1006-D1006-G1006,"")</f>
        <v/>
      </c>
      <c r="I1006" s="14">
        <f>IF(E1006&lt;&gt;"", YEARFRAC(C1006, E1006) * 12, "")</f>
        <v/>
      </c>
      <c r="J1006" s="2">
        <f>IF(I1006="", "", IF(OR(AND(A1006="Listed Equity Shares", I1006&gt;12), AND(A1006="Unlisted Equity Shares", I1006&gt;24)), "Long Term", "Short Term"))</f>
        <v/>
      </c>
      <c r="K1006" s="5">
        <f>IF(J1006="", "", IF(J1006="Long Term", 12.5%,"as per slab"))</f>
        <v/>
      </c>
      <c r="L1006" s="3">
        <f>+IFERROR(IF(J1006="","",H1006*K1006),"as per slab")</f>
        <v/>
      </c>
    </row>
    <row r="1007">
      <c r="A1007" s="7" t="n"/>
      <c r="B1007" s="7" t="n"/>
      <c r="C1007" s="8" t="n"/>
      <c r="D1007" s="9" t="n"/>
      <c r="E1007" s="8" t="n"/>
      <c r="F1007" s="9" t="n"/>
      <c r="G1007" s="9" t="n"/>
      <c r="H1007" s="3">
        <f>IF(AND(D1007&lt;&gt;"",F1007&lt;&gt;""),F1007-D1007-G1007,"")</f>
        <v/>
      </c>
      <c r="I1007" s="14">
        <f>IF(E1007&lt;&gt;"", YEARFRAC(C1007, E1007) * 12, "")</f>
        <v/>
      </c>
      <c r="J1007" s="2">
        <f>IF(I1007="", "", IF(OR(AND(A1007="Listed Equity Shares", I1007&gt;12), AND(A1007="Unlisted Equity Shares", I1007&gt;24)), "Long Term", "Short Term"))</f>
        <v/>
      </c>
      <c r="K1007" s="5">
        <f>IF(J1007="", "", IF(J1007="Long Term", 12.5%,"as per slab"))</f>
        <v/>
      </c>
      <c r="L1007" s="3">
        <f>+IFERROR(IF(J1007="","",H1007*K1007),"as per slab")</f>
        <v/>
      </c>
    </row>
    <row r="1008">
      <c r="A1008" s="7" t="n"/>
      <c r="B1008" s="7" t="n"/>
      <c r="C1008" s="8" t="n"/>
      <c r="D1008" s="9" t="n"/>
      <c r="E1008" s="8" t="n"/>
      <c r="F1008" s="9" t="n"/>
      <c r="G1008" s="9" t="n"/>
      <c r="H1008" s="3">
        <f>IF(AND(D1008&lt;&gt;"",F1008&lt;&gt;""),F1008-D1008-G1008,"")</f>
        <v/>
      </c>
      <c r="I1008" s="14">
        <f>IF(E1008&lt;&gt;"", YEARFRAC(C1008, E1008) * 12, "")</f>
        <v/>
      </c>
      <c r="J1008" s="2">
        <f>IF(I1008="", "", IF(OR(AND(A1008="Listed Equity Shares", I1008&gt;12), AND(A1008="Unlisted Equity Shares", I1008&gt;24)), "Long Term", "Short Term"))</f>
        <v/>
      </c>
      <c r="K1008" s="5">
        <f>IF(J1008="", "", IF(J1008="Long Term", 12.5%,"as per slab"))</f>
        <v/>
      </c>
      <c r="L1008" s="3">
        <f>+IFERROR(IF(J1008="","",H1008*K1008),"as per slab")</f>
        <v/>
      </c>
    </row>
    <row r="1009">
      <c r="A1009" s="7" t="n"/>
      <c r="B1009" s="7" t="n"/>
      <c r="C1009" s="8" t="n"/>
      <c r="D1009" s="9" t="n"/>
      <c r="E1009" s="8" t="n"/>
      <c r="F1009" s="9" t="n"/>
      <c r="G1009" s="9" t="n"/>
      <c r="H1009" s="3">
        <f>IF(AND(D1009&lt;&gt;"",F1009&lt;&gt;""),F1009-D1009-G1009,"")</f>
        <v/>
      </c>
      <c r="I1009" s="14">
        <f>IF(E1009&lt;&gt;"", YEARFRAC(C1009, E1009) * 12, "")</f>
        <v/>
      </c>
      <c r="J1009" s="2">
        <f>IF(I1009="", "", IF(OR(AND(A1009="Listed Equity Shares", I1009&gt;12), AND(A1009="Unlisted Equity Shares", I1009&gt;24)), "Long Term", "Short Term"))</f>
        <v/>
      </c>
      <c r="K1009" s="5">
        <f>IF(J1009="", "", IF(J1009="Long Term", 12.5%,"as per slab"))</f>
        <v/>
      </c>
      <c r="L1009" s="3">
        <f>+IFERROR(IF(J1009="","",H1009*K1009),"as per slab")</f>
        <v/>
      </c>
    </row>
    <row r="1010">
      <c r="A1010" s="7" t="n"/>
      <c r="B1010" s="7" t="n"/>
      <c r="C1010" s="8" t="n"/>
      <c r="D1010" s="9" t="n"/>
      <c r="E1010" s="8" t="n"/>
      <c r="F1010" s="9" t="n"/>
      <c r="G1010" s="9" t="n"/>
      <c r="H1010" s="3">
        <f>IF(AND(D1010&lt;&gt;"",F1010&lt;&gt;""),F1010-D1010-G1010,"")</f>
        <v/>
      </c>
      <c r="I1010" s="14">
        <f>IF(E1010&lt;&gt;"", YEARFRAC(C1010, E1010) * 12, "")</f>
        <v/>
      </c>
      <c r="J1010" s="2">
        <f>IF(I1010="", "", IF(OR(AND(A1010="Listed Equity Shares", I1010&gt;12), AND(A1010="Unlisted Equity Shares", I1010&gt;24)), "Long Term", "Short Term"))</f>
        <v/>
      </c>
      <c r="K1010" s="5">
        <f>IF(J1010="", "", IF(J1010="Long Term", 12.5%,"as per slab"))</f>
        <v/>
      </c>
      <c r="L1010" s="3">
        <f>+IFERROR(IF(J1010="","",H1010*K1010),"as per slab")</f>
        <v/>
      </c>
    </row>
    <row r="1011">
      <c r="A1011" s="7" t="n"/>
      <c r="B1011" s="7" t="n"/>
      <c r="C1011" s="8" t="n"/>
      <c r="D1011" s="9" t="n"/>
      <c r="E1011" s="8" t="n"/>
      <c r="F1011" s="9" t="n"/>
      <c r="G1011" s="9" t="n"/>
      <c r="H1011" s="3">
        <f>IF(AND(D1011&lt;&gt;"",F1011&lt;&gt;""),F1011-D1011-G1011,"")</f>
        <v/>
      </c>
      <c r="I1011" s="14">
        <f>IF(E1011&lt;&gt;"", YEARFRAC(C1011, E1011) * 12, "")</f>
        <v/>
      </c>
      <c r="J1011" s="2">
        <f>IF(I1011="", "", IF(OR(AND(A1011="Listed Equity Shares", I1011&gt;12), AND(A1011="Unlisted Equity Shares", I1011&gt;24)), "Long Term", "Short Term"))</f>
        <v/>
      </c>
      <c r="K1011" s="5">
        <f>IF(J1011="", "", IF(J1011="Long Term", 12.5%,"as per slab"))</f>
        <v/>
      </c>
      <c r="L1011" s="3">
        <f>+IFERROR(IF(J1011="","",H1011*K1011),"as per slab")</f>
        <v/>
      </c>
    </row>
    <row r="1012">
      <c r="A1012" s="7" t="n"/>
      <c r="B1012" s="7" t="n"/>
      <c r="C1012" s="8" t="n"/>
      <c r="D1012" s="9" t="n"/>
      <c r="E1012" s="8" t="n"/>
      <c r="F1012" s="9" t="n"/>
      <c r="G1012" s="9" t="n"/>
      <c r="H1012" s="3">
        <f>IF(AND(D1012&lt;&gt;"",F1012&lt;&gt;""),F1012-D1012-G1012,"")</f>
        <v/>
      </c>
      <c r="I1012" s="14">
        <f>IF(E1012&lt;&gt;"", YEARFRAC(C1012, E1012) * 12, "")</f>
        <v/>
      </c>
      <c r="J1012" s="2">
        <f>IF(I1012="", "", IF(OR(AND(A1012="Listed Equity Shares", I1012&gt;12), AND(A1012="Unlisted Equity Shares", I1012&gt;24)), "Long Term", "Short Term"))</f>
        <v/>
      </c>
      <c r="K1012" s="5">
        <f>IF(J1012="", "", IF(J1012="Long Term", 12.5%,"as per slab"))</f>
        <v/>
      </c>
      <c r="L1012" s="3">
        <f>+IFERROR(IF(J1012="","",H1012*K1012),"as per slab")</f>
        <v/>
      </c>
    </row>
    <row r="1013">
      <c r="A1013" s="7" t="n"/>
      <c r="B1013" s="7" t="n"/>
      <c r="C1013" s="8" t="n"/>
      <c r="D1013" s="9" t="n"/>
      <c r="E1013" s="8" t="n"/>
      <c r="F1013" s="9" t="n"/>
      <c r="G1013" s="9" t="n"/>
      <c r="H1013" s="3">
        <f>IF(AND(D1013&lt;&gt;"",F1013&lt;&gt;""),F1013-D1013-G1013,"")</f>
        <v/>
      </c>
      <c r="I1013" s="14">
        <f>IF(E1013&lt;&gt;"", YEARFRAC(C1013, E1013) * 12, "")</f>
        <v/>
      </c>
      <c r="J1013" s="2">
        <f>IF(I1013="", "", IF(OR(AND(A1013="Listed Equity Shares", I1013&gt;12), AND(A1013="Unlisted Equity Shares", I1013&gt;24)), "Long Term", "Short Term"))</f>
        <v/>
      </c>
      <c r="K1013" s="5">
        <f>IF(J1013="", "", IF(J1013="Long Term", 12.5%,"as per slab"))</f>
        <v/>
      </c>
      <c r="L1013" s="3">
        <f>+IFERROR(IF(J1013="","",H1013*K1013),"as per slab")</f>
        <v/>
      </c>
    </row>
    <row r="1014">
      <c r="A1014" s="7" t="n"/>
      <c r="B1014" s="7" t="n"/>
      <c r="C1014" s="8" t="n"/>
      <c r="D1014" s="9" t="n"/>
      <c r="E1014" s="8" t="n"/>
      <c r="F1014" s="9" t="n"/>
      <c r="G1014" s="9" t="n"/>
      <c r="H1014" s="3">
        <f>IF(AND(D1014&lt;&gt;"",F1014&lt;&gt;""),F1014-D1014-G1014,"")</f>
        <v/>
      </c>
      <c r="I1014" s="14">
        <f>IF(E1014&lt;&gt;"", YEARFRAC(C1014, E1014) * 12, "")</f>
        <v/>
      </c>
      <c r="J1014" s="2">
        <f>IF(I1014="", "", IF(OR(AND(A1014="Listed Equity Shares", I1014&gt;12), AND(A1014="Unlisted Equity Shares", I1014&gt;24)), "Long Term", "Short Term"))</f>
        <v/>
      </c>
      <c r="K1014" s="5">
        <f>IF(J1014="", "", IF(J1014="Long Term", 12.5%,"as per slab"))</f>
        <v/>
      </c>
      <c r="L1014" s="3">
        <f>+IFERROR(IF(J1014="","",H1014*K1014),"as per slab")</f>
        <v/>
      </c>
    </row>
    <row r="1015">
      <c r="A1015" s="7" t="n"/>
      <c r="B1015" s="7" t="n"/>
      <c r="C1015" s="8" t="n"/>
      <c r="D1015" s="9" t="n"/>
      <c r="E1015" s="8" t="n"/>
      <c r="F1015" s="9" t="n"/>
      <c r="G1015" s="9" t="n"/>
      <c r="H1015" s="3">
        <f>IF(AND(D1015&lt;&gt;"",F1015&lt;&gt;""),F1015-D1015-G1015,"")</f>
        <v/>
      </c>
      <c r="I1015" s="14">
        <f>IF(E1015&lt;&gt;"", YEARFRAC(C1015, E1015) * 12, "")</f>
        <v/>
      </c>
      <c r="J1015" s="2">
        <f>IF(I1015="", "", IF(OR(AND(A1015="Listed Equity Shares", I1015&gt;12), AND(A1015="Unlisted Equity Shares", I1015&gt;24)), "Long Term", "Short Term"))</f>
        <v/>
      </c>
      <c r="K1015" s="5">
        <f>IF(J1015="", "", IF(J1015="Long Term", 12.5%,"as per slab"))</f>
        <v/>
      </c>
      <c r="L1015" s="3">
        <f>+IFERROR(IF(J1015="","",H1015*K1015),"as per slab")</f>
        <v/>
      </c>
    </row>
    <row r="1016">
      <c r="A1016" s="7" t="n"/>
      <c r="B1016" s="7" t="n"/>
      <c r="C1016" s="8" t="n"/>
      <c r="D1016" s="9" t="n"/>
      <c r="E1016" s="8" t="n"/>
      <c r="F1016" s="9" t="n"/>
      <c r="G1016" s="9" t="n"/>
      <c r="H1016" s="3">
        <f>IF(AND(D1016&lt;&gt;"",F1016&lt;&gt;""),F1016-D1016-G1016,"")</f>
        <v/>
      </c>
      <c r="I1016" s="14">
        <f>IF(E1016&lt;&gt;"", YEARFRAC(C1016, E1016) * 12, "")</f>
        <v/>
      </c>
      <c r="J1016" s="2">
        <f>IF(I1016="", "", IF(OR(AND(A1016="Listed Equity Shares", I1016&gt;12), AND(A1016="Unlisted Equity Shares", I1016&gt;24)), "Long Term", "Short Term"))</f>
        <v/>
      </c>
      <c r="K1016" s="5">
        <f>IF(J1016="", "", IF(J1016="Long Term", 12.5%,"as per slab"))</f>
        <v/>
      </c>
      <c r="L1016" s="3">
        <f>+IFERROR(IF(J1016="","",H1016*K1016),"as per slab")</f>
        <v/>
      </c>
    </row>
    <row r="1017">
      <c r="A1017" s="7" t="n"/>
      <c r="B1017" s="7" t="n"/>
      <c r="C1017" s="8" t="n"/>
      <c r="D1017" s="9" t="n"/>
      <c r="E1017" s="8" t="n"/>
      <c r="F1017" s="9" t="n"/>
      <c r="G1017" s="9" t="n"/>
      <c r="H1017" s="3">
        <f>IF(AND(D1017&lt;&gt;"",F1017&lt;&gt;""),F1017-D1017-G1017,"")</f>
        <v/>
      </c>
      <c r="I1017" s="14">
        <f>IF(E1017&lt;&gt;"", YEARFRAC(C1017, E1017) * 12, "")</f>
        <v/>
      </c>
      <c r="J1017" s="2">
        <f>IF(I1017="", "", IF(OR(AND(A1017="Listed Equity Shares", I1017&gt;12), AND(A1017="Unlisted Equity Shares", I1017&gt;24)), "Long Term", "Short Term"))</f>
        <v/>
      </c>
      <c r="K1017" s="5">
        <f>IF(J1017="", "", IF(J1017="Long Term", 12.5%,"as per slab"))</f>
        <v/>
      </c>
      <c r="L1017" s="3">
        <f>+IFERROR(IF(J1017="","",H1017*K1017),"as per slab")</f>
        <v/>
      </c>
    </row>
    <row r="1018">
      <c r="A1018" s="7" t="n"/>
      <c r="B1018" s="7" t="n"/>
      <c r="C1018" s="8" t="n"/>
      <c r="D1018" s="9" t="n"/>
      <c r="E1018" s="8" t="n"/>
      <c r="F1018" s="9" t="n"/>
      <c r="G1018" s="9" t="n"/>
      <c r="H1018" s="3">
        <f>IF(AND(D1018&lt;&gt;"",F1018&lt;&gt;""),F1018-D1018-G1018,"")</f>
        <v/>
      </c>
      <c r="I1018" s="14">
        <f>IF(E1018&lt;&gt;"", YEARFRAC(C1018, E1018) * 12, "")</f>
        <v/>
      </c>
      <c r="J1018" s="2">
        <f>IF(I1018="", "", IF(OR(AND(A1018="Listed Equity Shares", I1018&gt;12), AND(A1018="Unlisted Equity Shares", I1018&gt;24)), "Long Term", "Short Term"))</f>
        <v/>
      </c>
      <c r="K1018" s="5">
        <f>IF(J1018="", "", IF(J1018="Long Term", 12.5%,"as per slab"))</f>
        <v/>
      </c>
      <c r="L1018" s="3">
        <f>+IFERROR(IF(J1018="","",H1018*K1018),"as per slab")</f>
        <v/>
      </c>
    </row>
    <row r="1019">
      <c r="A1019" s="7" t="n"/>
      <c r="B1019" s="7" t="n"/>
      <c r="C1019" s="8" t="n"/>
      <c r="D1019" s="9" t="n"/>
      <c r="E1019" s="8" t="n"/>
      <c r="F1019" s="9" t="n"/>
      <c r="G1019" s="9" t="n"/>
      <c r="H1019" s="3">
        <f>IF(AND(D1019&lt;&gt;"",F1019&lt;&gt;""),F1019-D1019-G1019,"")</f>
        <v/>
      </c>
      <c r="I1019" s="14">
        <f>IF(E1019&lt;&gt;"", YEARFRAC(C1019, E1019) * 12, "")</f>
        <v/>
      </c>
      <c r="J1019" s="2">
        <f>IF(I1019="", "", IF(OR(AND(A1019="Listed Equity Shares", I1019&gt;12), AND(A1019="Unlisted Equity Shares", I1019&gt;24)), "Long Term", "Short Term"))</f>
        <v/>
      </c>
      <c r="K1019" s="5">
        <f>IF(J1019="", "", IF(J1019="Long Term", 12.5%,"as per slab"))</f>
        <v/>
      </c>
      <c r="L1019" s="3">
        <f>+IFERROR(IF(J1019="","",H1019*K1019),"as per slab")</f>
        <v/>
      </c>
    </row>
    <row r="1020">
      <c r="A1020" s="7" t="n"/>
      <c r="B1020" s="7" t="n"/>
      <c r="C1020" s="8" t="n"/>
      <c r="D1020" s="9" t="n"/>
      <c r="E1020" s="8" t="n"/>
      <c r="F1020" s="9" t="n"/>
      <c r="G1020" s="9" t="n"/>
      <c r="H1020" s="3">
        <f>IF(AND(D1020&lt;&gt;"",F1020&lt;&gt;""),F1020-D1020-G1020,"")</f>
        <v/>
      </c>
      <c r="I1020" s="14">
        <f>IF(E1020&lt;&gt;"", YEARFRAC(C1020, E1020) * 12, "")</f>
        <v/>
      </c>
      <c r="J1020" s="2">
        <f>IF(I1020="", "", IF(OR(AND(A1020="Listed Equity Shares", I1020&gt;12), AND(A1020="Unlisted Equity Shares", I1020&gt;24)), "Long Term", "Short Term"))</f>
        <v/>
      </c>
      <c r="K1020" s="5">
        <f>IF(J1020="", "", IF(J1020="Long Term", 12.5%,"as per slab"))</f>
        <v/>
      </c>
      <c r="L1020" s="3">
        <f>+IFERROR(IF(J1020="","",H1020*K1020),"as per slab")</f>
        <v/>
      </c>
    </row>
    <row r="1021">
      <c r="A1021" s="7" t="n"/>
      <c r="B1021" s="7" t="n"/>
      <c r="C1021" s="8" t="n"/>
      <c r="D1021" s="9" t="n"/>
      <c r="E1021" s="8" t="n"/>
      <c r="F1021" s="9" t="n"/>
      <c r="G1021" s="9" t="n"/>
      <c r="H1021" s="3">
        <f>IF(AND(D1021&lt;&gt;"",F1021&lt;&gt;""),F1021-D1021-G1021,"")</f>
        <v/>
      </c>
      <c r="I1021" s="14">
        <f>IF(E1021&lt;&gt;"", YEARFRAC(C1021, E1021) * 12, "")</f>
        <v/>
      </c>
      <c r="J1021" s="2">
        <f>IF(I1021="", "", IF(OR(AND(A1021="Listed Equity Shares", I1021&gt;12), AND(A1021="Unlisted Equity Shares", I1021&gt;24)), "Long Term", "Short Term"))</f>
        <v/>
      </c>
      <c r="K1021" s="5">
        <f>IF(J1021="", "", IF(J1021="Long Term", 12.5%,"as per slab"))</f>
        <v/>
      </c>
      <c r="L1021" s="3">
        <f>+IFERROR(IF(J1021="","",H1021*K1021),"as per slab")</f>
        <v/>
      </c>
    </row>
    <row r="1022">
      <c r="A1022" s="7" t="n"/>
      <c r="B1022" s="7" t="n"/>
      <c r="C1022" s="8" t="n"/>
      <c r="D1022" s="9" t="n"/>
      <c r="E1022" s="8" t="n"/>
      <c r="F1022" s="9" t="n"/>
      <c r="G1022" s="9" t="n"/>
      <c r="H1022" s="3">
        <f>IF(AND(D1022&lt;&gt;"",F1022&lt;&gt;""),F1022-D1022-G1022,"")</f>
        <v/>
      </c>
      <c r="I1022" s="14">
        <f>IF(E1022&lt;&gt;"", YEARFRAC(C1022, E1022) * 12, "")</f>
        <v/>
      </c>
      <c r="J1022" s="2">
        <f>IF(I1022="", "", IF(OR(AND(A1022="Listed Equity Shares", I1022&gt;12), AND(A1022="Unlisted Equity Shares", I1022&gt;24)), "Long Term", "Short Term"))</f>
        <v/>
      </c>
      <c r="K1022" s="5">
        <f>IF(J1022="", "", IF(J1022="Long Term", 12.5%,"as per slab"))</f>
        <v/>
      </c>
      <c r="L1022" s="3">
        <f>+IFERROR(IF(J1022="","",H1022*K1022),"as per slab")</f>
        <v/>
      </c>
    </row>
    <row r="1023">
      <c r="A1023" s="7" t="n"/>
      <c r="B1023" s="7" t="n"/>
      <c r="C1023" s="8" t="n"/>
      <c r="D1023" s="9" t="n"/>
      <c r="E1023" s="8" t="n"/>
      <c r="F1023" s="9" t="n"/>
      <c r="G1023" s="9" t="n"/>
      <c r="H1023" s="3">
        <f>IF(AND(D1023&lt;&gt;"",F1023&lt;&gt;""),F1023-D1023-G1023,"")</f>
        <v/>
      </c>
      <c r="I1023" s="14">
        <f>IF(E1023&lt;&gt;"", YEARFRAC(C1023, E1023) * 12, "")</f>
        <v/>
      </c>
      <c r="J1023" s="2">
        <f>IF(I1023="", "", IF(OR(AND(A1023="Listed Equity Shares", I1023&gt;12), AND(A1023="Unlisted Equity Shares", I1023&gt;24)), "Long Term", "Short Term"))</f>
        <v/>
      </c>
      <c r="K1023" s="5">
        <f>IF(J1023="", "", IF(J1023="Long Term", 12.5%,"as per slab"))</f>
        <v/>
      </c>
      <c r="L1023" s="3">
        <f>+IFERROR(IF(J1023="","",H1023*K1023),"as per slab")</f>
        <v/>
      </c>
    </row>
    <row r="1024">
      <c r="A1024" s="7" t="n"/>
      <c r="B1024" s="7" t="n"/>
      <c r="C1024" s="8" t="n"/>
      <c r="D1024" s="9" t="n"/>
      <c r="E1024" s="8" t="n"/>
      <c r="F1024" s="9" t="n"/>
      <c r="G1024" s="9" t="n"/>
      <c r="H1024" s="3">
        <f>IF(AND(D1024&lt;&gt;"",F1024&lt;&gt;""),F1024-D1024-G1024,"")</f>
        <v/>
      </c>
      <c r="I1024" s="14">
        <f>IF(E1024&lt;&gt;"", YEARFRAC(C1024, E1024) * 12, "")</f>
        <v/>
      </c>
      <c r="J1024" s="2">
        <f>IF(I1024="", "", IF(OR(AND(A1024="Listed Equity Shares", I1024&gt;12), AND(A1024="Unlisted Equity Shares", I1024&gt;24)), "Long Term", "Short Term"))</f>
        <v/>
      </c>
      <c r="K1024" s="5">
        <f>IF(J1024="", "", IF(J1024="Long Term", 12.5%,"as per slab"))</f>
        <v/>
      </c>
      <c r="L1024" s="3">
        <f>+IFERROR(IF(J1024="","",H1024*K1024),"as per slab")</f>
        <v/>
      </c>
    </row>
    <row r="1025">
      <c r="A1025" s="7" t="n"/>
      <c r="B1025" s="7" t="n"/>
      <c r="C1025" s="8" t="n"/>
      <c r="D1025" s="9" t="n"/>
      <c r="E1025" s="8" t="n"/>
      <c r="F1025" s="9" t="n"/>
      <c r="G1025" s="9" t="n"/>
      <c r="H1025" s="3">
        <f>IF(AND(D1025&lt;&gt;"",F1025&lt;&gt;""),F1025-D1025-G1025,"")</f>
        <v/>
      </c>
      <c r="I1025" s="14">
        <f>IF(E1025&lt;&gt;"", YEARFRAC(C1025, E1025) * 12, "")</f>
        <v/>
      </c>
      <c r="J1025" s="2">
        <f>IF(I1025="", "", IF(OR(AND(A1025="Listed Equity Shares", I1025&gt;12), AND(A1025="Unlisted Equity Shares", I1025&gt;24)), "Long Term", "Short Term"))</f>
        <v/>
      </c>
      <c r="K1025" s="5">
        <f>IF(J1025="", "", IF(J1025="Long Term", 12.5%,"as per slab"))</f>
        <v/>
      </c>
      <c r="L1025" s="3">
        <f>+IFERROR(IF(J1025="","",H1025*K1025),"as per slab")</f>
        <v/>
      </c>
    </row>
    <row r="1026">
      <c r="A1026" s="7" t="n"/>
      <c r="B1026" s="7" t="n"/>
      <c r="C1026" s="8" t="n"/>
      <c r="D1026" s="9" t="n"/>
      <c r="E1026" s="8" t="n"/>
      <c r="F1026" s="9" t="n"/>
      <c r="G1026" s="9" t="n"/>
      <c r="H1026" s="3">
        <f>IF(AND(D1026&lt;&gt;"",F1026&lt;&gt;""),F1026-D1026-G1026,"")</f>
        <v/>
      </c>
      <c r="I1026" s="14">
        <f>IF(E1026&lt;&gt;"", YEARFRAC(C1026, E1026) * 12, "")</f>
        <v/>
      </c>
      <c r="J1026" s="2">
        <f>IF(I1026="", "", IF(OR(AND(A1026="Listed Equity Shares", I1026&gt;12), AND(A1026="Unlisted Equity Shares", I1026&gt;24)), "Long Term", "Short Term"))</f>
        <v/>
      </c>
      <c r="K1026" s="5">
        <f>IF(J1026="", "", IF(J1026="Long Term", 12.5%,"as per slab"))</f>
        <v/>
      </c>
      <c r="L1026" s="3">
        <f>+IFERROR(IF(J1026="","",H1026*K1026),"as per slab")</f>
        <v/>
      </c>
    </row>
    <row r="1027">
      <c r="A1027" s="7" t="n"/>
      <c r="B1027" s="7" t="n"/>
      <c r="C1027" s="8" t="n"/>
      <c r="D1027" s="9" t="n"/>
      <c r="E1027" s="8" t="n"/>
      <c r="F1027" s="9" t="n"/>
      <c r="G1027" s="9" t="n"/>
      <c r="H1027" s="3">
        <f>IF(AND(D1027&lt;&gt;"",F1027&lt;&gt;""),F1027-D1027-G1027,"")</f>
        <v/>
      </c>
      <c r="I1027" s="14">
        <f>IF(E1027&lt;&gt;"", YEARFRAC(C1027, E1027) * 12, "")</f>
        <v/>
      </c>
      <c r="J1027" s="2">
        <f>IF(I1027="", "", IF(OR(AND(A1027="Listed Equity Shares", I1027&gt;12), AND(A1027="Unlisted Equity Shares", I1027&gt;24)), "Long Term", "Short Term"))</f>
        <v/>
      </c>
      <c r="K1027" s="5">
        <f>IF(J1027="", "", IF(J1027="Long Term", 12.5%,"as per slab"))</f>
        <v/>
      </c>
      <c r="L1027" s="3">
        <f>+IFERROR(IF(J1027="","",H1027*K1027),"as per slab")</f>
        <v/>
      </c>
    </row>
    <row r="1028">
      <c r="A1028" s="7" t="n"/>
      <c r="B1028" s="7" t="n"/>
      <c r="C1028" s="8" t="n"/>
      <c r="D1028" s="9" t="n"/>
      <c r="E1028" s="8" t="n"/>
      <c r="F1028" s="9" t="n"/>
      <c r="G1028" s="9" t="n"/>
      <c r="H1028" s="3">
        <f>IF(AND(D1028&lt;&gt;"",F1028&lt;&gt;""),F1028-D1028-G1028,"")</f>
        <v/>
      </c>
      <c r="I1028" s="14">
        <f>IF(E1028&lt;&gt;"", YEARFRAC(C1028, E1028) * 12, "")</f>
        <v/>
      </c>
      <c r="J1028" s="2">
        <f>IF(I1028="", "", IF(OR(AND(A1028="Listed Equity Shares", I1028&gt;12), AND(A1028="Unlisted Equity Shares", I1028&gt;24)), "Long Term", "Short Term"))</f>
        <v/>
      </c>
      <c r="K1028" s="5">
        <f>IF(J1028="", "", IF(J1028="Long Term", 12.5%,"as per slab"))</f>
        <v/>
      </c>
      <c r="L1028" s="3">
        <f>+IFERROR(IF(J1028="","",H1028*K1028),"as per slab")</f>
        <v/>
      </c>
    </row>
    <row r="1029">
      <c r="A1029" s="7" t="n"/>
      <c r="B1029" s="7" t="n"/>
      <c r="C1029" s="8" t="n"/>
      <c r="D1029" s="9" t="n"/>
      <c r="E1029" s="8" t="n"/>
      <c r="F1029" s="9" t="n"/>
      <c r="G1029" s="9" t="n"/>
      <c r="H1029" s="3">
        <f>IF(AND(D1029&lt;&gt;"",F1029&lt;&gt;""),F1029-D1029-G1029,"")</f>
        <v/>
      </c>
      <c r="I1029" s="14">
        <f>IF(E1029&lt;&gt;"", YEARFRAC(C1029, E1029) * 12, "")</f>
        <v/>
      </c>
      <c r="J1029" s="2">
        <f>IF(I1029="", "", IF(OR(AND(A1029="Listed Equity Shares", I1029&gt;12), AND(A1029="Unlisted Equity Shares", I1029&gt;24)), "Long Term", "Short Term"))</f>
        <v/>
      </c>
      <c r="K1029" s="5">
        <f>IF(J1029="", "", IF(J1029="Long Term", 12.5%,"as per slab"))</f>
        <v/>
      </c>
      <c r="L1029" s="3">
        <f>+IFERROR(IF(J1029="","",H1029*K1029),"as per slab")</f>
        <v/>
      </c>
    </row>
    <row r="1030">
      <c r="A1030" s="7" t="n"/>
      <c r="B1030" s="7" t="n"/>
      <c r="C1030" s="8" t="n"/>
      <c r="D1030" s="9" t="n"/>
      <c r="E1030" s="8" t="n"/>
      <c r="F1030" s="9" t="n"/>
      <c r="G1030" s="9" t="n"/>
      <c r="H1030" s="3">
        <f>IF(AND(D1030&lt;&gt;"",F1030&lt;&gt;""),F1030-D1030-G1030,"")</f>
        <v/>
      </c>
      <c r="I1030" s="14">
        <f>IF(E1030&lt;&gt;"", YEARFRAC(C1030, E1030) * 12, "")</f>
        <v/>
      </c>
      <c r="J1030" s="2">
        <f>IF(I1030="", "", IF(OR(AND(A1030="Listed Equity Shares", I1030&gt;12), AND(A1030="Unlisted Equity Shares", I1030&gt;24)), "Long Term", "Short Term"))</f>
        <v/>
      </c>
      <c r="K1030" s="5">
        <f>IF(J1030="", "", IF(J1030="Long Term", 12.5%,"as per slab"))</f>
        <v/>
      </c>
      <c r="L1030" s="3">
        <f>+IFERROR(IF(J1030="","",H1030*K1030),"as per slab")</f>
        <v/>
      </c>
    </row>
    <row r="1031">
      <c r="A1031" s="7" t="n"/>
      <c r="B1031" s="7" t="n"/>
      <c r="C1031" s="8" t="n"/>
      <c r="D1031" s="9" t="n"/>
      <c r="E1031" s="8" t="n"/>
      <c r="F1031" s="9" t="n"/>
      <c r="G1031" s="9" t="n"/>
      <c r="H1031" s="3">
        <f>IF(AND(D1031&lt;&gt;"",F1031&lt;&gt;""),F1031-D1031-G1031,"")</f>
        <v/>
      </c>
      <c r="I1031" s="14">
        <f>IF(E1031&lt;&gt;"", YEARFRAC(C1031, E1031) * 12, "")</f>
        <v/>
      </c>
      <c r="J1031" s="2">
        <f>IF(I1031="", "", IF(OR(AND(A1031="Listed Equity Shares", I1031&gt;12), AND(A1031="Unlisted Equity Shares", I1031&gt;24)), "Long Term", "Short Term"))</f>
        <v/>
      </c>
      <c r="K1031" s="5">
        <f>IF(J1031="", "", IF(J1031="Long Term", 12.5%,"as per slab"))</f>
        <v/>
      </c>
      <c r="L1031" s="3">
        <f>+IFERROR(IF(J1031="","",H1031*K1031),"as per slab")</f>
        <v/>
      </c>
    </row>
    <row r="1032">
      <c r="A1032" s="7" t="n"/>
      <c r="B1032" s="7" t="n"/>
      <c r="C1032" s="8" t="n"/>
      <c r="D1032" s="9" t="n"/>
      <c r="E1032" s="8" t="n"/>
      <c r="F1032" s="9" t="n"/>
      <c r="G1032" s="9" t="n"/>
      <c r="H1032" s="3">
        <f>IF(AND(D1032&lt;&gt;"",F1032&lt;&gt;""),F1032-D1032-G1032,"")</f>
        <v/>
      </c>
      <c r="I1032" s="14">
        <f>IF(E1032&lt;&gt;"", YEARFRAC(C1032, E1032) * 12, "")</f>
        <v/>
      </c>
      <c r="J1032" s="2">
        <f>IF(I1032="", "", IF(OR(AND(A1032="Listed Equity Shares", I1032&gt;12), AND(A1032="Unlisted Equity Shares", I1032&gt;24)), "Long Term", "Short Term"))</f>
        <v/>
      </c>
      <c r="K1032" s="5">
        <f>IF(J1032="", "", IF(J1032="Long Term", 12.5%,"as per slab"))</f>
        <v/>
      </c>
      <c r="L1032" s="3">
        <f>+IFERROR(IF(J1032="","",H1032*K1032),"as per slab")</f>
        <v/>
      </c>
    </row>
    <row r="1033">
      <c r="A1033" s="7" t="n"/>
      <c r="B1033" s="7" t="n"/>
      <c r="C1033" s="8" t="n"/>
      <c r="D1033" s="9" t="n"/>
      <c r="E1033" s="8" t="n"/>
      <c r="F1033" s="9" t="n"/>
      <c r="G1033" s="9" t="n"/>
      <c r="H1033" s="3">
        <f>IF(AND(D1033&lt;&gt;"",F1033&lt;&gt;""),F1033-D1033-G1033,"")</f>
        <v/>
      </c>
      <c r="I1033" s="14">
        <f>IF(E1033&lt;&gt;"", YEARFRAC(C1033, E1033) * 12, "")</f>
        <v/>
      </c>
      <c r="J1033" s="2">
        <f>IF(I1033="", "", IF(OR(AND(A1033="Listed Equity Shares", I1033&gt;12), AND(A1033="Unlisted Equity Shares", I1033&gt;24)), "Long Term", "Short Term"))</f>
        <v/>
      </c>
      <c r="K1033" s="5">
        <f>IF(J1033="", "", IF(J1033="Long Term", 12.5%,"as per slab"))</f>
        <v/>
      </c>
      <c r="L1033" s="3">
        <f>+IFERROR(IF(J1033="","",H1033*K1033),"as per slab")</f>
        <v/>
      </c>
    </row>
    <row r="1034">
      <c r="A1034" s="7" t="n"/>
      <c r="B1034" s="7" t="n"/>
      <c r="C1034" s="8" t="n"/>
      <c r="D1034" s="9" t="n"/>
      <c r="E1034" s="8" t="n"/>
      <c r="F1034" s="9" t="n"/>
      <c r="G1034" s="9" t="n"/>
      <c r="H1034" s="3">
        <f>IF(AND(D1034&lt;&gt;"",F1034&lt;&gt;""),F1034-D1034-G1034,"")</f>
        <v/>
      </c>
      <c r="I1034" s="14">
        <f>IF(E1034&lt;&gt;"", YEARFRAC(C1034, E1034) * 12, "")</f>
        <v/>
      </c>
      <c r="J1034" s="2">
        <f>IF(I1034="", "", IF(OR(AND(A1034="Listed Equity Shares", I1034&gt;12), AND(A1034="Unlisted Equity Shares", I1034&gt;24)), "Long Term", "Short Term"))</f>
        <v/>
      </c>
      <c r="K1034" s="5">
        <f>IF(J1034="", "", IF(J1034="Long Term", 12.5%,"as per slab"))</f>
        <v/>
      </c>
      <c r="L1034" s="3">
        <f>+IFERROR(IF(J1034="","",H1034*K1034),"as per slab")</f>
        <v/>
      </c>
    </row>
    <row r="1035">
      <c r="A1035" s="7" t="n"/>
      <c r="B1035" s="7" t="n"/>
      <c r="C1035" s="8" t="n"/>
      <c r="D1035" s="9" t="n"/>
      <c r="E1035" s="8" t="n"/>
      <c r="F1035" s="9" t="n"/>
      <c r="G1035" s="9" t="n"/>
      <c r="H1035" s="3">
        <f>IF(AND(D1035&lt;&gt;"",F1035&lt;&gt;""),F1035-D1035-G1035,"")</f>
        <v/>
      </c>
      <c r="I1035" s="14">
        <f>IF(E1035&lt;&gt;"", YEARFRAC(C1035, E1035) * 12, "")</f>
        <v/>
      </c>
      <c r="J1035" s="2">
        <f>IF(I1035="", "", IF(OR(AND(A1035="Listed Equity Shares", I1035&gt;12), AND(A1035="Unlisted Equity Shares", I1035&gt;24)), "Long Term", "Short Term"))</f>
        <v/>
      </c>
      <c r="K1035" s="5">
        <f>IF(J1035="", "", IF(J1035="Long Term", 12.5%,"as per slab"))</f>
        <v/>
      </c>
      <c r="L1035" s="3">
        <f>+IFERROR(IF(J1035="","",H1035*K1035),"as per slab")</f>
        <v/>
      </c>
    </row>
    <row r="1036">
      <c r="A1036" s="7" t="n"/>
      <c r="B1036" s="7" t="n"/>
      <c r="C1036" s="8" t="n"/>
      <c r="D1036" s="9" t="n"/>
      <c r="E1036" s="8" t="n"/>
      <c r="F1036" s="9" t="n"/>
      <c r="G1036" s="9" t="n"/>
      <c r="H1036" s="3">
        <f>IF(AND(D1036&lt;&gt;"",F1036&lt;&gt;""),F1036-D1036-G1036,"")</f>
        <v/>
      </c>
      <c r="I1036" s="14">
        <f>IF(E1036&lt;&gt;"", YEARFRAC(C1036, E1036) * 12, "")</f>
        <v/>
      </c>
      <c r="J1036" s="2">
        <f>IF(I1036="", "", IF(OR(AND(A1036="Listed Equity Shares", I1036&gt;12), AND(A1036="Unlisted Equity Shares", I1036&gt;24)), "Long Term", "Short Term"))</f>
        <v/>
      </c>
      <c r="K1036" s="5">
        <f>IF(J1036="", "", IF(J1036="Long Term", 12.5%,"as per slab"))</f>
        <v/>
      </c>
      <c r="L1036" s="3">
        <f>+IFERROR(IF(J1036="","",H1036*K1036),"as per slab")</f>
        <v/>
      </c>
    </row>
    <row r="1037">
      <c r="A1037" s="7" t="n"/>
      <c r="B1037" s="7" t="n"/>
      <c r="C1037" s="8" t="n"/>
      <c r="D1037" s="9" t="n"/>
      <c r="E1037" s="8" t="n"/>
      <c r="F1037" s="9" t="n"/>
      <c r="G1037" s="9" t="n"/>
      <c r="H1037" s="3">
        <f>IF(AND(D1037&lt;&gt;"",F1037&lt;&gt;""),F1037-D1037-G1037,"")</f>
        <v/>
      </c>
      <c r="I1037" s="14">
        <f>IF(E1037&lt;&gt;"", YEARFRAC(C1037, E1037) * 12, "")</f>
        <v/>
      </c>
      <c r="J1037" s="2">
        <f>IF(I1037="", "", IF(OR(AND(A1037="Listed Equity Shares", I1037&gt;12), AND(A1037="Unlisted Equity Shares", I1037&gt;24)), "Long Term", "Short Term"))</f>
        <v/>
      </c>
      <c r="K1037" s="5">
        <f>IF(J1037="", "", IF(J1037="Long Term", 12.5%,"as per slab"))</f>
        <v/>
      </c>
      <c r="L1037" s="3">
        <f>+IFERROR(IF(J1037="","",H1037*K1037),"as per slab")</f>
        <v/>
      </c>
    </row>
    <row r="1038">
      <c r="A1038" s="7" t="n"/>
      <c r="B1038" s="7" t="n"/>
      <c r="C1038" s="8" t="n"/>
      <c r="D1038" s="9" t="n"/>
      <c r="E1038" s="8" t="n"/>
      <c r="F1038" s="9" t="n"/>
      <c r="G1038" s="9" t="n"/>
      <c r="H1038" s="3">
        <f>IF(AND(D1038&lt;&gt;"",F1038&lt;&gt;""),F1038-D1038-G1038,"")</f>
        <v/>
      </c>
      <c r="I1038" s="14">
        <f>IF(E1038&lt;&gt;"", YEARFRAC(C1038, E1038) * 12, "")</f>
        <v/>
      </c>
      <c r="J1038" s="2">
        <f>IF(I1038="", "", IF(OR(AND(A1038="Listed Equity Shares", I1038&gt;12), AND(A1038="Unlisted Equity Shares", I1038&gt;24)), "Long Term", "Short Term"))</f>
        <v/>
      </c>
      <c r="K1038" s="5">
        <f>IF(J1038="", "", IF(J1038="Long Term", 12.5%,"as per slab"))</f>
        <v/>
      </c>
      <c r="L1038" s="3">
        <f>+IFERROR(IF(J1038="","",H1038*K1038),"as per slab")</f>
        <v/>
      </c>
    </row>
    <row r="1039">
      <c r="A1039" s="7" t="n"/>
      <c r="B1039" s="7" t="n"/>
      <c r="C1039" s="8" t="n"/>
      <c r="D1039" s="9" t="n"/>
      <c r="E1039" s="8" t="n"/>
      <c r="F1039" s="9" t="n"/>
      <c r="G1039" s="9" t="n"/>
      <c r="H1039" s="3">
        <f>IF(AND(D1039&lt;&gt;"",F1039&lt;&gt;""),F1039-D1039-G1039,"")</f>
        <v/>
      </c>
      <c r="I1039" s="14">
        <f>IF(E1039&lt;&gt;"", YEARFRAC(C1039, E1039) * 12, "")</f>
        <v/>
      </c>
      <c r="J1039" s="2">
        <f>IF(I1039="", "", IF(OR(AND(A1039="Listed Equity Shares", I1039&gt;12), AND(A1039="Unlisted Equity Shares", I1039&gt;24)), "Long Term", "Short Term"))</f>
        <v/>
      </c>
      <c r="K1039" s="5">
        <f>IF(J1039="", "", IF(J1039="Long Term", 12.5%,"as per slab"))</f>
        <v/>
      </c>
      <c r="L1039" s="3">
        <f>+IFERROR(IF(J1039="","",H1039*K1039),"as per slab")</f>
        <v/>
      </c>
    </row>
    <row r="1040">
      <c r="A1040" s="7" t="n"/>
      <c r="B1040" s="7" t="n"/>
      <c r="C1040" s="8" t="n"/>
      <c r="D1040" s="9" t="n"/>
      <c r="E1040" s="8" t="n"/>
      <c r="F1040" s="9" t="n"/>
      <c r="G1040" s="9" t="n"/>
      <c r="H1040" s="3">
        <f>IF(AND(D1040&lt;&gt;"",F1040&lt;&gt;""),F1040-D1040-G1040,"")</f>
        <v/>
      </c>
      <c r="I1040" s="14">
        <f>IF(E1040&lt;&gt;"", YEARFRAC(C1040, E1040) * 12, "")</f>
        <v/>
      </c>
      <c r="J1040" s="2">
        <f>IF(I1040="", "", IF(OR(AND(A1040="Listed Equity Shares", I1040&gt;12), AND(A1040="Unlisted Equity Shares", I1040&gt;24)), "Long Term", "Short Term"))</f>
        <v/>
      </c>
      <c r="K1040" s="5">
        <f>IF(J1040="", "", IF(J1040="Long Term", 12.5%,"as per slab"))</f>
        <v/>
      </c>
      <c r="L1040" s="3">
        <f>+IFERROR(IF(J1040="","",H1040*K1040),"as per slab")</f>
        <v/>
      </c>
    </row>
    <row r="1041">
      <c r="A1041" s="7" t="n"/>
      <c r="B1041" s="7" t="n"/>
      <c r="C1041" s="8" t="n"/>
      <c r="D1041" s="9" t="n"/>
      <c r="E1041" s="8" t="n"/>
      <c r="F1041" s="9" t="n"/>
      <c r="G1041" s="9" t="n"/>
      <c r="H1041" s="3">
        <f>IF(AND(D1041&lt;&gt;"",F1041&lt;&gt;""),F1041-D1041-G1041,"")</f>
        <v/>
      </c>
      <c r="I1041" s="14">
        <f>IF(E1041&lt;&gt;"", YEARFRAC(C1041, E1041) * 12, "")</f>
        <v/>
      </c>
      <c r="J1041" s="2">
        <f>IF(I1041="", "", IF(OR(AND(A1041="Listed Equity Shares", I1041&gt;12), AND(A1041="Unlisted Equity Shares", I1041&gt;24)), "Long Term", "Short Term"))</f>
        <v/>
      </c>
      <c r="K1041" s="5">
        <f>IF(J1041="", "", IF(J1041="Long Term", 12.5%,"as per slab"))</f>
        <v/>
      </c>
      <c r="L1041" s="3">
        <f>+IFERROR(IF(J1041="","",H1041*K1041),"as per slab")</f>
        <v/>
      </c>
    </row>
    <row r="1042">
      <c r="A1042" s="7" t="n"/>
      <c r="B1042" s="7" t="n"/>
      <c r="C1042" s="8" t="n"/>
      <c r="D1042" s="9" t="n"/>
      <c r="E1042" s="8" t="n"/>
      <c r="F1042" s="9" t="n"/>
      <c r="G1042" s="9" t="n"/>
      <c r="H1042" s="3">
        <f>IF(AND(D1042&lt;&gt;"",F1042&lt;&gt;""),F1042-D1042-G1042,"")</f>
        <v/>
      </c>
      <c r="I1042" s="14">
        <f>IF(E1042&lt;&gt;"", YEARFRAC(C1042, E1042) * 12, "")</f>
        <v/>
      </c>
      <c r="J1042" s="2">
        <f>IF(I1042="", "", IF(OR(AND(A1042="Listed Equity Shares", I1042&gt;12), AND(A1042="Unlisted Equity Shares", I1042&gt;24)), "Long Term", "Short Term"))</f>
        <v/>
      </c>
      <c r="K1042" s="5">
        <f>IF(J1042="", "", IF(J1042="Long Term", 12.5%,"as per slab"))</f>
        <v/>
      </c>
      <c r="L1042" s="3">
        <f>+IFERROR(IF(J1042="","",H1042*K1042),"as per slab")</f>
        <v/>
      </c>
    </row>
    <row r="1043">
      <c r="A1043" s="7" t="n"/>
      <c r="B1043" s="7" t="n"/>
      <c r="C1043" s="8" t="n"/>
      <c r="D1043" s="9" t="n"/>
      <c r="E1043" s="8" t="n"/>
      <c r="F1043" s="9" t="n"/>
      <c r="G1043" s="9" t="n"/>
      <c r="H1043" s="3">
        <f>IF(AND(D1043&lt;&gt;"",F1043&lt;&gt;""),F1043-D1043-G1043,"")</f>
        <v/>
      </c>
      <c r="I1043" s="14">
        <f>IF(E1043&lt;&gt;"", YEARFRAC(C1043, E1043) * 12, "")</f>
        <v/>
      </c>
      <c r="J1043" s="2">
        <f>IF(I1043="", "", IF(OR(AND(A1043="Listed Equity Shares", I1043&gt;12), AND(A1043="Unlisted Equity Shares", I1043&gt;24)), "Long Term", "Short Term"))</f>
        <v/>
      </c>
      <c r="K1043" s="5">
        <f>IF(J1043="", "", IF(J1043="Long Term", 12.5%,"as per slab"))</f>
        <v/>
      </c>
      <c r="L1043" s="3">
        <f>+IFERROR(IF(J1043="","",H1043*K1043),"as per slab")</f>
        <v/>
      </c>
    </row>
    <row r="1044">
      <c r="A1044" s="7" t="n"/>
      <c r="B1044" s="7" t="n"/>
      <c r="C1044" s="8" t="n"/>
      <c r="D1044" s="9" t="n"/>
      <c r="E1044" s="8" t="n"/>
      <c r="F1044" s="9" t="n"/>
      <c r="G1044" s="9" t="n"/>
      <c r="H1044" s="3">
        <f>IF(AND(D1044&lt;&gt;"",F1044&lt;&gt;""),F1044-D1044-G1044,"")</f>
        <v/>
      </c>
      <c r="I1044" s="14">
        <f>IF(E1044&lt;&gt;"", YEARFRAC(C1044, E1044) * 12, "")</f>
        <v/>
      </c>
      <c r="J1044" s="2">
        <f>IF(I1044="", "", IF(OR(AND(A1044="Listed Equity Shares", I1044&gt;12), AND(A1044="Unlisted Equity Shares", I1044&gt;24)), "Long Term", "Short Term"))</f>
        <v/>
      </c>
      <c r="K1044" s="5">
        <f>IF(J1044="", "", IF(J1044="Long Term", 12.5%,"as per slab"))</f>
        <v/>
      </c>
      <c r="L1044" s="3">
        <f>+IFERROR(IF(J1044="","",H1044*K1044),"as per slab")</f>
        <v/>
      </c>
    </row>
    <row r="1045">
      <c r="A1045" s="7" t="n"/>
      <c r="B1045" s="7" t="n"/>
      <c r="C1045" s="8" t="n"/>
      <c r="D1045" s="9" t="n"/>
      <c r="E1045" s="8" t="n"/>
      <c r="F1045" s="9" t="n"/>
      <c r="G1045" s="9" t="n"/>
      <c r="H1045" s="3">
        <f>IF(AND(D1045&lt;&gt;"",F1045&lt;&gt;""),F1045-D1045-G1045,"")</f>
        <v/>
      </c>
      <c r="I1045" s="14">
        <f>IF(E1045&lt;&gt;"", YEARFRAC(C1045, E1045) * 12, "")</f>
        <v/>
      </c>
      <c r="J1045" s="2">
        <f>IF(I1045="", "", IF(OR(AND(A1045="Listed Equity Shares", I1045&gt;12), AND(A1045="Unlisted Equity Shares", I1045&gt;24)), "Long Term", "Short Term"))</f>
        <v/>
      </c>
      <c r="K1045" s="5">
        <f>IF(J1045="", "", IF(J1045="Long Term", 12.5%,"as per slab"))</f>
        <v/>
      </c>
      <c r="L1045" s="3">
        <f>+IFERROR(IF(J1045="","",H1045*K1045),"as per slab")</f>
        <v/>
      </c>
    </row>
    <row r="1046">
      <c r="A1046" s="7" t="n"/>
      <c r="B1046" s="7" t="n"/>
      <c r="C1046" s="8" t="n"/>
      <c r="D1046" s="9" t="n"/>
      <c r="E1046" s="8" t="n"/>
      <c r="F1046" s="9" t="n"/>
      <c r="G1046" s="9" t="n"/>
      <c r="H1046" s="3">
        <f>IF(AND(D1046&lt;&gt;"",F1046&lt;&gt;""),F1046-D1046-G1046,"")</f>
        <v/>
      </c>
      <c r="I1046" s="14">
        <f>IF(E1046&lt;&gt;"", YEARFRAC(C1046, E1046) * 12, "")</f>
        <v/>
      </c>
      <c r="J1046" s="2">
        <f>IF(I1046="", "", IF(OR(AND(A1046="Listed Equity Shares", I1046&gt;12), AND(A1046="Unlisted Equity Shares", I1046&gt;24)), "Long Term", "Short Term"))</f>
        <v/>
      </c>
      <c r="K1046" s="5">
        <f>IF(J1046="", "", IF(J1046="Long Term", 12.5%,"as per slab"))</f>
        <v/>
      </c>
      <c r="L1046" s="3">
        <f>+IFERROR(IF(J1046="","",H1046*K1046),"as per slab")</f>
        <v/>
      </c>
    </row>
    <row r="1047">
      <c r="A1047" s="7" t="n"/>
      <c r="B1047" s="7" t="n"/>
      <c r="C1047" s="8" t="n"/>
      <c r="D1047" s="9" t="n"/>
      <c r="E1047" s="8" t="n"/>
      <c r="F1047" s="9" t="n"/>
      <c r="G1047" s="9" t="n"/>
      <c r="H1047" s="3">
        <f>IF(AND(D1047&lt;&gt;"",F1047&lt;&gt;""),F1047-D1047-G1047,"")</f>
        <v/>
      </c>
      <c r="I1047" s="14">
        <f>IF(E1047&lt;&gt;"", YEARFRAC(C1047, E1047) * 12, "")</f>
        <v/>
      </c>
      <c r="J1047" s="2">
        <f>IF(I1047="", "", IF(OR(AND(A1047="Listed Equity Shares", I1047&gt;12), AND(A1047="Unlisted Equity Shares", I1047&gt;24)), "Long Term", "Short Term"))</f>
        <v/>
      </c>
      <c r="K1047" s="5">
        <f>IF(J1047="", "", IF(J1047="Long Term", 12.5%,"as per slab"))</f>
        <v/>
      </c>
      <c r="L1047" s="3">
        <f>+IFERROR(IF(J1047="","",H1047*K1047),"as per slab")</f>
        <v/>
      </c>
    </row>
    <row r="1048">
      <c r="A1048" s="7" t="n"/>
      <c r="B1048" s="7" t="n"/>
      <c r="C1048" s="8" t="n"/>
      <c r="D1048" s="9" t="n"/>
      <c r="E1048" s="8" t="n"/>
      <c r="F1048" s="9" t="n"/>
      <c r="G1048" s="9" t="n"/>
      <c r="H1048" s="3">
        <f>IF(AND(D1048&lt;&gt;"",F1048&lt;&gt;""),F1048-D1048-G1048,"")</f>
        <v/>
      </c>
      <c r="I1048" s="14">
        <f>IF(E1048&lt;&gt;"", YEARFRAC(C1048, E1048) * 12, "")</f>
        <v/>
      </c>
      <c r="J1048" s="2">
        <f>IF(I1048="", "", IF(OR(AND(A1048="Listed Equity Shares", I1048&gt;12), AND(A1048="Unlisted Equity Shares", I1048&gt;24)), "Long Term", "Short Term"))</f>
        <v/>
      </c>
      <c r="K1048" s="5">
        <f>IF(J1048="", "", IF(J1048="Long Term", 12.5%,"as per slab"))</f>
        <v/>
      </c>
      <c r="L1048" s="3">
        <f>+IFERROR(IF(J1048="","",H1048*K1048),"as per slab")</f>
        <v/>
      </c>
    </row>
    <row r="1049">
      <c r="A1049" s="7" t="n"/>
      <c r="B1049" s="7" t="n"/>
      <c r="C1049" s="8" t="n"/>
      <c r="D1049" s="9" t="n"/>
      <c r="E1049" s="8" t="n"/>
      <c r="F1049" s="9" t="n"/>
      <c r="G1049" s="9" t="n"/>
      <c r="H1049" s="3">
        <f>IF(AND(D1049&lt;&gt;"",F1049&lt;&gt;""),F1049-D1049-G1049,"")</f>
        <v/>
      </c>
      <c r="I1049" s="14">
        <f>IF(E1049&lt;&gt;"", YEARFRAC(C1049, E1049) * 12, "")</f>
        <v/>
      </c>
      <c r="J1049" s="2">
        <f>IF(I1049="", "", IF(OR(AND(A1049="Listed Equity Shares", I1049&gt;12), AND(A1049="Unlisted Equity Shares", I1049&gt;24)), "Long Term", "Short Term"))</f>
        <v/>
      </c>
      <c r="K1049" s="5">
        <f>IF(J1049="", "", IF(J1049="Long Term", 12.5%,"as per slab"))</f>
        <v/>
      </c>
      <c r="L1049" s="3">
        <f>+IFERROR(IF(J1049="","",H1049*K1049),"as per slab")</f>
        <v/>
      </c>
    </row>
    <row r="1050">
      <c r="A1050" s="7" t="n"/>
      <c r="B1050" s="7" t="n"/>
      <c r="C1050" s="8" t="n"/>
      <c r="D1050" s="9" t="n"/>
      <c r="E1050" s="8" t="n"/>
      <c r="F1050" s="9" t="n"/>
      <c r="G1050" s="9" t="n"/>
      <c r="H1050" s="3">
        <f>IF(AND(D1050&lt;&gt;"",F1050&lt;&gt;""),F1050-D1050-G1050,"")</f>
        <v/>
      </c>
      <c r="I1050" s="14">
        <f>IF(E1050&lt;&gt;"", YEARFRAC(C1050, E1050) * 12, "")</f>
        <v/>
      </c>
      <c r="J1050" s="2">
        <f>IF(I1050="", "", IF(OR(AND(A1050="Listed Equity Shares", I1050&gt;12), AND(A1050="Unlisted Equity Shares", I1050&gt;24)), "Long Term", "Short Term"))</f>
        <v/>
      </c>
      <c r="K1050" s="5">
        <f>IF(J1050="", "", IF(J1050="Long Term", 12.5%,"as per slab"))</f>
        <v/>
      </c>
      <c r="L1050" s="3">
        <f>+IFERROR(IF(J1050="","",H1050*K1050),"as per slab")</f>
        <v/>
      </c>
    </row>
    <row r="1051">
      <c r="A1051" s="7" t="n"/>
      <c r="B1051" s="7" t="n"/>
      <c r="C1051" s="8" t="n"/>
      <c r="D1051" s="9" t="n"/>
      <c r="E1051" s="8" t="n"/>
      <c r="F1051" s="9" t="n"/>
      <c r="G1051" s="9" t="n"/>
      <c r="H1051" s="3">
        <f>IF(AND(D1051&lt;&gt;"",F1051&lt;&gt;""),F1051-D1051-G1051,"")</f>
        <v/>
      </c>
      <c r="I1051" s="14">
        <f>IF(E1051&lt;&gt;"", YEARFRAC(C1051, E1051) * 12, "")</f>
        <v/>
      </c>
      <c r="J1051" s="2">
        <f>IF(I1051="", "", IF(OR(AND(A1051="Listed Equity Shares", I1051&gt;12), AND(A1051="Unlisted Equity Shares", I1051&gt;24)), "Long Term", "Short Term"))</f>
        <v/>
      </c>
      <c r="K1051" s="5">
        <f>IF(J1051="", "", IF(J1051="Long Term", 12.5%,"as per slab"))</f>
        <v/>
      </c>
      <c r="L1051" s="3">
        <f>+IFERROR(IF(J1051="","",H1051*K1051),"as per slab")</f>
        <v/>
      </c>
    </row>
    <row r="1052">
      <c r="A1052" s="7" t="n"/>
      <c r="B1052" s="7" t="n"/>
      <c r="C1052" s="8" t="n"/>
      <c r="D1052" s="9" t="n"/>
      <c r="E1052" s="8" t="n"/>
      <c r="F1052" s="9" t="n"/>
      <c r="G1052" s="9" t="n"/>
      <c r="H1052" s="3">
        <f>IF(AND(D1052&lt;&gt;"",F1052&lt;&gt;""),F1052-D1052-G1052,"")</f>
        <v/>
      </c>
      <c r="I1052" s="14">
        <f>IF(E1052&lt;&gt;"", YEARFRAC(C1052, E1052) * 12, "")</f>
        <v/>
      </c>
      <c r="J1052" s="2">
        <f>IF(I1052="", "", IF(OR(AND(A1052="Listed Equity Shares", I1052&gt;12), AND(A1052="Unlisted Equity Shares", I1052&gt;24)), "Long Term", "Short Term"))</f>
        <v/>
      </c>
      <c r="K1052" s="5">
        <f>IF(J1052="", "", IF(J1052="Long Term", 12.5%,"as per slab"))</f>
        <v/>
      </c>
      <c r="L1052" s="3">
        <f>+IFERROR(IF(J1052="","",H1052*K1052),"as per slab")</f>
        <v/>
      </c>
    </row>
    <row r="1053">
      <c r="A1053" s="7" t="n"/>
      <c r="B1053" s="7" t="n"/>
      <c r="C1053" s="8" t="n"/>
      <c r="D1053" s="9" t="n"/>
      <c r="E1053" s="8" t="n"/>
      <c r="F1053" s="9" t="n"/>
      <c r="G1053" s="9" t="n"/>
      <c r="H1053" s="3">
        <f>IF(AND(D1053&lt;&gt;"",F1053&lt;&gt;""),F1053-D1053-G1053,"")</f>
        <v/>
      </c>
      <c r="I1053" s="14">
        <f>IF(E1053&lt;&gt;"", YEARFRAC(C1053, E1053) * 12, "")</f>
        <v/>
      </c>
      <c r="J1053" s="2">
        <f>IF(I1053="", "", IF(OR(AND(A1053="Listed Equity Shares", I1053&gt;12), AND(A1053="Unlisted Equity Shares", I1053&gt;24)), "Long Term", "Short Term"))</f>
        <v/>
      </c>
      <c r="K1053" s="5">
        <f>IF(J1053="", "", IF(J1053="Long Term", 12.5%,"as per slab"))</f>
        <v/>
      </c>
      <c r="L1053" s="3">
        <f>+IFERROR(IF(J1053="","",H1053*K1053),"as per slab")</f>
        <v/>
      </c>
    </row>
    <row r="1054">
      <c r="A1054" s="7" t="n"/>
      <c r="B1054" s="7" t="n"/>
      <c r="C1054" s="8" t="n"/>
      <c r="D1054" s="9" t="n"/>
      <c r="E1054" s="8" t="n"/>
      <c r="F1054" s="9" t="n"/>
      <c r="G1054" s="9" t="n"/>
      <c r="H1054" s="3">
        <f>IF(AND(D1054&lt;&gt;"",F1054&lt;&gt;""),F1054-D1054-G1054,"")</f>
        <v/>
      </c>
      <c r="I1054" s="14">
        <f>IF(E1054&lt;&gt;"", YEARFRAC(C1054, E1054) * 12, "")</f>
        <v/>
      </c>
      <c r="J1054" s="2">
        <f>IF(I1054="", "", IF(OR(AND(A1054="Listed Equity Shares", I1054&gt;12), AND(A1054="Unlisted Equity Shares", I1054&gt;24)), "Long Term", "Short Term"))</f>
        <v/>
      </c>
      <c r="K1054" s="5">
        <f>IF(J1054="", "", IF(J1054="Long Term", 12.5%,"as per slab"))</f>
        <v/>
      </c>
      <c r="L1054" s="3">
        <f>+IFERROR(IF(J1054="","",H1054*K1054),"as per slab")</f>
        <v/>
      </c>
    </row>
    <row r="1055">
      <c r="A1055" s="7" t="n"/>
      <c r="B1055" s="7" t="n"/>
      <c r="C1055" s="8" t="n"/>
      <c r="D1055" s="9" t="n"/>
      <c r="E1055" s="8" t="n"/>
      <c r="F1055" s="9" t="n"/>
      <c r="G1055" s="9" t="n"/>
      <c r="H1055" s="3">
        <f>IF(AND(D1055&lt;&gt;"",F1055&lt;&gt;""),F1055-D1055-G1055,"")</f>
        <v/>
      </c>
      <c r="I1055" s="14">
        <f>IF(E1055&lt;&gt;"", YEARFRAC(C1055, E1055) * 12, "")</f>
        <v/>
      </c>
      <c r="J1055" s="2">
        <f>IF(I1055="", "", IF(OR(AND(A1055="Listed Equity Shares", I1055&gt;12), AND(A1055="Unlisted Equity Shares", I1055&gt;24)), "Long Term", "Short Term"))</f>
        <v/>
      </c>
      <c r="K1055" s="5">
        <f>IF(J1055="", "", IF(J1055="Long Term", 12.5%,"as per slab"))</f>
        <v/>
      </c>
      <c r="L1055" s="3">
        <f>+IFERROR(IF(J1055="","",H1055*K1055),"as per slab")</f>
        <v/>
      </c>
    </row>
    <row r="1056">
      <c r="A1056" s="7" t="n"/>
      <c r="B1056" s="7" t="n"/>
      <c r="C1056" s="8" t="n"/>
      <c r="D1056" s="9" t="n"/>
      <c r="E1056" s="8" t="n"/>
      <c r="F1056" s="9" t="n"/>
      <c r="G1056" s="9" t="n"/>
      <c r="H1056" s="3">
        <f>IF(AND(D1056&lt;&gt;"",F1056&lt;&gt;""),F1056-D1056-G1056,"")</f>
        <v/>
      </c>
      <c r="I1056" s="14">
        <f>IF(E1056&lt;&gt;"", YEARFRAC(C1056, E1056) * 12, "")</f>
        <v/>
      </c>
      <c r="J1056" s="2">
        <f>IF(I1056="", "", IF(OR(AND(A1056="Listed Equity Shares", I1056&gt;12), AND(A1056="Unlisted Equity Shares", I1056&gt;24)), "Long Term", "Short Term"))</f>
        <v/>
      </c>
      <c r="K1056" s="5">
        <f>IF(J1056="", "", IF(J1056="Long Term", 12.5%,"as per slab"))</f>
        <v/>
      </c>
      <c r="L1056" s="3">
        <f>+IFERROR(IF(J1056="","",H1056*K1056),"as per slab")</f>
        <v/>
      </c>
    </row>
    <row r="1057">
      <c r="A1057" s="7" t="n"/>
      <c r="B1057" s="7" t="n"/>
      <c r="C1057" s="8" t="n"/>
      <c r="D1057" s="9" t="n"/>
      <c r="E1057" s="8" t="n"/>
      <c r="F1057" s="9" t="n"/>
      <c r="G1057" s="9" t="n"/>
      <c r="H1057" s="3">
        <f>IF(AND(D1057&lt;&gt;"",F1057&lt;&gt;""),F1057-D1057-G1057,"")</f>
        <v/>
      </c>
      <c r="I1057" s="14">
        <f>IF(E1057&lt;&gt;"", YEARFRAC(C1057, E1057) * 12, "")</f>
        <v/>
      </c>
      <c r="J1057" s="2">
        <f>IF(I1057="", "", IF(OR(AND(A1057="Listed Equity Shares", I1057&gt;12), AND(A1057="Unlisted Equity Shares", I1057&gt;24)), "Long Term", "Short Term"))</f>
        <v/>
      </c>
      <c r="K1057" s="5">
        <f>IF(J1057="", "", IF(J1057="Long Term", 12.5%,"as per slab"))</f>
        <v/>
      </c>
      <c r="L1057" s="3">
        <f>+IFERROR(IF(J1057="","",H1057*K1057),"as per slab")</f>
        <v/>
      </c>
    </row>
    <row r="1058">
      <c r="A1058" s="7" t="n"/>
      <c r="B1058" s="7" t="n"/>
      <c r="C1058" s="8" t="n"/>
      <c r="D1058" s="9" t="n"/>
      <c r="E1058" s="8" t="n"/>
      <c r="F1058" s="9" t="n"/>
      <c r="G1058" s="9" t="n"/>
      <c r="H1058" s="3">
        <f>IF(AND(D1058&lt;&gt;"",F1058&lt;&gt;""),F1058-D1058-G1058,"")</f>
        <v/>
      </c>
      <c r="I1058" s="14">
        <f>IF(E1058&lt;&gt;"", YEARFRAC(C1058, E1058) * 12, "")</f>
        <v/>
      </c>
      <c r="J1058" s="2">
        <f>IF(I1058="", "", IF(OR(AND(A1058="Listed Equity Shares", I1058&gt;12), AND(A1058="Unlisted Equity Shares", I1058&gt;24)), "Long Term", "Short Term"))</f>
        <v/>
      </c>
      <c r="K1058" s="5">
        <f>IF(J1058="", "", IF(J1058="Long Term", 12.5%,"as per slab"))</f>
        <v/>
      </c>
      <c r="L1058" s="3">
        <f>+IFERROR(IF(J1058="","",H1058*K1058),"as per slab")</f>
        <v/>
      </c>
    </row>
    <row r="1059">
      <c r="A1059" s="7" t="n"/>
      <c r="B1059" s="7" t="n"/>
      <c r="C1059" s="8" t="n"/>
      <c r="D1059" s="9" t="n"/>
      <c r="E1059" s="8" t="n"/>
      <c r="F1059" s="9" t="n"/>
      <c r="G1059" s="9" t="n"/>
      <c r="H1059" s="3">
        <f>IF(AND(D1059&lt;&gt;"",F1059&lt;&gt;""),F1059-D1059-G1059,"")</f>
        <v/>
      </c>
      <c r="I1059" s="14">
        <f>IF(E1059&lt;&gt;"", YEARFRAC(C1059, E1059) * 12, "")</f>
        <v/>
      </c>
      <c r="J1059" s="2">
        <f>IF(I1059="", "", IF(OR(AND(A1059="Listed Equity Shares", I1059&gt;12), AND(A1059="Unlisted Equity Shares", I1059&gt;24)), "Long Term", "Short Term"))</f>
        <v/>
      </c>
      <c r="K1059" s="5">
        <f>IF(J1059="", "", IF(J1059="Long Term", 12.5%,"as per slab"))</f>
        <v/>
      </c>
      <c r="L1059" s="3">
        <f>+IFERROR(IF(J1059="","",H1059*K1059),"as per slab")</f>
        <v/>
      </c>
    </row>
    <row r="1060">
      <c r="A1060" s="7" t="n"/>
      <c r="B1060" s="7" t="n"/>
      <c r="C1060" s="8" t="n"/>
      <c r="D1060" s="9" t="n"/>
      <c r="E1060" s="8" t="n"/>
      <c r="F1060" s="9" t="n"/>
      <c r="G1060" s="9" t="n"/>
      <c r="H1060" s="3">
        <f>IF(AND(D1060&lt;&gt;"",F1060&lt;&gt;""),F1060-D1060-G1060,"")</f>
        <v/>
      </c>
      <c r="I1060" s="14">
        <f>IF(E1060&lt;&gt;"", YEARFRAC(C1060, E1060) * 12, "")</f>
        <v/>
      </c>
      <c r="J1060" s="2">
        <f>IF(I1060="", "", IF(OR(AND(A1060="Listed Equity Shares", I1060&gt;12), AND(A1060="Unlisted Equity Shares", I1060&gt;24)), "Long Term", "Short Term"))</f>
        <v/>
      </c>
      <c r="K1060" s="5">
        <f>IF(J1060="", "", IF(J1060="Long Term", 12.5%,"as per slab"))</f>
        <v/>
      </c>
      <c r="L1060" s="3">
        <f>+IFERROR(IF(J1060="","",H1060*K1060),"as per slab")</f>
        <v/>
      </c>
    </row>
    <row r="1061">
      <c r="A1061" s="7" t="n"/>
      <c r="B1061" s="7" t="n"/>
      <c r="C1061" s="8" t="n"/>
      <c r="D1061" s="9" t="n"/>
      <c r="E1061" s="8" t="n"/>
      <c r="F1061" s="9" t="n"/>
      <c r="G1061" s="9" t="n"/>
      <c r="H1061" s="3">
        <f>IF(AND(D1061&lt;&gt;"",F1061&lt;&gt;""),F1061-D1061-G1061,"")</f>
        <v/>
      </c>
      <c r="I1061" s="14">
        <f>IF(E1061&lt;&gt;"", YEARFRAC(C1061, E1061) * 12, "")</f>
        <v/>
      </c>
      <c r="J1061" s="2">
        <f>IF(I1061="", "", IF(OR(AND(A1061="Listed Equity Shares", I1061&gt;12), AND(A1061="Unlisted Equity Shares", I1061&gt;24)), "Long Term", "Short Term"))</f>
        <v/>
      </c>
      <c r="K1061" s="5">
        <f>IF(J1061="", "", IF(J1061="Long Term", 12.5%,"as per slab"))</f>
        <v/>
      </c>
      <c r="L1061" s="3">
        <f>+IFERROR(IF(J1061="","",H1061*K1061),"as per slab")</f>
        <v/>
      </c>
    </row>
    <row r="1062">
      <c r="A1062" s="7" t="n"/>
      <c r="B1062" s="7" t="n"/>
      <c r="C1062" s="8" t="n"/>
      <c r="D1062" s="9" t="n"/>
      <c r="E1062" s="8" t="n"/>
      <c r="F1062" s="9" t="n"/>
      <c r="G1062" s="9" t="n"/>
      <c r="H1062" s="3">
        <f>IF(AND(D1062&lt;&gt;"",F1062&lt;&gt;""),F1062-D1062-G1062,"")</f>
        <v/>
      </c>
      <c r="I1062" s="14">
        <f>IF(E1062&lt;&gt;"", YEARFRAC(C1062, E1062) * 12, "")</f>
        <v/>
      </c>
      <c r="J1062" s="2">
        <f>IF(I1062="", "", IF(OR(AND(A1062="Listed Equity Shares", I1062&gt;12), AND(A1062="Unlisted Equity Shares", I1062&gt;24)), "Long Term", "Short Term"))</f>
        <v/>
      </c>
      <c r="K1062" s="5">
        <f>IF(J1062="", "", IF(J1062="Long Term", 12.5%,"as per slab"))</f>
        <v/>
      </c>
      <c r="L1062" s="3">
        <f>+IFERROR(IF(J1062="","",H1062*K1062),"as per slab")</f>
        <v/>
      </c>
    </row>
    <row r="1063">
      <c r="A1063" s="7" t="n"/>
      <c r="B1063" s="7" t="n"/>
      <c r="C1063" s="8" t="n"/>
      <c r="D1063" s="9" t="n"/>
      <c r="E1063" s="8" t="n"/>
      <c r="F1063" s="9" t="n"/>
      <c r="G1063" s="9" t="n"/>
      <c r="H1063" s="3">
        <f>IF(AND(D1063&lt;&gt;"",F1063&lt;&gt;""),F1063-D1063-G1063,"")</f>
        <v/>
      </c>
      <c r="I1063" s="14">
        <f>IF(E1063&lt;&gt;"", YEARFRAC(C1063, E1063) * 12, "")</f>
        <v/>
      </c>
      <c r="J1063" s="2">
        <f>IF(I1063="", "", IF(OR(AND(A1063="Listed Equity Shares", I1063&gt;12), AND(A1063="Unlisted Equity Shares", I1063&gt;24)), "Long Term", "Short Term"))</f>
        <v/>
      </c>
      <c r="K1063" s="5">
        <f>IF(J1063="", "", IF(J1063="Long Term", 12.5%,"as per slab"))</f>
        <v/>
      </c>
      <c r="L1063" s="3">
        <f>+IFERROR(IF(J1063="","",H1063*K1063),"as per slab")</f>
        <v/>
      </c>
    </row>
    <row r="1064">
      <c r="A1064" s="7" t="n"/>
      <c r="B1064" s="7" t="n"/>
      <c r="C1064" s="8" t="n"/>
      <c r="D1064" s="9" t="n"/>
      <c r="E1064" s="8" t="n"/>
      <c r="F1064" s="9" t="n"/>
      <c r="G1064" s="9" t="n"/>
      <c r="H1064" s="3">
        <f>IF(AND(D1064&lt;&gt;"",F1064&lt;&gt;""),F1064-D1064-G1064,"")</f>
        <v/>
      </c>
      <c r="I1064" s="14">
        <f>IF(E1064&lt;&gt;"", YEARFRAC(C1064, E1064) * 12, "")</f>
        <v/>
      </c>
      <c r="J1064" s="2">
        <f>IF(I1064="", "", IF(OR(AND(A1064="Listed Equity Shares", I1064&gt;12), AND(A1064="Unlisted Equity Shares", I1064&gt;24)), "Long Term", "Short Term"))</f>
        <v/>
      </c>
      <c r="K1064" s="5">
        <f>IF(J1064="", "", IF(J1064="Long Term", 12.5%,"as per slab"))</f>
        <v/>
      </c>
      <c r="L1064" s="3">
        <f>+IFERROR(IF(J1064="","",H1064*K1064),"as per slab")</f>
        <v/>
      </c>
    </row>
    <row r="1065">
      <c r="A1065" s="7" t="n"/>
      <c r="B1065" s="7" t="n"/>
      <c r="C1065" s="8" t="n"/>
      <c r="D1065" s="9" t="n"/>
      <c r="E1065" s="8" t="n"/>
      <c r="F1065" s="9" t="n"/>
      <c r="G1065" s="9" t="n"/>
      <c r="H1065" s="3">
        <f>IF(AND(D1065&lt;&gt;"",F1065&lt;&gt;""),F1065-D1065-G1065,"")</f>
        <v/>
      </c>
      <c r="I1065" s="14">
        <f>IF(E1065&lt;&gt;"", YEARFRAC(C1065, E1065) * 12, "")</f>
        <v/>
      </c>
      <c r="J1065" s="2">
        <f>IF(I1065="", "", IF(OR(AND(A1065="Listed Equity Shares", I1065&gt;12), AND(A1065="Unlisted Equity Shares", I1065&gt;24)), "Long Term", "Short Term"))</f>
        <v/>
      </c>
      <c r="K1065" s="5">
        <f>IF(J1065="", "", IF(J1065="Long Term", 12.5%,"as per slab"))</f>
        <v/>
      </c>
      <c r="L1065" s="3">
        <f>+IFERROR(IF(J1065="","",H1065*K1065),"as per slab")</f>
        <v/>
      </c>
    </row>
    <row r="1066">
      <c r="A1066" s="7" t="n"/>
      <c r="B1066" s="7" t="n"/>
      <c r="C1066" s="8" t="n"/>
      <c r="D1066" s="9" t="n"/>
      <c r="E1066" s="8" t="n"/>
      <c r="F1066" s="9" t="n"/>
      <c r="G1066" s="9" t="n"/>
      <c r="H1066" s="3">
        <f>IF(AND(D1066&lt;&gt;"",F1066&lt;&gt;""),F1066-D1066-G1066,"")</f>
        <v/>
      </c>
      <c r="I1066" s="14">
        <f>IF(E1066&lt;&gt;"", YEARFRAC(C1066, E1066) * 12, "")</f>
        <v/>
      </c>
      <c r="J1066" s="2">
        <f>IF(I1066="", "", IF(OR(AND(A1066="Listed Equity Shares", I1066&gt;12), AND(A1066="Unlisted Equity Shares", I1066&gt;24)), "Long Term", "Short Term"))</f>
        <v/>
      </c>
      <c r="K1066" s="5">
        <f>IF(J1066="", "", IF(J1066="Long Term", 12.5%,"as per slab"))</f>
        <v/>
      </c>
      <c r="L1066" s="3">
        <f>+IFERROR(IF(J1066="","",H1066*K1066),"as per slab")</f>
        <v/>
      </c>
    </row>
    <row r="1067">
      <c r="A1067" s="7" t="n"/>
      <c r="B1067" s="7" t="n"/>
      <c r="C1067" s="8" t="n"/>
      <c r="D1067" s="9" t="n"/>
      <c r="E1067" s="8" t="n"/>
      <c r="F1067" s="9" t="n"/>
      <c r="G1067" s="9" t="n"/>
      <c r="H1067" s="3">
        <f>IF(AND(D1067&lt;&gt;"",F1067&lt;&gt;""),F1067-D1067-G1067,"")</f>
        <v/>
      </c>
      <c r="I1067" s="14">
        <f>IF(E1067&lt;&gt;"", YEARFRAC(C1067, E1067) * 12, "")</f>
        <v/>
      </c>
      <c r="J1067" s="2">
        <f>IF(I1067="", "", IF(OR(AND(A1067="Listed Equity Shares", I1067&gt;12), AND(A1067="Unlisted Equity Shares", I1067&gt;24)), "Long Term", "Short Term"))</f>
        <v/>
      </c>
      <c r="K1067" s="5">
        <f>IF(J1067="", "", IF(J1067="Long Term", 12.5%,"as per slab"))</f>
        <v/>
      </c>
      <c r="L1067" s="3">
        <f>+IFERROR(IF(J1067="","",H1067*K1067),"as per slab")</f>
        <v/>
      </c>
    </row>
    <row r="1068">
      <c r="A1068" s="7" t="n"/>
      <c r="B1068" s="7" t="n"/>
      <c r="C1068" s="8" t="n"/>
      <c r="D1068" s="9" t="n"/>
      <c r="E1068" s="8" t="n"/>
      <c r="F1068" s="9" t="n"/>
      <c r="G1068" s="9" t="n"/>
      <c r="H1068" s="3">
        <f>IF(AND(D1068&lt;&gt;"",F1068&lt;&gt;""),F1068-D1068-G1068,"")</f>
        <v/>
      </c>
      <c r="I1068" s="14">
        <f>IF(E1068&lt;&gt;"", YEARFRAC(C1068, E1068) * 12, "")</f>
        <v/>
      </c>
      <c r="J1068" s="2">
        <f>IF(I1068="", "", IF(OR(AND(A1068="Listed Equity Shares", I1068&gt;12), AND(A1068="Unlisted Equity Shares", I1068&gt;24)), "Long Term", "Short Term"))</f>
        <v/>
      </c>
      <c r="K1068" s="5">
        <f>IF(J1068="", "", IF(J1068="Long Term", 12.5%,"as per slab"))</f>
        <v/>
      </c>
      <c r="L1068" s="3">
        <f>+IFERROR(IF(J1068="","",H1068*K1068),"as per slab")</f>
        <v/>
      </c>
    </row>
    <row r="1069">
      <c r="A1069" s="7" t="n"/>
      <c r="B1069" s="7" t="n"/>
      <c r="C1069" s="8" t="n"/>
      <c r="D1069" s="9" t="n"/>
      <c r="E1069" s="8" t="n"/>
      <c r="F1069" s="9" t="n"/>
      <c r="G1069" s="9" t="n"/>
      <c r="H1069" s="3">
        <f>IF(AND(D1069&lt;&gt;"",F1069&lt;&gt;""),F1069-D1069-G1069,"")</f>
        <v/>
      </c>
      <c r="I1069" s="14">
        <f>IF(E1069&lt;&gt;"", YEARFRAC(C1069, E1069) * 12, "")</f>
        <v/>
      </c>
      <c r="J1069" s="2">
        <f>IF(I1069="", "", IF(OR(AND(A1069="Listed Equity Shares", I1069&gt;12), AND(A1069="Unlisted Equity Shares", I1069&gt;24)), "Long Term", "Short Term"))</f>
        <v/>
      </c>
      <c r="K1069" s="5">
        <f>IF(J1069="", "", IF(J1069="Long Term", 12.5%,"as per slab"))</f>
        <v/>
      </c>
      <c r="L1069" s="3">
        <f>+IFERROR(IF(J1069="","",H1069*K1069),"as per slab")</f>
        <v/>
      </c>
    </row>
    <row r="1070">
      <c r="A1070" s="7" t="n"/>
      <c r="B1070" s="7" t="n"/>
      <c r="C1070" s="8" t="n"/>
      <c r="D1070" s="9" t="n"/>
      <c r="E1070" s="8" t="n"/>
      <c r="F1070" s="9" t="n"/>
      <c r="G1070" s="9" t="n"/>
      <c r="H1070" s="3">
        <f>IF(AND(D1070&lt;&gt;"",F1070&lt;&gt;""),F1070-D1070-G1070,"")</f>
        <v/>
      </c>
      <c r="I1070" s="14">
        <f>IF(E1070&lt;&gt;"", YEARFRAC(C1070, E1070) * 12, "")</f>
        <v/>
      </c>
      <c r="J1070" s="2">
        <f>IF(I1070="", "", IF(OR(AND(A1070="Listed Equity Shares", I1070&gt;12), AND(A1070="Unlisted Equity Shares", I1070&gt;24)), "Long Term", "Short Term"))</f>
        <v/>
      </c>
      <c r="K1070" s="5">
        <f>IF(J1070="", "", IF(J1070="Long Term", 12.5%,"as per slab"))</f>
        <v/>
      </c>
      <c r="L1070" s="3">
        <f>+IFERROR(IF(J1070="","",H1070*K1070),"as per slab")</f>
        <v/>
      </c>
    </row>
    <row r="1071">
      <c r="A1071" s="7" t="n"/>
      <c r="B1071" s="7" t="n"/>
      <c r="C1071" s="8" t="n"/>
      <c r="D1071" s="9" t="n"/>
      <c r="E1071" s="8" t="n"/>
      <c r="F1071" s="9" t="n"/>
      <c r="G1071" s="9" t="n"/>
      <c r="H1071" s="3">
        <f>IF(AND(D1071&lt;&gt;"",F1071&lt;&gt;""),F1071-D1071-G1071,"")</f>
        <v/>
      </c>
      <c r="I1071" s="14">
        <f>IF(E1071&lt;&gt;"", YEARFRAC(C1071, E1071) * 12, "")</f>
        <v/>
      </c>
      <c r="J1071" s="2">
        <f>IF(I1071="", "", IF(OR(AND(A1071="Listed Equity Shares", I1071&gt;12), AND(A1071="Unlisted Equity Shares", I1071&gt;24)), "Long Term", "Short Term"))</f>
        <v/>
      </c>
      <c r="K1071" s="5">
        <f>IF(J1071="", "", IF(J1071="Long Term", 12.5%,"as per slab"))</f>
        <v/>
      </c>
      <c r="L1071" s="3">
        <f>+IFERROR(IF(J1071="","",H1071*K1071),"as per slab")</f>
        <v/>
      </c>
    </row>
    <row r="1072">
      <c r="A1072" s="7" t="n"/>
      <c r="B1072" s="7" t="n"/>
      <c r="C1072" s="8" t="n"/>
      <c r="D1072" s="9" t="n"/>
      <c r="E1072" s="8" t="n"/>
      <c r="F1072" s="9" t="n"/>
      <c r="G1072" s="9" t="n"/>
      <c r="H1072" s="3">
        <f>IF(AND(D1072&lt;&gt;"",F1072&lt;&gt;""),F1072-D1072-G1072,"")</f>
        <v/>
      </c>
      <c r="I1072" s="14">
        <f>IF(E1072&lt;&gt;"", YEARFRAC(C1072, E1072) * 12, "")</f>
        <v/>
      </c>
      <c r="J1072" s="2">
        <f>IF(I1072="", "", IF(OR(AND(A1072="Listed Equity Shares", I1072&gt;12), AND(A1072="Unlisted Equity Shares", I1072&gt;24)), "Long Term", "Short Term"))</f>
        <v/>
      </c>
      <c r="K1072" s="5">
        <f>IF(J1072="", "", IF(J1072="Long Term", 12.5%,"as per slab"))</f>
        <v/>
      </c>
      <c r="L1072" s="3">
        <f>+IFERROR(IF(J1072="","",H1072*K1072),"as per slab")</f>
        <v/>
      </c>
    </row>
    <row r="1073">
      <c r="A1073" s="7" t="n"/>
      <c r="B1073" s="7" t="n"/>
      <c r="C1073" s="8" t="n"/>
      <c r="D1073" s="9" t="n"/>
      <c r="E1073" s="8" t="n"/>
      <c r="F1073" s="9" t="n"/>
      <c r="G1073" s="9" t="n"/>
      <c r="H1073" s="3">
        <f>IF(AND(D1073&lt;&gt;"",F1073&lt;&gt;""),F1073-D1073-G1073,"")</f>
        <v/>
      </c>
      <c r="I1073" s="14">
        <f>IF(E1073&lt;&gt;"", YEARFRAC(C1073, E1073) * 12, "")</f>
        <v/>
      </c>
      <c r="J1073" s="2">
        <f>IF(I1073="", "", IF(OR(AND(A1073="Listed Equity Shares", I1073&gt;12), AND(A1073="Unlisted Equity Shares", I1073&gt;24)), "Long Term", "Short Term"))</f>
        <v/>
      </c>
      <c r="K1073" s="5">
        <f>IF(J1073="", "", IF(J1073="Long Term", 12.5%,"as per slab"))</f>
        <v/>
      </c>
      <c r="L1073" s="3">
        <f>+IFERROR(IF(J1073="","",H1073*K1073),"as per slab")</f>
        <v/>
      </c>
    </row>
    <row r="1074">
      <c r="A1074" s="7" t="n"/>
      <c r="B1074" s="7" t="n"/>
      <c r="C1074" s="8" t="n"/>
      <c r="D1074" s="9" t="n"/>
      <c r="E1074" s="8" t="n"/>
      <c r="F1074" s="9" t="n"/>
      <c r="G1074" s="9" t="n"/>
      <c r="H1074" s="3">
        <f>IF(AND(D1074&lt;&gt;"",F1074&lt;&gt;""),F1074-D1074-G1074,"")</f>
        <v/>
      </c>
      <c r="I1074" s="14">
        <f>IF(E1074&lt;&gt;"", YEARFRAC(C1074, E1074) * 12, "")</f>
        <v/>
      </c>
      <c r="J1074" s="2">
        <f>IF(I1074="", "", IF(OR(AND(A1074="Listed Equity Shares", I1074&gt;12), AND(A1074="Unlisted Equity Shares", I1074&gt;24)), "Long Term", "Short Term"))</f>
        <v/>
      </c>
      <c r="K1074" s="5">
        <f>IF(J1074="", "", IF(J1074="Long Term", 12.5%,"as per slab"))</f>
        <v/>
      </c>
      <c r="L1074" s="3">
        <f>+IFERROR(IF(J1074="","",H1074*K1074),"as per slab")</f>
        <v/>
      </c>
    </row>
    <row r="1075">
      <c r="A1075" s="7" t="n"/>
      <c r="B1075" s="7" t="n"/>
      <c r="C1075" s="8" t="n"/>
      <c r="D1075" s="9" t="n"/>
      <c r="E1075" s="8" t="n"/>
      <c r="F1075" s="9" t="n"/>
      <c r="G1075" s="9" t="n"/>
      <c r="H1075" s="3">
        <f>IF(AND(D1075&lt;&gt;"",F1075&lt;&gt;""),F1075-D1075-G1075,"")</f>
        <v/>
      </c>
      <c r="I1075" s="14">
        <f>IF(E1075&lt;&gt;"", YEARFRAC(C1075, E1075) * 12, "")</f>
        <v/>
      </c>
      <c r="J1075" s="2">
        <f>IF(I1075="", "", IF(OR(AND(A1075="Listed Equity Shares", I1075&gt;12), AND(A1075="Unlisted Equity Shares", I1075&gt;24)), "Long Term", "Short Term"))</f>
        <v/>
      </c>
      <c r="K1075" s="5">
        <f>IF(J1075="", "", IF(J1075="Long Term", 12.5%,"as per slab"))</f>
        <v/>
      </c>
      <c r="L1075" s="3">
        <f>+IFERROR(IF(J1075="","",H1075*K1075),"as per slab")</f>
        <v/>
      </c>
    </row>
    <row r="1076">
      <c r="A1076" s="7" t="n"/>
      <c r="B1076" s="7" t="n"/>
      <c r="C1076" s="8" t="n"/>
      <c r="D1076" s="9" t="n"/>
      <c r="E1076" s="8" t="n"/>
      <c r="F1076" s="9" t="n"/>
      <c r="G1076" s="9" t="n"/>
      <c r="H1076" s="3">
        <f>IF(AND(D1076&lt;&gt;"",F1076&lt;&gt;""),F1076-D1076-G1076,"")</f>
        <v/>
      </c>
      <c r="I1076" s="14">
        <f>IF(E1076&lt;&gt;"", YEARFRAC(C1076, E1076) * 12, "")</f>
        <v/>
      </c>
      <c r="J1076" s="2">
        <f>IF(I1076="", "", IF(OR(AND(A1076="Listed Equity Shares", I1076&gt;12), AND(A1076="Unlisted Equity Shares", I1076&gt;24)), "Long Term", "Short Term"))</f>
        <v/>
      </c>
      <c r="K1076" s="5">
        <f>IF(J1076="", "", IF(J1076="Long Term", 12.5%,"as per slab"))</f>
        <v/>
      </c>
      <c r="L1076" s="3">
        <f>+IFERROR(IF(J1076="","",H1076*K1076),"as per slab")</f>
        <v/>
      </c>
    </row>
    <row r="1077">
      <c r="A1077" s="7" t="n"/>
      <c r="B1077" s="7" t="n"/>
      <c r="C1077" s="8" t="n"/>
      <c r="D1077" s="9" t="n"/>
      <c r="E1077" s="8" t="n"/>
      <c r="F1077" s="9" t="n"/>
      <c r="G1077" s="9" t="n"/>
      <c r="H1077" s="3">
        <f>IF(AND(D1077&lt;&gt;"",F1077&lt;&gt;""),F1077-D1077-G1077,"")</f>
        <v/>
      </c>
      <c r="I1077" s="14">
        <f>IF(E1077&lt;&gt;"", YEARFRAC(C1077, E1077) * 12, "")</f>
        <v/>
      </c>
      <c r="J1077" s="2">
        <f>IF(I1077="", "", IF(OR(AND(A1077="Listed Equity Shares", I1077&gt;12), AND(A1077="Unlisted Equity Shares", I1077&gt;24)), "Long Term", "Short Term"))</f>
        <v/>
      </c>
      <c r="K1077" s="5">
        <f>IF(J1077="", "", IF(J1077="Long Term", 12.5%,"as per slab"))</f>
        <v/>
      </c>
      <c r="L1077" s="3">
        <f>+IFERROR(IF(J1077="","",H1077*K1077),"as per slab")</f>
        <v/>
      </c>
    </row>
    <row r="1078">
      <c r="A1078" s="7" t="n"/>
      <c r="B1078" s="7" t="n"/>
      <c r="C1078" s="8" t="n"/>
      <c r="D1078" s="9" t="n"/>
      <c r="E1078" s="8" t="n"/>
      <c r="F1078" s="9" t="n"/>
      <c r="G1078" s="9" t="n"/>
      <c r="H1078" s="3">
        <f>IF(AND(D1078&lt;&gt;"",F1078&lt;&gt;""),F1078-D1078-G1078,"")</f>
        <v/>
      </c>
      <c r="I1078" s="14">
        <f>IF(E1078&lt;&gt;"", YEARFRAC(C1078, E1078) * 12, "")</f>
        <v/>
      </c>
      <c r="J1078" s="2">
        <f>IF(I1078="", "", IF(OR(AND(A1078="Listed Equity Shares", I1078&gt;12), AND(A1078="Unlisted Equity Shares", I1078&gt;24)), "Long Term", "Short Term"))</f>
        <v/>
      </c>
      <c r="K1078" s="5">
        <f>IF(J1078="", "", IF(J1078="Long Term", 12.5%,"as per slab"))</f>
        <v/>
      </c>
      <c r="L1078" s="3">
        <f>+IFERROR(IF(J1078="","",H1078*K1078),"as per slab")</f>
        <v/>
      </c>
    </row>
    <row r="1079">
      <c r="A1079" s="7" t="n"/>
      <c r="B1079" s="7" t="n"/>
      <c r="C1079" s="8" t="n"/>
      <c r="D1079" s="9" t="n"/>
      <c r="E1079" s="8" t="n"/>
      <c r="F1079" s="9" t="n"/>
      <c r="G1079" s="9" t="n"/>
      <c r="H1079" s="3">
        <f>IF(AND(D1079&lt;&gt;"",F1079&lt;&gt;""),F1079-D1079-G1079,"")</f>
        <v/>
      </c>
      <c r="I1079" s="14">
        <f>IF(E1079&lt;&gt;"", YEARFRAC(C1079, E1079) * 12, "")</f>
        <v/>
      </c>
      <c r="J1079" s="2">
        <f>IF(I1079="", "", IF(OR(AND(A1079="Listed Equity Shares", I1079&gt;12), AND(A1079="Unlisted Equity Shares", I1079&gt;24)), "Long Term", "Short Term"))</f>
        <v/>
      </c>
      <c r="K1079" s="5">
        <f>IF(J1079="", "", IF(J1079="Long Term", 12.5%,"as per slab"))</f>
        <v/>
      </c>
      <c r="L1079" s="3">
        <f>+IFERROR(IF(J1079="","",H1079*K1079),"as per slab")</f>
        <v/>
      </c>
    </row>
    <row r="1080">
      <c r="A1080" s="7" t="n"/>
      <c r="B1080" s="7" t="n"/>
      <c r="C1080" s="8" t="n"/>
      <c r="D1080" s="9" t="n"/>
      <c r="E1080" s="8" t="n"/>
      <c r="F1080" s="9" t="n"/>
      <c r="G1080" s="9" t="n"/>
      <c r="H1080" s="3">
        <f>IF(AND(D1080&lt;&gt;"",F1080&lt;&gt;""),F1080-D1080-G1080,"")</f>
        <v/>
      </c>
      <c r="I1080" s="14">
        <f>IF(E1080&lt;&gt;"", YEARFRAC(C1080, E1080) * 12, "")</f>
        <v/>
      </c>
      <c r="J1080" s="2">
        <f>IF(I1080="", "", IF(OR(AND(A1080="Listed Equity Shares", I1080&gt;12), AND(A1080="Unlisted Equity Shares", I1080&gt;24)), "Long Term", "Short Term"))</f>
        <v/>
      </c>
      <c r="K1080" s="5">
        <f>IF(J1080="", "", IF(J1080="Long Term", 12.5%,"as per slab"))</f>
        <v/>
      </c>
      <c r="L1080" s="3">
        <f>+IFERROR(IF(J1080="","",H1080*K1080),"as per slab")</f>
        <v/>
      </c>
    </row>
    <row r="1081">
      <c r="A1081" s="7" t="n"/>
      <c r="B1081" s="7" t="n"/>
      <c r="C1081" s="8" t="n"/>
      <c r="D1081" s="9" t="n"/>
      <c r="E1081" s="8" t="n"/>
      <c r="F1081" s="9" t="n"/>
      <c r="G1081" s="9" t="n"/>
      <c r="H1081" s="3">
        <f>IF(AND(D1081&lt;&gt;"",F1081&lt;&gt;""),F1081-D1081-G1081,"")</f>
        <v/>
      </c>
      <c r="I1081" s="14">
        <f>IF(E1081&lt;&gt;"", YEARFRAC(C1081, E1081) * 12, "")</f>
        <v/>
      </c>
      <c r="J1081" s="2">
        <f>IF(I1081="", "", IF(OR(AND(A1081="Listed Equity Shares", I1081&gt;12), AND(A1081="Unlisted Equity Shares", I1081&gt;24)), "Long Term", "Short Term"))</f>
        <v/>
      </c>
      <c r="K1081" s="5">
        <f>IF(J1081="", "", IF(J1081="Long Term", 12.5%,"as per slab"))</f>
        <v/>
      </c>
      <c r="L1081" s="3">
        <f>+IFERROR(IF(J1081="","",H1081*K1081),"as per slab")</f>
        <v/>
      </c>
    </row>
    <row r="1082">
      <c r="A1082" s="7" t="n"/>
      <c r="B1082" s="7" t="n"/>
      <c r="C1082" s="8" t="n"/>
      <c r="D1082" s="9" t="n"/>
      <c r="E1082" s="8" t="n"/>
      <c r="F1082" s="9" t="n"/>
      <c r="G1082" s="9" t="n"/>
      <c r="H1082" s="3">
        <f>IF(AND(D1082&lt;&gt;"",F1082&lt;&gt;""),F1082-D1082-G1082,"")</f>
        <v/>
      </c>
      <c r="I1082" s="14">
        <f>IF(E1082&lt;&gt;"", YEARFRAC(C1082, E1082) * 12, "")</f>
        <v/>
      </c>
      <c r="J1082" s="2">
        <f>IF(I1082="", "", IF(OR(AND(A1082="Listed Equity Shares", I1082&gt;12), AND(A1082="Unlisted Equity Shares", I1082&gt;24)), "Long Term", "Short Term"))</f>
        <v/>
      </c>
      <c r="K1082" s="5">
        <f>IF(J1082="", "", IF(J1082="Long Term", 12.5%,"as per slab"))</f>
        <v/>
      </c>
      <c r="L1082" s="3">
        <f>+IFERROR(IF(J1082="","",H1082*K1082),"as per slab")</f>
        <v/>
      </c>
    </row>
    <row r="1083">
      <c r="A1083" s="7" t="n"/>
      <c r="B1083" s="7" t="n"/>
      <c r="C1083" s="8" t="n"/>
      <c r="D1083" s="9" t="n"/>
      <c r="E1083" s="8" t="n"/>
      <c r="F1083" s="9" t="n"/>
      <c r="G1083" s="9" t="n"/>
      <c r="H1083" s="3">
        <f>IF(AND(D1083&lt;&gt;"",F1083&lt;&gt;""),F1083-D1083-G1083,"")</f>
        <v/>
      </c>
      <c r="I1083" s="14">
        <f>IF(E1083&lt;&gt;"", YEARFRAC(C1083, E1083) * 12, "")</f>
        <v/>
      </c>
      <c r="J1083" s="2">
        <f>IF(I1083="", "", IF(OR(AND(A1083="Listed Equity Shares", I1083&gt;12), AND(A1083="Unlisted Equity Shares", I1083&gt;24)), "Long Term", "Short Term"))</f>
        <v/>
      </c>
      <c r="K1083" s="5">
        <f>IF(J1083="", "", IF(J1083="Long Term", 12.5%,"as per slab"))</f>
        <v/>
      </c>
      <c r="L1083" s="3">
        <f>+IFERROR(IF(J1083="","",H1083*K1083),"as per slab")</f>
        <v/>
      </c>
    </row>
    <row r="1084">
      <c r="A1084" s="7" t="n"/>
      <c r="B1084" s="7" t="n"/>
      <c r="C1084" s="8" t="n"/>
      <c r="D1084" s="9" t="n"/>
      <c r="E1084" s="8" t="n"/>
      <c r="F1084" s="9" t="n"/>
      <c r="G1084" s="9" t="n"/>
      <c r="H1084" s="3">
        <f>IF(AND(D1084&lt;&gt;"",F1084&lt;&gt;""),F1084-D1084-G1084,"")</f>
        <v/>
      </c>
      <c r="I1084" s="14">
        <f>IF(E1084&lt;&gt;"", YEARFRAC(C1084, E1084) * 12, "")</f>
        <v/>
      </c>
      <c r="J1084" s="2">
        <f>IF(I1084="", "", IF(OR(AND(A1084="Listed Equity Shares", I1084&gt;12), AND(A1084="Unlisted Equity Shares", I1084&gt;24)), "Long Term", "Short Term"))</f>
        <v/>
      </c>
      <c r="K1084" s="5">
        <f>IF(J1084="", "", IF(J1084="Long Term", 12.5%,"as per slab"))</f>
        <v/>
      </c>
      <c r="L1084" s="3">
        <f>+IFERROR(IF(J1084="","",H1084*K1084),"as per slab")</f>
        <v/>
      </c>
    </row>
    <row r="1085">
      <c r="A1085" s="7" t="n"/>
      <c r="B1085" s="7" t="n"/>
      <c r="C1085" s="8" t="n"/>
      <c r="D1085" s="9" t="n"/>
      <c r="E1085" s="8" t="n"/>
      <c r="F1085" s="9" t="n"/>
      <c r="G1085" s="9" t="n"/>
      <c r="H1085" s="3">
        <f>IF(AND(D1085&lt;&gt;"",F1085&lt;&gt;""),F1085-D1085-G1085,"")</f>
        <v/>
      </c>
      <c r="I1085" s="14">
        <f>IF(E1085&lt;&gt;"", YEARFRAC(C1085, E1085) * 12, "")</f>
        <v/>
      </c>
      <c r="J1085" s="2">
        <f>IF(I1085="", "", IF(OR(AND(A1085="Listed Equity Shares", I1085&gt;12), AND(A1085="Unlisted Equity Shares", I1085&gt;24)), "Long Term", "Short Term"))</f>
        <v/>
      </c>
      <c r="K1085" s="5">
        <f>IF(J1085="", "", IF(J1085="Long Term", 12.5%,"as per slab"))</f>
        <v/>
      </c>
      <c r="L1085" s="3">
        <f>+IFERROR(IF(J1085="","",H1085*K1085),"as per slab")</f>
        <v/>
      </c>
    </row>
    <row r="1086">
      <c r="A1086" s="7" t="n"/>
      <c r="B1086" s="7" t="n"/>
      <c r="C1086" s="8" t="n"/>
      <c r="D1086" s="9" t="n"/>
      <c r="E1086" s="8" t="n"/>
      <c r="F1086" s="9" t="n"/>
      <c r="G1086" s="9" t="n"/>
      <c r="H1086" s="3">
        <f>IF(AND(D1086&lt;&gt;"",F1086&lt;&gt;""),F1086-D1086-G1086,"")</f>
        <v/>
      </c>
      <c r="I1086" s="14">
        <f>IF(E1086&lt;&gt;"", YEARFRAC(C1086, E1086) * 12, "")</f>
        <v/>
      </c>
      <c r="J1086" s="2">
        <f>IF(I1086="", "", IF(OR(AND(A1086="Listed Equity Shares", I1086&gt;12), AND(A1086="Unlisted Equity Shares", I1086&gt;24)), "Long Term", "Short Term"))</f>
        <v/>
      </c>
      <c r="K1086" s="5">
        <f>IF(J1086="", "", IF(J1086="Long Term", 12.5%,"as per slab"))</f>
        <v/>
      </c>
      <c r="L1086" s="3">
        <f>+IFERROR(IF(J1086="","",H1086*K1086),"as per slab")</f>
        <v/>
      </c>
    </row>
    <row r="1087">
      <c r="A1087" s="7" t="n"/>
      <c r="B1087" s="7" t="n"/>
      <c r="C1087" s="8" t="n"/>
      <c r="D1087" s="9" t="n"/>
      <c r="E1087" s="8" t="n"/>
      <c r="F1087" s="9" t="n"/>
      <c r="G1087" s="9" t="n"/>
      <c r="H1087" s="3">
        <f>IF(AND(D1087&lt;&gt;"",F1087&lt;&gt;""),F1087-D1087-G1087,"")</f>
        <v/>
      </c>
      <c r="I1087" s="14">
        <f>IF(E1087&lt;&gt;"", YEARFRAC(C1087, E1087) * 12, "")</f>
        <v/>
      </c>
      <c r="J1087" s="2">
        <f>IF(I1087="", "", IF(OR(AND(A1087="Listed Equity Shares", I1087&gt;12), AND(A1087="Unlisted Equity Shares", I1087&gt;24)), "Long Term", "Short Term"))</f>
        <v/>
      </c>
      <c r="K1087" s="5">
        <f>IF(J1087="", "", IF(J1087="Long Term", 12.5%,"as per slab"))</f>
        <v/>
      </c>
      <c r="L1087" s="3">
        <f>+IFERROR(IF(J1087="","",H1087*K1087),"as per slab")</f>
        <v/>
      </c>
    </row>
    <row r="1088">
      <c r="A1088" s="7" t="n"/>
      <c r="B1088" s="7" t="n"/>
      <c r="C1088" s="8" t="n"/>
      <c r="D1088" s="9" t="n"/>
      <c r="E1088" s="8" t="n"/>
      <c r="F1088" s="9" t="n"/>
      <c r="G1088" s="9" t="n"/>
      <c r="H1088" s="3">
        <f>IF(AND(D1088&lt;&gt;"",F1088&lt;&gt;""),F1088-D1088-G1088,"")</f>
        <v/>
      </c>
      <c r="I1088" s="14">
        <f>IF(E1088&lt;&gt;"", YEARFRAC(C1088, E1088) * 12, "")</f>
        <v/>
      </c>
      <c r="J1088" s="2">
        <f>IF(I1088="", "", IF(OR(AND(A1088="Listed Equity Shares", I1088&gt;12), AND(A1088="Unlisted Equity Shares", I1088&gt;24)), "Long Term", "Short Term"))</f>
        <v/>
      </c>
      <c r="K1088" s="5">
        <f>IF(J1088="", "", IF(J1088="Long Term", 12.5%,"as per slab"))</f>
        <v/>
      </c>
      <c r="L1088" s="3">
        <f>+IFERROR(IF(J1088="","",H1088*K1088),"as per slab")</f>
        <v/>
      </c>
    </row>
    <row r="1089">
      <c r="A1089" s="7" t="n"/>
      <c r="B1089" s="7" t="n"/>
      <c r="C1089" s="8" t="n"/>
      <c r="D1089" s="9" t="n"/>
      <c r="E1089" s="8" t="n"/>
      <c r="F1089" s="9" t="n"/>
      <c r="G1089" s="9" t="n"/>
      <c r="H1089" s="3">
        <f>IF(AND(D1089&lt;&gt;"",F1089&lt;&gt;""),F1089-D1089-G1089,"")</f>
        <v/>
      </c>
      <c r="I1089" s="14">
        <f>IF(E1089&lt;&gt;"", YEARFRAC(C1089, E1089) * 12, "")</f>
        <v/>
      </c>
      <c r="J1089" s="2">
        <f>IF(I1089="", "", IF(OR(AND(A1089="Listed Equity Shares", I1089&gt;12), AND(A1089="Unlisted Equity Shares", I1089&gt;24)), "Long Term", "Short Term"))</f>
        <v/>
      </c>
      <c r="K1089" s="5">
        <f>IF(J1089="", "", IF(J1089="Long Term", 12.5%,"as per slab"))</f>
        <v/>
      </c>
      <c r="L1089" s="3">
        <f>+IFERROR(IF(J1089="","",H1089*K1089),"as per slab")</f>
        <v/>
      </c>
    </row>
    <row r="1090">
      <c r="A1090" s="7" t="n"/>
      <c r="B1090" s="7" t="n"/>
      <c r="C1090" s="8" t="n"/>
      <c r="D1090" s="9" t="n"/>
      <c r="E1090" s="8" t="n"/>
      <c r="F1090" s="9" t="n"/>
      <c r="G1090" s="9" t="n"/>
      <c r="H1090" s="3">
        <f>IF(AND(D1090&lt;&gt;"",F1090&lt;&gt;""),F1090-D1090-G1090,"")</f>
        <v/>
      </c>
      <c r="I1090" s="14">
        <f>IF(E1090&lt;&gt;"", YEARFRAC(C1090, E1090) * 12, "")</f>
        <v/>
      </c>
      <c r="J1090" s="2">
        <f>IF(I1090="", "", IF(OR(AND(A1090="Listed Equity Shares", I1090&gt;12), AND(A1090="Unlisted Equity Shares", I1090&gt;24)), "Long Term", "Short Term"))</f>
        <v/>
      </c>
      <c r="K1090" s="5">
        <f>IF(J1090="", "", IF(J1090="Long Term", 12.5%,"as per slab"))</f>
        <v/>
      </c>
      <c r="L1090" s="3">
        <f>+IFERROR(IF(J1090="","",H1090*K1090),"as per slab")</f>
        <v/>
      </c>
    </row>
    <row r="1091">
      <c r="A1091" s="7" t="n"/>
      <c r="B1091" s="7" t="n"/>
      <c r="C1091" s="8" t="n"/>
      <c r="D1091" s="9" t="n"/>
      <c r="E1091" s="8" t="n"/>
      <c r="F1091" s="9" t="n"/>
      <c r="G1091" s="9" t="n"/>
      <c r="H1091" s="3">
        <f>IF(AND(D1091&lt;&gt;"",F1091&lt;&gt;""),F1091-D1091-G1091,"")</f>
        <v/>
      </c>
      <c r="I1091" s="14">
        <f>IF(E1091&lt;&gt;"", YEARFRAC(C1091, E1091) * 12, "")</f>
        <v/>
      </c>
      <c r="J1091" s="2">
        <f>IF(I1091="", "", IF(OR(AND(A1091="Listed Equity Shares", I1091&gt;12), AND(A1091="Unlisted Equity Shares", I1091&gt;24)), "Long Term", "Short Term"))</f>
        <v/>
      </c>
      <c r="K1091" s="5">
        <f>IF(J1091="", "", IF(J1091="Long Term", 12.5%,"as per slab"))</f>
        <v/>
      </c>
      <c r="L1091" s="3">
        <f>+IFERROR(IF(J1091="","",H1091*K1091),"as per slab")</f>
        <v/>
      </c>
    </row>
    <row r="1092">
      <c r="A1092" s="7" t="n"/>
      <c r="B1092" s="7" t="n"/>
      <c r="C1092" s="8" t="n"/>
      <c r="D1092" s="9" t="n"/>
      <c r="E1092" s="8" t="n"/>
      <c r="F1092" s="9" t="n"/>
      <c r="G1092" s="9" t="n"/>
      <c r="H1092" s="3">
        <f>IF(AND(D1092&lt;&gt;"",F1092&lt;&gt;""),F1092-D1092-G1092,"")</f>
        <v/>
      </c>
      <c r="I1092" s="14">
        <f>IF(E1092&lt;&gt;"", YEARFRAC(C1092, E1092) * 12, "")</f>
        <v/>
      </c>
      <c r="J1092" s="2">
        <f>IF(I1092="", "", IF(OR(AND(A1092="Listed Equity Shares", I1092&gt;12), AND(A1092="Unlisted Equity Shares", I1092&gt;24)), "Long Term", "Short Term"))</f>
        <v/>
      </c>
      <c r="K1092" s="5">
        <f>IF(J1092="", "", IF(J1092="Long Term", 12.5%,"as per slab"))</f>
        <v/>
      </c>
      <c r="L1092" s="3">
        <f>+IFERROR(IF(J1092="","",H1092*K1092),"as per slab")</f>
        <v/>
      </c>
    </row>
    <row r="1093">
      <c r="A1093" s="7" t="n"/>
      <c r="B1093" s="7" t="n"/>
      <c r="C1093" s="8" t="n"/>
      <c r="D1093" s="9" t="n"/>
      <c r="E1093" s="8" t="n"/>
      <c r="F1093" s="9" t="n"/>
      <c r="G1093" s="9" t="n"/>
      <c r="H1093" s="3">
        <f>IF(AND(D1093&lt;&gt;"",F1093&lt;&gt;""),F1093-D1093-G1093,"")</f>
        <v/>
      </c>
      <c r="I1093" s="14">
        <f>IF(E1093&lt;&gt;"", YEARFRAC(C1093, E1093) * 12, "")</f>
        <v/>
      </c>
      <c r="J1093" s="2">
        <f>IF(I1093="", "", IF(OR(AND(A1093="Listed Equity Shares", I1093&gt;12), AND(A1093="Unlisted Equity Shares", I1093&gt;24)), "Long Term", "Short Term"))</f>
        <v/>
      </c>
      <c r="K1093" s="5">
        <f>IF(J1093="", "", IF(J1093="Long Term", 12.5%,"as per slab"))</f>
        <v/>
      </c>
      <c r="L1093" s="3">
        <f>+IFERROR(IF(J1093="","",H1093*K1093),"as per slab")</f>
        <v/>
      </c>
    </row>
    <row r="1094">
      <c r="A1094" s="7" t="n"/>
      <c r="B1094" s="7" t="n"/>
      <c r="C1094" s="8" t="n"/>
      <c r="D1094" s="9" t="n"/>
      <c r="E1094" s="8" t="n"/>
      <c r="F1094" s="9" t="n"/>
      <c r="G1094" s="9" t="n"/>
      <c r="H1094" s="3">
        <f>IF(AND(D1094&lt;&gt;"",F1094&lt;&gt;""),F1094-D1094-G1094,"")</f>
        <v/>
      </c>
      <c r="I1094" s="14">
        <f>IF(E1094&lt;&gt;"", YEARFRAC(C1094, E1094) * 12, "")</f>
        <v/>
      </c>
      <c r="J1094" s="2">
        <f>IF(I1094="", "", IF(OR(AND(A1094="Listed Equity Shares", I1094&gt;12), AND(A1094="Unlisted Equity Shares", I1094&gt;24)), "Long Term", "Short Term"))</f>
        <v/>
      </c>
      <c r="K1094" s="5">
        <f>IF(J1094="", "", IF(J1094="Long Term", 12.5%,"as per slab"))</f>
        <v/>
      </c>
      <c r="L1094" s="3">
        <f>+IFERROR(IF(J1094="","",H1094*K1094),"as per slab")</f>
        <v/>
      </c>
    </row>
    <row r="1095">
      <c r="A1095" s="7" t="n"/>
      <c r="B1095" s="7" t="n"/>
      <c r="C1095" s="8" t="n"/>
      <c r="D1095" s="9" t="n"/>
      <c r="E1095" s="8" t="n"/>
      <c r="F1095" s="9" t="n"/>
      <c r="G1095" s="9" t="n"/>
      <c r="H1095" s="3">
        <f>IF(AND(D1095&lt;&gt;"",F1095&lt;&gt;""),F1095-D1095-G1095,"")</f>
        <v/>
      </c>
      <c r="I1095" s="14">
        <f>IF(E1095&lt;&gt;"", YEARFRAC(C1095, E1095) * 12, "")</f>
        <v/>
      </c>
      <c r="J1095" s="2">
        <f>IF(I1095="", "", IF(OR(AND(A1095="Listed Equity Shares", I1095&gt;12), AND(A1095="Unlisted Equity Shares", I1095&gt;24)), "Long Term", "Short Term"))</f>
        <v/>
      </c>
      <c r="K1095" s="5">
        <f>IF(J1095="", "", IF(J1095="Long Term", 12.5%,"as per slab"))</f>
        <v/>
      </c>
      <c r="L1095" s="3">
        <f>+IFERROR(IF(J1095="","",H1095*K1095),"as per slab")</f>
        <v/>
      </c>
    </row>
    <row r="1096">
      <c r="A1096" s="7" t="n"/>
      <c r="B1096" s="7" t="n"/>
      <c r="C1096" s="8" t="n"/>
      <c r="D1096" s="9" t="n"/>
      <c r="E1096" s="8" t="n"/>
      <c r="F1096" s="9" t="n"/>
      <c r="G1096" s="9" t="n"/>
      <c r="H1096" s="3">
        <f>IF(AND(D1096&lt;&gt;"",F1096&lt;&gt;""),F1096-D1096-G1096,"")</f>
        <v/>
      </c>
      <c r="I1096" s="14">
        <f>IF(E1096&lt;&gt;"", YEARFRAC(C1096, E1096) * 12, "")</f>
        <v/>
      </c>
      <c r="J1096" s="2">
        <f>IF(I1096="", "", IF(OR(AND(A1096="Listed Equity Shares", I1096&gt;12), AND(A1096="Unlisted Equity Shares", I1096&gt;24)), "Long Term", "Short Term"))</f>
        <v/>
      </c>
      <c r="K1096" s="5">
        <f>IF(J1096="", "", IF(J1096="Long Term", 12.5%,"as per slab"))</f>
        <v/>
      </c>
      <c r="L1096" s="3">
        <f>+IFERROR(IF(J1096="","",H1096*K1096),"as per slab")</f>
        <v/>
      </c>
    </row>
    <row r="1097">
      <c r="A1097" s="7" t="n"/>
      <c r="B1097" s="7" t="n"/>
      <c r="C1097" s="8" t="n"/>
      <c r="D1097" s="9" t="n"/>
      <c r="E1097" s="8" t="n"/>
      <c r="F1097" s="9" t="n"/>
      <c r="G1097" s="9" t="n"/>
      <c r="H1097" s="3">
        <f>IF(AND(D1097&lt;&gt;"",F1097&lt;&gt;""),F1097-D1097-G1097,"")</f>
        <v/>
      </c>
      <c r="I1097" s="14">
        <f>IF(E1097&lt;&gt;"", YEARFRAC(C1097, E1097) * 12, "")</f>
        <v/>
      </c>
      <c r="J1097" s="2">
        <f>IF(I1097="", "", IF(OR(AND(A1097="Listed Equity Shares", I1097&gt;12), AND(A1097="Unlisted Equity Shares", I1097&gt;24)), "Long Term", "Short Term"))</f>
        <v/>
      </c>
      <c r="K1097" s="5">
        <f>IF(J1097="", "", IF(J1097="Long Term", 12.5%,"as per slab"))</f>
        <v/>
      </c>
      <c r="L1097" s="3">
        <f>+IFERROR(IF(J1097="","",H1097*K1097),"as per slab")</f>
        <v/>
      </c>
    </row>
    <row r="1098">
      <c r="A1098" s="7" t="n"/>
      <c r="B1098" s="7" t="n"/>
      <c r="C1098" s="8" t="n"/>
      <c r="D1098" s="9" t="n"/>
      <c r="E1098" s="8" t="n"/>
      <c r="F1098" s="9" t="n"/>
      <c r="G1098" s="9" t="n"/>
      <c r="H1098" s="3">
        <f>IF(AND(D1098&lt;&gt;"",F1098&lt;&gt;""),F1098-D1098-G1098,"")</f>
        <v/>
      </c>
      <c r="I1098" s="14">
        <f>IF(E1098&lt;&gt;"", YEARFRAC(C1098, E1098) * 12, "")</f>
        <v/>
      </c>
      <c r="J1098" s="2">
        <f>IF(I1098="", "", IF(OR(AND(A1098="Listed Equity Shares", I1098&gt;12), AND(A1098="Unlisted Equity Shares", I1098&gt;24)), "Long Term", "Short Term"))</f>
        <v/>
      </c>
      <c r="K1098" s="5">
        <f>IF(J1098="", "", IF(J1098="Long Term", 12.5%,"as per slab"))</f>
        <v/>
      </c>
      <c r="L1098" s="3">
        <f>+IFERROR(IF(J1098="","",H1098*K1098),"as per slab")</f>
        <v/>
      </c>
    </row>
    <row r="1099">
      <c r="A1099" s="7" t="n"/>
      <c r="B1099" s="7" t="n"/>
      <c r="C1099" s="8" t="n"/>
      <c r="D1099" s="9" t="n"/>
      <c r="E1099" s="8" t="n"/>
      <c r="F1099" s="9" t="n"/>
      <c r="G1099" s="9" t="n"/>
      <c r="H1099" s="3">
        <f>IF(AND(D1099&lt;&gt;"",F1099&lt;&gt;""),F1099-D1099-G1099,"")</f>
        <v/>
      </c>
      <c r="I1099" s="14">
        <f>IF(E1099&lt;&gt;"", YEARFRAC(C1099, E1099) * 12, "")</f>
        <v/>
      </c>
      <c r="J1099" s="2">
        <f>IF(I1099="", "", IF(OR(AND(A1099="Listed Equity Shares", I1099&gt;12), AND(A1099="Unlisted Equity Shares", I1099&gt;24)), "Long Term", "Short Term"))</f>
        <v/>
      </c>
      <c r="K1099" s="5">
        <f>IF(J1099="", "", IF(J1099="Long Term", 12.5%,"as per slab"))</f>
        <v/>
      </c>
      <c r="L1099" s="3">
        <f>+IFERROR(IF(J1099="","",H1099*K1099),"as per slab")</f>
        <v/>
      </c>
    </row>
    <row r="1100">
      <c r="A1100" s="7" t="n"/>
      <c r="B1100" s="7" t="n"/>
      <c r="C1100" s="8" t="n"/>
      <c r="D1100" s="9" t="n"/>
      <c r="E1100" s="8" t="n"/>
      <c r="F1100" s="9" t="n"/>
      <c r="G1100" s="9" t="n"/>
      <c r="H1100" s="3">
        <f>IF(AND(D1100&lt;&gt;"",F1100&lt;&gt;""),F1100-D1100-G1100,"")</f>
        <v/>
      </c>
      <c r="I1100" s="14">
        <f>IF(E1100&lt;&gt;"", YEARFRAC(C1100, E1100) * 12, "")</f>
        <v/>
      </c>
      <c r="J1100" s="2">
        <f>IF(I1100="", "", IF(OR(AND(A1100="Listed Equity Shares", I1100&gt;12), AND(A1100="Unlisted Equity Shares", I1100&gt;24)), "Long Term", "Short Term"))</f>
        <v/>
      </c>
      <c r="K1100" s="5">
        <f>IF(J1100="", "", IF(J1100="Long Term", 12.5%,"as per slab"))</f>
        <v/>
      </c>
      <c r="L1100" s="3">
        <f>+IFERROR(IF(J1100="","",H1100*K1100),"as per slab")</f>
        <v/>
      </c>
    </row>
    <row r="1101">
      <c r="A1101" s="7" t="n"/>
      <c r="B1101" s="7" t="n"/>
      <c r="C1101" s="8" t="n"/>
      <c r="D1101" s="9" t="n"/>
      <c r="E1101" s="8" t="n"/>
      <c r="F1101" s="9" t="n"/>
      <c r="G1101" s="9" t="n"/>
      <c r="H1101" s="3">
        <f>IF(AND(D1101&lt;&gt;"",F1101&lt;&gt;""),F1101-D1101-G1101,"")</f>
        <v/>
      </c>
      <c r="I1101" s="14">
        <f>IF(E1101&lt;&gt;"", YEARFRAC(C1101, E1101) * 12, "")</f>
        <v/>
      </c>
      <c r="J1101" s="2">
        <f>IF(I1101="", "", IF(OR(AND(A1101="Listed Equity Shares", I1101&gt;12), AND(A1101="Unlisted Equity Shares", I1101&gt;24)), "Long Term", "Short Term"))</f>
        <v/>
      </c>
      <c r="K1101" s="5">
        <f>IF(J1101="", "", IF(J1101="Long Term", 12.5%,"as per slab"))</f>
        <v/>
      </c>
      <c r="L1101" s="3">
        <f>+IFERROR(IF(J1101="","",H1101*K1101),"as per slab")</f>
        <v/>
      </c>
    </row>
    <row r="1102">
      <c r="A1102" s="7" t="n"/>
      <c r="B1102" s="7" t="n"/>
      <c r="C1102" s="8" t="n"/>
      <c r="D1102" s="9" t="n"/>
      <c r="E1102" s="8" t="n"/>
      <c r="F1102" s="9" t="n"/>
      <c r="G1102" s="9" t="n"/>
      <c r="H1102" s="3">
        <f>IF(AND(D1102&lt;&gt;"",F1102&lt;&gt;""),F1102-D1102-G1102,"")</f>
        <v/>
      </c>
      <c r="I1102" s="14">
        <f>IF(E1102&lt;&gt;"", YEARFRAC(C1102, E1102) * 12, "")</f>
        <v/>
      </c>
      <c r="J1102" s="2">
        <f>IF(I1102="", "", IF(OR(AND(A1102="Listed Equity Shares", I1102&gt;12), AND(A1102="Unlisted Equity Shares", I1102&gt;24)), "Long Term", "Short Term"))</f>
        <v/>
      </c>
      <c r="K1102" s="5">
        <f>IF(J1102="", "", IF(J1102="Long Term", 12.5%,"as per slab"))</f>
        <v/>
      </c>
      <c r="L1102" s="3">
        <f>+IFERROR(IF(J1102="","",H1102*K1102),"as per slab")</f>
        <v/>
      </c>
    </row>
    <row r="1103">
      <c r="A1103" s="7" t="n"/>
      <c r="B1103" s="7" t="n"/>
      <c r="C1103" s="8" t="n"/>
      <c r="D1103" s="9" t="n"/>
      <c r="E1103" s="8" t="n"/>
      <c r="F1103" s="9" t="n"/>
      <c r="G1103" s="9" t="n"/>
      <c r="H1103" s="3">
        <f>IF(AND(D1103&lt;&gt;"",F1103&lt;&gt;""),F1103-D1103-G1103,"")</f>
        <v/>
      </c>
      <c r="I1103" s="14">
        <f>IF(E1103&lt;&gt;"", YEARFRAC(C1103, E1103) * 12, "")</f>
        <v/>
      </c>
      <c r="J1103" s="2">
        <f>IF(I1103="", "", IF(OR(AND(A1103="Listed Equity Shares", I1103&gt;12), AND(A1103="Unlisted Equity Shares", I1103&gt;24)), "Long Term", "Short Term"))</f>
        <v/>
      </c>
      <c r="K1103" s="5">
        <f>IF(J1103="", "", IF(J1103="Long Term", 12.5%,"as per slab"))</f>
        <v/>
      </c>
      <c r="L1103" s="3">
        <f>+IFERROR(IF(J1103="","",H1103*K1103),"as per slab")</f>
        <v/>
      </c>
    </row>
    <row r="1104">
      <c r="A1104" s="7" t="n"/>
      <c r="B1104" s="7" t="n"/>
      <c r="C1104" s="8" t="n"/>
      <c r="D1104" s="9" t="n"/>
      <c r="E1104" s="8" t="n"/>
      <c r="F1104" s="9" t="n"/>
      <c r="G1104" s="9" t="n"/>
      <c r="H1104" s="3">
        <f>IF(AND(D1104&lt;&gt;"",F1104&lt;&gt;""),F1104-D1104-G1104,"")</f>
        <v/>
      </c>
      <c r="I1104" s="14">
        <f>IF(E1104&lt;&gt;"", YEARFRAC(C1104, E1104) * 12, "")</f>
        <v/>
      </c>
      <c r="J1104" s="2">
        <f>IF(I1104="", "", IF(OR(AND(A1104="Listed Equity Shares", I1104&gt;12), AND(A1104="Unlisted Equity Shares", I1104&gt;24)), "Long Term", "Short Term"))</f>
        <v/>
      </c>
      <c r="K1104" s="5">
        <f>IF(J1104="", "", IF(J1104="Long Term", 12.5%,"as per slab"))</f>
        <v/>
      </c>
      <c r="L1104" s="3">
        <f>+IFERROR(IF(J1104="","",H1104*K1104),"as per slab")</f>
        <v/>
      </c>
    </row>
    <row r="1105">
      <c r="A1105" s="7" t="n"/>
      <c r="B1105" s="7" t="n"/>
      <c r="C1105" s="8" t="n"/>
      <c r="D1105" s="9" t="n"/>
      <c r="E1105" s="8" t="n"/>
      <c r="F1105" s="9" t="n"/>
      <c r="G1105" s="9" t="n"/>
      <c r="H1105" s="3">
        <f>IF(AND(D1105&lt;&gt;"",F1105&lt;&gt;""),F1105-D1105-G1105,"")</f>
        <v/>
      </c>
      <c r="I1105" s="14">
        <f>IF(E1105&lt;&gt;"", YEARFRAC(C1105, E1105) * 12, "")</f>
        <v/>
      </c>
      <c r="J1105" s="2">
        <f>IF(I1105="", "", IF(OR(AND(A1105="Listed Equity Shares", I1105&gt;12), AND(A1105="Unlisted Equity Shares", I1105&gt;24)), "Long Term", "Short Term"))</f>
        <v/>
      </c>
      <c r="K1105" s="5">
        <f>IF(J1105="", "", IF(J1105="Long Term", 12.5%,"as per slab"))</f>
        <v/>
      </c>
      <c r="L1105" s="3">
        <f>+IFERROR(IF(J1105="","",H1105*K1105),"as per slab")</f>
        <v/>
      </c>
    </row>
    <row r="1106">
      <c r="A1106" s="7" t="n"/>
      <c r="B1106" s="7" t="n"/>
      <c r="C1106" s="8" t="n"/>
      <c r="D1106" s="9" t="n"/>
      <c r="E1106" s="8" t="n"/>
      <c r="F1106" s="9" t="n"/>
      <c r="G1106" s="9" t="n"/>
      <c r="H1106" s="3">
        <f>IF(AND(D1106&lt;&gt;"",F1106&lt;&gt;""),F1106-D1106-G1106,"")</f>
        <v/>
      </c>
      <c r="I1106" s="14">
        <f>IF(E1106&lt;&gt;"", YEARFRAC(C1106, E1106) * 12, "")</f>
        <v/>
      </c>
      <c r="J1106" s="2">
        <f>IF(I1106="", "", IF(OR(AND(A1106="Listed Equity Shares", I1106&gt;12), AND(A1106="Unlisted Equity Shares", I1106&gt;24)), "Long Term", "Short Term"))</f>
        <v/>
      </c>
      <c r="K1106" s="5">
        <f>IF(J1106="", "", IF(J1106="Long Term", 12.5%,"as per slab"))</f>
        <v/>
      </c>
      <c r="L1106" s="3">
        <f>+IFERROR(IF(J1106="","",H1106*K1106),"as per slab")</f>
        <v/>
      </c>
    </row>
    <row r="1107">
      <c r="A1107" s="7" t="n"/>
      <c r="B1107" s="7" t="n"/>
      <c r="C1107" s="8" t="n"/>
      <c r="D1107" s="9" t="n"/>
      <c r="E1107" s="8" t="n"/>
      <c r="F1107" s="9" t="n"/>
      <c r="G1107" s="9" t="n"/>
      <c r="H1107" s="3">
        <f>IF(AND(D1107&lt;&gt;"",F1107&lt;&gt;""),F1107-D1107-G1107,"")</f>
        <v/>
      </c>
      <c r="I1107" s="14">
        <f>IF(E1107&lt;&gt;"", YEARFRAC(C1107, E1107) * 12, "")</f>
        <v/>
      </c>
      <c r="J1107" s="2">
        <f>IF(I1107="", "", IF(OR(AND(A1107="Listed Equity Shares", I1107&gt;12), AND(A1107="Unlisted Equity Shares", I1107&gt;24)), "Long Term", "Short Term"))</f>
        <v/>
      </c>
      <c r="K1107" s="5">
        <f>IF(J1107="", "", IF(J1107="Long Term", 12.5%,"as per slab"))</f>
        <v/>
      </c>
      <c r="L1107" s="3">
        <f>+IFERROR(IF(J1107="","",H1107*K1107),"as per slab")</f>
        <v/>
      </c>
    </row>
    <row r="1108">
      <c r="A1108" s="7" t="n"/>
      <c r="B1108" s="7" t="n"/>
      <c r="C1108" s="8" t="n"/>
      <c r="D1108" s="9" t="n"/>
      <c r="E1108" s="8" t="n"/>
      <c r="F1108" s="9" t="n"/>
      <c r="G1108" s="9" t="n"/>
      <c r="H1108" s="3">
        <f>IF(AND(D1108&lt;&gt;"",F1108&lt;&gt;""),F1108-D1108-G1108,"")</f>
        <v/>
      </c>
      <c r="I1108" s="14">
        <f>IF(E1108&lt;&gt;"", YEARFRAC(C1108, E1108) * 12, "")</f>
        <v/>
      </c>
      <c r="J1108" s="2">
        <f>IF(I1108="", "", IF(OR(AND(A1108="Listed Equity Shares", I1108&gt;12), AND(A1108="Unlisted Equity Shares", I1108&gt;24)), "Long Term", "Short Term"))</f>
        <v/>
      </c>
      <c r="K1108" s="5">
        <f>IF(J1108="", "", IF(J1108="Long Term", 12.5%,"as per slab"))</f>
        <v/>
      </c>
      <c r="L1108" s="3">
        <f>+IFERROR(IF(J1108="","",H1108*K1108),"as per slab")</f>
        <v/>
      </c>
    </row>
    <row r="1109">
      <c r="A1109" s="7" t="n"/>
      <c r="B1109" s="7" t="n"/>
      <c r="C1109" s="8" t="n"/>
      <c r="D1109" s="9" t="n"/>
      <c r="E1109" s="8" t="n"/>
      <c r="F1109" s="9" t="n"/>
      <c r="G1109" s="9" t="n"/>
      <c r="H1109" s="3">
        <f>IF(AND(D1109&lt;&gt;"",F1109&lt;&gt;""),F1109-D1109-G1109,"")</f>
        <v/>
      </c>
      <c r="I1109" s="14">
        <f>IF(E1109&lt;&gt;"", YEARFRAC(C1109, E1109) * 12, "")</f>
        <v/>
      </c>
      <c r="J1109" s="2">
        <f>IF(I1109="", "", IF(OR(AND(A1109="Listed Equity Shares", I1109&gt;12), AND(A1109="Unlisted Equity Shares", I1109&gt;24)), "Long Term", "Short Term"))</f>
        <v/>
      </c>
      <c r="K1109" s="5">
        <f>IF(J1109="", "", IF(J1109="Long Term", 12.5%,"as per slab"))</f>
        <v/>
      </c>
      <c r="L1109" s="3">
        <f>+IFERROR(IF(J1109="","",H1109*K1109),"as per slab")</f>
        <v/>
      </c>
    </row>
    <row r="1110">
      <c r="A1110" s="7" t="n"/>
      <c r="B1110" s="7" t="n"/>
      <c r="C1110" s="8" t="n"/>
      <c r="D1110" s="9" t="n"/>
      <c r="E1110" s="8" t="n"/>
      <c r="F1110" s="9" t="n"/>
      <c r="G1110" s="9" t="n"/>
      <c r="H1110" s="3">
        <f>IF(AND(D1110&lt;&gt;"",F1110&lt;&gt;""),F1110-D1110-G1110,"")</f>
        <v/>
      </c>
      <c r="I1110" s="14">
        <f>IF(E1110&lt;&gt;"", YEARFRAC(C1110, E1110) * 12, "")</f>
        <v/>
      </c>
      <c r="J1110" s="2">
        <f>IF(I1110="", "", IF(OR(AND(A1110="Listed Equity Shares", I1110&gt;12), AND(A1110="Unlisted Equity Shares", I1110&gt;24)), "Long Term", "Short Term"))</f>
        <v/>
      </c>
      <c r="K1110" s="5">
        <f>IF(J1110="", "", IF(J1110="Long Term", 12.5%,"as per slab"))</f>
        <v/>
      </c>
      <c r="L1110" s="3">
        <f>+IFERROR(IF(J1110="","",H1110*K1110),"as per slab")</f>
        <v/>
      </c>
    </row>
    <row r="1111">
      <c r="A1111" s="7" t="n"/>
      <c r="B1111" s="7" t="n"/>
      <c r="C1111" s="8" t="n"/>
      <c r="D1111" s="9" t="n"/>
      <c r="E1111" s="8" t="n"/>
      <c r="F1111" s="9" t="n"/>
      <c r="G1111" s="9" t="n"/>
      <c r="H1111" s="3">
        <f>IF(AND(D1111&lt;&gt;"",F1111&lt;&gt;""),F1111-D1111-G1111,"")</f>
        <v/>
      </c>
      <c r="I1111" s="14">
        <f>IF(E1111&lt;&gt;"", YEARFRAC(C1111, E1111) * 12, "")</f>
        <v/>
      </c>
      <c r="J1111" s="2">
        <f>IF(I1111="", "", IF(OR(AND(A1111="Listed Equity Shares", I1111&gt;12), AND(A1111="Unlisted Equity Shares", I1111&gt;24)), "Long Term", "Short Term"))</f>
        <v/>
      </c>
      <c r="K1111" s="5">
        <f>IF(J1111="", "", IF(J1111="Long Term", 12.5%,"as per slab"))</f>
        <v/>
      </c>
      <c r="L1111" s="3">
        <f>+IFERROR(IF(J1111="","",H1111*K1111),"as per slab")</f>
        <v/>
      </c>
    </row>
    <row r="1112">
      <c r="A1112" s="7" t="n"/>
      <c r="B1112" s="7" t="n"/>
      <c r="C1112" s="8" t="n"/>
      <c r="D1112" s="9" t="n"/>
      <c r="E1112" s="8" t="n"/>
      <c r="F1112" s="9" t="n"/>
      <c r="G1112" s="9" t="n"/>
      <c r="H1112" s="3">
        <f>IF(AND(D1112&lt;&gt;"",F1112&lt;&gt;""),F1112-D1112-G1112,"")</f>
        <v/>
      </c>
      <c r="I1112" s="14">
        <f>IF(E1112&lt;&gt;"", YEARFRAC(C1112, E1112) * 12, "")</f>
        <v/>
      </c>
      <c r="J1112" s="2">
        <f>IF(I1112="", "", IF(OR(AND(A1112="Listed Equity Shares", I1112&gt;12), AND(A1112="Unlisted Equity Shares", I1112&gt;24)), "Long Term", "Short Term"))</f>
        <v/>
      </c>
      <c r="K1112" s="5">
        <f>IF(J1112="", "", IF(J1112="Long Term", 12.5%,"as per slab"))</f>
        <v/>
      </c>
      <c r="L1112" s="3">
        <f>+IFERROR(IF(J1112="","",H1112*K1112),"as per slab")</f>
        <v/>
      </c>
    </row>
    <row r="1113">
      <c r="A1113" s="7" t="n"/>
      <c r="B1113" s="7" t="n"/>
      <c r="C1113" s="8" t="n"/>
      <c r="D1113" s="9" t="n"/>
      <c r="E1113" s="8" t="n"/>
      <c r="F1113" s="9" t="n"/>
      <c r="G1113" s="9" t="n"/>
      <c r="H1113" s="3">
        <f>IF(AND(D1113&lt;&gt;"",F1113&lt;&gt;""),F1113-D1113-G1113,"")</f>
        <v/>
      </c>
      <c r="I1113" s="14">
        <f>IF(E1113&lt;&gt;"", YEARFRAC(C1113, E1113) * 12, "")</f>
        <v/>
      </c>
      <c r="J1113" s="2">
        <f>IF(I1113="", "", IF(OR(AND(A1113="Listed Equity Shares", I1113&gt;12), AND(A1113="Unlisted Equity Shares", I1113&gt;24)), "Long Term", "Short Term"))</f>
        <v/>
      </c>
      <c r="K1113" s="5">
        <f>IF(J1113="", "", IF(J1113="Long Term", 12.5%,"as per slab"))</f>
        <v/>
      </c>
      <c r="L1113" s="3">
        <f>+IFERROR(IF(J1113="","",H1113*K1113),"as per slab")</f>
        <v/>
      </c>
    </row>
    <row r="1114">
      <c r="A1114" s="7" t="n"/>
      <c r="B1114" s="7" t="n"/>
      <c r="C1114" s="8" t="n"/>
      <c r="D1114" s="9" t="n"/>
      <c r="E1114" s="8" t="n"/>
      <c r="F1114" s="9" t="n"/>
      <c r="G1114" s="9" t="n"/>
      <c r="H1114" s="3">
        <f>IF(AND(D1114&lt;&gt;"",F1114&lt;&gt;""),F1114-D1114-G1114,"")</f>
        <v/>
      </c>
      <c r="I1114" s="14">
        <f>IF(E1114&lt;&gt;"", YEARFRAC(C1114, E1114) * 12, "")</f>
        <v/>
      </c>
      <c r="J1114" s="2">
        <f>IF(I1114="", "", IF(OR(AND(A1114="Listed Equity Shares", I1114&gt;12), AND(A1114="Unlisted Equity Shares", I1114&gt;24)), "Long Term", "Short Term"))</f>
        <v/>
      </c>
      <c r="K1114" s="5">
        <f>IF(J1114="", "", IF(J1114="Long Term", 12.5%,"as per slab"))</f>
        <v/>
      </c>
      <c r="L1114" s="3">
        <f>+IFERROR(IF(J1114="","",H1114*K1114),"as per slab")</f>
        <v/>
      </c>
    </row>
    <row r="1115">
      <c r="A1115" s="7" t="n"/>
      <c r="B1115" s="7" t="n"/>
      <c r="C1115" s="8" t="n"/>
      <c r="D1115" s="9" t="n"/>
      <c r="E1115" s="8" t="n"/>
      <c r="F1115" s="9" t="n"/>
      <c r="G1115" s="9" t="n"/>
      <c r="H1115" s="3">
        <f>IF(AND(D1115&lt;&gt;"",F1115&lt;&gt;""),F1115-D1115-G1115,"")</f>
        <v/>
      </c>
      <c r="I1115" s="14">
        <f>IF(E1115&lt;&gt;"", YEARFRAC(C1115, E1115) * 12, "")</f>
        <v/>
      </c>
      <c r="J1115" s="2">
        <f>IF(I1115="", "", IF(OR(AND(A1115="Listed Equity Shares", I1115&gt;12), AND(A1115="Unlisted Equity Shares", I1115&gt;24)), "Long Term", "Short Term"))</f>
        <v/>
      </c>
      <c r="K1115" s="5">
        <f>IF(J1115="", "", IF(J1115="Long Term", 12.5%,"as per slab"))</f>
        <v/>
      </c>
      <c r="L1115" s="3">
        <f>+IFERROR(IF(J1115="","",H1115*K1115),"as per slab")</f>
        <v/>
      </c>
    </row>
    <row r="1116">
      <c r="A1116" s="7" t="n"/>
      <c r="B1116" s="7" t="n"/>
      <c r="C1116" s="8" t="n"/>
      <c r="D1116" s="9" t="n"/>
      <c r="E1116" s="8" t="n"/>
      <c r="F1116" s="9" t="n"/>
      <c r="G1116" s="9" t="n"/>
      <c r="H1116" s="3">
        <f>IF(AND(D1116&lt;&gt;"",F1116&lt;&gt;""),F1116-D1116-G1116,"")</f>
        <v/>
      </c>
      <c r="I1116" s="14">
        <f>IF(E1116&lt;&gt;"", YEARFRAC(C1116, E1116) * 12, "")</f>
        <v/>
      </c>
      <c r="J1116" s="2">
        <f>IF(I1116="", "", IF(OR(AND(A1116="Listed Equity Shares", I1116&gt;12), AND(A1116="Unlisted Equity Shares", I1116&gt;24)), "Long Term", "Short Term"))</f>
        <v/>
      </c>
      <c r="K1116" s="5">
        <f>IF(J1116="", "", IF(J1116="Long Term", 12.5%,"as per slab"))</f>
        <v/>
      </c>
      <c r="L1116" s="3">
        <f>+IFERROR(IF(J1116="","",H1116*K1116),"as per slab")</f>
        <v/>
      </c>
    </row>
    <row r="1117">
      <c r="A1117" s="7" t="n"/>
      <c r="B1117" s="7" t="n"/>
      <c r="C1117" s="8" t="n"/>
      <c r="D1117" s="9" t="n"/>
      <c r="E1117" s="8" t="n"/>
      <c r="F1117" s="9" t="n"/>
      <c r="G1117" s="9" t="n"/>
      <c r="H1117" s="3">
        <f>IF(AND(D1117&lt;&gt;"",F1117&lt;&gt;""),F1117-D1117-G1117,"")</f>
        <v/>
      </c>
      <c r="I1117" s="14">
        <f>IF(E1117&lt;&gt;"", YEARFRAC(C1117, E1117) * 12, "")</f>
        <v/>
      </c>
      <c r="J1117" s="2">
        <f>IF(I1117="", "", IF(OR(AND(A1117="Listed Equity Shares", I1117&gt;12), AND(A1117="Unlisted Equity Shares", I1117&gt;24)), "Long Term", "Short Term"))</f>
        <v/>
      </c>
      <c r="K1117" s="5">
        <f>IF(J1117="", "", IF(J1117="Long Term", 12.5%,"as per slab"))</f>
        <v/>
      </c>
      <c r="L1117" s="3">
        <f>+IFERROR(IF(J1117="","",H1117*K1117),"as per slab")</f>
        <v/>
      </c>
    </row>
    <row r="1118">
      <c r="A1118" s="7" t="n"/>
      <c r="B1118" s="7" t="n"/>
      <c r="C1118" s="8" t="n"/>
      <c r="D1118" s="9" t="n"/>
      <c r="E1118" s="8" t="n"/>
      <c r="F1118" s="9" t="n"/>
      <c r="G1118" s="9" t="n"/>
      <c r="H1118" s="3">
        <f>IF(AND(D1118&lt;&gt;"",F1118&lt;&gt;""),F1118-D1118-G1118,"")</f>
        <v/>
      </c>
      <c r="I1118" s="14">
        <f>IF(E1118&lt;&gt;"", YEARFRAC(C1118, E1118) * 12, "")</f>
        <v/>
      </c>
      <c r="J1118" s="2">
        <f>IF(I1118="", "", IF(OR(AND(A1118="Listed Equity Shares", I1118&gt;12), AND(A1118="Unlisted Equity Shares", I1118&gt;24)), "Long Term", "Short Term"))</f>
        <v/>
      </c>
      <c r="K1118" s="5">
        <f>IF(J1118="", "", IF(J1118="Long Term", 12.5%,"as per slab"))</f>
        <v/>
      </c>
      <c r="L1118" s="3">
        <f>+IFERROR(IF(J1118="","",H1118*K1118),"as per slab")</f>
        <v/>
      </c>
    </row>
    <row r="1119">
      <c r="A1119" s="7" t="n"/>
      <c r="B1119" s="7" t="n"/>
      <c r="C1119" s="8" t="n"/>
      <c r="D1119" s="9" t="n"/>
      <c r="E1119" s="8" t="n"/>
      <c r="F1119" s="9" t="n"/>
      <c r="G1119" s="9" t="n"/>
      <c r="H1119" s="3">
        <f>IF(AND(D1119&lt;&gt;"",F1119&lt;&gt;""),F1119-D1119-G1119,"")</f>
        <v/>
      </c>
      <c r="I1119" s="14">
        <f>IF(E1119&lt;&gt;"", YEARFRAC(C1119, E1119) * 12, "")</f>
        <v/>
      </c>
      <c r="J1119" s="2">
        <f>IF(I1119="", "", IF(OR(AND(A1119="Listed Equity Shares", I1119&gt;12), AND(A1119="Unlisted Equity Shares", I1119&gt;24)), "Long Term", "Short Term"))</f>
        <v/>
      </c>
      <c r="K1119" s="5">
        <f>IF(J1119="", "", IF(J1119="Long Term", 12.5%,"as per slab"))</f>
        <v/>
      </c>
      <c r="L1119" s="3">
        <f>+IFERROR(IF(J1119="","",H1119*K1119),"as per slab")</f>
        <v/>
      </c>
    </row>
    <row r="1120">
      <c r="A1120" s="7" t="n"/>
      <c r="B1120" s="7" t="n"/>
      <c r="C1120" s="8" t="n"/>
      <c r="D1120" s="9" t="n"/>
      <c r="E1120" s="8" t="n"/>
      <c r="F1120" s="9" t="n"/>
      <c r="G1120" s="9" t="n"/>
      <c r="H1120" s="3">
        <f>IF(AND(D1120&lt;&gt;"",F1120&lt;&gt;""),F1120-D1120-G1120,"")</f>
        <v/>
      </c>
      <c r="I1120" s="14">
        <f>IF(E1120&lt;&gt;"", YEARFRAC(C1120, E1120) * 12, "")</f>
        <v/>
      </c>
      <c r="J1120" s="2">
        <f>IF(I1120="", "", IF(OR(AND(A1120="Listed Equity Shares", I1120&gt;12), AND(A1120="Unlisted Equity Shares", I1120&gt;24)), "Long Term", "Short Term"))</f>
        <v/>
      </c>
      <c r="K1120" s="5">
        <f>IF(J1120="", "", IF(J1120="Long Term", 12.5%,"as per slab"))</f>
        <v/>
      </c>
      <c r="L1120" s="3">
        <f>+IFERROR(IF(J1120="","",H1120*K1120),"as per slab")</f>
        <v/>
      </c>
    </row>
    <row r="1121">
      <c r="A1121" s="7" t="n"/>
      <c r="B1121" s="7" t="n"/>
      <c r="C1121" s="8" t="n"/>
      <c r="D1121" s="9" t="n"/>
      <c r="E1121" s="8" t="n"/>
      <c r="F1121" s="9" t="n"/>
      <c r="G1121" s="9" t="n"/>
      <c r="H1121" s="3">
        <f>IF(AND(D1121&lt;&gt;"",F1121&lt;&gt;""),F1121-D1121-G1121,"")</f>
        <v/>
      </c>
      <c r="I1121" s="14">
        <f>IF(E1121&lt;&gt;"", YEARFRAC(C1121, E1121) * 12, "")</f>
        <v/>
      </c>
      <c r="J1121" s="2">
        <f>IF(I1121="", "", IF(OR(AND(A1121="Listed Equity Shares", I1121&gt;12), AND(A1121="Unlisted Equity Shares", I1121&gt;24)), "Long Term", "Short Term"))</f>
        <v/>
      </c>
      <c r="K1121" s="5">
        <f>IF(J1121="", "", IF(J1121="Long Term", 12.5%,"as per slab"))</f>
        <v/>
      </c>
      <c r="L1121" s="3">
        <f>+IFERROR(IF(J1121="","",H1121*K1121),"as per slab")</f>
        <v/>
      </c>
    </row>
    <row r="1122">
      <c r="A1122" s="7" t="n"/>
      <c r="B1122" s="7" t="n"/>
      <c r="C1122" s="8" t="n"/>
      <c r="D1122" s="9" t="n"/>
      <c r="E1122" s="8" t="n"/>
      <c r="F1122" s="9" t="n"/>
      <c r="G1122" s="9" t="n"/>
      <c r="H1122" s="3">
        <f>IF(AND(D1122&lt;&gt;"",F1122&lt;&gt;""),F1122-D1122-G1122,"")</f>
        <v/>
      </c>
      <c r="I1122" s="14">
        <f>IF(E1122&lt;&gt;"", YEARFRAC(C1122, E1122) * 12, "")</f>
        <v/>
      </c>
      <c r="J1122" s="2">
        <f>IF(I1122="", "", IF(OR(AND(A1122="Listed Equity Shares", I1122&gt;12), AND(A1122="Unlisted Equity Shares", I1122&gt;24)), "Long Term", "Short Term"))</f>
        <v/>
      </c>
      <c r="K1122" s="5">
        <f>IF(J1122="", "", IF(J1122="Long Term", 12.5%,"as per slab"))</f>
        <v/>
      </c>
      <c r="L1122" s="3">
        <f>+IFERROR(IF(J1122="","",H1122*K1122),"as per slab")</f>
        <v/>
      </c>
    </row>
    <row r="1123">
      <c r="A1123" s="7" t="n"/>
      <c r="B1123" s="7" t="n"/>
      <c r="C1123" s="8" t="n"/>
      <c r="D1123" s="9" t="n"/>
      <c r="E1123" s="8" t="n"/>
      <c r="F1123" s="9" t="n"/>
      <c r="G1123" s="9" t="n"/>
      <c r="H1123" s="3">
        <f>IF(AND(D1123&lt;&gt;"",F1123&lt;&gt;""),F1123-D1123-G1123,"")</f>
        <v/>
      </c>
      <c r="I1123" s="14">
        <f>IF(E1123&lt;&gt;"", YEARFRAC(C1123, E1123) * 12, "")</f>
        <v/>
      </c>
      <c r="J1123" s="2">
        <f>IF(I1123="", "", IF(OR(AND(A1123="Listed Equity Shares", I1123&gt;12), AND(A1123="Unlisted Equity Shares", I1123&gt;24)), "Long Term", "Short Term"))</f>
        <v/>
      </c>
      <c r="K1123" s="5">
        <f>IF(J1123="", "", IF(J1123="Long Term", 12.5%,"as per slab"))</f>
        <v/>
      </c>
      <c r="L1123" s="3">
        <f>+IFERROR(IF(J1123="","",H1123*K1123),"as per slab")</f>
        <v/>
      </c>
    </row>
    <row r="1124">
      <c r="A1124" s="7" t="n"/>
      <c r="B1124" s="7" t="n"/>
      <c r="C1124" s="8" t="n"/>
      <c r="D1124" s="9" t="n"/>
      <c r="E1124" s="8" t="n"/>
      <c r="F1124" s="9" t="n"/>
      <c r="G1124" s="9" t="n"/>
      <c r="H1124" s="3">
        <f>IF(AND(D1124&lt;&gt;"",F1124&lt;&gt;""),F1124-D1124-G1124,"")</f>
        <v/>
      </c>
      <c r="I1124" s="14">
        <f>IF(E1124&lt;&gt;"", YEARFRAC(C1124, E1124) * 12, "")</f>
        <v/>
      </c>
      <c r="J1124" s="2">
        <f>IF(I1124="", "", IF(OR(AND(A1124="Listed Equity Shares", I1124&gt;12), AND(A1124="Unlisted Equity Shares", I1124&gt;24)), "Long Term", "Short Term"))</f>
        <v/>
      </c>
      <c r="K1124" s="5">
        <f>IF(J1124="", "", IF(J1124="Long Term", 12.5%,"as per slab"))</f>
        <v/>
      </c>
      <c r="L1124" s="3">
        <f>+IFERROR(IF(J1124="","",H1124*K1124),"as per slab")</f>
        <v/>
      </c>
    </row>
    <row r="1125">
      <c r="A1125" s="7" t="n"/>
      <c r="B1125" s="7" t="n"/>
      <c r="C1125" s="8" t="n"/>
      <c r="D1125" s="9" t="n"/>
      <c r="E1125" s="8" t="n"/>
      <c r="F1125" s="9" t="n"/>
      <c r="G1125" s="9" t="n"/>
      <c r="H1125" s="3">
        <f>IF(AND(D1125&lt;&gt;"",F1125&lt;&gt;""),F1125-D1125-G1125,"")</f>
        <v/>
      </c>
      <c r="I1125" s="14">
        <f>IF(E1125&lt;&gt;"", YEARFRAC(C1125, E1125) * 12, "")</f>
        <v/>
      </c>
      <c r="J1125" s="2">
        <f>IF(I1125="", "", IF(OR(AND(A1125="Listed Equity Shares", I1125&gt;12), AND(A1125="Unlisted Equity Shares", I1125&gt;24)), "Long Term", "Short Term"))</f>
        <v/>
      </c>
      <c r="K1125" s="5">
        <f>IF(J1125="", "", IF(J1125="Long Term", 12.5%,"as per slab"))</f>
        <v/>
      </c>
      <c r="L1125" s="3">
        <f>+IFERROR(IF(J1125="","",H1125*K1125),"as per slab")</f>
        <v/>
      </c>
    </row>
    <row r="1126">
      <c r="A1126" s="7" t="n"/>
      <c r="B1126" s="7" t="n"/>
      <c r="C1126" s="8" t="n"/>
      <c r="D1126" s="9" t="n"/>
      <c r="E1126" s="8" t="n"/>
      <c r="F1126" s="9" t="n"/>
      <c r="G1126" s="9" t="n"/>
      <c r="H1126" s="3">
        <f>IF(AND(D1126&lt;&gt;"",F1126&lt;&gt;""),F1126-D1126-G1126,"")</f>
        <v/>
      </c>
      <c r="I1126" s="14">
        <f>IF(E1126&lt;&gt;"", YEARFRAC(C1126, E1126) * 12, "")</f>
        <v/>
      </c>
      <c r="J1126" s="2">
        <f>IF(I1126="", "", IF(OR(AND(A1126="Listed Equity Shares", I1126&gt;12), AND(A1126="Unlisted Equity Shares", I1126&gt;24)), "Long Term", "Short Term"))</f>
        <v/>
      </c>
      <c r="K1126" s="5">
        <f>IF(J1126="", "", IF(J1126="Long Term", 12.5%,"as per slab"))</f>
        <v/>
      </c>
      <c r="L1126" s="3">
        <f>+IFERROR(IF(J1126="","",H1126*K1126),"as per slab")</f>
        <v/>
      </c>
    </row>
    <row r="1127">
      <c r="A1127" s="7" t="n"/>
      <c r="B1127" s="7" t="n"/>
      <c r="C1127" s="8" t="n"/>
      <c r="D1127" s="9" t="n"/>
      <c r="E1127" s="8" t="n"/>
      <c r="F1127" s="9" t="n"/>
      <c r="G1127" s="9" t="n"/>
      <c r="H1127" s="3">
        <f>IF(AND(D1127&lt;&gt;"",F1127&lt;&gt;""),F1127-D1127-G1127,"")</f>
        <v/>
      </c>
      <c r="I1127" s="14">
        <f>IF(E1127&lt;&gt;"", YEARFRAC(C1127, E1127) * 12, "")</f>
        <v/>
      </c>
      <c r="J1127" s="2">
        <f>IF(I1127="", "", IF(OR(AND(A1127="Listed Equity Shares", I1127&gt;12), AND(A1127="Unlisted Equity Shares", I1127&gt;24)), "Long Term", "Short Term"))</f>
        <v/>
      </c>
      <c r="K1127" s="5">
        <f>IF(J1127="", "", IF(J1127="Long Term", 12.5%,"as per slab"))</f>
        <v/>
      </c>
      <c r="L1127" s="3">
        <f>+IFERROR(IF(J1127="","",H1127*K1127),"as per slab")</f>
        <v/>
      </c>
    </row>
    <row r="1128">
      <c r="A1128" s="7" t="n"/>
      <c r="B1128" s="7" t="n"/>
      <c r="C1128" s="8" t="n"/>
      <c r="D1128" s="9" t="n"/>
      <c r="E1128" s="8" t="n"/>
      <c r="F1128" s="9" t="n"/>
      <c r="G1128" s="9" t="n"/>
      <c r="H1128" s="3">
        <f>IF(AND(D1128&lt;&gt;"",F1128&lt;&gt;""),F1128-D1128-G1128,"")</f>
        <v/>
      </c>
      <c r="I1128" s="14">
        <f>IF(E1128&lt;&gt;"", YEARFRAC(C1128, E1128) * 12, "")</f>
        <v/>
      </c>
      <c r="J1128" s="2">
        <f>IF(I1128="", "", IF(OR(AND(A1128="Listed Equity Shares", I1128&gt;12), AND(A1128="Unlisted Equity Shares", I1128&gt;24)), "Long Term", "Short Term"))</f>
        <v/>
      </c>
      <c r="K1128" s="5">
        <f>IF(J1128="", "", IF(J1128="Long Term", 12.5%,"as per slab"))</f>
        <v/>
      </c>
      <c r="L1128" s="3">
        <f>+IFERROR(IF(J1128="","",H1128*K1128),"as per slab")</f>
        <v/>
      </c>
    </row>
    <row r="1129">
      <c r="A1129" s="7" t="n"/>
      <c r="B1129" s="7" t="n"/>
      <c r="C1129" s="8" t="n"/>
      <c r="D1129" s="9" t="n"/>
      <c r="E1129" s="8" t="n"/>
      <c r="F1129" s="9" t="n"/>
      <c r="G1129" s="9" t="n"/>
      <c r="H1129" s="3">
        <f>IF(AND(D1129&lt;&gt;"",F1129&lt;&gt;""),F1129-D1129-G1129,"")</f>
        <v/>
      </c>
      <c r="I1129" s="14">
        <f>IF(E1129&lt;&gt;"", YEARFRAC(C1129, E1129) * 12, "")</f>
        <v/>
      </c>
      <c r="J1129" s="2">
        <f>IF(I1129="", "", IF(OR(AND(A1129="Listed Equity Shares", I1129&gt;12), AND(A1129="Unlisted Equity Shares", I1129&gt;24)), "Long Term", "Short Term"))</f>
        <v/>
      </c>
      <c r="K1129" s="5">
        <f>IF(J1129="", "", IF(J1129="Long Term", 12.5%,"as per slab"))</f>
        <v/>
      </c>
      <c r="L1129" s="3">
        <f>+IFERROR(IF(J1129="","",H1129*K1129),"as per slab")</f>
        <v/>
      </c>
    </row>
    <row r="1130">
      <c r="A1130" s="7" t="n"/>
      <c r="B1130" s="7" t="n"/>
      <c r="C1130" s="8" t="n"/>
      <c r="D1130" s="9" t="n"/>
      <c r="E1130" s="8" t="n"/>
      <c r="F1130" s="9" t="n"/>
      <c r="G1130" s="9" t="n"/>
      <c r="H1130" s="3">
        <f>IF(AND(D1130&lt;&gt;"",F1130&lt;&gt;""),F1130-D1130-G1130,"")</f>
        <v/>
      </c>
      <c r="I1130" s="14">
        <f>IF(E1130&lt;&gt;"", YEARFRAC(C1130, E1130) * 12, "")</f>
        <v/>
      </c>
      <c r="J1130" s="2">
        <f>IF(I1130="", "", IF(OR(AND(A1130="Listed Equity Shares", I1130&gt;12), AND(A1130="Unlisted Equity Shares", I1130&gt;24)), "Long Term", "Short Term"))</f>
        <v/>
      </c>
      <c r="K1130" s="5">
        <f>IF(J1130="", "", IF(J1130="Long Term", 12.5%,"as per slab"))</f>
        <v/>
      </c>
      <c r="L1130" s="3">
        <f>+IFERROR(IF(J1130="","",H1130*K1130),"as per slab")</f>
        <v/>
      </c>
    </row>
    <row r="1131">
      <c r="A1131" s="7" t="n"/>
      <c r="B1131" s="7" t="n"/>
      <c r="C1131" s="8" t="n"/>
      <c r="D1131" s="9" t="n"/>
      <c r="E1131" s="8" t="n"/>
      <c r="F1131" s="9" t="n"/>
      <c r="G1131" s="9" t="n"/>
      <c r="H1131" s="3">
        <f>IF(AND(D1131&lt;&gt;"",F1131&lt;&gt;""),F1131-D1131-G1131,"")</f>
        <v/>
      </c>
      <c r="I1131" s="14">
        <f>IF(E1131&lt;&gt;"", YEARFRAC(C1131, E1131) * 12, "")</f>
        <v/>
      </c>
      <c r="J1131" s="2">
        <f>IF(I1131="", "", IF(OR(AND(A1131="Listed Equity Shares", I1131&gt;12), AND(A1131="Unlisted Equity Shares", I1131&gt;24)), "Long Term", "Short Term"))</f>
        <v/>
      </c>
      <c r="K1131" s="5">
        <f>IF(J1131="", "", IF(J1131="Long Term", 12.5%,"as per slab"))</f>
        <v/>
      </c>
      <c r="L1131" s="3">
        <f>+IFERROR(IF(J1131="","",H1131*K1131),"as per slab")</f>
        <v/>
      </c>
    </row>
    <row r="1132">
      <c r="A1132" s="7" t="n"/>
      <c r="B1132" s="7" t="n"/>
      <c r="C1132" s="8" t="n"/>
      <c r="D1132" s="9" t="n"/>
      <c r="E1132" s="8" t="n"/>
      <c r="F1132" s="9" t="n"/>
      <c r="G1132" s="9" t="n"/>
      <c r="H1132" s="3">
        <f>IF(AND(D1132&lt;&gt;"",F1132&lt;&gt;""),F1132-D1132-G1132,"")</f>
        <v/>
      </c>
      <c r="I1132" s="14">
        <f>IF(E1132&lt;&gt;"", YEARFRAC(C1132, E1132) * 12, "")</f>
        <v/>
      </c>
      <c r="J1132" s="2">
        <f>IF(I1132="", "", IF(OR(AND(A1132="Listed Equity Shares", I1132&gt;12), AND(A1132="Unlisted Equity Shares", I1132&gt;24)), "Long Term", "Short Term"))</f>
        <v/>
      </c>
      <c r="K1132" s="5">
        <f>IF(J1132="", "", IF(J1132="Long Term", 12.5%,"as per slab"))</f>
        <v/>
      </c>
      <c r="L1132" s="3">
        <f>+IFERROR(IF(J1132="","",H1132*K1132),"as per slab")</f>
        <v/>
      </c>
    </row>
    <row r="1133">
      <c r="A1133" s="7" t="n"/>
      <c r="B1133" s="7" t="n"/>
      <c r="C1133" s="8" t="n"/>
      <c r="D1133" s="9" t="n"/>
      <c r="E1133" s="8" t="n"/>
      <c r="F1133" s="9" t="n"/>
      <c r="G1133" s="9" t="n"/>
      <c r="H1133" s="3">
        <f>IF(AND(D1133&lt;&gt;"",F1133&lt;&gt;""),F1133-D1133-G1133,"")</f>
        <v/>
      </c>
      <c r="I1133" s="14">
        <f>IF(E1133&lt;&gt;"", YEARFRAC(C1133, E1133) * 12, "")</f>
        <v/>
      </c>
      <c r="J1133" s="2">
        <f>IF(I1133="", "", IF(OR(AND(A1133="Listed Equity Shares", I1133&gt;12), AND(A1133="Unlisted Equity Shares", I1133&gt;24)), "Long Term", "Short Term"))</f>
        <v/>
      </c>
      <c r="K1133" s="5">
        <f>IF(J1133="", "", IF(J1133="Long Term", 12.5%,"as per slab"))</f>
        <v/>
      </c>
      <c r="L1133" s="3">
        <f>+IFERROR(IF(J1133="","",H1133*K1133),"as per slab")</f>
        <v/>
      </c>
    </row>
    <row r="1134">
      <c r="A1134" s="7" t="n"/>
      <c r="B1134" s="7" t="n"/>
      <c r="C1134" s="8" t="n"/>
      <c r="D1134" s="9" t="n"/>
      <c r="E1134" s="8" t="n"/>
      <c r="F1134" s="9" t="n"/>
      <c r="G1134" s="9" t="n"/>
      <c r="H1134" s="3">
        <f>IF(AND(D1134&lt;&gt;"",F1134&lt;&gt;""),F1134-D1134-G1134,"")</f>
        <v/>
      </c>
      <c r="I1134" s="14">
        <f>IF(E1134&lt;&gt;"", YEARFRAC(C1134, E1134) * 12, "")</f>
        <v/>
      </c>
      <c r="J1134" s="2">
        <f>IF(I1134="", "", IF(OR(AND(A1134="Listed Equity Shares", I1134&gt;12), AND(A1134="Unlisted Equity Shares", I1134&gt;24)), "Long Term", "Short Term"))</f>
        <v/>
      </c>
      <c r="K1134" s="5">
        <f>IF(J1134="", "", IF(J1134="Long Term", 12.5%,"as per slab"))</f>
        <v/>
      </c>
      <c r="L1134" s="3">
        <f>+IFERROR(IF(J1134="","",H1134*K1134),"as per slab")</f>
        <v/>
      </c>
    </row>
    <row r="1135">
      <c r="A1135" s="7" t="n"/>
      <c r="B1135" s="7" t="n"/>
      <c r="C1135" s="8" t="n"/>
      <c r="D1135" s="9" t="n"/>
      <c r="E1135" s="8" t="n"/>
      <c r="F1135" s="9" t="n"/>
      <c r="G1135" s="9" t="n"/>
      <c r="H1135" s="3">
        <f>IF(AND(D1135&lt;&gt;"",F1135&lt;&gt;""),F1135-D1135-G1135,"")</f>
        <v/>
      </c>
      <c r="I1135" s="14">
        <f>IF(E1135&lt;&gt;"", YEARFRAC(C1135, E1135) * 12, "")</f>
        <v/>
      </c>
      <c r="J1135" s="2">
        <f>IF(I1135="", "", IF(OR(AND(A1135="Listed Equity Shares", I1135&gt;12), AND(A1135="Unlisted Equity Shares", I1135&gt;24)), "Long Term", "Short Term"))</f>
        <v/>
      </c>
      <c r="K1135" s="5">
        <f>IF(J1135="", "", IF(J1135="Long Term", 12.5%,"as per slab"))</f>
        <v/>
      </c>
      <c r="L1135" s="3">
        <f>+IFERROR(IF(J1135="","",H1135*K1135),"as per slab")</f>
        <v/>
      </c>
    </row>
    <row r="1136">
      <c r="A1136" s="7" t="n"/>
      <c r="B1136" s="7" t="n"/>
      <c r="C1136" s="8" t="n"/>
      <c r="D1136" s="9" t="n"/>
      <c r="E1136" s="8" t="n"/>
      <c r="F1136" s="9" t="n"/>
      <c r="G1136" s="9" t="n"/>
      <c r="H1136" s="3">
        <f>IF(AND(D1136&lt;&gt;"",F1136&lt;&gt;""),F1136-D1136-G1136,"")</f>
        <v/>
      </c>
      <c r="I1136" s="14">
        <f>IF(E1136&lt;&gt;"", YEARFRAC(C1136, E1136) * 12, "")</f>
        <v/>
      </c>
      <c r="J1136" s="2">
        <f>IF(I1136="", "", IF(OR(AND(A1136="Listed Equity Shares", I1136&gt;12), AND(A1136="Unlisted Equity Shares", I1136&gt;24)), "Long Term", "Short Term"))</f>
        <v/>
      </c>
      <c r="K1136" s="5">
        <f>IF(J1136="", "", IF(J1136="Long Term", 12.5%,"as per slab"))</f>
        <v/>
      </c>
      <c r="L1136" s="3">
        <f>+IFERROR(IF(J1136="","",H1136*K1136),"as per slab")</f>
        <v/>
      </c>
    </row>
    <row r="1137">
      <c r="A1137" s="7" t="n"/>
      <c r="B1137" s="7" t="n"/>
      <c r="C1137" s="8" t="n"/>
      <c r="D1137" s="9" t="n"/>
      <c r="E1137" s="8" t="n"/>
      <c r="F1137" s="9" t="n"/>
      <c r="G1137" s="9" t="n"/>
      <c r="H1137" s="3">
        <f>IF(AND(D1137&lt;&gt;"",F1137&lt;&gt;""),F1137-D1137-G1137,"")</f>
        <v/>
      </c>
      <c r="I1137" s="14">
        <f>IF(E1137&lt;&gt;"", YEARFRAC(C1137, E1137) * 12, "")</f>
        <v/>
      </c>
      <c r="J1137" s="2">
        <f>IF(I1137="", "", IF(OR(AND(A1137="Listed Equity Shares", I1137&gt;12), AND(A1137="Unlisted Equity Shares", I1137&gt;24)), "Long Term", "Short Term"))</f>
        <v/>
      </c>
      <c r="K1137" s="5">
        <f>IF(J1137="", "", IF(J1137="Long Term", 12.5%,"as per slab"))</f>
        <v/>
      </c>
      <c r="L1137" s="3">
        <f>+IFERROR(IF(J1137="","",H1137*K1137),"as per slab")</f>
        <v/>
      </c>
    </row>
    <row r="1138">
      <c r="A1138" s="7" t="n"/>
      <c r="B1138" s="7" t="n"/>
      <c r="C1138" s="8" t="n"/>
      <c r="D1138" s="9" t="n"/>
      <c r="E1138" s="8" t="n"/>
      <c r="F1138" s="9" t="n"/>
      <c r="G1138" s="9" t="n"/>
      <c r="H1138" s="3">
        <f>IF(AND(D1138&lt;&gt;"",F1138&lt;&gt;""),F1138-D1138-G1138,"")</f>
        <v/>
      </c>
      <c r="I1138" s="14">
        <f>IF(E1138&lt;&gt;"", YEARFRAC(C1138, E1138) * 12, "")</f>
        <v/>
      </c>
      <c r="J1138" s="2">
        <f>IF(I1138="", "", IF(OR(AND(A1138="Listed Equity Shares", I1138&gt;12), AND(A1138="Unlisted Equity Shares", I1138&gt;24)), "Long Term", "Short Term"))</f>
        <v/>
      </c>
      <c r="K1138" s="5">
        <f>IF(J1138="", "", IF(J1138="Long Term", 12.5%,"as per slab"))</f>
        <v/>
      </c>
      <c r="L1138" s="3">
        <f>+IFERROR(IF(J1138="","",H1138*K1138),"as per slab")</f>
        <v/>
      </c>
    </row>
    <row r="1139">
      <c r="A1139" s="7" t="n"/>
      <c r="B1139" s="7" t="n"/>
      <c r="C1139" s="8" t="n"/>
      <c r="D1139" s="9" t="n"/>
      <c r="E1139" s="8" t="n"/>
      <c r="F1139" s="9" t="n"/>
      <c r="G1139" s="9" t="n"/>
      <c r="H1139" s="3">
        <f>IF(AND(D1139&lt;&gt;"",F1139&lt;&gt;""),F1139-D1139-G1139,"")</f>
        <v/>
      </c>
      <c r="I1139" s="14">
        <f>IF(E1139&lt;&gt;"", YEARFRAC(C1139, E1139) * 12, "")</f>
        <v/>
      </c>
      <c r="J1139" s="2">
        <f>IF(I1139="", "", IF(OR(AND(A1139="Listed Equity Shares", I1139&gt;12), AND(A1139="Unlisted Equity Shares", I1139&gt;24)), "Long Term", "Short Term"))</f>
        <v/>
      </c>
      <c r="K1139" s="5">
        <f>IF(J1139="", "", IF(J1139="Long Term", 12.5%,"as per slab"))</f>
        <v/>
      </c>
      <c r="L1139" s="3">
        <f>+IFERROR(IF(J1139="","",H1139*K1139),"as per slab")</f>
        <v/>
      </c>
    </row>
    <row r="1140">
      <c r="A1140" s="7" t="n"/>
      <c r="B1140" s="7" t="n"/>
      <c r="C1140" s="8" t="n"/>
      <c r="D1140" s="9" t="n"/>
      <c r="E1140" s="8" t="n"/>
      <c r="F1140" s="9" t="n"/>
      <c r="G1140" s="9" t="n"/>
      <c r="H1140" s="3">
        <f>IF(AND(D1140&lt;&gt;"",F1140&lt;&gt;""),F1140-D1140-G1140,"")</f>
        <v/>
      </c>
      <c r="I1140" s="14">
        <f>IF(E1140&lt;&gt;"", YEARFRAC(C1140, E1140) * 12, "")</f>
        <v/>
      </c>
      <c r="J1140" s="2">
        <f>IF(I1140="", "", IF(OR(AND(A1140="Listed Equity Shares", I1140&gt;12), AND(A1140="Unlisted Equity Shares", I1140&gt;24)), "Long Term", "Short Term"))</f>
        <v/>
      </c>
      <c r="K1140" s="5">
        <f>IF(J1140="", "", IF(J1140="Long Term", 12.5%,"as per slab"))</f>
        <v/>
      </c>
      <c r="L1140" s="3">
        <f>+IFERROR(IF(J1140="","",H1140*K1140),"as per slab")</f>
        <v/>
      </c>
    </row>
    <row r="1141">
      <c r="A1141" s="7" t="n"/>
      <c r="B1141" s="7" t="n"/>
      <c r="C1141" s="8" t="n"/>
      <c r="D1141" s="9" t="n"/>
      <c r="E1141" s="8" t="n"/>
      <c r="F1141" s="9" t="n"/>
      <c r="G1141" s="9" t="n"/>
      <c r="H1141" s="3">
        <f>IF(AND(D1141&lt;&gt;"",F1141&lt;&gt;""),F1141-D1141-G1141,"")</f>
        <v/>
      </c>
      <c r="I1141" s="14">
        <f>IF(E1141&lt;&gt;"", YEARFRAC(C1141, E1141) * 12, "")</f>
        <v/>
      </c>
      <c r="J1141" s="2">
        <f>IF(I1141="", "", IF(OR(AND(A1141="Listed Equity Shares", I1141&gt;12), AND(A1141="Unlisted Equity Shares", I1141&gt;24)), "Long Term", "Short Term"))</f>
        <v/>
      </c>
      <c r="K1141" s="5">
        <f>IF(J1141="", "", IF(J1141="Long Term", 12.5%,"as per slab"))</f>
        <v/>
      </c>
      <c r="L1141" s="3">
        <f>+IFERROR(IF(J1141="","",H1141*K1141),"as per slab")</f>
        <v/>
      </c>
    </row>
    <row r="1142">
      <c r="A1142" s="7" t="n"/>
      <c r="B1142" s="7" t="n"/>
      <c r="C1142" s="8" t="n"/>
      <c r="D1142" s="9" t="n"/>
      <c r="E1142" s="8" t="n"/>
      <c r="F1142" s="9" t="n"/>
      <c r="G1142" s="9" t="n"/>
      <c r="H1142" s="3">
        <f>IF(AND(D1142&lt;&gt;"",F1142&lt;&gt;""),F1142-D1142-G1142,"")</f>
        <v/>
      </c>
      <c r="I1142" s="14">
        <f>IF(E1142&lt;&gt;"", YEARFRAC(C1142, E1142) * 12, "")</f>
        <v/>
      </c>
      <c r="J1142" s="2">
        <f>IF(I1142="", "", IF(OR(AND(A1142="Listed Equity Shares", I1142&gt;12), AND(A1142="Unlisted Equity Shares", I1142&gt;24)), "Long Term", "Short Term"))</f>
        <v/>
      </c>
      <c r="K1142" s="5">
        <f>IF(J1142="", "", IF(J1142="Long Term", 12.5%,"as per slab"))</f>
        <v/>
      </c>
      <c r="L1142" s="3">
        <f>+IFERROR(IF(J1142="","",H1142*K1142),"as per slab")</f>
        <v/>
      </c>
    </row>
    <row r="1143">
      <c r="A1143" s="7" t="n"/>
      <c r="B1143" s="7" t="n"/>
      <c r="C1143" s="8" t="n"/>
      <c r="D1143" s="9" t="n"/>
      <c r="E1143" s="8" t="n"/>
      <c r="F1143" s="9" t="n"/>
      <c r="G1143" s="9" t="n"/>
      <c r="H1143" s="3">
        <f>IF(AND(D1143&lt;&gt;"",F1143&lt;&gt;""),F1143-D1143-G1143,"")</f>
        <v/>
      </c>
      <c r="I1143" s="14">
        <f>IF(E1143&lt;&gt;"", YEARFRAC(C1143, E1143) * 12, "")</f>
        <v/>
      </c>
      <c r="J1143" s="2">
        <f>IF(I1143="", "", IF(OR(AND(A1143="Listed Equity Shares", I1143&gt;12), AND(A1143="Unlisted Equity Shares", I1143&gt;24)), "Long Term", "Short Term"))</f>
        <v/>
      </c>
      <c r="K1143" s="5">
        <f>IF(J1143="", "", IF(J1143="Long Term", 12.5%,"as per slab"))</f>
        <v/>
      </c>
      <c r="L1143" s="3">
        <f>+IFERROR(IF(J1143="","",H1143*K1143),"as per slab")</f>
        <v/>
      </c>
    </row>
    <row r="1144">
      <c r="A1144" s="7" t="n"/>
      <c r="B1144" s="7" t="n"/>
      <c r="C1144" s="8" t="n"/>
      <c r="D1144" s="9" t="n"/>
      <c r="E1144" s="8" t="n"/>
      <c r="F1144" s="9" t="n"/>
      <c r="G1144" s="9" t="n"/>
      <c r="H1144" s="3">
        <f>IF(AND(D1144&lt;&gt;"",F1144&lt;&gt;""),F1144-D1144-G1144,"")</f>
        <v/>
      </c>
      <c r="I1144" s="14">
        <f>IF(E1144&lt;&gt;"", YEARFRAC(C1144, E1144) * 12, "")</f>
        <v/>
      </c>
      <c r="J1144" s="2">
        <f>IF(I1144="", "", IF(OR(AND(A1144="Listed Equity Shares", I1144&gt;12), AND(A1144="Unlisted Equity Shares", I1144&gt;24)), "Long Term", "Short Term"))</f>
        <v/>
      </c>
      <c r="K1144" s="5">
        <f>IF(J1144="", "", IF(J1144="Long Term", 12.5%,"as per slab"))</f>
        <v/>
      </c>
      <c r="L1144" s="3">
        <f>+IFERROR(IF(J1144="","",H1144*K1144),"as per slab")</f>
        <v/>
      </c>
    </row>
    <row r="1145">
      <c r="A1145" s="7" t="n"/>
      <c r="B1145" s="7" t="n"/>
      <c r="C1145" s="8" t="n"/>
      <c r="D1145" s="9" t="n"/>
      <c r="E1145" s="8" t="n"/>
      <c r="F1145" s="9" t="n"/>
      <c r="G1145" s="9" t="n"/>
      <c r="H1145" s="3">
        <f>IF(AND(D1145&lt;&gt;"",F1145&lt;&gt;""),F1145-D1145-G1145,"")</f>
        <v/>
      </c>
      <c r="I1145" s="14">
        <f>IF(E1145&lt;&gt;"", YEARFRAC(C1145, E1145) * 12, "")</f>
        <v/>
      </c>
      <c r="J1145" s="2">
        <f>IF(I1145="", "", IF(OR(AND(A1145="Listed Equity Shares", I1145&gt;12), AND(A1145="Unlisted Equity Shares", I1145&gt;24)), "Long Term", "Short Term"))</f>
        <v/>
      </c>
      <c r="K1145" s="5">
        <f>IF(J1145="", "", IF(J1145="Long Term", 12.5%,"as per slab"))</f>
        <v/>
      </c>
      <c r="L1145" s="3">
        <f>+IFERROR(IF(J1145="","",H1145*K1145),"as per slab")</f>
        <v/>
      </c>
    </row>
    <row r="1146">
      <c r="A1146" s="7" t="n"/>
      <c r="B1146" s="7" t="n"/>
      <c r="C1146" s="8" t="n"/>
      <c r="D1146" s="9" t="n"/>
      <c r="E1146" s="8" t="n"/>
      <c r="F1146" s="9" t="n"/>
      <c r="G1146" s="9" t="n"/>
      <c r="H1146" s="3">
        <f>IF(AND(D1146&lt;&gt;"",F1146&lt;&gt;""),F1146-D1146-G1146,"")</f>
        <v/>
      </c>
      <c r="I1146" s="14">
        <f>IF(E1146&lt;&gt;"", YEARFRAC(C1146, E1146) * 12, "")</f>
        <v/>
      </c>
      <c r="J1146" s="2">
        <f>IF(I1146="", "", IF(OR(AND(A1146="Listed Equity Shares", I1146&gt;12), AND(A1146="Unlisted Equity Shares", I1146&gt;24)), "Long Term", "Short Term"))</f>
        <v/>
      </c>
      <c r="K1146" s="5">
        <f>IF(J1146="", "", IF(J1146="Long Term", 12.5%,"as per slab"))</f>
        <v/>
      </c>
      <c r="L1146" s="3">
        <f>+IFERROR(IF(J1146="","",H1146*K1146),"as per slab")</f>
        <v/>
      </c>
    </row>
    <row r="1147">
      <c r="A1147" s="7" t="n"/>
      <c r="B1147" s="7" t="n"/>
      <c r="C1147" s="8" t="n"/>
      <c r="D1147" s="9" t="n"/>
      <c r="E1147" s="8" t="n"/>
      <c r="F1147" s="9" t="n"/>
      <c r="G1147" s="9" t="n"/>
      <c r="H1147" s="3">
        <f>IF(AND(D1147&lt;&gt;"",F1147&lt;&gt;""),F1147-D1147-G1147,"")</f>
        <v/>
      </c>
      <c r="I1147" s="14">
        <f>IF(E1147&lt;&gt;"", YEARFRAC(C1147, E1147) * 12, "")</f>
        <v/>
      </c>
      <c r="J1147" s="2">
        <f>IF(I1147="", "", IF(OR(AND(A1147="Listed Equity Shares", I1147&gt;12), AND(A1147="Unlisted Equity Shares", I1147&gt;24)), "Long Term", "Short Term"))</f>
        <v/>
      </c>
      <c r="K1147" s="5">
        <f>IF(J1147="", "", IF(J1147="Long Term", 12.5%,"as per slab"))</f>
        <v/>
      </c>
      <c r="L1147" s="3">
        <f>+IFERROR(IF(J1147="","",H1147*K1147),"as per slab")</f>
        <v/>
      </c>
    </row>
    <row r="1148">
      <c r="A1148" s="7" t="n"/>
      <c r="B1148" s="7" t="n"/>
      <c r="C1148" s="8" t="n"/>
      <c r="D1148" s="9" t="n"/>
      <c r="E1148" s="8" t="n"/>
      <c r="F1148" s="9" t="n"/>
      <c r="G1148" s="9" t="n"/>
      <c r="H1148" s="3">
        <f>IF(AND(D1148&lt;&gt;"",F1148&lt;&gt;""),F1148-D1148-G1148,"")</f>
        <v/>
      </c>
      <c r="I1148" s="14">
        <f>IF(E1148&lt;&gt;"", YEARFRAC(C1148, E1148) * 12, "")</f>
        <v/>
      </c>
      <c r="J1148" s="2">
        <f>IF(I1148="", "", IF(OR(AND(A1148="Listed Equity Shares", I1148&gt;12), AND(A1148="Unlisted Equity Shares", I1148&gt;24)), "Long Term", "Short Term"))</f>
        <v/>
      </c>
      <c r="K1148" s="5">
        <f>IF(J1148="", "", IF(J1148="Long Term", 12.5%,"as per slab"))</f>
        <v/>
      </c>
      <c r="L1148" s="3">
        <f>+IFERROR(IF(J1148="","",H1148*K1148),"as per slab")</f>
        <v/>
      </c>
    </row>
    <row r="1149">
      <c r="A1149" s="7" t="n"/>
      <c r="B1149" s="7" t="n"/>
      <c r="C1149" s="8" t="n"/>
      <c r="D1149" s="9" t="n"/>
      <c r="E1149" s="8" t="n"/>
      <c r="F1149" s="9" t="n"/>
      <c r="G1149" s="9" t="n"/>
      <c r="H1149" s="3">
        <f>IF(AND(D1149&lt;&gt;"",F1149&lt;&gt;""),F1149-D1149-G1149,"")</f>
        <v/>
      </c>
      <c r="I1149" s="14">
        <f>IF(E1149&lt;&gt;"", YEARFRAC(C1149, E1149) * 12, "")</f>
        <v/>
      </c>
      <c r="J1149" s="2">
        <f>IF(I1149="", "", IF(OR(AND(A1149="Listed Equity Shares", I1149&gt;12), AND(A1149="Unlisted Equity Shares", I1149&gt;24)), "Long Term", "Short Term"))</f>
        <v/>
      </c>
      <c r="K1149" s="5">
        <f>IF(J1149="", "", IF(J1149="Long Term", 12.5%,"as per slab"))</f>
        <v/>
      </c>
      <c r="L1149" s="3">
        <f>+IFERROR(IF(J1149="","",H1149*K1149),"as per slab")</f>
        <v/>
      </c>
    </row>
    <row r="1150">
      <c r="A1150" s="7" t="n"/>
      <c r="B1150" s="7" t="n"/>
      <c r="C1150" s="8" t="n"/>
      <c r="D1150" s="9" t="n"/>
      <c r="E1150" s="8" t="n"/>
      <c r="F1150" s="9" t="n"/>
      <c r="G1150" s="9" t="n"/>
      <c r="H1150" s="3">
        <f>IF(AND(D1150&lt;&gt;"",F1150&lt;&gt;""),F1150-D1150-G1150,"")</f>
        <v/>
      </c>
      <c r="I1150" s="14">
        <f>IF(E1150&lt;&gt;"", YEARFRAC(C1150, E1150) * 12, "")</f>
        <v/>
      </c>
      <c r="J1150" s="2">
        <f>IF(I1150="", "", IF(OR(AND(A1150="Listed Equity Shares", I1150&gt;12), AND(A1150="Unlisted Equity Shares", I1150&gt;24)), "Long Term", "Short Term"))</f>
        <v/>
      </c>
      <c r="K1150" s="5">
        <f>IF(J1150="", "", IF(J1150="Long Term", 12.5%,"as per slab"))</f>
        <v/>
      </c>
      <c r="L1150" s="3">
        <f>+IFERROR(IF(J1150="","",H1150*K1150),"as per slab")</f>
        <v/>
      </c>
    </row>
    <row r="1151">
      <c r="A1151" s="7" t="n"/>
      <c r="B1151" s="7" t="n"/>
      <c r="C1151" s="8" t="n"/>
      <c r="D1151" s="9" t="n"/>
      <c r="E1151" s="8" t="n"/>
      <c r="F1151" s="9" t="n"/>
      <c r="G1151" s="9" t="n"/>
      <c r="H1151" s="3">
        <f>IF(AND(D1151&lt;&gt;"",F1151&lt;&gt;""),F1151-D1151-G1151,"")</f>
        <v/>
      </c>
      <c r="I1151" s="14">
        <f>IF(E1151&lt;&gt;"", YEARFRAC(C1151, E1151) * 12, "")</f>
        <v/>
      </c>
      <c r="J1151" s="2">
        <f>IF(I1151="", "", IF(OR(AND(A1151="Listed Equity Shares", I1151&gt;12), AND(A1151="Unlisted Equity Shares", I1151&gt;24)), "Long Term", "Short Term"))</f>
        <v/>
      </c>
      <c r="K1151" s="5">
        <f>IF(J1151="", "", IF(J1151="Long Term", 12.5%,"as per slab"))</f>
        <v/>
      </c>
      <c r="L1151" s="3">
        <f>+IFERROR(IF(J1151="","",H1151*K1151),"as per slab")</f>
        <v/>
      </c>
    </row>
    <row r="1152">
      <c r="A1152" s="7" t="n"/>
      <c r="B1152" s="7" t="n"/>
      <c r="C1152" s="8" t="n"/>
      <c r="D1152" s="9" t="n"/>
      <c r="E1152" s="8" t="n"/>
      <c r="F1152" s="9" t="n"/>
      <c r="G1152" s="9" t="n"/>
      <c r="H1152" s="3">
        <f>IF(AND(D1152&lt;&gt;"",F1152&lt;&gt;""),F1152-D1152-G1152,"")</f>
        <v/>
      </c>
      <c r="I1152" s="14">
        <f>IF(E1152&lt;&gt;"", YEARFRAC(C1152, E1152) * 12, "")</f>
        <v/>
      </c>
      <c r="J1152" s="2">
        <f>IF(I1152="", "", IF(OR(AND(A1152="Listed Equity Shares", I1152&gt;12), AND(A1152="Unlisted Equity Shares", I1152&gt;24)), "Long Term", "Short Term"))</f>
        <v/>
      </c>
      <c r="K1152" s="5">
        <f>IF(J1152="", "", IF(J1152="Long Term", 12.5%,"as per slab"))</f>
        <v/>
      </c>
      <c r="L1152" s="3">
        <f>+IFERROR(IF(J1152="","",H1152*K1152),"as per slab")</f>
        <v/>
      </c>
    </row>
    <row r="1153">
      <c r="A1153" s="7" t="n"/>
      <c r="B1153" s="7" t="n"/>
      <c r="C1153" s="8" t="n"/>
      <c r="D1153" s="9" t="n"/>
      <c r="E1153" s="8" t="n"/>
      <c r="F1153" s="9" t="n"/>
      <c r="G1153" s="9" t="n"/>
      <c r="H1153" s="3">
        <f>IF(AND(D1153&lt;&gt;"",F1153&lt;&gt;""),F1153-D1153-G1153,"")</f>
        <v/>
      </c>
      <c r="I1153" s="14">
        <f>IF(E1153&lt;&gt;"", YEARFRAC(C1153, E1153) * 12, "")</f>
        <v/>
      </c>
      <c r="J1153" s="2">
        <f>IF(I1153="", "", IF(OR(AND(A1153="Listed Equity Shares", I1153&gt;12), AND(A1153="Unlisted Equity Shares", I1153&gt;24)), "Long Term", "Short Term"))</f>
        <v/>
      </c>
      <c r="K1153" s="5">
        <f>IF(J1153="", "", IF(J1153="Long Term", 12.5%,"as per slab"))</f>
        <v/>
      </c>
      <c r="L1153" s="3">
        <f>+IFERROR(IF(J1153="","",H1153*K1153),"as per slab")</f>
        <v/>
      </c>
    </row>
    <row r="1154">
      <c r="A1154" s="7" t="n"/>
      <c r="B1154" s="7" t="n"/>
      <c r="C1154" s="8" t="n"/>
      <c r="D1154" s="9" t="n"/>
      <c r="E1154" s="8" t="n"/>
      <c r="F1154" s="9" t="n"/>
      <c r="G1154" s="9" t="n"/>
      <c r="H1154" s="3">
        <f>IF(AND(D1154&lt;&gt;"",F1154&lt;&gt;""),F1154-D1154-G1154,"")</f>
        <v/>
      </c>
      <c r="I1154" s="14">
        <f>IF(E1154&lt;&gt;"", YEARFRAC(C1154, E1154) * 12, "")</f>
        <v/>
      </c>
      <c r="J1154" s="2">
        <f>IF(I1154="", "", IF(OR(AND(A1154="Listed Equity Shares", I1154&gt;12), AND(A1154="Unlisted Equity Shares", I1154&gt;24)), "Long Term", "Short Term"))</f>
        <v/>
      </c>
      <c r="K1154" s="5">
        <f>IF(J1154="", "", IF(J1154="Long Term", 12.5%,"as per slab"))</f>
        <v/>
      </c>
      <c r="L1154" s="3">
        <f>+IFERROR(IF(J1154="","",H1154*K1154),"as per slab")</f>
        <v/>
      </c>
    </row>
    <row r="1155">
      <c r="A1155" s="7" t="n"/>
      <c r="B1155" s="7" t="n"/>
      <c r="C1155" s="8" t="n"/>
      <c r="D1155" s="9" t="n"/>
      <c r="E1155" s="8" t="n"/>
      <c r="F1155" s="9" t="n"/>
      <c r="G1155" s="9" t="n"/>
      <c r="H1155" s="3">
        <f>IF(AND(D1155&lt;&gt;"",F1155&lt;&gt;""),F1155-D1155-G1155,"")</f>
        <v/>
      </c>
      <c r="I1155" s="14">
        <f>IF(E1155&lt;&gt;"", YEARFRAC(C1155, E1155) * 12, "")</f>
        <v/>
      </c>
      <c r="J1155" s="2">
        <f>IF(I1155="", "", IF(OR(AND(A1155="Listed Equity Shares", I1155&gt;12), AND(A1155="Unlisted Equity Shares", I1155&gt;24)), "Long Term", "Short Term"))</f>
        <v/>
      </c>
      <c r="K1155" s="5">
        <f>IF(J1155="", "", IF(J1155="Long Term", 12.5%,"as per slab"))</f>
        <v/>
      </c>
      <c r="L1155" s="3">
        <f>+IFERROR(IF(J1155="","",H1155*K1155),"as per slab")</f>
        <v/>
      </c>
    </row>
    <row r="1156">
      <c r="A1156" s="7" t="n"/>
      <c r="B1156" s="7" t="n"/>
      <c r="C1156" s="8" t="n"/>
      <c r="D1156" s="9" t="n"/>
      <c r="E1156" s="8" t="n"/>
      <c r="F1156" s="9" t="n"/>
      <c r="G1156" s="9" t="n"/>
      <c r="H1156" s="3">
        <f>IF(AND(D1156&lt;&gt;"",F1156&lt;&gt;""),F1156-D1156-G1156,"")</f>
        <v/>
      </c>
      <c r="I1156" s="14">
        <f>IF(E1156&lt;&gt;"", YEARFRAC(C1156, E1156) * 12, "")</f>
        <v/>
      </c>
      <c r="J1156" s="2">
        <f>IF(I1156="", "", IF(OR(AND(A1156="Listed Equity Shares", I1156&gt;12), AND(A1156="Unlisted Equity Shares", I1156&gt;24)), "Long Term", "Short Term"))</f>
        <v/>
      </c>
      <c r="K1156" s="5">
        <f>IF(J1156="", "", IF(J1156="Long Term", 12.5%,"as per slab"))</f>
        <v/>
      </c>
      <c r="L1156" s="3">
        <f>+IFERROR(IF(J1156="","",H1156*K1156),"as per slab")</f>
        <v/>
      </c>
    </row>
    <row r="1157">
      <c r="A1157" s="7" t="n"/>
      <c r="B1157" s="7" t="n"/>
      <c r="C1157" s="8" t="n"/>
      <c r="D1157" s="9" t="n"/>
      <c r="E1157" s="8" t="n"/>
      <c r="F1157" s="9" t="n"/>
      <c r="G1157" s="9" t="n"/>
      <c r="H1157" s="3">
        <f>IF(AND(D1157&lt;&gt;"",F1157&lt;&gt;""),F1157-D1157-G1157,"")</f>
        <v/>
      </c>
      <c r="I1157" s="14">
        <f>IF(E1157&lt;&gt;"", YEARFRAC(C1157, E1157) * 12, "")</f>
        <v/>
      </c>
      <c r="J1157" s="2">
        <f>IF(I1157="", "", IF(OR(AND(A1157="Listed Equity Shares", I1157&gt;12), AND(A1157="Unlisted Equity Shares", I1157&gt;24)), "Long Term", "Short Term"))</f>
        <v/>
      </c>
      <c r="K1157" s="5">
        <f>IF(J1157="", "", IF(J1157="Long Term", 12.5%,"as per slab"))</f>
        <v/>
      </c>
      <c r="L1157" s="3">
        <f>+IFERROR(IF(J1157="","",H1157*K1157),"as per slab")</f>
        <v/>
      </c>
    </row>
    <row r="1158">
      <c r="A1158" s="7" t="n"/>
      <c r="B1158" s="7" t="n"/>
      <c r="C1158" s="8" t="n"/>
      <c r="D1158" s="9" t="n"/>
      <c r="E1158" s="8" t="n"/>
      <c r="F1158" s="9" t="n"/>
      <c r="G1158" s="9" t="n"/>
      <c r="H1158" s="3">
        <f>IF(AND(D1158&lt;&gt;"",F1158&lt;&gt;""),F1158-D1158-G1158,"")</f>
        <v/>
      </c>
      <c r="I1158" s="14">
        <f>IF(E1158&lt;&gt;"", YEARFRAC(C1158, E1158) * 12, "")</f>
        <v/>
      </c>
      <c r="J1158" s="2">
        <f>IF(I1158="", "", IF(OR(AND(A1158="Listed Equity Shares", I1158&gt;12), AND(A1158="Unlisted Equity Shares", I1158&gt;24)), "Long Term", "Short Term"))</f>
        <v/>
      </c>
      <c r="K1158" s="5">
        <f>IF(J1158="", "", IF(J1158="Long Term", 12.5%,"as per slab"))</f>
        <v/>
      </c>
      <c r="L1158" s="3">
        <f>+IFERROR(IF(J1158="","",H1158*K1158),"as per slab")</f>
        <v/>
      </c>
    </row>
    <row r="1159">
      <c r="A1159" s="7" t="n"/>
      <c r="B1159" s="7" t="n"/>
      <c r="C1159" s="8" t="n"/>
      <c r="D1159" s="9" t="n"/>
      <c r="E1159" s="8" t="n"/>
      <c r="F1159" s="9" t="n"/>
      <c r="G1159" s="9" t="n"/>
      <c r="H1159" s="3">
        <f>IF(AND(D1159&lt;&gt;"",F1159&lt;&gt;""),F1159-D1159-G1159,"")</f>
        <v/>
      </c>
      <c r="I1159" s="14">
        <f>IF(E1159&lt;&gt;"", YEARFRAC(C1159, E1159) * 12, "")</f>
        <v/>
      </c>
      <c r="J1159" s="2">
        <f>IF(I1159="", "", IF(OR(AND(A1159="Listed Equity Shares", I1159&gt;12), AND(A1159="Unlisted Equity Shares", I1159&gt;24)), "Long Term", "Short Term"))</f>
        <v/>
      </c>
      <c r="K1159" s="5">
        <f>IF(J1159="", "", IF(J1159="Long Term", 12.5%,"as per slab"))</f>
        <v/>
      </c>
      <c r="L1159" s="3">
        <f>+IFERROR(IF(J1159="","",H1159*K1159),"as per slab")</f>
        <v/>
      </c>
    </row>
    <row r="1160">
      <c r="A1160" s="7" t="n"/>
      <c r="B1160" s="7" t="n"/>
      <c r="C1160" s="8" t="n"/>
      <c r="D1160" s="9" t="n"/>
      <c r="E1160" s="8" t="n"/>
      <c r="F1160" s="9" t="n"/>
      <c r="G1160" s="9" t="n"/>
      <c r="H1160" s="3">
        <f>IF(AND(D1160&lt;&gt;"",F1160&lt;&gt;""),F1160-D1160-G1160,"")</f>
        <v/>
      </c>
      <c r="I1160" s="14">
        <f>IF(E1160&lt;&gt;"", YEARFRAC(C1160, E1160) * 12, "")</f>
        <v/>
      </c>
      <c r="J1160" s="2">
        <f>IF(I1160="", "", IF(OR(AND(A1160="Listed Equity Shares", I1160&gt;12), AND(A1160="Unlisted Equity Shares", I1160&gt;24)), "Long Term", "Short Term"))</f>
        <v/>
      </c>
      <c r="K1160" s="5">
        <f>IF(J1160="", "", IF(J1160="Long Term", 12.5%,"as per slab"))</f>
        <v/>
      </c>
      <c r="L1160" s="3">
        <f>+IFERROR(IF(J1160="","",H1160*K1160),"as per slab")</f>
        <v/>
      </c>
    </row>
    <row r="1161">
      <c r="A1161" s="7" t="n"/>
      <c r="B1161" s="7" t="n"/>
      <c r="C1161" s="8" t="n"/>
      <c r="D1161" s="9" t="n"/>
      <c r="E1161" s="8" t="n"/>
      <c r="F1161" s="9" t="n"/>
      <c r="G1161" s="9" t="n"/>
      <c r="H1161" s="3">
        <f>IF(AND(D1161&lt;&gt;"",F1161&lt;&gt;""),F1161-D1161-G1161,"")</f>
        <v/>
      </c>
      <c r="I1161" s="14">
        <f>IF(E1161&lt;&gt;"", YEARFRAC(C1161, E1161) * 12, "")</f>
        <v/>
      </c>
      <c r="J1161" s="2">
        <f>IF(I1161="", "", IF(OR(AND(A1161="Listed Equity Shares", I1161&gt;12), AND(A1161="Unlisted Equity Shares", I1161&gt;24)), "Long Term", "Short Term"))</f>
        <v/>
      </c>
      <c r="K1161" s="5">
        <f>IF(J1161="", "", IF(J1161="Long Term", 12.5%,"as per slab"))</f>
        <v/>
      </c>
      <c r="L1161" s="3">
        <f>+IFERROR(IF(J1161="","",H1161*K1161),"as per slab")</f>
        <v/>
      </c>
    </row>
    <row r="1162">
      <c r="A1162" s="7" t="n"/>
      <c r="B1162" s="7" t="n"/>
      <c r="C1162" s="8" t="n"/>
      <c r="D1162" s="9" t="n"/>
      <c r="E1162" s="8" t="n"/>
      <c r="F1162" s="9" t="n"/>
      <c r="G1162" s="9" t="n"/>
      <c r="H1162" s="3">
        <f>IF(AND(D1162&lt;&gt;"",F1162&lt;&gt;""),F1162-D1162-G1162,"")</f>
        <v/>
      </c>
      <c r="I1162" s="14">
        <f>IF(E1162&lt;&gt;"", YEARFRAC(C1162, E1162) * 12, "")</f>
        <v/>
      </c>
      <c r="J1162" s="2">
        <f>IF(I1162="", "", IF(OR(AND(A1162="Listed Equity Shares", I1162&gt;12), AND(A1162="Unlisted Equity Shares", I1162&gt;24)), "Long Term", "Short Term"))</f>
        <v/>
      </c>
      <c r="K1162" s="5">
        <f>IF(J1162="", "", IF(J1162="Long Term", 12.5%,"as per slab"))</f>
        <v/>
      </c>
      <c r="L1162" s="3">
        <f>+IFERROR(IF(J1162="","",H1162*K1162),"as per slab")</f>
        <v/>
      </c>
    </row>
    <row r="1163">
      <c r="A1163" s="7" t="n"/>
      <c r="B1163" s="7" t="n"/>
      <c r="C1163" s="8" t="n"/>
      <c r="D1163" s="9" t="n"/>
      <c r="E1163" s="8" t="n"/>
      <c r="F1163" s="9" t="n"/>
      <c r="G1163" s="9" t="n"/>
      <c r="H1163" s="3">
        <f>IF(AND(D1163&lt;&gt;"",F1163&lt;&gt;""),F1163-D1163-G1163,"")</f>
        <v/>
      </c>
      <c r="I1163" s="14">
        <f>IF(E1163&lt;&gt;"", YEARFRAC(C1163, E1163) * 12, "")</f>
        <v/>
      </c>
      <c r="J1163" s="2">
        <f>IF(I1163="", "", IF(OR(AND(A1163="Listed Equity Shares", I1163&gt;12), AND(A1163="Unlisted Equity Shares", I1163&gt;24)), "Long Term", "Short Term"))</f>
        <v/>
      </c>
      <c r="K1163" s="5">
        <f>IF(J1163="", "", IF(J1163="Long Term", 12.5%,"as per slab"))</f>
        <v/>
      </c>
      <c r="L1163" s="3">
        <f>+IFERROR(IF(J1163="","",H1163*K1163),"as per slab")</f>
        <v/>
      </c>
    </row>
    <row r="1164">
      <c r="A1164" s="7" t="n"/>
      <c r="B1164" s="7" t="n"/>
      <c r="C1164" s="8" t="n"/>
      <c r="D1164" s="9" t="n"/>
      <c r="E1164" s="8" t="n"/>
      <c r="F1164" s="9" t="n"/>
      <c r="G1164" s="9" t="n"/>
      <c r="H1164" s="3">
        <f>IF(AND(D1164&lt;&gt;"",F1164&lt;&gt;""),F1164-D1164-G1164,"")</f>
        <v/>
      </c>
      <c r="I1164" s="14">
        <f>IF(E1164&lt;&gt;"", YEARFRAC(C1164, E1164) * 12, "")</f>
        <v/>
      </c>
      <c r="J1164" s="2">
        <f>IF(I1164="", "", IF(OR(AND(A1164="Listed Equity Shares", I1164&gt;12), AND(A1164="Unlisted Equity Shares", I1164&gt;24)), "Long Term", "Short Term"))</f>
        <v/>
      </c>
      <c r="K1164" s="5">
        <f>IF(J1164="", "", IF(J1164="Long Term", 12.5%,"as per slab"))</f>
        <v/>
      </c>
      <c r="L1164" s="3">
        <f>+IFERROR(IF(J1164="","",H1164*K1164),"as per slab")</f>
        <v/>
      </c>
    </row>
    <row r="1165">
      <c r="A1165" s="7" t="n"/>
      <c r="B1165" s="7" t="n"/>
      <c r="C1165" s="8" t="n"/>
      <c r="D1165" s="9" t="n"/>
      <c r="E1165" s="8" t="n"/>
      <c r="F1165" s="9" t="n"/>
      <c r="G1165" s="9" t="n"/>
      <c r="H1165" s="3">
        <f>IF(AND(D1165&lt;&gt;"",F1165&lt;&gt;""),F1165-D1165-G1165,"")</f>
        <v/>
      </c>
      <c r="I1165" s="14">
        <f>IF(E1165&lt;&gt;"", YEARFRAC(C1165, E1165) * 12, "")</f>
        <v/>
      </c>
      <c r="J1165" s="2">
        <f>IF(I1165="", "", IF(OR(AND(A1165="Listed Equity Shares", I1165&gt;12), AND(A1165="Unlisted Equity Shares", I1165&gt;24)), "Long Term", "Short Term"))</f>
        <v/>
      </c>
      <c r="K1165" s="5">
        <f>IF(J1165="", "", IF(J1165="Long Term", 12.5%,"as per slab"))</f>
        <v/>
      </c>
      <c r="L1165" s="3">
        <f>+IFERROR(IF(J1165="","",H1165*K1165),"as per slab")</f>
        <v/>
      </c>
    </row>
    <row r="1166">
      <c r="A1166" s="7" t="n"/>
      <c r="B1166" s="7" t="n"/>
      <c r="C1166" s="8" t="n"/>
      <c r="D1166" s="9" t="n"/>
      <c r="E1166" s="8" t="n"/>
      <c r="F1166" s="9" t="n"/>
      <c r="G1166" s="9" t="n"/>
      <c r="H1166" s="3">
        <f>IF(AND(D1166&lt;&gt;"",F1166&lt;&gt;""),F1166-D1166-G1166,"")</f>
        <v/>
      </c>
      <c r="I1166" s="14">
        <f>IF(E1166&lt;&gt;"", YEARFRAC(C1166, E1166) * 12, "")</f>
        <v/>
      </c>
      <c r="J1166" s="2">
        <f>IF(I1166="", "", IF(OR(AND(A1166="Listed Equity Shares", I1166&gt;12), AND(A1166="Unlisted Equity Shares", I1166&gt;24)), "Long Term", "Short Term"))</f>
        <v/>
      </c>
      <c r="K1166" s="5">
        <f>IF(J1166="", "", IF(J1166="Long Term", 12.5%,"as per slab"))</f>
        <v/>
      </c>
      <c r="L1166" s="3">
        <f>+IFERROR(IF(J1166="","",H1166*K1166),"as per slab")</f>
        <v/>
      </c>
    </row>
    <row r="1167">
      <c r="A1167" s="7" t="n"/>
      <c r="B1167" s="7" t="n"/>
      <c r="C1167" s="8" t="n"/>
      <c r="D1167" s="9" t="n"/>
      <c r="E1167" s="8" t="n"/>
      <c r="F1167" s="9" t="n"/>
      <c r="G1167" s="9" t="n"/>
      <c r="H1167" s="3">
        <f>IF(AND(D1167&lt;&gt;"",F1167&lt;&gt;""),F1167-D1167-G1167,"")</f>
        <v/>
      </c>
      <c r="I1167" s="14">
        <f>IF(E1167&lt;&gt;"", YEARFRAC(C1167, E1167) * 12, "")</f>
        <v/>
      </c>
      <c r="J1167" s="2">
        <f>IF(I1167="", "", IF(OR(AND(A1167="Listed Equity Shares", I1167&gt;12), AND(A1167="Unlisted Equity Shares", I1167&gt;24)), "Long Term", "Short Term"))</f>
        <v/>
      </c>
      <c r="K1167" s="5">
        <f>IF(J1167="", "", IF(J1167="Long Term", 12.5%,"as per slab"))</f>
        <v/>
      </c>
      <c r="L1167" s="3">
        <f>+IFERROR(IF(J1167="","",H1167*K1167),"as per slab")</f>
        <v/>
      </c>
    </row>
    <row r="1168">
      <c r="A1168" s="7" t="n"/>
      <c r="B1168" s="7" t="n"/>
      <c r="C1168" s="8" t="n"/>
      <c r="D1168" s="9" t="n"/>
      <c r="E1168" s="8" t="n"/>
      <c r="F1168" s="9" t="n"/>
      <c r="G1168" s="9" t="n"/>
      <c r="H1168" s="3">
        <f>IF(AND(D1168&lt;&gt;"",F1168&lt;&gt;""),F1168-D1168-G1168,"")</f>
        <v/>
      </c>
      <c r="I1168" s="14">
        <f>IF(E1168&lt;&gt;"", YEARFRAC(C1168, E1168) * 12, "")</f>
        <v/>
      </c>
      <c r="J1168" s="2">
        <f>IF(I1168="", "", IF(OR(AND(A1168="Listed Equity Shares", I1168&gt;12), AND(A1168="Unlisted Equity Shares", I1168&gt;24)), "Long Term", "Short Term"))</f>
        <v/>
      </c>
      <c r="K1168" s="5">
        <f>IF(J1168="", "", IF(J1168="Long Term", 12.5%,"as per slab"))</f>
        <v/>
      </c>
      <c r="L1168" s="3">
        <f>+IFERROR(IF(J1168="","",H1168*K1168),"as per slab")</f>
        <v/>
      </c>
    </row>
    <row r="1169">
      <c r="A1169" s="7" t="n"/>
      <c r="B1169" s="7" t="n"/>
      <c r="C1169" s="8" t="n"/>
      <c r="D1169" s="9" t="n"/>
      <c r="E1169" s="8" t="n"/>
      <c r="F1169" s="9" t="n"/>
      <c r="G1169" s="9" t="n"/>
      <c r="H1169" s="3">
        <f>IF(AND(D1169&lt;&gt;"",F1169&lt;&gt;""),F1169-D1169-G1169,"")</f>
        <v/>
      </c>
      <c r="I1169" s="14">
        <f>IF(E1169&lt;&gt;"", YEARFRAC(C1169, E1169) * 12, "")</f>
        <v/>
      </c>
      <c r="J1169" s="2">
        <f>IF(I1169="", "", IF(OR(AND(A1169="Listed Equity Shares", I1169&gt;12), AND(A1169="Unlisted Equity Shares", I1169&gt;24)), "Long Term", "Short Term"))</f>
        <v/>
      </c>
      <c r="K1169" s="5">
        <f>IF(J1169="", "", IF(J1169="Long Term", 12.5%,"as per slab"))</f>
        <v/>
      </c>
      <c r="L1169" s="3">
        <f>+IFERROR(IF(J1169="","",H1169*K1169),"as per slab")</f>
        <v/>
      </c>
    </row>
    <row r="1170">
      <c r="A1170" s="7" t="n"/>
      <c r="B1170" s="7" t="n"/>
      <c r="C1170" s="8" t="n"/>
      <c r="D1170" s="9" t="n"/>
      <c r="E1170" s="8" t="n"/>
      <c r="F1170" s="9" t="n"/>
      <c r="G1170" s="9" t="n"/>
      <c r="H1170" s="3">
        <f>IF(AND(D1170&lt;&gt;"",F1170&lt;&gt;""),F1170-D1170-G1170,"")</f>
        <v/>
      </c>
      <c r="I1170" s="14">
        <f>IF(E1170&lt;&gt;"", YEARFRAC(C1170, E1170) * 12, "")</f>
        <v/>
      </c>
      <c r="J1170" s="2">
        <f>IF(I1170="", "", IF(OR(AND(A1170="Listed Equity Shares", I1170&gt;12), AND(A1170="Unlisted Equity Shares", I1170&gt;24)), "Long Term", "Short Term"))</f>
        <v/>
      </c>
      <c r="K1170" s="5">
        <f>IF(J1170="", "", IF(J1170="Long Term", 12.5%,"as per slab"))</f>
        <v/>
      </c>
      <c r="L1170" s="3">
        <f>+IFERROR(IF(J1170="","",H1170*K1170),"as per slab")</f>
        <v/>
      </c>
    </row>
    <row r="1171">
      <c r="A1171" s="7" t="n"/>
      <c r="B1171" s="7" t="n"/>
      <c r="C1171" s="8" t="n"/>
      <c r="D1171" s="9" t="n"/>
      <c r="E1171" s="8" t="n"/>
      <c r="F1171" s="9" t="n"/>
      <c r="G1171" s="9" t="n"/>
      <c r="H1171" s="3">
        <f>IF(AND(D1171&lt;&gt;"",F1171&lt;&gt;""),F1171-D1171-G1171,"")</f>
        <v/>
      </c>
      <c r="I1171" s="14">
        <f>IF(E1171&lt;&gt;"", YEARFRAC(C1171, E1171) * 12, "")</f>
        <v/>
      </c>
      <c r="J1171" s="2">
        <f>IF(I1171="", "", IF(OR(AND(A1171="Listed Equity Shares", I1171&gt;12), AND(A1171="Unlisted Equity Shares", I1171&gt;24)), "Long Term", "Short Term"))</f>
        <v/>
      </c>
      <c r="K1171" s="5">
        <f>IF(J1171="", "", IF(J1171="Long Term", 12.5%,"as per slab"))</f>
        <v/>
      </c>
      <c r="L1171" s="3">
        <f>+IFERROR(IF(J1171="","",H1171*K1171),"as per slab")</f>
        <v/>
      </c>
    </row>
    <row r="1172">
      <c r="A1172" s="7" t="n"/>
      <c r="B1172" s="7" t="n"/>
      <c r="C1172" s="8" t="n"/>
      <c r="D1172" s="9" t="n"/>
      <c r="E1172" s="8" t="n"/>
      <c r="F1172" s="9" t="n"/>
      <c r="G1172" s="9" t="n"/>
      <c r="H1172" s="3">
        <f>IF(AND(D1172&lt;&gt;"",F1172&lt;&gt;""),F1172-D1172-G1172,"")</f>
        <v/>
      </c>
      <c r="I1172" s="14">
        <f>IF(E1172&lt;&gt;"", YEARFRAC(C1172, E1172) * 12, "")</f>
        <v/>
      </c>
      <c r="J1172" s="2">
        <f>IF(I1172="", "", IF(OR(AND(A1172="Listed Equity Shares", I1172&gt;12), AND(A1172="Unlisted Equity Shares", I1172&gt;24)), "Long Term", "Short Term"))</f>
        <v/>
      </c>
      <c r="K1172" s="5">
        <f>IF(J1172="", "", IF(J1172="Long Term", 12.5%,"as per slab"))</f>
        <v/>
      </c>
      <c r="L1172" s="3">
        <f>+IFERROR(IF(J1172="","",H1172*K1172),"as per slab")</f>
        <v/>
      </c>
    </row>
    <row r="1173">
      <c r="A1173" s="7" t="n"/>
      <c r="B1173" s="7" t="n"/>
      <c r="C1173" s="8" t="n"/>
      <c r="D1173" s="9" t="n"/>
      <c r="E1173" s="8" t="n"/>
      <c r="F1173" s="9" t="n"/>
      <c r="G1173" s="9" t="n"/>
      <c r="H1173" s="3">
        <f>IF(AND(D1173&lt;&gt;"",F1173&lt;&gt;""),F1173-D1173-G1173,"")</f>
        <v/>
      </c>
      <c r="I1173" s="14">
        <f>IF(E1173&lt;&gt;"", YEARFRAC(C1173, E1173) * 12, "")</f>
        <v/>
      </c>
      <c r="J1173" s="2">
        <f>IF(I1173="", "", IF(OR(AND(A1173="Listed Equity Shares", I1173&gt;12), AND(A1173="Unlisted Equity Shares", I1173&gt;24)), "Long Term", "Short Term"))</f>
        <v/>
      </c>
      <c r="K1173" s="5">
        <f>IF(J1173="", "", IF(J1173="Long Term", 12.5%,"as per slab"))</f>
        <v/>
      </c>
      <c r="L1173" s="3">
        <f>+IFERROR(IF(J1173="","",H1173*K1173),"as per slab")</f>
        <v/>
      </c>
    </row>
    <row r="1174">
      <c r="A1174" s="7" t="n"/>
      <c r="B1174" s="7" t="n"/>
      <c r="C1174" s="8" t="n"/>
      <c r="D1174" s="9" t="n"/>
      <c r="E1174" s="8" t="n"/>
      <c r="F1174" s="9" t="n"/>
      <c r="G1174" s="9" t="n"/>
      <c r="H1174" s="3">
        <f>IF(AND(D1174&lt;&gt;"",F1174&lt;&gt;""),F1174-D1174-G1174,"")</f>
        <v/>
      </c>
      <c r="I1174" s="14">
        <f>IF(E1174&lt;&gt;"", YEARFRAC(C1174, E1174) * 12, "")</f>
        <v/>
      </c>
      <c r="J1174" s="2">
        <f>IF(I1174="", "", IF(OR(AND(A1174="Listed Equity Shares", I1174&gt;12), AND(A1174="Unlisted Equity Shares", I1174&gt;24)), "Long Term", "Short Term"))</f>
        <v/>
      </c>
      <c r="K1174" s="5">
        <f>IF(J1174="", "", IF(J1174="Long Term", 12.5%,"as per slab"))</f>
        <v/>
      </c>
      <c r="L1174" s="3">
        <f>+IFERROR(IF(J1174="","",H1174*K1174),"as per slab")</f>
        <v/>
      </c>
    </row>
    <row r="1175">
      <c r="A1175" s="7" t="n"/>
      <c r="B1175" s="7" t="n"/>
      <c r="C1175" s="8" t="n"/>
      <c r="D1175" s="9" t="n"/>
      <c r="E1175" s="8" t="n"/>
      <c r="F1175" s="9" t="n"/>
      <c r="G1175" s="9" t="n"/>
      <c r="H1175" s="3">
        <f>IF(AND(D1175&lt;&gt;"",F1175&lt;&gt;""),F1175-D1175-G1175,"")</f>
        <v/>
      </c>
      <c r="I1175" s="14">
        <f>IF(E1175&lt;&gt;"", YEARFRAC(C1175, E1175) * 12, "")</f>
        <v/>
      </c>
      <c r="J1175" s="2">
        <f>IF(I1175="", "", IF(OR(AND(A1175="Listed Equity Shares", I1175&gt;12), AND(A1175="Unlisted Equity Shares", I1175&gt;24)), "Long Term", "Short Term"))</f>
        <v/>
      </c>
      <c r="K1175" s="5">
        <f>IF(J1175="", "", IF(J1175="Long Term", 12.5%,"as per slab"))</f>
        <v/>
      </c>
      <c r="L1175" s="3">
        <f>+IFERROR(IF(J1175="","",H1175*K1175),"as per slab")</f>
        <v/>
      </c>
    </row>
    <row r="1176">
      <c r="A1176" s="7" t="n"/>
      <c r="B1176" s="7" t="n"/>
      <c r="C1176" s="8" t="n"/>
      <c r="D1176" s="9" t="n"/>
      <c r="E1176" s="8" t="n"/>
      <c r="F1176" s="9" t="n"/>
      <c r="G1176" s="9" t="n"/>
      <c r="H1176" s="3">
        <f>IF(AND(D1176&lt;&gt;"",F1176&lt;&gt;""),F1176-D1176-G1176,"")</f>
        <v/>
      </c>
      <c r="I1176" s="14">
        <f>IF(E1176&lt;&gt;"", YEARFRAC(C1176, E1176) * 12, "")</f>
        <v/>
      </c>
      <c r="J1176" s="2">
        <f>IF(I1176="", "", IF(OR(AND(A1176="Listed Equity Shares", I1176&gt;12), AND(A1176="Unlisted Equity Shares", I1176&gt;24)), "Long Term", "Short Term"))</f>
        <v/>
      </c>
      <c r="K1176" s="5">
        <f>IF(J1176="", "", IF(J1176="Long Term", 12.5%,"as per slab"))</f>
        <v/>
      </c>
      <c r="L1176" s="3">
        <f>+IFERROR(IF(J1176="","",H1176*K1176),"as per slab")</f>
        <v/>
      </c>
    </row>
    <row r="1177">
      <c r="A1177" s="7" t="n"/>
      <c r="B1177" s="7" t="n"/>
      <c r="C1177" s="8" t="n"/>
      <c r="D1177" s="9" t="n"/>
      <c r="E1177" s="8" t="n"/>
      <c r="F1177" s="9" t="n"/>
      <c r="G1177" s="9" t="n"/>
      <c r="H1177" s="3">
        <f>IF(AND(D1177&lt;&gt;"",F1177&lt;&gt;""),F1177-D1177-G1177,"")</f>
        <v/>
      </c>
      <c r="I1177" s="14">
        <f>IF(E1177&lt;&gt;"", YEARFRAC(C1177, E1177) * 12, "")</f>
        <v/>
      </c>
      <c r="J1177" s="2">
        <f>IF(I1177="", "", IF(OR(AND(A1177="Listed Equity Shares", I1177&gt;12), AND(A1177="Unlisted Equity Shares", I1177&gt;24)), "Long Term", "Short Term"))</f>
        <v/>
      </c>
      <c r="K1177" s="5">
        <f>IF(J1177="", "", IF(J1177="Long Term", 12.5%,"as per slab"))</f>
        <v/>
      </c>
      <c r="L1177" s="3">
        <f>+IFERROR(IF(J1177="","",H1177*K1177),"as per slab")</f>
        <v/>
      </c>
    </row>
    <row r="1178">
      <c r="A1178" s="7" t="n"/>
      <c r="B1178" s="7" t="n"/>
      <c r="C1178" s="8" t="n"/>
      <c r="D1178" s="9" t="n"/>
      <c r="E1178" s="8" t="n"/>
      <c r="F1178" s="9" t="n"/>
      <c r="G1178" s="9" t="n"/>
      <c r="H1178" s="3">
        <f>IF(AND(D1178&lt;&gt;"",F1178&lt;&gt;""),F1178-D1178-G1178,"")</f>
        <v/>
      </c>
      <c r="I1178" s="14">
        <f>IF(E1178&lt;&gt;"", YEARFRAC(C1178, E1178) * 12, "")</f>
        <v/>
      </c>
      <c r="J1178" s="2">
        <f>IF(I1178="", "", IF(OR(AND(A1178="Listed Equity Shares", I1178&gt;12), AND(A1178="Unlisted Equity Shares", I1178&gt;24)), "Long Term", "Short Term"))</f>
        <v/>
      </c>
      <c r="K1178" s="5">
        <f>IF(J1178="", "", IF(J1178="Long Term", 12.5%,"as per slab"))</f>
        <v/>
      </c>
      <c r="L1178" s="3">
        <f>+IFERROR(IF(J1178="","",H1178*K1178),"as per slab")</f>
        <v/>
      </c>
    </row>
    <row r="1179">
      <c r="A1179" s="7" t="n"/>
      <c r="B1179" s="7" t="n"/>
      <c r="C1179" s="8" t="n"/>
      <c r="D1179" s="9" t="n"/>
      <c r="E1179" s="8" t="n"/>
      <c r="F1179" s="9" t="n"/>
      <c r="G1179" s="9" t="n"/>
      <c r="H1179" s="3">
        <f>IF(AND(D1179&lt;&gt;"",F1179&lt;&gt;""),F1179-D1179-G1179,"")</f>
        <v/>
      </c>
      <c r="I1179" s="14">
        <f>IF(E1179&lt;&gt;"", YEARFRAC(C1179, E1179) * 12, "")</f>
        <v/>
      </c>
      <c r="J1179" s="2">
        <f>IF(I1179="", "", IF(OR(AND(A1179="Listed Equity Shares", I1179&gt;12), AND(A1179="Unlisted Equity Shares", I1179&gt;24)), "Long Term", "Short Term"))</f>
        <v/>
      </c>
      <c r="K1179" s="5">
        <f>IF(J1179="", "", IF(J1179="Long Term", 12.5%,"as per slab"))</f>
        <v/>
      </c>
      <c r="L1179" s="3">
        <f>+IFERROR(IF(J1179="","",H1179*K1179),"as per slab")</f>
        <v/>
      </c>
    </row>
    <row r="1180">
      <c r="A1180" s="7" t="n"/>
      <c r="B1180" s="7" t="n"/>
      <c r="C1180" s="8" t="n"/>
      <c r="D1180" s="9" t="n"/>
      <c r="E1180" s="8" t="n"/>
      <c r="F1180" s="9" t="n"/>
      <c r="G1180" s="9" t="n"/>
      <c r="H1180" s="3">
        <f>IF(AND(D1180&lt;&gt;"",F1180&lt;&gt;""),F1180-D1180-G1180,"")</f>
        <v/>
      </c>
      <c r="I1180" s="14">
        <f>IF(E1180&lt;&gt;"", YEARFRAC(C1180, E1180) * 12, "")</f>
        <v/>
      </c>
      <c r="J1180" s="2">
        <f>IF(I1180="", "", IF(OR(AND(A1180="Listed Equity Shares", I1180&gt;12), AND(A1180="Unlisted Equity Shares", I1180&gt;24)), "Long Term", "Short Term"))</f>
        <v/>
      </c>
      <c r="K1180" s="5">
        <f>IF(J1180="", "", IF(J1180="Long Term", 12.5%,"as per slab"))</f>
        <v/>
      </c>
      <c r="L1180" s="3">
        <f>+IFERROR(IF(J1180="","",H1180*K1180),"as per slab")</f>
        <v/>
      </c>
    </row>
    <row r="1181">
      <c r="A1181" s="7" t="n"/>
      <c r="B1181" s="7" t="n"/>
      <c r="C1181" s="8" t="n"/>
      <c r="D1181" s="9" t="n"/>
      <c r="E1181" s="8" t="n"/>
      <c r="F1181" s="9" t="n"/>
      <c r="G1181" s="9" t="n"/>
      <c r="H1181" s="3">
        <f>IF(AND(D1181&lt;&gt;"",F1181&lt;&gt;""),F1181-D1181-G1181,"")</f>
        <v/>
      </c>
      <c r="I1181" s="14">
        <f>IF(E1181&lt;&gt;"", YEARFRAC(C1181, E1181) * 12, "")</f>
        <v/>
      </c>
      <c r="J1181" s="2">
        <f>IF(I1181="", "", IF(OR(AND(A1181="Listed Equity Shares", I1181&gt;12), AND(A1181="Unlisted Equity Shares", I1181&gt;24)), "Long Term", "Short Term"))</f>
        <v/>
      </c>
      <c r="K1181" s="5">
        <f>IF(J1181="", "", IF(J1181="Long Term", 12.5%,"as per slab"))</f>
        <v/>
      </c>
      <c r="L1181" s="3">
        <f>+IFERROR(IF(J1181="","",H1181*K1181),"as per slab")</f>
        <v/>
      </c>
    </row>
    <row r="1182">
      <c r="A1182" s="7" t="n"/>
      <c r="B1182" s="7" t="n"/>
      <c r="C1182" s="8" t="n"/>
      <c r="D1182" s="9" t="n"/>
      <c r="E1182" s="8" t="n"/>
      <c r="F1182" s="9" t="n"/>
      <c r="G1182" s="9" t="n"/>
      <c r="H1182" s="3">
        <f>IF(AND(D1182&lt;&gt;"",F1182&lt;&gt;""),F1182-D1182-G1182,"")</f>
        <v/>
      </c>
      <c r="I1182" s="14">
        <f>IF(E1182&lt;&gt;"", YEARFRAC(C1182, E1182) * 12, "")</f>
        <v/>
      </c>
      <c r="J1182" s="2">
        <f>IF(I1182="", "", IF(OR(AND(A1182="Listed Equity Shares", I1182&gt;12), AND(A1182="Unlisted Equity Shares", I1182&gt;24)), "Long Term", "Short Term"))</f>
        <v/>
      </c>
      <c r="K1182" s="5">
        <f>IF(J1182="", "", IF(J1182="Long Term", 12.5%,"as per slab"))</f>
        <v/>
      </c>
      <c r="L1182" s="3">
        <f>+IFERROR(IF(J1182="","",H1182*K1182),"as per slab")</f>
        <v/>
      </c>
    </row>
    <row r="1183">
      <c r="A1183" s="7" t="n"/>
      <c r="B1183" s="7" t="n"/>
      <c r="C1183" s="8" t="n"/>
      <c r="D1183" s="9" t="n"/>
      <c r="E1183" s="8" t="n"/>
      <c r="F1183" s="9" t="n"/>
      <c r="G1183" s="9" t="n"/>
      <c r="H1183" s="3">
        <f>IF(AND(D1183&lt;&gt;"",F1183&lt;&gt;""),F1183-D1183-G1183,"")</f>
        <v/>
      </c>
      <c r="I1183" s="14">
        <f>IF(E1183&lt;&gt;"", YEARFRAC(C1183, E1183) * 12, "")</f>
        <v/>
      </c>
      <c r="J1183" s="2">
        <f>IF(I1183="", "", IF(OR(AND(A1183="Listed Equity Shares", I1183&gt;12), AND(A1183="Unlisted Equity Shares", I1183&gt;24)), "Long Term", "Short Term"))</f>
        <v/>
      </c>
      <c r="K1183" s="5">
        <f>IF(J1183="", "", IF(J1183="Long Term", 12.5%,"as per slab"))</f>
        <v/>
      </c>
      <c r="L1183" s="3">
        <f>+IFERROR(IF(J1183="","",H1183*K1183),"as per slab")</f>
        <v/>
      </c>
    </row>
    <row r="1184">
      <c r="A1184" s="7" t="n"/>
      <c r="B1184" s="7" t="n"/>
      <c r="C1184" s="8" t="n"/>
      <c r="D1184" s="9" t="n"/>
      <c r="E1184" s="8" t="n"/>
      <c r="F1184" s="9" t="n"/>
      <c r="G1184" s="9" t="n"/>
      <c r="H1184" s="3">
        <f>IF(AND(D1184&lt;&gt;"",F1184&lt;&gt;""),F1184-D1184-G1184,"")</f>
        <v/>
      </c>
      <c r="I1184" s="14">
        <f>IF(E1184&lt;&gt;"", YEARFRAC(C1184, E1184) * 12, "")</f>
        <v/>
      </c>
      <c r="J1184" s="2">
        <f>IF(I1184="", "", IF(OR(AND(A1184="Listed Equity Shares", I1184&gt;12), AND(A1184="Unlisted Equity Shares", I1184&gt;24)), "Long Term", "Short Term"))</f>
        <v/>
      </c>
      <c r="K1184" s="5">
        <f>IF(J1184="", "", IF(J1184="Long Term", 12.5%,"as per slab"))</f>
        <v/>
      </c>
      <c r="L1184" s="3">
        <f>+IFERROR(IF(J1184="","",H1184*K1184),"as per slab")</f>
        <v/>
      </c>
    </row>
    <row r="1185">
      <c r="A1185" s="7" t="n"/>
      <c r="B1185" s="7" t="n"/>
      <c r="C1185" s="8" t="n"/>
      <c r="D1185" s="9" t="n"/>
      <c r="E1185" s="8" t="n"/>
      <c r="F1185" s="9" t="n"/>
      <c r="G1185" s="9" t="n"/>
      <c r="H1185" s="3">
        <f>IF(AND(D1185&lt;&gt;"",F1185&lt;&gt;""),F1185-D1185-G1185,"")</f>
        <v/>
      </c>
      <c r="I1185" s="14">
        <f>IF(E1185&lt;&gt;"", YEARFRAC(C1185, E1185) * 12, "")</f>
        <v/>
      </c>
      <c r="J1185" s="2">
        <f>IF(I1185="", "", IF(OR(AND(A1185="Listed Equity Shares", I1185&gt;12), AND(A1185="Unlisted Equity Shares", I1185&gt;24)), "Long Term", "Short Term"))</f>
        <v/>
      </c>
      <c r="K1185" s="5">
        <f>IF(J1185="", "", IF(J1185="Long Term", 12.5%,"as per slab"))</f>
        <v/>
      </c>
      <c r="L1185" s="3">
        <f>+IFERROR(IF(J1185="","",H1185*K1185),"as per slab")</f>
        <v/>
      </c>
    </row>
    <row r="1186">
      <c r="A1186" s="7" t="n"/>
      <c r="B1186" s="7" t="n"/>
      <c r="C1186" s="8" t="n"/>
      <c r="D1186" s="9" t="n"/>
      <c r="E1186" s="8" t="n"/>
      <c r="F1186" s="9" t="n"/>
      <c r="G1186" s="9" t="n"/>
      <c r="H1186" s="3">
        <f>IF(AND(D1186&lt;&gt;"",F1186&lt;&gt;""),F1186-D1186-G1186,"")</f>
        <v/>
      </c>
      <c r="I1186" s="14">
        <f>IF(E1186&lt;&gt;"", YEARFRAC(C1186, E1186) * 12, "")</f>
        <v/>
      </c>
      <c r="J1186" s="2">
        <f>IF(I1186="", "", IF(OR(AND(A1186="Listed Equity Shares", I1186&gt;12), AND(A1186="Unlisted Equity Shares", I1186&gt;24)), "Long Term", "Short Term"))</f>
        <v/>
      </c>
      <c r="K1186" s="5">
        <f>IF(J1186="", "", IF(J1186="Long Term", 12.5%,"as per slab"))</f>
        <v/>
      </c>
      <c r="L1186" s="3">
        <f>+IFERROR(IF(J1186="","",H1186*K1186),"as per slab")</f>
        <v/>
      </c>
    </row>
    <row r="1187">
      <c r="A1187" s="7" t="n"/>
      <c r="B1187" s="7" t="n"/>
      <c r="C1187" s="8" t="n"/>
      <c r="D1187" s="9" t="n"/>
      <c r="E1187" s="8" t="n"/>
      <c r="F1187" s="9" t="n"/>
      <c r="G1187" s="9" t="n"/>
      <c r="H1187" s="3">
        <f>IF(AND(D1187&lt;&gt;"",F1187&lt;&gt;""),F1187-D1187-G1187,"")</f>
        <v/>
      </c>
      <c r="I1187" s="14">
        <f>IF(E1187&lt;&gt;"", YEARFRAC(C1187, E1187) * 12, "")</f>
        <v/>
      </c>
      <c r="J1187" s="2">
        <f>IF(I1187="", "", IF(OR(AND(A1187="Listed Equity Shares", I1187&gt;12), AND(A1187="Unlisted Equity Shares", I1187&gt;24)), "Long Term", "Short Term"))</f>
        <v/>
      </c>
      <c r="K1187" s="5">
        <f>IF(J1187="", "", IF(J1187="Long Term", 12.5%,"as per slab"))</f>
        <v/>
      </c>
      <c r="L1187" s="3">
        <f>+IFERROR(IF(J1187="","",H1187*K1187),"as per slab")</f>
        <v/>
      </c>
    </row>
    <row r="1188">
      <c r="A1188" s="7" t="n"/>
      <c r="B1188" s="7" t="n"/>
      <c r="C1188" s="8" t="n"/>
      <c r="D1188" s="9" t="n"/>
      <c r="E1188" s="8" t="n"/>
      <c r="F1188" s="9" t="n"/>
      <c r="G1188" s="9" t="n"/>
      <c r="H1188" s="3">
        <f>IF(AND(D1188&lt;&gt;"",F1188&lt;&gt;""),F1188-D1188-G1188,"")</f>
        <v/>
      </c>
      <c r="I1188" s="14">
        <f>IF(E1188&lt;&gt;"", YEARFRAC(C1188, E1188) * 12, "")</f>
        <v/>
      </c>
      <c r="J1188" s="2">
        <f>IF(I1188="", "", IF(OR(AND(A1188="Listed Equity Shares", I1188&gt;12), AND(A1188="Unlisted Equity Shares", I1188&gt;24)), "Long Term", "Short Term"))</f>
        <v/>
      </c>
      <c r="K1188" s="5">
        <f>IF(J1188="", "", IF(J1188="Long Term", 12.5%,"as per slab"))</f>
        <v/>
      </c>
      <c r="L1188" s="3">
        <f>+IFERROR(IF(J1188="","",H1188*K1188),"as per slab")</f>
        <v/>
      </c>
    </row>
    <row r="1189">
      <c r="A1189" s="7" t="n"/>
      <c r="B1189" s="7" t="n"/>
      <c r="C1189" s="8" t="n"/>
      <c r="D1189" s="9" t="n"/>
      <c r="E1189" s="8" t="n"/>
      <c r="F1189" s="9" t="n"/>
      <c r="G1189" s="9" t="n"/>
      <c r="H1189" s="3">
        <f>IF(AND(D1189&lt;&gt;"",F1189&lt;&gt;""),F1189-D1189-G1189,"")</f>
        <v/>
      </c>
      <c r="I1189" s="14">
        <f>IF(E1189&lt;&gt;"", YEARFRAC(C1189, E1189) * 12, "")</f>
        <v/>
      </c>
      <c r="J1189" s="2">
        <f>IF(I1189="", "", IF(OR(AND(A1189="Listed Equity Shares", I1189&gt;12), AND(A1189="Unlisted Equity Shares", I1189&gt;24)), "Long Term", "Short Term"))</f>
        <v/>
      </c>
      <c r="K1189" s="5">
        <f>IF(J1189="", "", IF(J1189="Long Term", 12.5%,"as per slab"))</f>
        <v/>
      </c>
      <c r="L1189" s="3">
        <f>+IFERROR(IF(J1189="","",H1189*K1189),"as per slab")</f>
        <v/>
      </c>
    </row>
    <row r="1190">
      <c r="A1190" s="7" t="n"/>
      <c r="B1190" s="7" t="n"/>
      <c r="C1190" s="8" t="n"/>
      <c r="D1190" s="9" t="n"/>
      <c r="E1190" s="8" t="n"/>
      <c r="F1190" s="9" t="n"/>
      <c r="G1190" s="9" t="n"/>
      <c r="H1190" s="3">
        <f>IF(AND(D1190&lt;&gt;"",F1190&lt;&gt;""),F1190-D1190-G1190,"")</f>
        <v/>
      </c>
      <c r="I1190" s="14">
        <f>IF(E1190&lt;&gt;"", YEARFRAC(C1190, E1190) * 12, "")</f>
        <v/>
      </c>
      <c r="J1190" s="2">
        <f>IF(I1190="", "", IF(OR(AND(A1190="Listed Equity Shares", I1190&gt;12), AND(A1190="Unlisted Equity Shares", I1190&gt;24)), "Long Term", "Short Term"))</f>
        <v/>
      </c>
      <c r="K1190" s="5">
        <f>IF(J1190="", "", IF(J1190="Long Term", 12.5%,"as per slab"))</f>
        <v/>
      </c>
      <c r="L1190" s="3">
        <f>+IFERROR(IF(J1190="","",H1190*K1190),"as per slab")</f>
        <v/>
      </c>
    </row>
    <row r="1191">
      <c r="A1191" s="7" t="n"/>
      <c r="B1191" s="7" t="n"/>
      <c r="C1191" s="8" t="n"/>
      <c r="D1191" s="9" t="n"/>
      <c r="E1191" s="8" t="n"/>
      <c r="F1191" s="9" t="n"/>
      <c r="G1191" s="9" t="n"/>
      <c r="H1191" s="3">
        <f>IF(AND(D1191&lt;&gt;"",F1191&lt;&gt;""),F1191-D1191-G1191,"")</f>
        <v/>
      </c>
      <c r="I1191" s="14">
        <f>IF(E1191&lt;&gt;"", YEARFRAC(C1191, E1191) * 12, "")</f>
        <v/>
      </c>
      <c r="J1191" s="2">
        <f>IF(I1191="", "", IF(OR(AND(A1191="Listed Equity Shares", I1191&gt;12), AND(A1191="Unlisted Equity Shares", I1191&gt;24)), "Long Term", "Short Term"))</f>
        <v/>
      </c>
      <c r="K1191" s="5">
        <f>IF(J1191="", "", IF(J1191="Long Term", 12.5%,"as per slab"))</f>
        <v/>
      </c>
      <c r="L1191" s="3">
        <f>+IFERROR(IF(J1191="","",H1191*K1191),"as per slab")</f>
        <v/>
      </c>
    </row>
    <row r="1192">
      <c r="A1192" s="7" t="n"/>
      <c r="B1192" s="7" t="n"/>
      <c r="C1192" s="8" t="n"/>
      <c r="D1192" s="9" t="n"/>
      <c r="E1192" s="8" t="n"/>
      <c r="F1192" s="9" t="n"/>
      <c r="G1192" s="9" t="n"/>
      <c r="H1192" s="3">
        <f>IF(AND(D1192&lt;&gt;"",F1192&lt;&gt;""),F1192-D1192-G1192,"")</f>
        <v/>
      </c>
      <c r="I1192" s="14">
        <f>IF(E1192&lt;&gt;"", YEARFRAC(C1192, E1192) * 12, "")</f>
        <v/>
      </c>
      <c r="J1192" s="2">
        <f>IF(I1192="", "", IF(OR(AND(A1192="Listed Equity Shares", I1192&gt;12), AND(A1192="Unlisted Equity Shares", I1192&gt;24)), "Long Term", "Short Term"))</f>
        <v/>
      </c>
      <c r="K1192" s="5">
        <f>IF(J1192="", "", IF(J1192="Long Term", 12.5%,"as per slab"))</f>
        <v/>
      </c>
      <c r="L1192" s="3">
        <f>+IFERROR(IF(J1192="","",H1192*K1192),"as per slab")</f>
        <v/>
      </c>
    </row>
    <row r="1193">
      <c r="A1193" s="7" t="n"/>
      <c r="B1193" s="7" t="n"/>
      <c r="C1193" s="8" t="n"/>
      <c r="D1193" s="9" t="n"/>
      <c r="E1193" s="8" t="n"/>
      <c r="F1193" s="9" t="n"/>
      <c r="G1193" s="9" t="n"/>
      <c r="H1193" s="3">
        <f>IF(AND(D1193&lt;&gt;"",F1193&lt;&gt;""),F1193-D1193-G1193,"")</f>
        <v/>
      </c>
      <c r="I1193" s="14">
        <f>IF(E1193&lt;&gt;"", YEARFRAC(C1193, E1193) * 12, "")</f>
        <v/>
      </c>
      <c r="J1193" s="2">
        <f>IF(I1193="", "", IF(OR(AND(A1193="Listed Equity Shares", I1193&gt;12), AND(A1193="Unlisted Equity Shares", I1193&gt;24)), "Long Term", "Short Term"))</f>
        <v/>
      </c>
      <c r="K1193" s="5">
        <f>IF(J1193="", "", IF(J1193="Long Term", 12.5%,"as per slab"))</f>
        <v/>
      </c>
      <c r="L1193" s="3">
        <f>+IFERROR(IF(J1193="","",H1193*K1193),"as per slab")</f>
        <v/>
      </c>
    </row>
    <row r="1194">
      <c r="A1194" s="7" t="n"/>
      <c r="B1194" s="7" t="n"/>
      <c r="C1194" s="8" t="n"/>
      <c r="D1194" s="9" t="n"/>
      <c r="E1194" s="8" t="n"/>
      <c r="F1194" s="9" t="n"/>
      <c r="G1194" s="9" t="n"/>
      <c r="H1194" s="3">
        <f>IF(AND(D1194&lt;&gt;"",F1194&lt;&gt;""),F1194-D1194-G1194,"")</f>
        <v/>
      </c>
      <c r="I1194" s="14">
        <f>IF(E1194&lt;&gt;"", YEARFRAC(C1194, E1194) * 12, "")</f>
        <v/>
      </c>
      <c r="J1194" s="2">
        <f>IF(I1194="", "", IF(OR(AND(A1194="Listed Equity Shares", I1194&gt;12), AND(A1194="Unlisted Equity Shares", I1194&gt;24)), "Long Term", "Short Term"))</f>
        <v/>
      </c>
      <c r="K1194" s="5">
        <f>IF(J1194="", "", IF(J1194="Long Term", 12.5%,"as per slab"))</f>
        <v/>
      </c>
      <c r="L1194" s="3">
        <f>+IFERROR(IF(J1194="","",H1194*K1194),"as per slab")</f>
        <v/>
      </c>
    </row>
    <row r="1195">
      <c r="A1195" s="7" t="n"/>
      <c r="B1195" s="7" t="n"/>
      <c r="C1195" s="8" t="n"/>
      <c r="D1195" s="9" t="n"/>
      <c r="E1195" s="8" t="n"/>
      <c r="F1195" s="9" t="n"/>
      <c r="G1195" s="9" t="n"/>
      <c r="H1195" s="3">
        <f>IF(AND(D1195&lt;&gt;"",F1195&lt;&gt;""),F1195-D1195-G1195,"")</f>
        <v/>
      </c>
      <c r="I1195" s="14">
        <f>IF(E1195&lt;&gt;"", YEARFRAC(C1195, E1195) * 12, "")</f>
        <v/>
      </c>
      <c r="J1195" s="2">
        <f>IF(I1195="", "", IF(OR(AND(A1195="Listed Equity Shares", I1195&gt;12), AND(A1195="Unlisted Equity Shares", I1195&gt;24)), "Long Term", "Short Term"))</f>
        <v/>
      </c>
      <c r="K1195" s="5">
        <f>IF(J1195="", "", IF(J1195="Long Term", 12.5%,"as per slab"))</f>
        <v/>
      </c>
      <c r="L1195" s="3">
        <f>+IFERROR(IF(J1195="","",H1195*K1195),"as per slab")</f>
        <v/>
      </c>
    </row>
    <row r="1196">
      <c r="A1196" s="7" t="n"/>
      <c r="B1196" s="7" t="n"/>
      <c r="C1196" s="8" t="n"/>
      <c r="D1196" s="9" t="n"/>
      <c r="E1196" s="8" t="n"/>
      <c r="F1196" s="9" t="n"/>
      <c r="G1196" s="9" t="n"/>
      <c r="H1196" s="3">
        <f>IF(AND(D1196&lt;&gt;"",F1196&lt;&gt;""),F1196-D1196-G1196,"")</f>
        <v/>
      </c>
      <c r="I1196" s="14">
        <f>IF(E1196&lt;&gt;"", YEARFRAC(C1196, E1196) * 12, "")</f>
        <v/>
      </c>
      <c r="J1196" s="2">
        <f>IF(I1196="", "", IF(OR(AND(A1196="Listed Equity Shares", I1196&gt;12), AND(A1196="Unlisted Equity Shares", I1196&gt;24)), "Long Term", "Short Term"))</f>
        <v/>
      </c>
      <c r="K1196" s="5">
        <f>IF(J1196="", "", IF(J1196="Long Term", 12.5%,"as per slab"))</f>
        <v/>
      </c>
      <c r="L1196" s="3">
        <f>+IFERROR(IF(J1196="","",H1196*K1196),"as per slab")</f>
        <v/>
      </c>
    </row>
    <row r="1197">
      <c r="A1197" s="7" t="n"/>
      <c r="B1197" s="7" t="n"/>
      <c r="C1197" s="8" t="n"/>
      <c r="D1197" s="9" t="n"/>
      <c r="E1197" s="8" t="n"/>
      <c r="F1197" s="9" t="n"/>
      <c r="G1197" s="9" t="n"/>
      <c r="H1197" s="3">
        <f>IF(AND(D1197&lt;&gt;"",F1197&lt;&gt;""),F1197-D1197-G1197,"")</f>
        <v/>
      </c>
      <c r="I1197" s="14">
        <f>IF(E1197&lt;&gt;"", YEARFRAC(C1197, E1197) * 12, "")</f>
        <v/>
      </c>
      <c r="J1197" s="2">
        <f>IF(I1197="", "", IF(OR(AND(A1197="Listed Equity Shares", I1197&gt;12), AND(A1197="Unlisted Equity Shares", I1197&gt;24)), "Long Term", "Short Term"))</f>
        <v/>
      </c>
      <c r="K1197" s="5">
        <f>IF(J1197="", "", IF(J1197="Long Term", 12.5%,"as per slab"))</f>
        <v/>
      </c>
      <c r="L1197" s="3">
        <f>+IFERROR(IF(J1197="","",H1197*K1197),"as per slab")</f>
        <v/>
      </c>
    </row>
    <row r="1198">
      <c r="A1198" s="7" t="n"/>
      <c r="B1198" s="7" t="n"/>
      <c r="C1198" s="8" t="n"/>
      <c r="D1198" s="9" t="n"/>
      <c r="E1198" s="8" t="n"/>
      <c r="F1198" s="9" t="n"/>
      <c r="G1198" s="9" t="n"/>
      <c r="H1198" s="3">
        <f>IF(AND(D1198&lt;&gt;"",F1198&lt;&gt;""),F1198-D1198-G1198,"")</f>
        <v/>
      </c>
      <c r="I1198" s="14">
        <f>IF(E1198&lt;&gt;"", YEARFRAC(C1198, E1198) * 12, "")</f>
        <v/>
      </c>
      <c r="J1198" s="2">
        <f>IF(I1198="", "", IF(OR(AND(A1198="Listed Equity Shares", I1198&gt;12), AND(A1198="Unlisted Equity Shares", I1198&gt;24)), "Long Term", "Short Term"))</f>
        <v/>
      </c>
      <c r="K1198" s="5">
        <f>IF(J1198="", "", IF(J1198="Long Term", 12.5%,"as per slab"))</f>
        <v/>
      </c>
      <c r="L1198" s="3">
        <f>+IFERROR(IF(J1198="","",H1198*K1198),"as per slab")</f>
        <v/>
      </c>
    </row>
    <row r="1199">
      <c r="A1199" s="7" t="n"/>
      <c r="B1199" s="7" t="n"/>
      <c r="C1199" s="8" t="n"/>
      <c r="D1199" s="9" t="n"/>
      <c r="E1199" s="8" t="n"/>
      <c r="F1199" s="9" t="n"/>
      <c r="G1199" s="9" t="n"/>
      <c r="H1199" s="3">
        <f>IF(AND(D1199&lt;&gt;"",F1199&lt;&gt;""),F1199-D1199-G1199,"")</f>
        <v/>
      </c>
      <c r="I1199" s="14">
        <f>IF(E1199&lt;&gt;"", YEARFRAC(C1199, E1199) * 12, "")</f>
        <v/>
      </c>
      <c r="J1199" s="2">
        <f>IF(I1199="", "", IF(OR(AND(A1199="Listed Equity Shares", I1199&gt;12), AND(A1199="Unlisted Equity Shares", I1199&gt;24)), "Long Term", "Short Term"))</f>
        <v/>
      </c>
      <c r="K1199" s="5">
        <f>IF(J1199="", "", IF(J1199="Long Term", 12.5%,"as per slab"))</f>
        <v/>
      </c>
      <c r="L1199" s="3">
        <f>+IFERROR(IF(J1199="","",H1199*K1199),"as per slab")</f>
        <v/>
      </c>
    </row>
    <row r="1200">
      <c r="A1200" s="7" t="n"/>
      <c r="B1200" s="7" t="n"/>
      <c r="C1200" s="8" t="n"/>
      <c r="D1200" s="9" t="n"/>
      <c r="E1200" s="8" t="n"/>
      <c r="F1200" s="9" t="n"/>
      <c r="G1200" s="9" t="n"/>
      <c r="H1200" s="3">
        <f>IF(AND(D1200&lt;&gt;"",F1200&lt;&gt;""),F1200-D1200-G1200,"")</f>
        <v/>
      </c>
      <c r="I1200" s="14">
        <f>IF(E1200&lt;&gt;"", YEARFRAC(C1200, E1200) * 12, "")</f>
        <v/>
      </c>
      <c r="J1200" s="2">
        <f>IF(I1200="", "", IF(OR(AND(A1200="Listed Equity Shares", I1200&gt;12), AND(A1200="Unlisted Equity Shares", I1200&gt;24)), "Long Term", "Short Term"))</f>
        <v/>
      </c>
      <c r="K1200" s="5">
        <f>IF(J1200="", "", IF(J1200="Long Term", 12.5%,"as per slab"))</f>
        <v/>
      </c>
      <c r="L1200" s="3">
        <f>+IFERROR(IF(J1200="","",H1200*K1200),"as per slab")</f>
        <v/>
      </c>
    </row>
    <row r="1201">
      <c r="A1201" s="7" t="n"/>
      <c r="B1201" s="7" t="n"/>
      <c r="C1201" s="8" t="n"/>
      <c r="D1201" s="9" t="n"/>
      <c r="E1201" s="8" t="n"/>
      <c r="F1201" s="9" t="n"/>
      <c r="G1201" s="9" t="n"/>
      <c r="H1201" s="3">
        <f>IF(AND(D1201&lt;&gt;"",F1201&lt;&gt;""),F1201-D1201-G1201,"")</f>
        <v/>
      </c>
      <c r="I1201" s="14">
        <f>IF(E1201&lt;&gt;"", YEARFRAC(C1201, E1201) * 12, "")</f>
        <v/>
      </c>
      <c r="J1201" s="2">
        <f>IF(I1201="", "", IF(OR(AND(A1201="Listed Equity Shares", I1201&gt;12), AND(A1201="Unlisted Equity Shares", I1201&gt;24)), "Long Term", "Short Term"))</f>
        <v/>
      </c>
      <c r="K1201" s="5">
        <f>IF(J1201="", "", IF(J1201="Long Term", 12.5%,"as per slab"))</f>
        <v/>
      </c>
      <c r="L1201" s="3">
        <f>+IFERROR(IF(J1201="","",H1201*K1201),"as per slab")</f>
        <v/>
      </c>
    </row>
    <row r="1202">
      <c r="A1202" s="7" t="n"/>
      <c r="B1202" s="7" t="n"/>
      <c r="C1202" s="8" t="n"/>
      <c r="D1202" s="9" t="n"/>
      <c r="E1202" s="8" t="n"/>
      <c r="F1202" s="9" t="n"/>
      <c r="G1202" s="9" t="n"/>
      <c r="H1202" s="3">
        <f>IF(AND(D1202&lt;&gt;"",F1202&lt;&gt;""),F1202-D1202-G1202,"")</f>
        <v/>
      </c>
      <c r="I1202" s="14">
        <f>IF(E1202&lt;&gt;"", YEARFRAC(C1202, E1202) * 12, "")</f>
        <v/>
      </c>
      <c r="J1202" s="2">
        <f>IF(I1202="", "", IF(OR(AND(A1202="Listed Equity Shares", I1202&gt;12), AND(A1202="Unlisted Equity Shares", I1202&gt;24)), "Long Term", "Short Term"))</f>
        <v/>
      </c>
      <c r="K1202" s="5">
        <f>IF(J1202="", "", IF(J1202="Long Term", 12.5%,"as per slab"))</f>
        <v/>
      </c>
      <c r="L1202" s="3">
        <f>+IFERROR(IF(J1202="","",H1202*K1202),"as per slab")</f>
        <v/>
      </c>
    </row>
    <row r="1203">
      <c r="A1203" s="7" t="n"/>
      <c r="B1203" s="7" t="n"/>
      <c r="C1203" s="8" t="n"/>
      <c r="D1203" s="9" t="n"/>
      <c r="E1203" s="8" t="n"/>
      <c r="F1203" s="9" t="n"/>
      <c r="G1203" s="9" t="n"/>
      <c r="H1203" s="3">
        <f>IF(AND(D1203&lt;&gt;"",F1203&lt;&gt;""),F1203-D1203-G1203,"")</f>
        <v/>
      </c>
      <c r="I1203" s="14">
        <f>IF(E1203&lt;&gt;"", YEARFRAC(C1203, E1203) * 12, "")</f>
        <v/>
      </c>
      <c r="J1203" s="2">
        <f>IF(I1203="", "", IF(OR(AND(A1203="Listed Equity Shares", I1203&gt;12), AND(A1203="Unlisted Equity Shares", I1203&gt;24)), "Long Term", "Short Term"))</f>
        <v/>
      </c>
      <c r="K1203" s="5">
        <f>IF(J1203="", "", IF(J1203="Long Term", 12.5%,"as per slab"))</f>
        <v/>
      </c>
      <c r="L1203" s="3">
        <f>+IFERROR(IF(J1203="","",H1203*K1203),"as per slab")</f>
        <v/>
      </c>
    </row>
    <row r="1204">
      <c r="A1204" s="7" t="n"/>
      <c r="B1204" s="7" t="n"/>
      <c r="C1204" s="8" t="n"/>
      <c r="D1204" s="9" t="n"/>
      <c r="E1204" s="8" t="n"/>
      <c r="F1204" s="9" t="n"/>
      <c r="G1204" s="9" t="n"/>
      <c r="H1204" s="3">
        <f>IF(AND(D1204&lt;&gt;"",F1204&lt;&gt;""),F1204-D1204-G1204,"")</f>
        <v/>
      </c>
      <c r="I1204" s="14">
        <f>IF(E1204&lt;&gt;"", YEARFRAC(C1204, E1204) * 12, "")</f>
        <v/>
      </c>
      <c r="J1204" s="2">
        <f>IF(I1204="", "", IF(OR(AND(A1204="Listed Equity Shares", I1204&gt;12), AND(A1204="Unlisted Equity Shares", I1204&gt;24)), "Long Term", "Short Term"))</f>
        <v/>
      </c>
      <c r="K1204" s="5">
        <f>IF(J1204="", "", IF(J1204="Long Term", 12.5%,"as per slab"))</f>
        <v/>
      </c>
      <c r="L1204" s="3">
        <f>+IFERROR(IF(J1204="","",H1204*K1204),"as per slab")</f>
        <v/>
      </c>
    </row>
    <row r="1205">
      <c r="A1205" s="7" t="n"/>
      <c r="B1205" s="7" t="n"/>
      <c r="C1205" s="8" t="n"/>
      <c r="D1205" s="9" t="n"/>
      <c r="E1205" s="8" t="n"/>
      <c r="F1205" s="9" t="n"/>
      <c r="G1205" s="9" t="n"/>
      <c r="H1205" s="3">
        <f>IF(AND(D1205&lt;&gt;"",F1205&lt;&gt;""),F1205-D1205-G1205,"")</f>
        <v/>
      </c>
      <c r="I1205" s="14">
        <f>IF(E1205&lt;&gt;"", YEARFRAC(C1205, E1205) * 12, "")</f>
        <v/>
      </c>
      <c r="J1205" s="2">
        <f>IF(I1205="", "", IF(OR(AND(A1205="Listed Equity Shares", I1205&gt;12), AND(A1205="Unlisted Equity Shares", I1205&gt;24)), "Long Term", "Short Term"))</f>
        <v/>
      </c>
      <c r="K1205" s="5">
        <f>IF(J1205="", "", IF(J1205="Long Term", 12.5%,"as per slab"))</f>
        <v/>
      </c>
      <c r="L1205" s="3">
        <f>+IFERROR(IF(J1205="","",H1205*K1205),"as per slab")</f>
        <v/>
      </c>
    </row>
    <row r="1206">
      <c r="A1206" s="7" t="n"/>
      <c r="B1206" s="7" t="n"/>
      <c r="C1206" s="8" t="n"/>
      <c r="D1206" s="9" t="n"/>
      <c r="E1206" s="8" t="n"/>
      <c r="F1206" s="9" t="n"/>
      <c r="G1206" s="9" t="n"/>
      <c r="H1206" s="3">
        <f>IF(AND(D1206&lt;&gt;"",F1206&lt;&gt;""),F1206-D1206-G1206,"")</f>
        <v/>
      </c>
      <c r="I1206" s="14">
        <f>IF(E1206&lt;&gt;"", YEARFRAC(C1206, E1206) * 12, "")</f>
        <v/>
      </c>
      <c r="J1206" s="2">
        <f>IF(I1206="", "", IF(OR(AND(A1206="Listed Equity Shares", I1206&gt;12), AND(A1206="Unlisted Equity Shares", I1206&gt;24)), "Long Term", "Short Term"))</f>
        <v/>
      </c>
      <c r="K1206" s="5">
        <f>IF(J1206="", "", IF(J1206="Long Term", 12.5%,"as per slab"))</f>
        <v/>
      </c>
      <c r="L1206" s="3">
        <f>+IFERROR(IF(J1206="","",H1206*K1206),"as per slab")</f>
        <v/>
      </c>
    </row>
    <row r="1207">
      <c r="A1207" s="7" t="n"/>
      <c r="B1207" s="7" t="n"/>
      <c r="C1207" s="8" t="n"/>
      <c r="D1207" s="9" t="n"/>
      <c r="E1207" s="8" t="n"/>
      <c r="F1207" s="9" t="n"/>
      <c r="G1207" s="9" t="n"/>
      <c r="H1207" s="3">
        <f>IF(AND(D1207&lt;&gt;"",F1207&lt;&gt;""),F1207-D1207-G1207,"")</f>
        <v/>
      </c>
      <c r="I1207" s="14">
        <f>IF(E1207&lt;&gt;"", YEARFRAC(C1207, E1207) * 12, "")</f>
        <v/>
      </c>
      <c r="J1207" s="2">
        <f>IF(I1207="", "", IF(OR(AND(A1207="Listed Equity Shares", I1207&gt;12), AND(A1207="Unlisted Equity Shares", I1207&gt;24)), "Long Term", "Short Term"))</f>
        <v/>
      </c>
      <c r="K1207" s="5">
        <f>IF(J1207="", "", IF(J1207="Long Term", 12.5%,"as per slab"))</f>
        <v/>
      </c>
      <c r="L1207" s="3">
        <f>+IFERROR(IF(J1207="","",H1207*K1207),"as per slab")</f>
        <v/>
      </c>
    </row>
    <row r="1208">
      <c r="A1208" s="7" t="n"/>
      <c r="B1208" s="7" t="n"/>
      <c r="C1208" s="8" t="n"/>
      <c r="D1208" s="9" t="n"/>
      <c r="E1208" s="8" t="n"/>
      <c r="F1208" s="9" t="n"/>
      <c r="G1208" s="9" t="n"/>
      <c r="H1208" s="3">
        <f>IF(AND(D1208&lt;&gt;"",F1208&lt;&gt;""),F1208-D1208-G1208,"")</f>
        <v/>
      </c>
      <c r="I1208" s="14">
        <f>IF(E1208&lt;&gt;"", YEARFRAC(C1208, E1208) * 12, "")</f>
        <v/>
      </c>
      <c r="J1208" s="2">
        <f>IF(I1208="", "", IF(OR(AND(A1208="Listed Equity Shares", I1208&gt;12), AND(A1208="Unlisted Equity Shares", I1208&gt;24)), "Long Term", "Short Term"))</f>
        <v/>
      </c>
      <c r="K1208" s="5">
        <f>IF(J1208="", "", IF(J1208="Long Term", 12.5%,"as per slab"))</f>
        <v/>
      </c>
      <c r="L1208" s="3">
        <f>+IFERROR(IF(J1208="","",H1208*K1208),"as per slab")</f>
        <v/>
      </c>
    </row>
    <row r="1209">
      <c r="A1209" s="7" t="n"/>
      <c r="B1209" s="7" t="n"/>
      <c r="C1209" s="8" t="n"/>
      <c r="D1209" s="9" t="n"/>
      <c r="E1209" s="8" t="n"/>
      <c r="F1209" s="9" t="n"/>
      <c r="G1209" s="9" t="n"/>
      <c r="H1209" s="3">
        <f>IF(AND(D1209&lt;&gt;"",F1209&lt;&gt;""),F1209-D1209-G1209,"")</f>
        <v/>
      </c>
      <c r="I1209" s="14">
        <f>IF(E1209&lt;&gt;"", YEARFRAC(C1209, E1209) * 12, "")</f>
        <v/>
      </c>
      <c r="J1209" s="2">
        <f>IF(I1209="", "", IF(OR(AND(A1209="Listed Equity Shares", I1209&gt;12), AND(A1209="Unlisted Equity Shares", I1209&gt;24)), "Long Term", "Short Term"))</f>
        <v/>
      </c>
      <c r="K1209" s="5">
        <f>IF(J1209="", "", IF(J1209="Long Term", 12.5%,"as per slab"))</f>
        <v/>
      </c>
      <c r="L1209" s="3">
        <f>+IFERROR(IF(J1209="","",H1209*K1209),"as per slab")</f>
        <v/>
      </c>
    </row>
    <row r="1210">
      <c r="A1210" s="7" t="n"/>
      <c r="B1210" s="7" t="n"/>
      <c r="C1210" s="8" t="n"/>
      <c r="D1210" s="9" t="n"/>
      <c r="E1210" s="8" t="n"/>
      <c r="F1210" s="9" t="n"/>
      <c r="G1210" s="9" t="n"/>
      <c r="H1210" s="3">
        <f>IF(AND(D1210&lt;&gt;"",F1210&lt;&gt;""),F1210-D1210-G1210,"")</f>
        <v/>
      </c>
      <c r="I1210" s="14">
        <f>IF(E1210&lt;&gt;"", YEARFRAC(C1210, E1210) * 12, "")</f>
        <v/>
      </c>
      <c r="J1210" s="2">
        <f>IF(I1210="", "", IF(OR(AND(A1210="Listed Equity Shares", I1210&gt;12), AND(A1210="Unlisted Equity Shares", I1210&gt;24)), "Long Term", "Short Term"))</f>
        <v/>
      </c>
      <c r="K1210" s="5">
        <f>IF(J1210="", "", IF(J1210="Long Term", 12.5%,"as per slab"))</f>
        <v/>
      </c>
      <c r="L1210" s="3">
        <f>+IFERROR(IF(J1210="","",H1210*K1210),"as per slab")</f>
        <v/>
      </c>
    </row>
    <row r="1211">
      <c r="A1211" s="7" t="n"/>
      <c r="B1211" s="7" t="n"/>
      <c r="C1211" s="8" t="n"/>
      <c r="D1211" s="9" t="n"/>
      <c r="E1211" s="8" t="n"/>
      <c r="F1211" s="9" t="n"/>
      <c r="G1211" s="9" t="n"/>
      <c r="H1211" s="3">
        <f>IF(AND(D1211&lt;&gt;"",F1211&lt;&gt;""),F1211-D1211-G1211,"")</f>
        <v/>
      </c>
      <c r="I1211" s="14">
        <f>IF(E1211&lt;&gt;"", YEARFRAC(C1211, E1211) * 12, "")</f>
        <v/>
      </c>
      <c r="J1211" s="2">
        <f>IF(I1211="", "", IF(OR(AND(A1211="Listed Equity Shares", I1211&gt;12), AND(A1211="Unlisted Equity Shares", I1211&gt;24)), "Long Term", "Short Term"))</f>
        <v/>
      </c>
      <c r="K1211" s="5">
        <f>IF(J1211="", "", IF(J1211="Long Term", 12.5%,"as per slab"))</f>
        <v/>
      </c>
      <c r="L1211" s="3">
        <f>+IFERROR(IF(J1211="","",H1211*K1211),"as per slab")</f>
        <v/>
      </c>
    </row>
    <row r="1212">
      <c r="A1212" s="7" t="n"/>
      <c r="B1212" s="7" t="n"/>
      <c r="C1212" s="8" t="n"/>
      <c r="D1212" s="9" t="n"/>
      <c r="E1212" s="8" t="n"/>
      <c r="F1212" s="9" t="n"/>
      <c r="G1212" s="9" t="n"/>
      <c r="H1212" s="3">
        <f>IF(AND(D1212&lt;&gt;"",F1212&lt;&gt;""),F1212-D1212-G1212,"")</f>
        <v/>
      </c>
      <c r="I1212" s="14">
        <f>IF(E1212&lt;&gt;"", YEARFRAC(C1212, E1212) * 12, "")</f>
        <v/>
      </c>
      <c r="J1212" s="2">
        <f>IF(I1212="", "", IF(OR(AND(A1212="Listed Equity Shares", I1212&gt;12), AND(A1212="Unlisted Equity Shares", I1212&gt;24)), "Long Term", "Short Term"))</f>
        <v/>
      </c>
      <c r="K1212" s="5">
        <f>IF(J1212="", "", IF(J1212="Long Term", 12.5%,"as per slab"))</f>
        <v/>
      </c>
      <c r="L1212" s="3">
        <f>+IFERROR(IF(J1212="","",H1212*K1212),"as per slab")</f>
        <v/>
      </c>
    </row>
    <row r="1213">
      <c r="A1213" s="7" t="n"/>
      <c r="B1213" s="7" t="n"/>
      <c r="C1213" s="8" t="n"/>
      <c r="D1213" s="9" t="n"/>
      <c r="E1213" s="8" t="n"/>
      <c r="F1213" s="9" t="n"/>
      <c r="G1213" s="9" t="n"/>
      <c r="H1213" s="3">
        <f>IF(AND(D1213&lt;&gt;"",F1213&lt;&gt;""),F1213-D1213-G1213,"")</f>
        <v/>
      </c>
      <c r="I1213" s="14">
        <f>IF(E1213&lt;&gt;"", YEARFRAC(C1213, E1213) * 12, "")</f>
        <v/>
      </c>
      <c r="J1213" s="2">
        <f>IF(I1213="", "", IF(OR(AND(A1213="Listed Equity Shares", I1213&gt;12), AND(A1213="Unlisted Equity Shares", I1213&gt;24)), "Long Term", "Short Term"))</f>
        <v/>
      </c>
      <c r="K1213" s="5">
        <f>IF(J1213="", "", IF(J1213="Long Term", 12.5%,"as per slab"))</f>
        <v/>
      </c>
      <c r="L1213" s="3">
        <f>+IFERROR(IF(J1213="","",H1213*K1213),"as per slab")</f>
        <v/>
      </c>
    </row>
    <row r="1214">
      <c r="A1214" s="7" t="n"/>
      <c r="B1214" s="7" t="n"/>
      <c r="C1214" s="8" t="n"/>
      <c r="D1214" s="9" t="n"/>
      <c r="E1214" s="8" t="n"/>
      <c r="F1214" s="9" t="n"/>
      <c r="G1214" s="9" t="n"/>
      <c r="H1214" s="3">
        <f>IF(AND(D1214&lt;&gt;"",F1214&lt;&gt;""),F1214-D1214-G1214,"")</f>
        <v/>
      </c>
      <c r="I1214" s="14">
        <f>IF(E1214&lt;&gt;"", YEARFRAC(C1214, E1214) * 12, "")</f>
        <v/>
      </c>
      <c r="J1214" s="2">
        <f>IF(I1214="", "", IF(OR(AND(A1214="Listed Equity Shares", I1214&gt;12), AND(A1214="Unlisted Equity Shares", I1214&gt;24)), "Long Term", "Short Term"))</f>
        <v/>
      </c>
      <c r="K1214" s="5">
        <f>IF(J1214="", "", IF(J1214="Long Term", 12.5%,"as per slab"))</f>
        <v/>
      </c>
      <c r="L1214" s="3">
        <f>+IFERROR(IF(J1214="","",H1214*K1214),"as per slab")</f>
        <v/>
      </c>
    </row>
    <row r="1215">
      <c r="A1215" s="7" t="n"/>
      <c r="B1215" s="7" t="n"/>
      <c r="C1215" s="8" t="n"/>
      <c r="D1215" s="9" t="n"/>
      <c r="E1215" s="8" t="n"/>
      <c r="F1215" s="9" t="n"/>
      <c r="G1215" s="9" t="n"/>
      <c r="H1215" s="3">
        <f>IF(AND(D1215&lt;&gt;"",F1215&lt;&gt;""),F1215-D1215-G1215,"")</f>
        <v/>
      </c>
      <c r="I1215" s="14">
        <f>IF(E1215&lt;&gt;"", YEARFRAC(C1215, E1215) * 12, "")</f>
        <v/>
      </c>
      <c r="J1215" s="2">
        <f>IF(I1215="", "", IF(OR(AND(A1215="Listed Equity Shares", I1215&gt;12), AND(A1215="Unlisted Equity Shares", I1215&gt;24)), "Long Term", "Short Term"))</f>
        <v/>
      </c>
      <c r="K1215" s="5">
        <f>IF(J1215="", "", IF(J1215="Long Term", 12.5%,"as per slab"))</f>
        <v/>
      </c>
      <c r="L1215" s="3">
        <f>+IFERROR(IF(J1215="","",H1215*K1215),"as per slab")</f>
        <v/>
      </c>
    </row>
    <row r="1216">
      <c r="A1216" s="7" t="n"/>
      <c r="B1216" s="7" t="n"/>
      <c r="C1216" s="8" t="n"/>
      <c r="D1216" s="9" t="n"/>
      <c r="E1216" s="8" t="n"/>
      <c r="F1216" s="9" t="n"/>
      <c r="G1216" s="9" t="n"/>
      <c r="H1216" s="3">
        <f>IF(AND(D1216&lt;&gt;"",F1216&lt;&gt;""),F1216-D1216-G1216,"")</f>
        <v/>
      </c>
      <c r="I1216" s="14">
        <f>IF(E1216&lt;&gt;"", YEARFRAC(C1216, E1216) * 12, "")</f>
        <v/>
      </c>
      <c r="J1216" s="2">
        <f>IF(I1216="", "", IF(OR(AND(A1216="Listed Equity Shares", I1216&gt;12), AND(A1216="Unlisted Equity Shares", I1216&gt;24)), "Long Term", "Short Term"))</f>
        <v/>
      </c>
      <c r="K1216" s="5">
        <f>IF(J1216="", "", IF(J1216="Long Term", 12.5%,"as per slab"))</f>
        <v/>
      </c>
      <c r="L1216" s="3">
        <f>+IFERROR(IF(J1216="","",H1216*K1216),"as per slab")</f>
        <v/>
      </c>
    </row>
    <row r="1217">
      <c r="A1217" s="7" t="n"/>
      <c r="B1217" s="7" t="n"/>
      <c r="C1217" s="8" t="n"/>
      <c r="D1217" s="9" t="n"/>
      <c r="E1217" s="8" t="n"/>
      <c r="F1217" s="9" t="n"/>
      <c r="G1217" s="9" t="n"/>
      <c r="H1217" s="3">
        <f>IF(AND(D1217&lt;&gt;"",F1217&lt;&gt;""),F1217-D1217-G1217,"")</f>
        <v/>
      </c>
      <c r="I1217" s="14">
        <f>IF(E1217&lt;&gt;"", YEARFRAC(C1217, E1217) * 12, "")</f>
        <v/>
      </c>
      <c r="J1217" s="2">
        <f>IF(I1217="", "", IF(OR(AND(A1217="Listed Equity Shares", I1217&gt;12), AND(A1217="Unlisted Equity Shares", I1217&gt;24)), "Long Term", "Short Term"))</f>
        <v/>
      </c>
      <c r="K1217" s="5">
        <f>IF(J1217="", "", IF(J1217="Long Term", 12.5%,"as per slab"))</f>
        <v/>
      </c>
      <c r="L1217" s="3">
        <f>+IFERROR(IF(J1217="","",H1217*K1217),"as per slab")</f>
        <v/>
      </c>
    </row>
    <row r="1218">
      <c r="A1218" s="7" t="n"/>
      <c r="B1218" s="7" t="n"/>
      <c r="C1218" s="8" t="n"/>
      <c r="D1218" s="9" t="n"/>
      <c r="E1218" s="8" t="n"/>
      <c r="F1218" s="9" t="n"/>
      <c r="G1218" s="9" t="n"/>
      <c r="H1218" s="3">
        <f>IF(AND(D1218&lt;&gt;"",F1218&lt;&gt;""),F1218-D1218-G1218,"")</f>
        <v/>
      </c>
      <c r="I1218" s="14">
        <f>IF(E1218&lt;&gt;"", YEARFRAC(C1218, E1218) * 12, "")</f>
        <v/>
      </c>
      <c r="J1218" s="2">
        <f>IF(I1218="", "", IF(OR(AND(A1218="Listed Equity Shares", I1218&gt;12), AND(A1218="Unlisted Equity Shares", I1218&gt;24)), "Long Term", "Short Term"))</f>
        <v/>
      </c>
      <c r="K1218" s="5">
        <f>IF(J1218="", "", IF(J1218="Long Term", 12.5%,"as per slab"))</f>
        <v/>
      </c>
      <c r="L1218" s="3">
        <f>+IFERROR(IF(J1218="","",H1218*K1218),"as per slab")</f>
        <v/>
      </c>
    </row>
    <row r="1219">
      <c r="A1219" s="7" t="n"/>
      <c r="B1219" s="7" t="n"/>
      <c r="C1219" s="8" t="n"/>
      <c r="D1219" s="9" t="n"/>
      <c r="E1219" s="8" t="n"/>
      <c r="F1219" s="9" t="n"/>
      <c r="G1219" s="9" t="n"/>
      <c r="H1219" s="3">
        <f>IF(AND(D1219&lt;&gt;"",F1219&lt;&gt;""),F1219-D1219-G1219,"")</f>
        <v/>
      </c>
      <c r="I1219" s="14">
        <f>IF(E1219&lt;&gt;"", YEARFRAC(C1219, E1219) * 12, "")</f>
        <v/>
      </c>
      <c r="J1219" s="2">
        <f>IF(I1219="", "", IF(OR(AND(A1219="Listed Equity Shares", I1219&gt;12), AND(A1219="Unlisted Equity Shares", I1219&gt;24)), "Long Term", "Short Term"))</f>
        <v/>
      </c>
      <c r="K1219" s="5">
        <f>IF(J1219="", "", IF(J1219="Long Term", 12.5%,"as per slab"))</f>
        <v/>
      </c>
      <c r="L1219" s="3">
        <f>+IFERROR(IF(J1219="","",H1219*K1219),"as per slab")</f>
        <v/>
      </c>
    </row>
    <row r="1220">
      <c r="A1220" s="7" t="n"/>
      <c r="B1220" s="7" t="n"/>
      <c r="C1220" s="8" t="n"/>
      <c r="D1220" s="9" t="n"/>
      <c r="E1220" s="8" t="n"/>
      <c r="F1220" s="9" t="n"/>
      <c r="G1220" s="9" t="n"/>
      <c r="H1220" s="3">
        <f>IF(AND(D1220&lt;&gt;"",F1220&lt;&gt;""),F1220-D1220-G1220,"")</f>
        <v/>
      </c>
      <c r="I1220" s="14">
        <f>IF(E1220&lt;&gt;"", YEARFRAC(C1220, E1220) * 12, "")</f>
        <v/>
      </c>
      <c r="J1220" s="2">
        <f>IF(I1220="", "", IF(OR(AND(A1220="Listed Equity Shares", I1220&gt;12), AND(A1220="Unlisted Equity Shares", I1220&gt;24)), "Long Term", "Short Term"))</f>
        <v/>
      </c>
      <c r="K1220" s="5">
        <f>IF(J1220="", "", IF(J1220="Long Term", 12.5%,"as per slab"))</f>
        <v/>
      </c>
      <c r="L1220" s="3">
        <f>+IFERROR(IF(J1220="","",H1220*K1220),"as per slab")</f>
        <v/>
      </c>
    </row>
    <row r="1221">
      <c r="A1221" s="7" t="n"/>
      <c r="B1221" s="7" t="n"/>
      <c r="C1221" s="8" t="n"/>
      <c r="D1221" s="9" t="n"/>
      <c r="E1221" s="8" t="n"/>
      <c r="F1221" s="9" t="n"/>
      <c r="G1221" s="9" t="n"/>
      <c r="H1221" s="3">
        <f>IF(AND(D1221&lt;&gt;"",F1221&lt;&gt;""),F1221-D1221-G1221,"")</f>
        <v/>
      </c>
      <c r="I1221" s="14">
        <f>IF(E1221&lt;&gt;"", YEARFRAC(C1221, E1221) * 12, "")</f>
        <v/>
      </c>
      <c r="J1221" s="2">
        <f>IF(I1221="", "", IF(OR(AND(A1221="Listed Equity Shares", I1221&gt;12), AND(A1221="Unlisted Equity Shares", I1221&gt;24)), "Long Term", "Short Term"))</f>
        <v/>
      </c>
      <c r="K1221" s="5">
        <f>IF(J1221="", "", IF(J1221="Long Term", 12.5%,"as per slab"))</f>
        <v/>
      </c>
      <c r="L1221" s="3">
        <f>+IFERROR(IF(J1221="","",H1221*K1221),"as per slab")</f>
        <v/>
      </c>
    </row>
    <row r="1222">
      <c r="A1222" s="7" t="n"/>
      <c r="B1222" s="7" t="n"/>
      <c r="C1222" s="8" t="n"/>
      <c r="D1222" s="9" t="n"/>
      <c r="E1222" s="8" t="n"/>
      <c r="F1222" s="9" t="n"/>
      <c r="G1222" s="9" t="n"/>
      <c r="H1222" s="3">
        <f>IF(AND(D1222&lt;&gt;"",F1222&lt;&gt;""),F1222-D1222-G1222,"")</f>
        <v/>
      </c>
      <c r="I1222" s="14">
        <f>IF(E1222&lt;&gt;"", YEARFRAC(C1222, E1222) * 12, "")</f>
        <v/>
      </c>
      <c r="J1222" s="2">
        <f>IF(I1222="", "", IF(OR(AND(A1222="Listed Equity Shares", I1222&gt;12), AND(A1222="Unlisted Equity Shares", I1222&gt;24)), "Long Term", "Short Term"))</f>
        <v/>
      </c>
      <c r="K1222" s="5">
        <f>IF(J1222="", "", IF(J1222="Long Term", 12.5%,"as per slab"))</f>
        <v/>
      </c>
      <c r="L1222" s="3">
        <f>+IFERROR(IF(J1222="","",H1222*K1222),"as per slab")</f>
        <v/>
      </c>
    </row>
    <row r="1223">
      <c r="A1223" s="7" t="n"/>
      <c r="B1223" s="7" t="n"/>
      <c r="C1223" s="8" t="n"/>
      <c r="D1223" s="9" t="n"/>
      <c r="E1223" s="8" t="n"/>
      <c r="F1223" s="9" t="n"/>
      <c r="G1223" s="9" t="n"/>
      <c r="H1223" s="3">
        <f>IF(AND(D1223&lt;&gt;"",F1223&lt;&gt;""),F1223-D1223-G1223,"")</f>
        <v/>
      </c>
      <c r="I1223" s="14">
        <f>IF(E1223&lt;&gt;"", YEARFRAC(C1223, E1223) * 12, "")</f>
        <v/>
      </c>
      <c r="J1223" s="2">
        <f>IF(I1223="", "", IF(OR(AND(A1223="Listed Equity Shares", I1223&gt;12), AND(A1223="Unlisted Equity Shares", I1223&gt;24)), "Long Term", "Short Term"))</f>
        <v/>
      </c>
      <c r="K1223" s="5">
        <f>IF(J1223="", "", IF(J1223="Long Term", 12.5%,"as per slab"))</f>
        <v/>
      </c>
      <c r="L1223" s="3">
        <f>+IFERROR(IF(J1223="","",H1223*K1223),"as per slab")</f>
        <v/>
      </c>
    </row>
    <row r="1224">
      <c r="A1224" s="7" t="n"/>
      <c r="B1224" s="7" t="n"/>
      <c r="C1224" s="8" t="n"/>
      <c r="D1224" s="9" t="n"/>
      <c r="E1224" s="8" t="n"/>
      <c r="F1224" s="9" t="n"/>
      <c r="G1224" s="9" t="n"/>
      <c r="H1224" s="3">
        <f>IF(AND(D1224&lt;&gt;"",F1224&lt;&gt;""),F1224-D1224-G1224,"")</f>
        <v/>
      </c>
      <c r="I1224" s="14">
        <f>IF(E1224&lt;&gt;"", YEARFRAC(C1224, E1224) * 12, "")</f>
        <v/>
      </c>
      <c r="J1224" s="2">
        <f>IF(I1224="", "", IF(OR(AND(A1224="Listed Equity Shares", I1224&gt;12), AND(A1224="Unlisted Equity Shares", I1224&gt;24)), "Long Term", "Short Term"))</f>
        <v/>
      </c>
      <c r="K1224" s="5">
        <f>IF(J1224="", "", IF(J1224="Long Term", 12.5%,"as per slab"))</f>
        <v/>
      </c>
      <c r="L1224" s="3">
        <f>+IFERROR(IF(J1224="","",H1224*K1224),"as per slab")</f>
        <v/>
      </c>
    </row>
    <row r="1225">
      <c r="A1225" s="7" t="n"/>
      <c r="B1225" s="7" t="n"/>
      <c r="C1225" s="8" t="n"/>
      <c r="D1225" s="9" t="n"/>
      <c r="E1225" s="8" t="n"/>
      <c r="F1225" s="9" t="n"/>
      <c r="G1225" s="9" t="n"/>
      <c r="H1225" s="3">
        <f>IF(AND(D1225&lt;&gt;"",F1225&lt;&gt;""),F1225-D1225-G1225,"")</f>
        <v/>
      </c>
      <c r="I1225" s="14">
        <f>IF(E1225&lt;&gt;"", YEARFRAC(C1225, E1225) * 12, "")</f>
        <v/>
      </c>
      <c r="J1225" s="2">
        <f>IF(I1225="", "", IF(OR(AND(A1225="Listed Equity Shares", I1225&gt;12), AND(A1225="Unlisted Equity Shares", I1225&gt;24)), "Long Term", "Short Term"))</f>
        <v/>
      </c>
      <c r="K1225" s="5">
        <f>IF(J1225="", "", IF(J1225="Long Term", 12.5%,"as per slab"))</f>
        <v/>
      </c>
      <c r="L1225" s="3">
        <f>+IFERROR(IF(J1225="","",H1225*K1225),"as per slab")</f>
        <v/>
      </c>
    </row>
    <row r="1226">
      <c r="A1226" s="7" t="n"/>
      <c r="B1226" s="7" t="n"/>
      <c r="C1226" s="8" t="n"/>
      <c r="D1226" s="9" t="n"/>
      <c r="E1226" s="8" t="n"/>
      <c r="F1226" s="9" t="n"/>
      <c r="G1226" s="9" t="n"/>
      <c r="H1226" s="3">
        <f>IF(AND(D1226&lt;&gt;"",F1226&lt;&gt;""),F1226-D1226-G1226,"")</f>
        <v/>
      </c>
      <c r="I1226" s="14">
        <f>IF(E1226&lt;&gt;"", YEARFRAC(C1226, E1226) * 12, "")</f>
        <v/>
      </c>
      <c r="J1226" s="2">
        <f>IF(I1226="", "", IF(OR(AND(A1226="Listed Equity Shares", I1226&gt;12), AND(A1226="Unlisted Equity Shares", I1226&gt;24)), "Long Term", "Short Term"))</f>
        <v/>
      </c>
      <c r="K1226" s="5">
        <f>IF(J1226="", "", IF(J1226="Long Term", 12.5%,"as per slab"))</f>
        <v/>
      </c>
      <c r="L1226" s="3">
        <f>+IFERROR(IF(J1226="","",H1226*K1226),"as per slab")</f>
        <v/>
      </c>
    </row>
    <row r="1227">
      <c r="A1227" s="7" t="n"/>
      <c r="B1227" s="7" t="n"/>
      <c r="C1227" s="8" t="n"/>
      <c r="D1227" s="9" t="n"/>
      <c r="E1227" s="8" t="n"/>
      <c r="F1227" s="9" t="n"/>
      <c r="G1227" s="9" t="n"/>
      <c r="H1227" s="3">
        <f>IF(AND(D1227&lt;&gt;"",F1227&lt;&gt;""),F1227-D1227-G1227,"")</f>
        <v/>
      </c>
      <c r="I1227" s="14">
        <f>IF(E1227&lt;&gt;"", YEARFRAC(C1227, E1227) * 12, "")</f>
        <v/>
      </c>
      <c r="J1227" s="2">
        <f>IF(I1227="", "", IF(OR(AND(A1227="Listed Equity Shares", I1227&gt;12), AND(A1227="Unlisted Equity Shares", I1227&gt;24)), "Long Term", "Short Term"))</f>
        <v/>
      </c>
      <c r="K1227" s="5">
        <f>IF(J1227="", "", IF(J1227="Long Term", 12.5%,"as per slab"))</f>
        <v/>
      </c>
      <c r="L1227" s="3">
        <f>+IFERROR(IF(J1227="","",H1227*K1227),"as per slab")</f>
        <v/>
      </c>
    </row>
    <row r="1228">
      <c r="A1228" s="7" t="n"/>
      <c r="B1228" s="7" t="n"/>
      <c r="C1228" s="8" t="n"/>
      <c r="D1228" s="9" t="n"/>
      <c r="E1228" s="8" t="n"/>
      <c r="F1228" s="9" t="n"/>
      <c r="G1228" s="9" t="n"/>
      <c r="H1228" s="3">
        <f>IF(AND(D1228&lt;&gt;"",F1228&lt;&gt;""),F1228-D1228-G1228,"")</f>
        <v/>
      </c>
      <c r="I1228" s="14">
        <f>IF(E1228&lt;&gt;"", YEARFRAC(C1228, E1228) * 12, "")</f>
        <v/>
      </c>
      <c r="J1228" s="2">
        <f>IF(I1228="", "", IF(OR(AND(A1228="Listed Equity Shares", I1228&gt;12), AND(A1228="Unlisted Equity Shares", I1228&gt;24)), "Long Term", "Short Term"))</f>
        <v/>
      </c>
      <c r="K1228" s="5">
        <f>IF(J1228="", "", IF(J1228="Long Term", 12.5%,"as per slab"))</f>
        <v/>
      </c>
      <c r="L1228" s="3">
        <f>+IFERROR(IF(J1228="","",H1228*K1228),"as per slab")</f>
        <v/>
      </c>
    </row>
    <row r="1229">
      <c r="A1229" s="7" t="n"/>
      <c r="B1229" s="7" t="n"/>
      <c r="C1229" s="8" t="n"/>
      <c r="D1229" s="9" t="n"/>
      <c r="E1229" s="8" t="n"/>
      <c r="F1229" s="9" t="n"/>
      <c r="G1229" s="9" t="n"/>
      <c r="H1229" s="3">
        <f>IF(AND(D1229&lt;&gt;"",F1229&lt;&gt;""),F1229-D1229-G1229,"")</f>
        <v/>
      </c>
      <c r="I1229" s="14">
        <f>IF(E1229&lt;&gt;"", YEARFRAC(C1229, E1229) * 12, "")</f>
        <v/>
      </c>
      <c r="J1229" s="2">
        <f>IF(I1229="", "", IF(OR(AND(A1229="Listed Equity Shares", I1229&gt;12), AND(A1229="Unlisted Equity Shares", I1229&gt;24)), "Long Term", "Short Term"))</f>
        <v/>
      </c>
      <c r="K1229" s="5">
        <f>IF(J1229="", "", IF(J1229="Long Term", 12.5%,"as per slab"))</f>
        <v/>
      </c>
      <c r="L1229" s="3">
        <f>+IFERROR(IF(J1229="","",H1229*K1229),"as per slab")</f>
        <v/>
      </c>
    </row>
    <row r="1230">
      <c r="A1230" s="7" t="n"/>
      <c r="B1230" s="7" t="n"/>
      <c r="C1230" s="8" t="n"/>
      <c r="D1230" s="9" t="n"/>
      <c r="E1230" s="8" t="n"/>
      <c r="F1230" s="9" t="n"/>
      <c r="G1230" s="9" t="n"/>
      <c r="H1230" s="3">
        <f>IF(AND(D1230&lt;&gt;"",F1230&lt;&gt;""),F1230-D1230-G1230,"")</f>
        <v/>
      </c>
      <c r="I1230" s="14">
        <f>IF(E1230&lt;&gt;"", YEARFRAC(C1230, E1230) * 12, "")</f>
        <v/>
      </c>
      <c r="J1230" s="2">
        <f>IF(I1230="", "", IF(OR(AND(A1230="Listed Equity Shares", I1230&gt;12), AND(A1230="Unlisted Equity Shares", I1230&gt;24)), "Long Term", "Short Term"))</f>
        <v/>
      </c>
      <c r="K1230" s="5">
        <f>IF(J1230="", "", IF(J1230="Long Term", 12.5%,"as per slab"))</f>
        <v/>
      </c>
      <c r="L1230" s="3">
        <f>+IFERROR(IF(J1230="","",H1230*K1230),"as per slab")</f>
        <v/>
      </c>
    </row>
    <row r="1231">
      <c r="A1231" s="7" t="n"/>
      <c r="B1231" s="7" t="n"/>
      <c r="C1231" s="8" t="n"/>
      <c r="D1231" s="9" t="n"/>
      <c r="E1231" s="8" t="n"/>
      <c r="F1231" s="9" t="n"/>
      <c r="G1231" s="9" t="n"/>
      <c r="H1231" s="3">
        <f>IF(AND(D1231&lt;&gt;"",F1231&lt;&gt;""),F1231-D1231-G1231,"")</f>
        <v/>
      </c>
      <c r="I1231" s="14">
        <f>IF(E1231&lt;&gt;"", YEARFRAC(C1231, E1231) * 12, "")</f>
        <v/>
      </c>
      <c r="J1231" s="2">
        <f>IF(I1231="", "", IF(OR(AND(A1231="Listed Equity Shares", I1231&gt;12), AND(A1231="Unlisted Equity Shares", I1231&gt;24)), "Long Term", "Short Term"))</f>
        <v/>
      </c>
      <c r="K1231" s="5">
        <f>IF(J1231="", "", IF(J1231="Long Term", 12.5%,"as per slab"))</f>
        <v/>
      </c>
      <c r="L1231" s="3">
        <f>+IFERROR(IF(J1231="","",H1231*K1231),"as per slab")</f>
        <v/>
      </c>
    </row>
    <row r="1232">
      <c r="A1232" s="7" t="n"/>
      <c r="B1232" s="7" t="n"/>
      <c r="C1232" s="8" t="n"/>
      <c r="D1232" s="9" t="n"/>
      <c r="E1232" s="8" t="n"/>
      <c r="F1232" s="9" t="n"/>
      <c r="G1232" s="9" t="n"/>
      <c r="H1232" s="3">
        <f>IF(AND(D1232&lt;&gt;"",F1232&lt;&gt;""),F1232-D1232-G1232,"")</f>
        <v/>
      </c>
      <c r="I1232" s="14">
        <f>IF(E1232&lt;&gt;"", YEARFRAC(C1232, E1232) * 12, "")</f>
        <v/>
      </c>
      <c r="J1232" s="2">
        <f>IF(I1232="", "", IF(OR(AND(A1232="Listed Equity Shares", I1232&gt;12), AND(A1232="Unlisted Equity Shares", I1232&gt;24)), "Long Term", "Short Term"))</f>
        <v/>
      </c>
      <c r="K1232" s="5">
        <f>IF(J1232="", "", IF(J1232="Long Term", 12.5%,"as per slab"))</f>
        <v/>
      </c>
      <c r="L1232" s="3">
        <f>+IFERROR(IF(J1232="","",H1232*K1232),"as per slab")</f>
        <v/>
      </c>
    </row>
    <row r="1233">
      <c r="A1233" s="7" t="n"/>
      <c r="B1233" s="7" t="n"/>
      <c r="C1233" s="8" t="n"/>
      <c r="D1233" s="9" t="n"/>
      <c r="E1233" s="8" t="n"/>
      <c r="F1233" s="9" t="n"/>
      <c r="G1233" s="9" t="n"/>
      <c r="H1233" s="3">
        <f>IF(AND(D1233&lt;&gt;"",F1233&lt;&gt;""),F1233-D1233-G1233,"")</f>
        <v/>
      </c>
      <c r="I1233" s="14">
        <f>IF(E1233&lt;&gt;"", YEARFRAC(C1233, E1233) * 12, "")</f>
        <v/>
      </c>
      <c r="J1233" s="2">
        <f>IF(I1233="", "", IF(OR(AND(A1233="Listed Equity Shares", I1233&gt;12), AND(A1233="Unlisted Equity Shares", I1233&gt;24)), "Long Term", "Short Term"))</f>
        <v/>
      </c>
      <c r="K1233" s="5">
        <f>IF(J1233="", "", IF(J1233="Long Term", 12.5%,"as per slab"))</f>
        <v/>
      </c>
      <c r="L1233" s="3">
        <f>+IFERROR(IF(J1233="","",H1233*K1233),"as per slab")</f>
        <v/>
      </c>
    </row>
    <row r="1234">
      <c r="A1234" s="7" t="n"/>
      <c r="B1234" s="7" t="n"/>
      <c r="C1234" s="8" t="n"/>
      <c r="D1234" s="9" t="n"/>
      <c r="E1234" s="8" t="n"/>
      <c r="F1234" s="9" t="n"/>
      <c r="G1234" s="9" t="n"/>
      <c r="H1234" s="3">
        <f>IF(AND(D1234&lt;&gt;"",F1234&lt;&gt;""),F1234-D1234-G1234,"")</f>
        <v/>
      </c>
      <c r="I1234" s="14">
        <f>IF(E1234&lt;&gt;"", YEARFRAC(C1234, E1234) * 12, "")</f>
        <v/>
      </c>
      <c r="J1234" s="2">
        <f>IF(I1234="", "", IF(OR(AND(A1234="Listed Equity Shares", I1234&gt;12), AND(A1234="Unlisted Equity Shares", I1234&gt;24)), "Long Term", "Short Term"))</f>
        <v/>
      </c>
      <c r="K1234" s="5">
        <f>IF(J1234="", "", IF(J1234="Long Term", 12.5%,"as per slab"))</f>
        <v/>
      </c>
      <c r="L1234" s="3">
        <f>+IFERROR(IF(J1234="","",H1234*K1234),"as per slab")</f>
        <v/>
      </c>
    </row>
    <row r="1235">
      <c r="A1235" s="7" t="n"/>
      <c r="B1235" s="7" t="n"/>
      <c r="C1235" s="8" t="n"/>
      <c r="D1235" s="9" t="n"/>
      <c r="E1235" s="8" t="n"/>
      <c r="F1235" s="9" t="n"/>
      <c r="G1235" s="9" t="n"/>
      <c r="H1235" s="3">
        <f>IF(AND(D1235&lt;&gt;"",F1235&lt;&gt;""),F1235-D1235-G1235,"")</f>
        <v/>
      </c>
      <c r="I1235" s="14">
        <f>IF(E1235&lt;&gt;"", YEARFRAC(C1235, E1235) * 12, "")</f>
        <v/>
      </c>
      <c r="J1235" s="2">
        <f>IF(I1235="", "", IF(OR(AND(A1235="Listed Equity Shares", I1235&gt;12), AND(A1235="Unlisted Equity Shares", I1235&gt;24)), "Long Term", "Short Term"))</f>
        <v/>
      </c>
      <c r="K1235" s="5">
        <f>IF(J1235="", "", IF(J1235="Long Term", 12.5%,"as per slab"))</f>
        <v/>
      </c>
      <c r="L1235" s="3">
        <f>+IFERROR(IF(J1235="","",H1235*K1235),"as per slab")</f>
        <v/>
      </c>
    </row>
    <row r="1236">
      <c r="A1236" s="7" t="n"/>
      <c r="B1236" s="7" t="n"/>
      <c r="C1236" s="8" t="n"/>
      <c r="D1236" s="9" t="n"/>
      <c r="E1236" s="8" t="n"/>
      <c r="F1236" s="9" t="n"/>
      <c r="G1236" s="9" t="n"/>
      <c r="H1236" s="3">
        <f>IF(AND(D1236&lt;&gt;"",F1236&lt;&gt;""),F1236-D1236-G1236,"")</f>
        <v/>
      </c>
      <c r="I1236" s="14">
        <f>IF(E1236&lt;&gt;"", YEARFRAC(C1236, E1236) * 12, "")</f>
        <v/>
      </c>
      <c r="J1236" s="2">
        <f>IF(I1236="", "", IF(OR(AND(A1236="Listed Equity Shares", I1236&gt;12), AND(A1236="Unlisted Equity Shares", I1236&gt;24)), "Long Term", "Short Term"))</f>
        <v/>
      </c>
      <c r="K1236" s="5">
        <f>IF(J1236="", "", IF(J1236="Long Term", 12.5%,"as per slab"))</f>
        <v/>
      </c>
      <c r="L1236" s="3">
        <f>+IFERROR(IF(J1236="","",H1236*K1236),"as per slab")</f>
        <v/>
      </c>
    </row>
    <row r="1237">
      <c r="A1237" s="7" t="n"/>
      <c r="B1237" s="7" t="n"/>
      <c r="C1237" s="8" t="n"/>
      <c r="D1237" s="9" t="n"/>
      <c r="E1237" s="8" t="n"/>
      <c r="F1237" s="9" t="n"/>
      <c r="G1237" s="9" t="n"/>
      <c r="H1237" s="3">
        <f>IF(AND(D1237&lt;&gt;"",F1237&lt;&gt;""),F1237-D1237-G1237,"")</f>
        <v/>
      </c>
      <c r="I1237" s="14">
        <f>IF(E1237&lt;&gt;"", YEARFRAC(C1237, E1237) * 12, "")</f>
        <v/>
      </c>
      <c r="J1237" s="2">
        <f>IF(I1237="", "", IF(OR(AND(A1237="Listed Equity Shares", I1237&gt;12), AND(A1237="Unlisted Equity Shares", I1237&gt;24)), "Long Term", "Short Term"))</f>
        <v/>
      </c>
      <c r="K1237" s="5">
        <f>IF(J1237="", "", IF(J1237="Long Term", 12.5%,"as per slab"))</f>
        <v/>
      </c>
      <c r="L1237" s="3">
        <f>+IFERROR(IF(J1237="","",H1237*K1237),"as per slab")</f>
        <v/>
      </c>
    </row>
    <row r="1238">
      <c r="A1238" s="7" t="n"/>
      <c r="B1238" s="7" t="n"/>
      <c r="C1238" s="8" t="n"/>
      <c r="D1238" s="9" t="n"/>
      <c r="E1238" s="8" t="n"/>
      <c r="F1238" s="9" t="n"/>
      <c r="G1238" s="9" t="n"/>
      <c r="H1238" s="3">
        <f>IF(AND(D1238&lt;&gt;"",F1238&lt;&gt;""),F1238-D1238-G1238,"")</f>
        <v/>
      </c>
      <c r="I1238" s="14">
        <f>IF(E1238&lt;&gt;"", YEARFRAC(C1238, E1238) * 12, "")</f>
        <v/>
      </c>
      <c r="J1238" s="2">
        <f>IF(I1238="", "", IF(OR(AND(A1238="Listed Equity Shares", I1238&gt;12), AND(A1238="Unlisted Equity Shares", I1238&gt;24)), "Long Term", "Short Term"))</f>
        <v/>
      </c>
      <c r="K1238" s="5">
        <f>IF(J1238="", "", IF(J1238="Long Term", 12.5%,"as per slab"))</f>
        <v/>
      </c>
      <c r="L1238" s="3">
        <f>+IFERROR(IF(J1238="","",H1238*K1238),"as per slab")</f>
        <v/>
      </c>
    </row>
    <row r="1239">
      <c r="A1239" s="7" t="n"/>
      <c r="B1239" s="7" t="n"/>
      <c r="C1239" s="8" t="n"/>
      <c r="D1239" s="9" t="n"/>
      <c r="E1239" s="8" t="n"/>
      <c r="F1239" s="9" t="n"/>
      <c r="G1239" s="9" t="n"/>
      <c r="H1239" s="3">
        <f>IF(AND(D1239&lt;&gt;"",F1239&lt;&gt;""),F1239-D1239-G1239,"")</f>
        <v/>
      </c>
      <c r="I1239" s="14">
        <f>IF(E1239&lt;&gt;"", YEARFRAC(C1239, E1239) * 12, "")</f>
        <v/>
      </c>
      <c r="J1239" s="2">
        <f>IF(I1239="", "", IF(OR(AND(A1239="Listed Equity Shares", I1239&gt;12), AND(A1239="Unlisted Equity Shares", I1239&gt;24)), "Long Term", "Short Term"))</f>
        <v/>
      </c>
      <c r="K1239" s="5">
        <f>IF(J1239="", "", IF(J1239="Long Term", 12.5%,"as per slab"))</f>
        <v/>
      </c>
      <c r="L1239" s="3">
        <f>+IFERROR(IF(J1239="","",H1239*K1239),"as per slab")</f>
        <v/>
      </c>
    </row>
    <row r="1240">
      <c r="A1240" s="7" t="n"/>
      <c r="B1240" s="7" t="n"/>
      <c r="C1240" s="8" t="n"/>
      <c r="D1240" s="9" t="n"/>
      <c r="E1240" s="8" t="n"/>
      <c r="F1240" s="9" t="n"/>
      <c r="G1240" s="9" t="n"/>
      <c r="H1240" s="3">
        <f>IF(AND(D1240&lt;&gt;"",F1240&lt;&gt;""),F1240-D1240-G1240,"")</f>
        <v/>
      </c>
      <c r="I1240" s="14">
        <f>IF(E1240&lt;&gt;"", YEARFRAC(C1240, E1240) * 12, "")</f>
        <v/>
      </c>
      <c r="J1240" s="2">
        <f>IF(I1240="", "", IF(OR(AND(A1240="Listed Equity Shares", I1240&gt;12), AND(A1240="Unlisted Equity Shares", I1240&gt;24)), "Long Term", "Short Term"))</f>
        <v/>
      </c>
      <c r="K1240" s="5">
        <f>IF(J1240="", "", IF(J1240="Long Term", 12.5%,"as per slab"))</f>
        <v/>
      </c>
      <c r="L1240" s="3">
        <f>+IFERROR(IF(J1240="","",H1240*K1240),"as per slab")</f>
        <v/>
      </c>
    </row>
    <row r="1241">
      <c r="A1241" s="7" t="n"/>
      <c r="B1241" s="7" t="n"/>
      <c r="C1241" s="8" t="n"/>
      <c r="D1241" s="9" t="n"/>
      <c r="E1241" s="8" t="n"/>
      <c r="F1241" s="9" t="n"/>
      <c r="G1241" s="9" t="n"/>
      <c r="H1241" s="3">
        <f>IF(AND(D1241&lt;&gt;"",F1241&lt;&gt;""),F1241-D1241-G1241,"")</f>
        <v/>
      </c>
      <c r="I1241" s="14">
        <f>IF(E1241&lt;&gt;"", YEARFRAC(C1241, E1241) * 12, "")</f>
        <v/>
      </c>
      <c r="J1241" s="2">
        <f>IF(I1241="", "", IF(OR(AND(A1241="Listed Equity Shares", I1241&gt;12), AND(A1241="Unlisted Equity Shares", I1241&gt;24)), "Long Term", "Short Term"))</f>
        <v/>
      </c>
      <c r="K1241" s="5">
        <f>IF(J1241="", "", IF(J1241="Long Term", 12.5%,"as per slab"))</f>
        <v/>
      </c>
      <c r="L1241" s="3">
        <f>+IFERROR(IF(J1241="","",H1241*K1241),"as per slab")</f>
        <v/>
      </c>
    </row>
    <row r="1242">
      <c r="A1242" s="7" t="n"/>
      <c r="B1242" s="7" t="n"/>
      <c r="C1242" s="8" t="n"/>
      <c r="D1242" s="9" t="n"/>
      <c r="E1242" s="8" t="n"/>
      <c r="F1242" s="9" t="n"/>
      <c r="G1242" s="9" t="n"/>
      <c r="H1242" s="3">
        <f>IF(AND(D1242&lt;&gt;"",F1242&lt;&gt;""),F1242-D1242-G1242,"")</f>
        <v/>
      </c>
      <c r="I1242" s="14">
        <f>IF(E1242&lt;&gt;"", YEARFRAC(C1242, E1242) * 12, "")</f>
        <v/>
      </c>
      <c r="J1242" s="2">
        <f>IF(I1242="", "", IF(OR(AND(A1242="Listed Equity Shares", I1242&gt;12), AND(A1242="Unlisted Equity Shares", I1242&gt;24)), "Long Term", "Short Term"))</f>
        <v/>
      </c>
      <c r="K1242" s="5">
        <f>IF(J1242="", "", IF(J1242="Long Term", 12.5%,"as per slab"))</f>
        <v/>
      </c>
      <c r="L1242" s="3">
        <f>+IFERROR(IF(J1242="","",H1242*K1242),"as per slab")</f>
        <v/>
      </c>
    </row>
    <row r="1243">
      <c r="A1243" s="7" t="n"/>
      <c r="B1243" s="7" t="n"/>
      <c r="C1243" s="8" t="n"/>
      <c r="D1243" s="9" t="n"/>
      <c r="E1243" s="8" t="n"/>
      <c r="F1243" s="9" t="n"/>
      <c r="G1243" s="9" t="n"/>
      <c r="H1243" s="3">
        <f>IF(AND(D1243&lt;&gt;"",F1243&lt;&gt;""),F1243-D1243-G1243,"")</f>
        <v/>
      </c>
      <c r="I1243" s="14">
        <f>IF(E1243&lt;&gt;"", YEARFRAC(C1243, E1243) * 12, "")</f>
        <v/>
      </c>
      <c r="J1243" s="2">
        <f>IF(I1243="", "", IF(OR(AND(A1243="Listed Equity Shares", I1243&gt;12), AND(A1243="Unlisted Equity Shares", I1243&gt;24)), "Long Term", "Short Term"))</f>
        <v/>
      </c>
      <c r="K1243" s="5">
        <f>IF(J1243="", "", IF(J1243="Long Term", 12.5%,"as per slab"))</f>
        <v/>
      </c>
      <c r="L1243" s="3">
        <f>+IFERROR(IF(J1243="","",H1243*K1243),"as per slab")</f>
        <v/>
      </c>
    </row>
    <row r="1244">
      <c r="A1244" s="7" t="n"/>
      <c r="B1244" s="7" t="n"/>
      <c r="C1244" s="8" t="n"/>
      <c r="D1244" s="9" t="n"/>
      <c r="E1244" s="8" t="n"/>
      <c r="F1244" s="9" t="n"/>
      <c r="G1244" s="9" t="n"/>
      <c r="H1244" s="3">
        <f>IF(AND(D1244&lt;&gt;"",F1244&lt;&gt;""),F1244-D1244-G1244,"")</f>
        <v/>
      </c>
      <c r="I1244" s="14">
        <f>IF(E1244&lt;&gt;"", YEARFRAC(C1244, E1244) * 12, "")</f>
        <v/>
      </c>
      <c r="J1244" s="2">
        <f>IF(I1244="", "", IF(OR(AND(A1244="Listed Equity Shares", I1244&gt;12), AND(A1244="Unlisted Equity Shares", I1244&gt;24)), "Long Term", "Short Term"))</f>
        <v/>
      </c>
      <c r="K1244" s="5">
        <f>IF(J1244="", "", IF(J1244="Long Term", 12.5%,"as per slab"))</f>
        <v/>
      </c>
      <c r="L1244" s="3">
        <f>+IFERROR(IF(J1244="","",H1244*K1244),"as per slab")</f>
        <v/>
      </c>
    </row>
    <row r="1245">
      <c r="A1245" s="7" t="n"/>
      <c r="B1245" s="7" t="n"/>
      <c r="C1245" s="8" t="n"/>
      <c r="D1245" s="9" t="n"/>
      <c r="E1245" s="8" t="n"/>
      <c r="F1245" s="9" t="n"/>
      <c r="G1245" s="9" t="n"/>
      <c r="H1245" s="3">
        <f>IF(AND(D1245&lt;&gt;"",F1245&lt;&gt;""),F1245-D1245-G1245,"")</f>
        <v/>
      </c>
      <c r="I1245" s="14">
        <f>IF(E1245&lt;&gt;"", YEARFRAC(C1245, E1245) * 12, "")</f>
        <v/>
      </c>
      <c r="J1245" s="2">
        <f>IF(I1245="", "", IF(OR(AND(A1245="Listed Equity Shares", I1245&gt;12), AND(A1245="Unlisted Equity Shares", I1245&gt;24)), "Long Term", "Short Term"))</f>
        <v/>
      </c>
      <c r="K1245" s="5">
        <f>IF(J1245="", "", IF(J1245="Long Term", 12.5%,"as per slab"))</f>
        <v/>
      </c>
      <c r="L1245" s="3">
        <f>+IFERROR(IF(J1245="","",H1245*K1245),"as per slab")</f>
        <v/>
      </c>
    </row>
    <row r="1246">
      <c r="A1246" s="7" t="n"/>
      <c r="B1246" s="7" t="n"/>
      <c r="C1246" s="8" t="n"/>
      <c r="D1246" s="9" t="n"/>
      <c r="E1246" s="8" t="n"/>
      <c r="F1246" s="9" t="n"/>
      <c r="G1246" s="9" t="n"/>
      <c r="H1246" s="3">
        <f>IF(AND(D1246&lt;&gt;"",F1246&lt;&gt;""),F1246-D1246-G1246,"")</f>
        <v/>
      </c>
      <c r="I1246" s="14">
        <f>IF(E1246&lt;&gt;"", YEARFRAC(C1246, E1246) * 12, "")</f>
        <v/>
      </c>
      <c r="J1246" s="2">
        <f>IF(I1246="", "", IF(OR(AND(A1246="Listed Equity Shares", I1246&gt;12), AND(A1246="Unlisted Equity Shares", I1246&gt;24)), "Long Term", "Short Term"))</f>
        <v/>
      </c>
      <c r="K1246" s="5">
        <f>IF(J1246="", "", IF(J1246="Long Term", 12.5%,"as per slab"))</f>
        <v/>
      </c>
      <c r="L1246" s="3">
        <f>+IFERROR(IF(J1246="","",H1246*K1246),"as per slab")</f>
        <v/>
      </c>
    </row>
    <row r="1247">
      <c r="A1247" s="7" t="n"/>
      <c r="B1247" s="7" t="n"/>
      <c r="C1247" s="8" t="n"/>
      <c r="D1247" s="9" t="n"/>
      <c r="E1247" s="8" t="n"/>
      <c r="F1247" s="9" t="n"/>
      <c r="G1247" s="9" t="n"/>
      <c r="H1247" s="3">
        <f>IF(AND(D1247&lt;&gt;"",F1247&lt;&gt;""),F1247-D1247-G1247,"")</f>
        <v/>
      </c>
      <c r="I1247" s="14">
        <f>IF(E1247&lt;&gt;"", YEARFRAC(C1247, E1247) * 12, "")</f>
        <v/>
      </c>
      <c r="J1247" s="2">
        <f>IF(I1247="", "", IF(OR(AND(A1247="Listed Equity Shares", I1247&gt;12), AND(A1247="Unlisted Equity Shares", I1247&gt;24)), "Long Term", "Short Term"))</f>
        <v/>
      </c>
      <c r="K1247" s="5">
        <f>IF(J1247="", "", IF(J1247="Long Term", 12.5%,"as per slab"))</f>
        <v/>
      </c>
      <c r="L1247" s="3">
        <f>+IFERROR(IF(J1247="","",H1247*K1247),"as per slab")</f>
        <v/>
      </c>
    </row>
    <row r="1248">
      <c r="A1248" s="7" t="n"/>
      <c r="B1248" s="7" t="n"/>
      <c r="C1248" s="8" t="n"/>
      <c r="D1248" s="9" t="n"/>
      <c r="E1248" s="8" t="n"/>
      <c r="F1248" s="9" t="n"/>
      <c r="G1248" s="9" t="n"/>
      <c r="H1248" s="3">
        <f>IF(AND(D1248&lt;&gt;"",F1248&lt;&gt;""),F1248-D1248-G1248,"")</f>
        <v/>
      </c>
      <c r="I1248" s="14">
        <f>IF(E1248&lt;&gt;"", YEARFRAC(C1248, E1248) * 12, "")</f>
        <v/>
      </c>
      <c r="J1248" s="2">
        <f>IF(I1248="", "", IF(OR(AND(A1248="Listed Equity Shares", I1248&gt;12), AND(A1248="Unlisted Equity Shares", I1248&gt;24)), "Long Term", "Short Term"))</f>
        <v/>
      </c>
      <c r="K1248" s="5">
        <f>IF(J1248="", "", IF(J1248="Long Term", 12.5%,"as per slab"))</f>
        <v/>
      </c>
      <c r="L1248" s="3">
        <f>+IFERROR(IF(J1248="","",H1248*K1248),"as per slab")</f>
        <v/>
      </c>
    </row>
    <row r="1249">
      <c r="A1249" s="7" t="n"/>
      <c r="B1249" s="7" t="n"/>
      <c r="C1249" s="8" t="n"/>
      <c r="D1249" s="9" t="n"/>
      <c r="E1249" s="8" t="n"/>
      <c r="F1249" s="9" t="n"/>
      <c r="G1249" s="9" t="n"/>
      <c r="H1249" s="3">
        <f>IF(AND(D1249&lt;&gt;"",F1249&lt;&gt;""),F1249-D1249-G1249,"")</f>
        <v/>
      </c>
      <c r="I1249" s="14">
        <f>IF(E1249&lt;&gt;"", YEARFRAC(C1249, E1249) * 12, "")</f>
        <v/>
      </c>
      <c r="J1249" s="2">
        <f>IF(I1249="", "", IF(OR(AND(A1249="Listed Equity Shares", I1249&gt;12), AND(A1249="Unlisted Equity Shares", I1249&gt;24)), "Long Term", "Short Term"))</f>
        <v/>
      </c>
      <c r="K1249" s="5">
        <f>IF(J1249="", "", IF(J1249="Long Term", 12.5%,"as per slab"))</f>
        <v/>
      </c>
      <c r="L1249" s="3">
        <f>+IFERROR(IF(J1249="","",H1249*K1249),"as per slab")</f>
        <v/>
      </c>
    </row>
    <row r="1250">
      <c r="A1250" s="7" t="n"/>
      <c r="B1250" s="7" t="n"/>
      <c r="C1250" s="8" t="n"/>
      <c r="D1250" s="9" t="n"/>
      <c r="E1250" s="8" t="n"/>
      <c r="F1250" s="9" t="n"/>
      <c r="G1250" s="9" t="n"/>
      <c r="H1250" s="3">
        <f>IF(AND(D1250&lt;&gt;"",F1250&lt;&gt;""),F1250-D1250-G1250,"")</f>
        <v/>
      </c>
      <c r="I1250" s="14">
        <f>IF(E1250&lt;&gt;"", YEARFRAC(C1250, E1250) * 12, "")</f>
        <v/>
      </c>
      <c r="J1250" s="2">
        <f>IF(I1250="", "", IF(OR(AND(A1250="Listed Equity Shares", I1250&gt;12), AND(A1250="Unlisted Equity Shares", I1250&gt;24)), "Long Term", "Short Term"))</f>
        <v/>
      </c>
      <c r="K1250" s="5">
        <f>IF(J1250="", "", IF(J1250="Long Term", 12.5%,"as per slab"))</f>
        <v/>
      </c>
      <c r="L1250" s="3">
        <f>+IFERROR(IF(J1250="","",H1250*K1250),"as per slab")</f>
        <v/>
      </c>
    </row>
    <row r="1251">
      <c r="A1251" s="7" t="n"/>
      <c r="B1251" s="7" t="n"/>
      <c r="C1251" s="8" t="n"/>
      <c r="D1251" s="9" t="n"/>
      <c r="E1251" s="8" t="n"/>
      <c r="F1251" s="9" t="n"/>
      <c r="G1251" s="9" t="n"/>
      <c r="H1251" s="3">
        <f>IF(AND(D1251&lt;&gt;"",F1251&lt;&gt;""),F1251-D1251-G1251,"")</f>
        <v/>
      </c>
      <c r="I1251" s="14">
        <f>IF(E1251&lt;&gt;"", YEARFRAC(C1251, E1251) * 12, "")</f>
        <v/>
      </c>
      <c r="J1251" s="2">
        <f>IF(I1251="", "", IF(OR(AND(A1251="Listed Equity Shares", I1251&gt;12), AND(A1251="Unlisted Equity Shares", I1251&gt;24)), "Long Term", "Short Term"))</f>
        <v/>
      </c>
      <c r="K1251" s="5">
        <f>IF(J1251="", "", IF(J1251="Long Term", 12.5%,"as per slab"))</f>
        <v/>
      </c>
      <c r="L1251" s="3">
        <f>+IFERROR(IF(J1251="","",H1251*K1251),"as per slab")</f>
        <v/>
      </c>
    </row>
    <row r="1252">
      <c r="A1252" s="7" t="n"/>
      <c r="B1252" s="7" t="n"/>
      <c r="C1252" s="8" t="n"/>
      <c r="D1252" s="9" t="n"/>
      <c r="E1252" s="8" t="n"/>
      <c r="F1252" s="9" t="n"/>
      <c r="G1252" s="9" t="n"/>
      <c r="H1252" s="3">
        <f>IF(AND(D1252&lt;&gt;"",F1252&lt;&gt;""),F1252-D1252-G1252,"")</f>
        <v/>
      </c>
      <c r="I1252" s="14">
        <f>IF(E1252&lt;&gt;"", YEARFRAC(C1252, E1252) * 12, "")</f>
        <v/>
      </c>
      <c r="J1252" s="2">
        <f>IF(I1252="", "", IF(OR(AND(A1252="Listed Equity Shares", I1252&gt;12), AND(A1252="Unlisted Equity Shares", I1252&gt;24)), "Long Term", "Short Term"))</f>
        <v/>
      </c>
      <c r="K1252" s="5">
        <f>IF(J1252="", "", IF(J1252="Long Term", 12.5%,"as per slab"))</f>
        <v/>
      </c>
      <c r="L1252" s="3">
        <f>+IFERROR(IF(J1252="","",H1252*K1252),"as per slab")</f>
        <v/>
      </c>
    </row>
    <row r="1253">
      <c r="A1253" s="7" t="n"/>
      <c r="B1253" s="7" t="n"/>
      <c r="C1253" s="8" t="n"/>
      <c r="D1253" s="9" t="n"/>
      <c r="E1253" s="8" t="n"/>
      <c r="F1253" s="9" t="n"/>
      <c r="G1253" s="9" t="n"/>
      <c r="H1253" s="3">
        <f>IF(AND(D1253&lt;&gt;"",F1253&lt;&gt;""),F1253-D1253-G1253,"")</f>
        <v/>
      </c>
      <c r="I1253" s="14">
        <f>IF(E1253&lt;&gt;"", YEARFRAC(C1253, E1253) * 12, "")</f>
        <v/>
      </c>
      <c r="J1253" s="2">
        <f>IF(I1253="", "", IF(OR(AND(A1253="Listed Equity Shares", I1253&gt;12), AND(A1253="Unlisted Equity Shares", I1253&gt;24)), "Long Term", "Short Term"))</f>
        <v/>
      </c>
      <c r="K1253" s="5">
        <f>IF(J1253="", "", IF(J1253="Long Term", 12.5%,"as per slab"))</f>
        <v/>
      </c>
      <c r="L1253" s="3">
        <f>+IFERROR(IF(J1253="","",H1253*K1253),"as per slab")</f>
        <v/>
      </c>
    </row>
    <row r="1254">
      <c r="A1254" s="7" t="n"/>
      <c r="B1254" s="7" t="n"/>
      <c r="C1254" s="8" t="n"/>
      <c r="D1254" s="9" t="n"/>
      <c r="E1254" s="8" t="n"/>
      <c r="F1254" s="9" t="n"/>
      <c r="G1254" s="9" t="n"/>
      <c r="H1254" s="3">
        <f>IF(AND(D1254&lt;&gt;"",F1254&lt;&gt;""),F1254-D1254-G1254,"")</f>
        <v/>
      </c>
      <c r="I1254" s="14">
        <f>IF(E1254&lt;&gt;"", YEARFRAC(C1254, E1254) * 12, "")</f>
        <v/>
      </c>
      <c r="J1254" s="2">
        <f>IF(I1254="", "", IF(OR(AND(A1254="Listed Equity Shares", I1254&gt;12), AND(A1254="Unlisted Equity Shares", I1254&gt;24)), "Long Term", "Short Term"))</f>
        <v/>
      </c>
      <c r="K1254" s="5">
        <f>IF(J1254="", "", IF(J1254="Long Term", 12.5%,"as per slab"))</f>
        <v/>
      </c>
      <c r="L1254" s="3">
        <f>+IFERROR(IF(J1254="","",H1254*K1254),"as per slab")</f>
        <v/>
      </c>
    </row>
    <row r="1255">
      <c r="A1255" s="7" t="n"/>
      <c r="B1255" s="7" t="n"/>
      <c r="C1255" s="8" t="n"/>
      <c r="D1255" s="9" t="n"/>
      <c r="E1255" s="8" t="n"/>
      <c r="F1255" s="9" t="n"/>
      <c r="G1255" s="9" t="n"/>
      <c r="H1255" s="3">
        <f>IF(AND(D1255&lt;&gt;"",F1255&lt;&gt;""),F1255-D1255-G1255,"")</f>
        <v/>
      </c>
      <c r="I1255" s="14">
        <f>IF(E1255&lt;&gt;"", YEARFRAC(C1255, E1255) * 12, "")</f>
        <v/>
      </c>
      <c r="J1255" s="2">
        <f>IF(I1255="", "", IF(OR(AND(A1255="Listed Equity Shares", I1255&gt;12), AND(A1255="Unlisted Equity Shares", I1255&gt;24)), "Long Term", "Short Term"))</f>
        <v/>
      </c>
      <c r="K1255" s="5">
        <f>IF(J1255="", "", IF(J1255="Long Term", 12.5%,"as per slab"))</f>
        <v/>
      </c>
      <c r="L1255" s="3">
        <f>+IFERROR(IF(J1255="","",H1255*K1255),"as per slab")</f>
        <v/>
      </c>
    </row>
    <row r="1256">
      <c r="A1256" s="7" t="n"/>
      <c r="B1256" s="7" t="n"/>
      <c r="C1256" s="8" t="n"/>
      <c r="D1256" s="9" t="n"/>
      <c r="E1256" s="8" t="n"/>
      <c r="F1256" s="9" t="n"/>
      <c r="G1256" s="9" t="n"/>
      <c r="H1256" s="3">
        <f>IF(AND(D1256&lt;&gt;"",F1256&lt;&gt;""),F1256-D1256-G1256,"")</f>
        <v/>
      </c>
      <c r="I1256" s="14">
        <f>IF(E1256&lt;&gt;"", YEARFRAC(C1256, E1256) * 12, "")</f>
        <v/>
      </c>
      <c r="J1256" s="2">
        <f>IF(I1256="", "", IF(OR(AND(A1256="Listed Equity Shares", I1256&gt;12), AND(A1256="Unlisted Equity Shares", I1256&gt;24)), "Long Term", "Short Term"))</f>
        <v/>
      </c>
      <c r="K1256" s="5">
        <f>IF(J1256="", "", IF(J1256="Long Term", 12.5%,"as per slab"))</f>
        <v/>
      </c>
      <c r="L1256" s="3">
        <f>+IFERROR(IF(J1256="","",H1256*K1256),"as per slab")</f>
        <v/>
      </c>
    </row>
    <row r="1257">
      <c r="A1257" s="7" t="n"/>
      <c r="B1257" s="7" t="n"/>
      <c r="C1257" s="8" t="n"/>
      <c r="D1257" s="9" t="n"/>
      <c r="E1257" s="8" t="n"/>
      <c r="F1257" s="9" t="n"/>
      <c r="G1257" s="9" t="n"/>
      <c r="H1257" s="3">
        <f>IF(AND(D1257&lt;&gt;"",F1257&lt;&gt;""),F1257-D1257-G1257,"")</f>
        <v/>
      </c>
      <c r="I1257" s="14">
        <f>IF(E1257&lt;&gt;"", YEARFRAC(C1257, E1257) * 12, "")</f>
        <v/>
      </c>
      <c r="J1257" s="2">
        <f>IF(I1257="", "", IF(OR(AND(A1257="Listed Equity Shares", I1257&gt;12), AND(A1257="Unlisted Equity Shares", I1257&gt;24)), "Long Term", "Short Term"))</f>
        <v/>
      </c>
      <c r="K1257" s="5">
        <f>IF(J1257="", "", IF(J1257="Long Term", 12.5%,"as per slab"))</f>
        <v/>
      </c>
      <c r="L1257" s="3">
        <f>+IFERROR(IF(J1257="","",H1257*K1257),"as per slab")</f>
        <v/>
      </c>
    </row>
    <row r="1258">
      <c r="A1258" s="7" t="n"/>
      <c r="B1258" s="7" t="n"/>
      <c r="C1258" s="8" t="n"/>
      <c r="D1258" s="9" t="n"/>
      <c r="E1258" s="8" t="n"/>
      <c r="F1258" s="9" t="n"/>
      <c r="G1258" s="9" t="n"/>
      <c r="H1258" s="3">
        <f>IF(AND(D1258&lt;&gt;"",F1258&lt;&gt;""),F1258-D1258-G1258,"")</f>
        <v/>
      </c>
      <c r="I1258" s="14">
        <f>IF(E1258&lt;&gt;"", YEARFRAC(C1258, E1258) * 12, "")</f>
        <v/>
      </c>
      <c r="J1258" s="2">
        <f>IF(I1258="", "", IF(OR(AND(A1258="Listed Equity Shares", I1258&gt;12), AND(A1258="Unlisted Equity Shares", I1258&gt;24)), "Long Term", "Short Term"))</f>
        <v/>
      </c>
      <c r="K1258" s="5">
        <f>IF(J1258="", "", IF(J1258="Long Term", 12.5%,"as per slab"))</f>
        <v/>
      </c>
      <c r="L1258" s="3">
        <f>+IFERROR(IF(J1258="","",H1258*K1258),"as per slab")</f>
        <v/>
      </c>
    </row>
    <row r="1259">
      <c r="A1259" s="7" t="n"/>
      <c r="B1259" s="7" t="n"/>
      <c r="C1259" s="8" t="n"/>
      <c r="D1259" s="9" t="n"/>
      <c r="E1259" s="8" t="n"/>
      <c r="F1259" s="9" t="n"/>
      <c r="G1259" s="9" t="n"/>
      <c r="H1259" s="3">
        <f>IF(AND(D1259&lt;&gt;"",F1259&lt;&gt;""),F1259-D1259-G1259,"")</f>
        <v/>
      </c>
      <c r="I1259" s="14">
        <f>IF(E1259&lt;&gt;"", YEARFRAC(C1259, E1259) * 12, "")</f>
        <v/>
      </c>
      <c r="J1259" s="2">
        <f>IF(I1259="", "", IF(OR(AND(A1259="Listed Equity Shares", I1259&gt;12), AND(A1259="Unlisted Equity Shares", I1259&gt;24)), "Long Term", "Short Term"))</f>
        <v/>
      </c>
      <c r="K1259" s="5">
        <f>IF(J1259="", "", IF(J1259="Long Term", 12.5%,"as per slab"))</f>
        <v/>
      </c>
      <c r="L1259" s="3">
        <f>+IFERROR(IF(J1259="","",H1259*K1259),"as per slab")</f>
        <v/>
      </c>
    </row>
    <row r="1260">
      <c r="A1260" s="7" t="n"/>
      <c r="B1260" s="7" t="n"/>
      <c r="C1260" s="8" t="n"/>
      <c r="D1260" s="9" t="n"/>
      <c r="E1260" s="8" t="n"/>
      <c r="F1260" s="9" t="n"/>
      <c r="G1260" s="9" t="n"/>
      <c r="H1260" s="3">
        <f>IF(AND(D1260&lt;&gt;"",F1260&lt;&gt;""),F1260-D1260-G1260,"")</f>
        <v/>
      </c>
      <c r="I1260" s="14">
        <f>IF(E1260&lt;&gt;"", YEARFRAC(C1260, E1260) * 12, "")</f>
        <v/>
      </c>
      <c r="J1260" s="2">
        <f>IF(I1260="", "", IF(OR(AND(A1260="Listed Equity Shares", I1260&gt;12), AND(A1260="Unlisted Equity Shares", I1260&gt;24)), "Long Term", "Short Term"))</f>
        <v/>
      </c>
      <c r="K1260" s="5">
        <f>IF(J1260="", "", IF(J1260="Long Term", 12.5%,"as per slab"))</f>
        <v/>
      </c>
      <c r="L1260" s="3">
        <f>+IFERROR(IF(J1260="","",H1260*K1260),"as per slab")</f>
        <v/>
      </c>
    </row>
    <row r="1261">
      <c r="A1261" s="7" t="n"/>
      <c r="B1261" s="7" t="n"/>
      <c r="C1261" s="8" t="n"/>
      <c r="D1261" s="9" t="n"/>
      <c r="E1261" s="8" t="n"/>
      <c r="F1261" s="9" t="n"/>
      <c r="G1261" s="9" t="n"/>
      <c r="H1261" s="3">
        <f>IF(AND(D1261&lt;&gt;"",F1261&lt;&gt;""),F1261-D1261-G1261,"")</f>
        <v/>
      </c>
      <c r="I1261" s="14">
        <f>IF(E1261&lt;&gt;"", YEARFRAC(C1261, E1261) * 12, "")</f>
        <v/>
      </c>
      <c r="J1261" s="2">
        <f>IF(I1261="", "", IF(OR(AND(A1261="Listed Equity Shares", I1261&gt;12), AND(A1261="Unlisted Equity Shares", I1261&gt;24)), "Long Term", "Short Term"))</f>
        <v/>
      </c>
      <c r="K1261" s="5">
        <f>IF(J1261="", "", IF(J1261="Long Term", 12.5%,"as per slab"))</f>
        <v/>
      </c>
      <c r="L1261" s="3">
        <f>+IFERROR(IF(J1261="","",H1261*K1261),"as per slab")</f>
        <v/>
      </c>
    </row>
    <row r="1262">
      <c r="A1262" s="7" t="n"/>
      <c r="B1262" s="7" t="n"/>
      <c r="C1262" s="8" t="n"/>
      <c r="D1262" s="9" t="n"/>
      <c r="E1262" s="8" t="n"/>
      <c r="F1262" s="9" t="n"/>
      <c r="G1262" s="9" t="n"/>
      <c r="H1262" s="3">
        <f>IF(AND(D1262&lt;&gt;"",F1262&lt;&gt;""),F1262-D1262-G1262,"")</f>
        <v/>
      </c>
      <c r="I1262" s="14">
        <f>IF(E1262&lt;&gt;"", YEARFRAC(C1262, E1262) * 12, "")</f>
        <v/>
      </c>
      <c r="J1262" s="2">
        <f>IF(I1262="", "", IF(OR(AND(A1262="Listed Equity Shares", I1262&gt;12), AND(A1262="Unlisted Equity Shares", I1262&gt;24)), "Long Term", "Short Term"))</f>
        <v/>
      </c>
      <c r="K1262" s="5">
        <f>IF(J1262="", "", IF(J1262="Long Term", 12.5%,"as per slab"))</f>
        <v/>
      </c>
      <c r="L1262" s="3">
        <f>+IFERROR(IF(J1262="","",H1262*K1262),"as per slab")</f>
        <v/>
      </c>
    </row>
    <row r="1263">
      <c r="A1263" s="7" t="n"/>
      <c r="B1263" s="7" t="n"/>
      <c r="C1263" s="8" t="n"/>
      <c r="D1263" s="9" t="n"/>
      <c r="E1263" s="8" t="n"/>
      <c r="F1263" s="9" t="n"/>
      <c r="G1263" s="9" t="n"/>
      <c r="H1263" s="3">
        <f>IF(AND(D1263&lt;&gt;"",F1263&lt;&gt;""),F1263-D1263-G1263,"")</f>
        <v/>
      </c>
      <c r="I1263" s="14">
        <f>IF(E1263&lt;&gt;"", YEARFRAC(C1263, E1263) * 12, "")</f>
        <v/>
      </c>
      <c r="J1263" s="2">
        <f>IF(I1263="", "", IF(OR(AND(A1263="Listed Equity Shares", I1263&gt;12), AND(A1263="Unlisted Equity Shares", I1263&gt;24)), "Long Term", "Short Term"))</f>
        <v/>
      </c>
      <c r="K1263" s="5">
        <f>IF(J1263="", "", IF(J1263="Long Term", 12.5%,"as per slab"))</f>
        <v/>
      </c>
      <c r="L1263" s="3">
        <f>+IFERROR(IF(J1263="","",H1263*K1263),"as per slab")</f>
        <v/>
      </c>
    </row>
    <row r="1264">
      <c r="A1264" s="7" t="n"/>
      <c r="B1264" s="7" t="n"/>
      <c r="C1264" s="8" t="n"/>
      <c r="D1264" s="9" t="n"/>
      <c r="E1264" s="8" t="n"/>
      <c r="F1264" s="9" t="n"/>
      <c r="G1264" s="9" t="n"/>
      <c r="H1264" s="3">
        <f>IF(AND(D1264&lt;&gt;"",F1264&lt;&gt;""),F1264-D1264-G1264,"")</f>
        <v/>
      </c>
      <c r="I1264" s="14">
        <f>IF(E1264&lt;&gt;"", YEARFRAC(C1264, E1264) * 12, "")</f>
        <v/>
      </c>
      <c r="J1264" s="2">
        <f>IF(I1264="", "", IF(OR(AND(A1264="Listed Equity Shares", I1264&gt;12), AND(A1264="Unlisted Equity Shares", I1264&gt;24)), "Long Term", "Short Term"))</f>
        <v/>
      </c>
      <c r="K1264" s="5">
        <f>IF(J1264="", "", IF(J1264="Long Term", 12.5%,"as per slab"))</f>
        <v/>
      </c>
      <c r="L1264" s="3">
        <f>+IFERROR(IF(J1264="","",H1264*K1264),"as per slab")</f>
        <v/>
      </c>
    </row>
    <row r="1265">
      <c r="A1265" s="7" t="n"/>
      <c r="B1265" s="7" t="n"/>
      <c r="C1265" s="8" t="n"/>
      <c r="D1265" s="9" t="n"/>
      <c r="E1265" s="8" t="n"/>
      <c r="F1265" s="9" t="n"/>
      <c r="G1265" s="9" t="n"/>
      <c r="H1265" s="3">
        <f>IF(AND(D1265&lt;&gt;"",F1265&lt;&gt;""),F1265-D1265-G1265,"")</f>
        <v/>
      </c>
      <c r="I1265" s="14">
        <f>IF(E1265&lt;&gt;"", YEARFRAC(C1265, E1265) * 12, "")</f>
        <v/>
      </c>
      <c r="J1265" s="2">
        <f>IF(I1265="", "", IF(OR(AND(A1265="Listed Equity Shares", I1265&gt;12), AND(A1265="Unlisted Equity Shares", I1265&gt;24)), "Long Term", "Short Term"))</f>
        <v/>
      </c>
      <c r="K1265" s="5">
        <f>IF(J1265="", "", IF(J1265="Long Term", 12.5%,"as per slab"))</f>
        <v/>
      </c>
      <c r="L1265" s="3">
        <f>+IFERROR(IF(J1265="","",H1265*K1265),"as per slab")</f>
        <v/>
      </c>
    </row>
    <row r="1266">
      <c r="A1266" s="7" t="n"/>
      <c r="B1266" s="7" t="n"/>
      <c r="C1266" s="8" t="n"/>
      <c r="D1266" s="9" t="n"/>
      <c r="E1266" s="8" t="n"/>
      <c r="F1266" s="9" t="n"/>
      <c r="G1266" s="9" t="n"/>
      <c r="H1266" s="3">
        <f>IF(AND(D1266&lt;&gt;"",F1266&lt;&gt;""),F1266-D1266-G1266,"")</f>
        <v/>
      </c>
      <c r="I1266" s="14">
        <f>IF(E1266&lt;&gt;"", YEARFRAC(C1266, E1266) * 12, "")</f>
        <v/>
      </c>
      <c r="J1266" s="2">
        <f>IF(I1266="", "", IF(OR(AND(A1266="Listed Equity Shares", I1266&gt;12), AND(A1266="Unlisted Equity Shares", I1266&gt;24)), "Long Term", "Short Term"))</f>
        <v/>
      </c>
      <c r="K1266" s="5">
        <f>IF(J1266="", "", IF(J1266="Long Term", 12.5%,"as per slab"))</f>
        <v/>
      </c>
      <c r="L1266" s="3">
        <f>+IFERROR(IF(J1266="","",H1266*K1266),"as per slab")</f>
        <v/>
      </c>
    </row>
    <row r="1267">
      <c r="A1267" s="7" t="n"/>
      <c r="B1267" s="7" t="n"/>
      <c r="C1267" s="8" t="n"/>
      <c r="D1267" s="9" t="n"/>
      <c r="E1267" s="8" t="n"/>
      <c r="F1267" s="9" t="n"/>
      <c r="G1267" s="9" t="n"/>
      <c r="H1267" s="3">
        <f>IF(AND(D1267&lt;&gt;"",F1267&lt;&gt;""),F1267-D1267-G1267,"")</f>
        <v/>
      </c>
      <c r="I1267" s="14">
        <f>IF(E1267&lt;&gt;"", YEARFRAC(C1267, E1267) * 12, "")</f>
        <v/>
      </c>
      <c r="J1267" s="2">
        <f>IF(I1267="", "", IF(OR(AND(A1267="Listed Equity Shares", I1267&gt;12), AND(A1267="Unlisted Equity Shares", I1267&gt;24)), "Long Term", "Short Term"))</f>
        <v/>
      </c>
      <c r="K1267" s="5">
        <f>IF(J1267="", "", IF(J1267="Long Term", 12.5%,"as per slab"))</f>
        <v/>
      </c>
      <c r="L1267" s="3">
        <f>+IFERROR(IF(J1267="","",H1267*K1267),"as per slab")</f>
        <v/>
      </c>
    </row>
    <row r="1268">
      <c r="A1268" s="7" t="n"/>
      <c r="B1268" s="7" t="n"/>
      <c r="C1268" s="8" t="n"/>
      <c r="D1268" s="9" t="n"/>
      <c r="E1268" s="8" t="n"/>
      <c r="F1268" s="9" t="n"/>
      <c r="G1268" s="9" t="n"/>
      <c r="H1268" s="3">
        <f>IF(AND(D1268&lt;&gt;"",F1268&lt;&gt;""),F1268-D1268-G1268,"")</f>
        <v/>
      </c>
      <c r="I1268" s="14">
        <f>IF(E1268&lt;&gt;"", YEARFRAC(C1268, E1268) * 12, "")</f>
        <v/>
      </c>
      <c r="J1268" s="2">
        <f>IF(I1268="", "", IF(OR(AND(A1268="Listed Equity Shares", I1268&gt;12), AND(A1268="Unlisted Equity Shares", I1268&gt;24)), "Long Term", "Short Term"))</f>
        <v/>
      </c>
      <c r="K1268" s="5">
        <f>IF(J1268="", "", IF(J1268="Long Term", 12.5%,"as per slab"))</f>
        <v/>
      </c>
      <c r="L1268" s="3">
        <f>+IFERROR(IF(J1268="","",H1268*K1268),"as per slab")</f>
        <v/>
      </c>
    </row>
    <row r="1269">
      <c r="A1269" s="7" t="n"/>
      <c r="B1269" s="7" t="n"/>
      <c r="C1269" s="8" t="n"/>
      <c r="D1269" s="9" t="n"/>
      <c r="E1269" s="8" t="n"/>
      <c r="F1269" s="9" t="n"/>
      <c r="G1269" s="9" t="n"/>
      <c r="H1269" s="3">
        <f>IF(AND(D1269&lt;&gt;"",F1269&lt;&gt;""),F1269-D1269-G1269,"")</f>
        <v/>
      </c>
      <c r="I1269" s="14">
        <f>IF(E1269&lt;&gt;"", YEARFRAC(C1269, E1269) * 12, "")</f>
        <v/>
      </c>
      <c r="J1269" s="2">
        <f>IF(I1269="", "", IF(OR(AND(A1269="Listed Equity Shares", I1269&gt;12), AND(A1269="Unlisted Equity Shares", I1269&gt;24)), "Long Term", "Short Term"))</f>
        <v/>
      </c>
      <c r="K1269" s="5">
        <f>IF(J1269="", "", IF(J1269="Long Term", 12.5%,"as per slab"))</f>
        <v/>
      </c>
      <c r="L1269" s="3">
        <f>+IFERROR(IF(J1269="","",H1269*K1269),"as per slab")</f>
        <v/>
      </c>
    </row>
    <row r="1270">
      <c r="A1270" s="7" t="n"/>
      <c r="B1270" s="7" t="n"/>
      <c r="C1270" s="8" t="n"/>
      <c r="D1270" s="9" t="n"/>
      <c r="E1270" s="8" t="n"/>
      <c r="F1270" s="9" t="n"/>
      <c r="G1270" s="9" t="n"/>
      <c r="H1270" s="3">
        <f>IF(AND(D1270&lt;&gt;"",F1270&lt;&gt;""),F1270-D1270-G1270,"")</f>
        <v/>
      </c>
      <c r="I1270" s="14">
        <f>IF(E1270&lt;&gt;"", YEARFRAC(C1270, E1270) * 12, "")</f>
        <v/>
      </c>
      <c r="J1270" s="2">
        <f>IF(I1270="", "", IF(OR(AND(A1270="Listed Equity Shares", I1270&gt;12), AND(A1270="Unlisted Equity Shares", I1270&gt;24)), "Long Term", "Short Term"))</f>
        <v/>
      </c>
      <c r="K1270" s="5">
        <f>IF(J1270="", "", IF(J1270="Long Term", 12.5%,"as per slab"))</f>
        <v/>
      </c>
      <c r="L1270" s="3">
        <f>+IFERROR(IF(J1270="","",H1270*K1270),"as per slab")</f>
        <v/>
      </c>
    </row>
    <row r="1271">
      <c r="A1271" s="7" t="n"/>
      <c r="B1271" s="7" t="n"/>
      <c r="C1271" s="8" t="n"/>
      <c r="D1271" s="9" t="n"/>
      <c r="E1271" s="8" t="n"/>
      <c r="F1271" s="9" t="n"/>
      <c r="G1271" s="9" t="n"/>
      <c r="H1271" s="3">
        <f>IF(AND(D1271&lt;&gt;"",F1271&lt;&gt;""),F1271-D1271-G1271,"")</f>
        <v/>
      </c>
      <c r="I1271" s="14">
        <f>IF(E1271&lt;&gt;"", YEARFRAC(C1271, E1271) * 12, "")</f>
        <v/>
      </c>
      <c r="J1271" s="2">
        <f>IF(I1271="", "", IF(OR(AND(A1271="Listed Equity Shares", I1271&gt;12), AND(A1271="Unlisted Equity Shares", I1271&gt;24)), "Long Term", "Short Term"))</f>
        <v/>
      </c>
      <c r="K1271" s="5">
        <f>IF(J1271="", "", IF(J1271="Long Term", 12.5%,"as per slab"))</f>
        <v/>
      </c>
      <c r="L1271" s="3">
        <f>+IFERROR(IF(J1271="","",H1271*K1271),"as per slab")</f>
        <v/>
      </c>
    </row>
    <row r="1272">
      <c r="A1272" s="7" t="n"/>
      <c r="B1272" s="7" t="n"/>
      <c r="C1272" s="8" t="n"/>
      <c r="D1272" s="9" t="n"/>
      <c r="E1272" s="8" t="n"/>
      <c r="F1272" s="9" t="n"/>
      <c r="G1272" s="9" t="n"/>
      <c r="H1272" s="3">
        <f>IF(AND(D1272&lt;&gt;"",F1272&lt;&gt;""),F1272-D1272-G1272,"")</f>
        <v/>
      </c>
      <c r="I1272" s="14">
        <f>IF(E1272&lt;&gt;"", YEARFRAC(C1272, E1272) * 12, "")</f>
        <v/>
      </c>
      <c r="J1272" s="2">
        <f>IF(I1272="", "", IF(OR(AND(A1272="Listed Equity Shares", I1272&gt;12), AND(A1272="Unlisted Equity Shares", I1272&gt;24)), "Long Term", "Short Term"))</f>
        <v/>
      </c>
      <c r="K1272" s="5">
        <f>IF(J1272="", "", IF(J1272="Long Term", 12.5%,"as per slab"))</f>
        <v/>
      </c>
      <c r="L1272" s="3">
        <f>+IFERROR(IF(J1272="","",H1272*K1272),"as per slab")</f>
        <v/>
      </c>
    </row>
    <row r="1273">
      <c r="A1273" s="7" t="n"/>
      <c r="B1273" s="7" t="n"/>
      <c r="C1273" s="8" t="n"/>
      <c r="D1273" s="9" t="n"/>
      <c r="E1273" s="8" t="n"/>
      <c r="F1273" s="9" t="n"/>
      <c r="G1273" s="9" t="n"/>
      <c r="H1273" s="3">
        <f>IF(AND(D1273&lt;&gt;"",F1273&lt;&gt;""),F1273-D1273-G1273,"")</f>
        <v/>
      </c>
      <c r="I1273" s="14">
        <f>IF(E1273&lt;&gt;"", YEARFRAC(C1273, E1273) * 12, "")</f>
        <v/>
      </c>
      <c r="J1273" s="2">
        <f>IF(I1273="", "", IF(OR(AND(A1273="Listed Equity Shares", I1273&gt;12), AND(A1273="Unlisted Equity Shares", I1273&gt;24)), "Long Term", "Short Term"))</f>
        <v/>
      </c>
      <c r="K1273" s="5">
        <f>IF(J1273="", "", IF(J1273="Long Term", 12.5%,"as per slab"))</f>
        <v/>
      </c>
      <c r="L1273" s="3">
        <f>+IFERROR(IF(J1273="","",H1273*K1273),"as per slab")</f>
        <v/>
      </c>
    </row>
    <row r="1274">
      <c r="A1274" s="7" t="n"/>
      <c r="B1274" s="7" t="n"/>
      <c r="C1274" s="8" t="n"/>
      <c r="D1274" s="9" t="n"/>
      <c r="E1274" s="8" t="n"/>
      <c r="F1274" s="9" t="n"/>
      <c r="G1274" s="9" t="n"/>
      <c r="H1274" s="3">
        <f>IF(AND(D1274&lt;&gt;"",F1274&lt;&gt;""),F1274-D1274-G1274,"")</f>
        <v/>
      </c>
      <c r="I1274" s="14">
        <f>IF(E1274&lt;&gt;"", YEARFRAC(C1274, E1274) * 12, "")</f>
        <v/>
      </c>
      <c r="J1274" s="2">
        <f>IF(I1274="", "", IF(OR(AND(A1274="Listed Equity Shares", I1274&gt;12), AND(A1274="Unlisted Equity Shares", I1274&gt;24)), "Long Term", "Short Term"))</f>
        <v/>
      </c>
      <c r="K1274" s="5">
        <f>IF(J1274="", "", IF(J1274="Long Term", 12.5%,"as per slab"))</f>
        <v/>
      </c>
      <c r="L1274" s="3">
        <f>+IFERROR(IF(J1274="","",H1274*K1274),"as per slab")</f>
        <v/>
      </c>
    </row>
    <row r="1275">
      <c r="A1275" s="7" t="n"/>
      <c r="B1275" s="7" t="n"/>
      <c r="C1275" s="8" t="n"/>
      <c r="D1275" s="9" t="n"/>
      <c r="E1275" s="8" t="n"/>
      <c r="F1275" s="9" t="n"/>
      <c r="G1275" s="9" t="n"/>
      <c r="H1275" s="3">
        <f>IF(AND(D1275&lt;&gt;"",F1275&lt;&gt;""),F1275-D1275-G1275,"")</f>
        <v/>
      </c>
      <c r="I1275" s="14">
        <f>IF(E1275&lt;&gt;"", YEARFRAC(C1275, E1275) * 12, "")</f>
        <v/>
      </c>
      <c r="J1275" s="2">
        <f>IF(I1275="", "", IF(OR(AND(A1275="Listed Equity Shares", I1275&gt;12), AND(A1275="Unlisted Equity Shares", I1275&gt;24)), "Long Term", "Short Term"))</f>
        <v/>
      </c>
      <c r="K1275" s="5">
        <f>IF(J1275="", "", IF(J1275="Long Term", 12.5%,"as per slab"))</f>
        <v/>
      </c>
      <c r="L1275" s="3">
        <f>+IFERROR(IF(J1275="","",H1275*K1275),"as per slab")</f>
        <v/>
      </c>
    </row>
    <row r="1276">
      <c r="A1276" s="7" t="n"/>
      <c r="B1276" s="7" t="n"/>
      <c r="C1276" s="8" t="n"/>
      <c r="D1276" s="9" t="n"/>
      <c r="E1276" s="8" t="n"/>
      <c r="F1276" s="9" t="n"/>
      <c r="G1276" s="9" t="n"/>
      <c r="H1276" s="3">
        <f>IF(AND(D1276&lt;&gt;"",F1276&lt;&gt;""),F1276-D1276-G1276,"")</f>
        <v/>
      </c>
      <c r="I1276" s="14">
        <f>IF(E1276&lt;&gt;"", YEARFRAC(C1276, E1276) * 12, "")</f>
        <v/>
      </c>
      <c r="J1276" s="2">
        <f>IF(I1276="", "", IF(OR(AND(A1276="Listed Equity Shares", I1276&gt;12), AND(A1276="Unlisted Equity Shares", I1276&gt;24)), "Long Term", "Short Term"))</f>
        <v/>
      </c>
      <c r="K1276" s="5">
        <f>IF(J1276="", "", IF(J1276="Long Term", 12.5%,"as per slab"))</f>
        <v/>
      </c>
      <c r="L1276" s="3">
        <f>+IFERROR(IF(J1276="","",H1276*K1276),"as per slab")</f>
        <v/>
      </c>
    </row>
    <row r="1277">
      <c r="A1277" s="7" t="n"/>
      <c r="B1277" s="7" t="n"/>
      <c r="C1277" s="8" t="n"/>
      <c r="D1277" s="9" t="n"/>
      <c r="E1277" s="8" t="n"/>
      <c r="F1277" s="9" t="n"/>
      <c r="G1277" s="9" t="n"/>
      <c r="H1277" s="3">
        <f>IF(AND(D1277&lt;&gt;"",F1277&lt;&gt;""),F1277-D1277-G1277,"")</f>
        <v/>
      </c>
      <c r="I1277" s="14">
        <f>IF(E1277&lt;&gt;"", YEARFRAC(C1277, E1277) * 12, "")</f>
        <v/>
      </c>
      <c r="J1277" s="2">
        <f>IF(I1277="", "", IF(OR(AND(A1277="Listed Equity Shares", I1277&gt;12), AND(A1277="Unlisted Equity Shares", I1277&gt;24)), "Long Term", "Short Term"))</f>
        <v/>
      </c>
      <c r="K1277" s="5">
        <f>IF(J1277="", "", IF(J1277="Long Term", 12.5%,"as per slab"))</f>
        <v/>
      </c>
      <c r="L1277" s="3">
        <f>+IFERROR(IF(J1277="","",H1277*K1277),"as per slab")</f>
        <v/>
      </c>
    </row>
    <row r="1278">
      <c r="A1278" s="7" t="n"/>
      <c r="B1278" s="7" t="n"/>
      <c r="C1278" s="8" t="n"/>
      <c r="D1278" s="9" t="n"/>
      <c r="E1278" s="8" t="n"/>
      <c r="F1278" s="9" t="n"/>
      <c r="G1278" s="9" t="n"/>
      <c r="H1278" s="3">
        <f>IF(AND(D1278&lt;&gt;"",F1278&lt;&gt;""),F1278-D1278-G1278,"")</f>
        <v/>
      </c>
      <c r="I1278" s="14">
        <f>IF(E1278&lt;&gt;"", YEARFRAC(C1278, E1278) * 12, "")</f>
        <v/>
      </c>
      <c r="J1278" s="2">
        <f>IF(I1278="", "", IF(OR(AND(A1278="Listed Equity Shares", I1278&gt;12), AND(A1278="Unlisted Equity Shares", I1278&gt;24)), "Long Term", "Short Term"))</f>
        <v/>
      </c>
      <c r="K1278" s="5">
        <f>IF(J1278="", "", IF(J1278="Long Term", 12.5%,"as per slab"))</f>
        <v/>
      </c>
      <c r="L1278" s="3">
        <f>+IFERROR(IF(J1278="","",H1278*K1278),"as per slab")</f>
        <v/>
      </c>
    </row>
    <row r="1279">
      <c r="A1279" s="7" t="n"/>
      <c r="B1279" s="7" t="n"/>
      <c r="C1279" s="8" t="n"/>
      <c r="D1279" s="9" t="n"/>
      <c r="E1279" s="8" t="n"/>
      <c r="F1279" s="9" t="n"/>
      <c r="G1279" s="9" t="n"/>
      <c r="H1279" s="3">
        <f>IF(AND(D1279&lt;&gt;"",F1279&lt;&gt;""),F1279-D1279-G1279,"")</f>
        <v/>
      </c>
      <c r="I1279" s="14">
        <f>IF(E1279&lt;&gt;"", YEARFRAC(C1279, E1279) * 12, "")</f>
        <v/>
      </c>
      <c r="J1279" s="2">
        <f>IF(I1279="", "", IF(OR(AND(A1279="Listed Equity Shares", I1279&gt;12), AND(A1279="Unlisted Equity Shares", I1279&gt;24)), "Long Term", "Short Term"))</f>
        <v/>
      </c>
      <c r="K1279" s="5">
        <f>IF(J1279="", "", IF(J1279="Long Term", 12.5%,"as per slab"))</f>
        <v/>
      </c>
      <c r="L1279" s="3">
        <f>+IFERROR(IF(J1279="","",H1279*K1279),"as per slab")</f>
        <v/>
      </c>
    </row>
    <row r="1280">
      <c r="A1280" s="7" t="n"/>
      <c r="B1280" s="7" t="n"/>
      <c r="C1280" s="8" t="n"/>
      <c r="D1280" s="9" t="n"/>
      <c r="E1280" s="8" t="n"/>
      <c r="F1280" s="9" t="n"/>
      <c r="G1280" s="9" t="n"/>
      <c r="H1280" s="3">
        <f>IF(AND(D1280&lt;&gt;"",F1280&lt;&gt;""),F1280-D1280-G1280,"")</f>
        <v/>
      </c>
      <c r="I1280" s="14">
        <f>IF(E1280&lt;&gt;"", YEARFRAC(C1280, E1280) * 12, "")</f>
        <v/>
      </c>
      <c r="J1280" s="2">
        <f>IF(I1280="", "", IF(OR(AND(A1280="Listed Equity Shares", I1280&gt;12), AND(A1280="Unlisted Equity Shares", I1280&gt;24)), "Long Term", "Short Term"))</f>
        <v/>
      </c>
      <c r="K1280" s="5">
        <f>IF(J1280="", "", IF(J1280="Long Term", 12.5%,"as per slab"))</f>
        <v/>
      </c>
      <c r="L1280" s="3">
        <f>+IFERROR(IF(J1280="","",H1280*K1280),"as per slab")</f>
        <v/>
      </c>
    </row>
    <row r="1281">
      <c r="A1281" s="7" t="n"/>
      <c r="B1281" s="7" t="n"/>
      <c r="C1281" s="8" t="n"/>
      <c r="D1281" s="9" t="n"/>
      <c r="E1281" s="8" t="n"/>
      <c r="F1281" s="9" t="n"/>
      <c r="G1281" s="9" t="n"/>
      <c r="H1281" s="3">
        <f>IF(AND(D1281&lt;&gt;"",F1281&lt;&gt;""),F1281-D1281-G1281,"")</f>
        <v/>
      </c>
      <c r="I1281" s="14">
        <f>IF(E1281&lt;&gt;"", YEARFRAC(C1281, E1281) * 12, "")</f>
        <v/>
      </c>
      <c r="J1281" s="2">
        <f>IF(I1281="", "", IF(OR(AND(A1281="Listed Equity Shares", I1281&gt;12), AND(A1281="Unlisted Equity Shares", I1281&gt;24)), "Long Term", "Short Term"))</f>
        <v/>
      </c>
      <c r="K1281" s="5">
        <f>IF(J1281="", "", IF(J1281="Long Term", 12.5%,"as per slab"))</f>
        <v/>
      </c>
      <c r="L1281" s="3">
        <f>+IFERROR(IF(J1281="","",H1281*K1281),"as per slab")</f>
        <v/>
      </c>
    </row>
    <row r="1282">
      <c r="A1282" s="7" t="n"/>
      <c r="B1282" s="7" t="n"/>
      <c r="C1282" s="8" t="n"/>
      <c r="D1282" s="9" t="n"/>
      <c r="E1282" s="8" t="n"/>
      <c r="F1282" s="9" t="n"/>
      <c r="G1282" s="9" t="n"/>
      <c r="H1282" s="3">
        <f>IF(AND(D1282&lt;&gt;"",F1282&lt;&gt;""),F1282-D1282-G1282,"")</f>
        <v/>
      </c>
      <c r="I1282" s="14">
        <f>IF(E1282&lt;&gt;"", YEARFRAC(C1282, E1282) * 12, "")</f>
        <v/>
      </c>
      <c r="J1282" s="2">
        <f>IF(I1282="", "", IF(OR(AND(A1282="Listed Equity Shares", I1282&gt;12), AND(A1282="Unlisted Equity Shares", I1282&gt;24)), "Long Term", "Short Term"))</f>
        <v/>
      </c>
      <c r="K1282" s="5">
        <f>IF(J1282="", "", IF(J1282="Long Term", 12.5%,"as per slab"))</f>
        <v/>
      </c>
      <c r="L1282" s="3">
        <f>+IFERROR(IF(J1282="","",H1282*K1282),"as per slab")</f>
        <v/>
      </c>
    </row>
    <row r="1283">
      <c r="A1283" s="7" t="n"/>
      <c r="B1283" s="7" t="n"/>
      <c r="C1283" s="8" t="n"/>
      <c r="D1283" s="9" t="n"/>
      <c r="E1283" s="8" t="n"/>
      <c r="F1283" s="9" t="n"/>
      <c r="G1283" s="9" t="n"/>
      <c r="H1283" s="3">
        <f>IF(AND(D1283&lt;&gt;"",F1283&lt;&gt;""),F1283-D1283-G1283,"")</f>
        <v/>
      </c>
      <c r="I1283" s="14">
        <f>IF(E1283&lt;&gt;"", YEARFRAC(C1283, E1283) * 12, "")</f>
        <v/>
      </c>
      <c r="J1283" s="2">
        <f>IF(I1283="", "", IF(OR(AND(A1283="Listed Equity Shares", I1283&gt;12), AND(A1283="Unlisted Equity Shares", I1283&gt;24)), "Long Term", "Short Term"))</f>
        <v/>
      </c>
      <c r="K1283" s="5">
        <f>IF(J1283="", "", IF(J1283="Long Term", 12.5%,"as per slab"))</f>
        <v/>
      </c>
      <c r="L1283" s="3">
        <f>+IFERROR(IF(J1283="","",H1283*K1283),"as per slab")</f>
        <v/>
      </c>
    </row>
    <row r="1284">
      <c r="A1284" s="7" t="n"/>
      <c r="B1284" s="7" t="n"/>
      <c r="C1284" s="8" t="n"/>
      <c r="D1284" s="9" t="n"/>
      <c r="E1284" s="8" t="n"/>
      <c r="F1284" s="9" t="n"/>
      <c r="G1284" s="9" t="n"/>
      <c r="H1284" s="3">
        <f>IF(AND(D1284&lt;&gt;"",F1284&lt;&gt;""),F1284-D1284-G1284,"")</f>
        <v/>
      </c>
      <c r="I1284" s="14">
        <f>IF(E1284&lt;&gt;"", YEARFRAC(C1284, E1284) * 12, "")</f>
        <v/>
      </c>
      <c r="J1284" s="2">
        <f>IF(I1284="", "", IF(OR(AND(A1284="Listed Equity Shares", I1284&gt;12), AND(A1284="Unlisted Equity Shares", I1284&gt;24)), "Long Term", "Short Term"))</f>
        <v/>
      </c>
      <c r="K1284" s="5">
        <f>IF(J1284="", "", IF(J1284="Long Term", 12.5%,"as per slab"))</f>
        <v/>
      </c>
      <c r="L1284" s="3">
        <f>+IFERROR(IF(J1284="","",H1284*K1284),"as per slab")</f>
        <v/>
      </c>
    </row>
    <row r="1285">
      <c r="A1285" s="7" t="n"/>
      <c r="B1285" s="7" t="n"/>
      <c r="C1285" s="8" t="n"/>
      <c r="D1285" s="9" t="n"/>
      <c r="E1285" s="8" t="n"/>
      <c r="F1285" s="9" t="n"/>
      <c r="G1285" s="9" t="n"/>
      <c r="H1285" s="3">
        <f>IF(AND(D1285&lt;&gt;"",F1285&lt;&gt;""),F1285-D1285-G1285,"")</f>
        <v/>
      </c>
      <c r="I1285" s="14">
        <f>IF(E1285&lt;&gt;"", YEARFRAC(C1285, E1285) * 12, "")</f>
        <v/>
      </c>
      <c r="J1285" s="2">
        <f>IF(I1285="", "", IF(OR(AND(A1285="Listed Equity Shares", I1285&gt;12), AND(A1285="Unlisted Equity Shares", I1285&gt;24)), "Long Term", "Short Term"))</f>
        <v/>
      </c>
      <c r="K1285" s="5">
        <f>IF(J1285="", "", IF(J1285="Long Term", 12.5%,"as per slab"))</f>
        <v/>
      </c>
      <c r="L1285" s="3">
        <f>+IFERROR(IF(J1285="","",H1285*K1285),"as per slab")</f>
        <v/>
      </c>
    </row>
    <row r="1286">
      <c r="A1286" s="7" t="n"/>
      <c r="B1286" s="7" t="n"/>
      <c r="C1286" s="8" t="n"/>
      <c r="D1286" s="9" t="n"/>
      <c r="E1286" s="8" t="n"/>
      <c r="F1286" s="9" t="n"/>
      <c r="G1286" s="9" t="n"/>
      <c r="H1286" s="3">
        <f>IF(AND(D1286&lt;&gt;"",F1286&lt;&gt;""),F1286-D1286-G1286,"")</f>
        <v/>
      </c>
      <c r="I1286" s="14">
        <f>IF(E1286&lt;&gt;"", YEARFRAC(C1286, E1286) * 12, "")</f>
        <v/>
      </c>
      <c r="J1286" s="2">
        <f>IF(I1286="", "", IF(OR(AND(A1286="Listed Equity Shares", I1286&gt;12), AND(A1286="Unlisted Equity Shares", I1286&gt;24)), "Long Term", "Short Term"))</f>
        <v/>
      </c>
      <c r="K1286" s="5">
        <f>IF(J1286="", "", IF(J1286="Long Term", 12.5%,"as per slab"))</f>
        <v/>
      </c>
      <c r="L1286" s="3">
        <f>+IFERROR(IF(J1286="","",H1286*K1286),"as per slab")</f>
        <v/>
      </c>
    </row>
    <row r="1287">
      <c r="A1287" s="7" t="n"/>
      <c r="B1287" s="7" t="n"/>
      <c r="C1287" s="8" t="n"/>
      <c r="D1287" s="9" t="n"/>
      <c r="E1287" s="8" t="n"/>
      <c r="F1287" s="9" t="n"/>
      <c r="G1287" s="9" t="n"/>
      <c r="H1287" s="3">
        <f>IF(AND(D1287&lt;&gt;"",F1287&lt;&gt;""),F1287-D1287-G1287,"")</f>
        <v/>
      </c>
      <c r="I1287" s="14">
        <f>IF(E1287&lt;&gt;"", YEARFRAC(C1287, E1287) * 12, "")</f>
        <v/>
      </c>
      <c r="J1287" s="2">
        <f>IF(I1287="", "", IF(OR(AND(A1287="Listed Equity Shares", I1287&gt;12), AND(A1287="Unlisted Equity Shares", I1287&gt;24)), "Long Term", "Short Term"))</f>
        <v/>
      </c>
      <c r="K1287" s="5">
        <f>IF(J1287="", "", IF(J1287="Long Term", 12.5%,"as per slab"))</f>
        <v/>
      </c>
      <c r="L1287" s="3">
        <f>+IFERROR(IF(J1287="","",H1287*K1287),"as per slab")</f>
        <v/>
      </c>
    </row>
    <row r="1288">
      <c r="A1288" s="7" t="n"/>
      <c r="B1288" s="7" t="n"/>
      <c r="C1288" s="8" t="n"/>
      <c r="D1288" s="9" t="n"/>
      <c r="E1288" s="8" t="n"/>
      <c r="F1288" s="9" t="n"/>
      <c r="G1288" s="9" t="n"/>
      <c r="H1288" s="3">
        <f>IF(AND(D1288&lt;&gt;"",F1288&lt;&gt;""),F1288-D1288-G1288,"")</f>
        <v/>
      </c>
      <c r="I1288" s="14">
        <f>IF(E1288&lt;&gt;"", YEARFRAC(C1288, E1288) * 12, "")</f>
        <v/>
      </c>
      <c r="J1288" s="2">
        <f>IF(I1288="", "", IF(OR(AND(A1288="Listed Equity Shares", I1288&gt;12), AND(A1288="Unlisted Equity Shares", I1288&gt;24)), "Long Term", "Short Term"))</f>
        <v/>
      </c>
      <c r="K1288" s="5">
        <f>IF(J1288="", "", IF(J1288="Long Term", 12.5%,"as per slab"))</f>
        <v/>
      </c>
      <c r="L1288" s="3">
        <f>+IFERROR(IF(J1288="","",H1288*K1288),"as per slab")</f>
        <v/>
      </c>
    </row>
    <row r="1289">
      <c r="A1289" s="7" t="n"/>
      <c r="B1289" s="7" t="n"/>
      <c r="C1289" s="8" t="n"/>
      <c r="D1289" s="9" t="n"/>
      <c r="E1289" s="8" t="n"/>
      <c r="F1289" s="9" t="n"/>
      <c r="G1289" s="9" t="n"/>
      <c r="H1289" s="3">
        <f>IF(AND(D1289&lt;&gt;"",F1289&lt;&gt;""),F1289-D1289-G1289,"")</f>
        <v/>
      </c>
      <c r="I1289" s="14">
        <f>IF(E1289&lt;&gt;"", YEARFRAC(C1289, E1289) * 12, "")</f>
        <v/>
      </c>
      <c r="J1289" s="2">
        <f>IF(I1289="", "", IF(OR(AND(A1289="Listed Equity Shares", I1289&gt;12), AND(A1289="Unlisted Equity Shares", I1289&gt;24)), "Long Term", "Short Term"))</f>
        <v/>
      </c>
      <c r="K1289" s="5">
        <f>IF(J1289="", "", IF(J1289="Long Term", 12.5%,"as per slab"))</f>
        <v/>
      </c>
      <c r="L1289" s="3">
        <f>+IFERROR(IF(J1289="","",H1289*K1289),"as per slab")</f>
        <v/>
      </c>
    </row>
    <row r="1290">
      <c r="A1290" s="7" t="n"/>
      <c r="B1290" s="7" t="n"/>
      <c r="C1290" s="8" t="n"/>
      <c r="D1290" s="9" t="n"/>
      <c r="E1290" s="8" t="n"/>
      <c r="F1290" s="9" t="n"/>
      <c r="G1290" s="9" t="n"/>
      <c r="H1290" s="3">
        <f>IF(AND(D1290&lt;&gt;"",F1290&lt;&gt;""),F1290-D1290-G1290,"")</f>
        <v/>
      </c>
      <c r="I1290" s="14">
        <f>IF(E1290&lt;&gt;"", YEARFRAC(C1290, E1290) * 12, "")</f>
        <v/>
      </c>
      <c r="J1290" s="2">
        <f>IF(I1290="", "", IF(OR(AND(A1290="Listed Equity Shares", I1290&gt;12), AND(A1290="Unlisted Equity Shares", I1290&gt;24)), "Long Term", "Short Term"))</f>
        <v/>
      </c>
      <c r="K1290" s="5">
        <f>IF(J1290="", "", IF(J1290="Long Term", 12.5%,"as per slab"))</f>
        <v/>
      </c>
      <c r="L1290" s="3">
        <f>+IFERROR(IF(J1290="","",H1290*K1290),"as per slab")</f>
        <v/>
      </c>
    </row>
    <row r="1291">
      <c r="A1291" s="7" t="n"/>
      <c r="B1291" s="7" t="n"/>
      <c r="C1291" s="8" t="n"/>
      <c r="D1291" s="9" t="n"/>
      <c r="E1291" s="8" t="n"/>
      <c r="F1291" s="9" t="n"/>
      <c r="G1291" s="9" t="n"/>
      <c r="H1291" s="3">
        <f>IF(AND(D1291&lt;&gt;"",F1291&lt;&gt;""),F1291-D1291-G1291,"")</f>
        <v/>
      </c>
      <c r="I1291" s="14">
        <f>IF(E1291&lt;&gt;"", YEARFRAC(C1291, E1291) * 12, "")</f>
        <v/>
      </c>
      <c r="J1291" s="2">
        <f>IF(I1291="", "", IF(OR(AND(A1291="Listed Equity Shares", I1291&gt;12), AND(A1291="Unlisted Equity Shares", I1291&gt;24)), "Long Term", "Short Term"))</f>
        <v/>
      </c>
      <c r="K1291" s="5">
        <f>IF(J1291="", "", IF(J1291="Long Term", 12.5%,"as per slab"))</f>
        <v/>
      </c>
      <c r="L1291" s="3">
        <f>+IFERROR(IF(J1291="","",H1291*K1291),"as per slab")</f>
        <v/>
      </c>
    </row>
    <row r="1292">
      <c r="A1292" s="7" t="n"/>
      <c r="B1292" s="7" t="n"/>
      <c r="C1292" s="8" t="n"/>
      <c r="D1292" s="9" t="n"/>
      <c r="E1292" s="8" t="n"/>
      <c r="F1292" s="9" t="n"/>
      <c r="G1292" s="9" t="n"/>
      <c r="H1292" s="3">
        <f>IF(AND(D1292&lt;&gt;"",F1292&lt;&gt;""),F1292-D1292-G1292,"")</f>
        <v/>
      </c>
      <c r="I1292" s="14">
        <f>IF(E1292&lt;&gt;"", YEARFRAC(C1292, E1292) * 12, "")</f>
        <v/>
      </c>
      <c r="J1292" s="2">
        <f>IF(I1292="", "", IF(OR(AND(A1292="Listed Equity Shares", I1292&gt;12), AND(A1292="Unlisted Equity Shares", I1292&gt;24)), "Long Term", "Short Term"))</f>
        <v/>
      </c>
      <c r="K1292" s="5">
        <f>IF(J1292="", "", IF(J1292="Long Term", 12.5%,"as per slab"))</f>
        <v/>
      </c>
      <c r="L1292" s="3">
        <f>+IFERROR(IF(J1292="","",H1292*K1292),"as per slab")</f>
        <v/>
      </c>
    </row>
    <row r="1293">
      <c r="A1293" s="7" t="n"/>
      <c r="B1293" s="7" t="n"/>
      <c r="C1293" s="8" t="n"/>
      <c r="D1293" s="9" t="n"/>
      <c r="E1293" s="8" t="n"/>
      <c r="F1293" s="9" t="n"/>
      <c r="G1293" s="9" t="n"/>
      <c r="H1293" s="3">
        <f>IF(AND(D1293&lt;&gt;"",F1293&lt;&gt;""),F1293-D1293-G1293,"")</f>
        <v/>
      </c>
      <c r="I1293" s="14">
        <f>IF(E1293&lt;&gt;"", YEARFRAC(C1293, E1293) * 12, "")</f>
        <v/>
      </c>
      <c r="J1293" s="2">
        <f>IF(I1293="", "", IF(OR(AND(A1293="Listed Equity Shares", I1293&gt;12), AND(A1293="Unlisted Equity Shares", I1293&gt;24)), "Long Term", "Short Term"))</f>
        <v/>
      </c>
      <c r="K1293" s="5">
        <f>IF(J1293="", "", IF(J1293="Long Term", 12.5%,"as per slab"))</f>
        <v/>
      </c>
      <c r="L1293" s="3">
        <f>+IFERROR(IF(J1293="","",H1293*K1293),"as per slab")</f>
        <v/>
      </c>
    </row>
    <row r="1294">
      <c r="A1294" s="7" t="n"/>
      <c r="B1294" s="7" t="n"/>
      <c r="C1294" s="8" t="n"/>
      <c r="D1294" s="9" t="n"/>
      <c r="E1294" s="8" t="n"/>
      <c r="F1294" s="9" t="n"/>
      <c r="G1294" s="9" t="n"/>
      <c r="H1294" s="3">
        <f>IF(AND(D1294&lt;&gt;"",F1294&lt;&gt;""),F1294-D1294-G1294,"")</f>
        <v/>
      </c>
      <c r="I1294" s="14">
        <f>IF(E1294&lt;&gt;"", YEARFRAC(C1294, E1294) * 12, "")</f>
        <v/>
      </c>
      <c r="J1294" s="2">
        <f>IF(I1294="", "", IF(OR(AND(A1294="Listed Equity Shares", I1294&gt;12), AND(A1294="Unlisted Equity Shares", I1294&gt;24)), "Long Term", "Short Term"))</f>
        <v/>
      </c>
      <c r="K1294" s="5">
        <f>IF(J1294="", "", IF(J1294="Long Term", 12.5%,"as per slab"))</f>
        <v/>
      </c>
      <c r="L1294" s="3">
        <f>+IFERROR(IF(J1294="","",H1294*K1294),"as per slab")</f>
        <v/>
      </c>
    </row>
    <row r="1295">
      <c r="A1295" s="7" t="n"/>
      <c r="B1295" s="7" t="n"/>
      <c r="C1295" s="8" t="n"/>
      <c r="D1295" s="9" t="n"/>
      <c r="E1295" s="8" t="n"/>
      <c r="F1295" s="9" t="n"/>
      <c r="G1295" s="9" t="n"/>
      <c r="H1295" s="3">
        <f>IF(AND(D1295&lt;&gt;"",F1295&lt;&gt;""),F1295-D1295-G1295,"")</f>
        <v/>
      </c>
      <c r="I1295" s="14">
        <f>IF(E1295&lt;&gt;"", YEARFRAC(C1295, E1295) * 12, "")</f>
        <v/>
      </c>
      <c r="J1295" s="2">
        <f>IF(I1295="", "", IF(OR(AND(A1295="Listed Equity Shares", I1295&gt;12), AND(A1295="Unlisted Equity Shares", I1295&gt;24)), "Long Term", "Short Term"))</f>
        <v/>
      </c>
      <c r="K1295" s="5">
        <f>IF(J1295="", "", IF(J1295="Long Term", 12.5%,"as per slab"))</f>
        <v/>
      </c>
      <c r="L1295" s="3">
        <f>+IFERROR(IF(J1295="","",H1295*K1295),"as per slab")</f>
        <v/>
      </c>
    </row>
    <row r="1296">
      <c r="A1296" s="7" t="n"/>
      <c r="B1296" s="7" t="n"/>
      <c r="C1296" s="8" t="n"/>
      <c r="D1296" s="9" t="n"/>
      <c r="E1296" s="8" t="n"/>
      <c r="F1296" s="9" t="n"/>
      <c r="G1296" s="9" t="n"/>
      <c r="H1296" s="3">
        <f>IF(AND(D1296&lt;&gt;"",F1296&lt;&gt;""),F1296-D1296-G1296,"")</f>
        <v/>
      </c>
      <c r="I1296" s="14">
        <f>IF(E1296&lt;&gt;"", YEARFRAC(C1296, E1296) * 12, "")</f>
        <v/>
      </c>
      <c r="J1296" s="2">
        <f>IF(I1296="", "", IF(OR(AND(A1296="Listed Equity Shares", I1296&gt;12), AND(A1296="Unlisted Equity Shares", I1296&gt;24)), "Long Term", "Short Term"))</f>
        <v/>
      </c>
      <c r="K1296" s="5">
        <f>IF(J1296="", "", IF(J1296="Long Term", 12.5%,"as per slab"))</f>
        <v/>
      </c>
      <c r="L1296" s="3">
        <f>+IFERROR(IF(J1296="","",H1296*K1296),"as per slab")</f>
        <v/>
      </c>
    </row>
    <row r="1297">
      <c r="A1297" s="7" t="n"/>
      <c r="B1297" s="7" t="n"/>
      <c r="C1297" s="8" t="n"/>
      <c r="D1297" s="9" t="n"/>
      <c r="E1297" s="8" t="n"/>
      <c r="F1297" s="9" t="n"/>
      <c r="G1297" s="9" t="n"/>
      <c r="H1297" s="3">
        <f>IF(AND(D1297&lt;&gt;"",F1297&lt;&gt;""),F1297-D1297-G1297,"")</f>
        <v/>
      </c>
      <c r="I1297" s="14">
        <f>IF(E1297&lt;&gt;"", YEARFRAC(C1297, E1297) * 12, "")</f>
        <v/>
      </c>
      <c r="J1297" s="2">
        <f>IF(I1297="", "", IF(OR(AND(A1297="Listed Equity Shares", I1297&gt;12), AND(A1297="Unlisted Equity Shares", I1297&gt;24)), "Long Term", "Short Term"))</f>
        <v/>
      </c>
      <c r="K1297" s="5">
        <f>IF(J1297="", "", IF(J1297="Long Term", 12.5%,"as per slab"))</f>
        <v/>
      </c>
      <c r="L1297" s="3">
        <f>+IFERROR(IF(J1297="","",H1297*K1297),"as per slab")</f>
        <v/>
      </c>
    </row>
    <row r="1298">
      <c r="A1298" s="7" t="n"/>
      <c r="B1298" s="7" t="n"/>
      <c r="C1298" s="8" t="n"/>
      <c r="D1298" s="9" t="n"/>
      <c r="E1298" s="8" t="n"/>
      <c r="F1298" s="9" t="n"/>
      <c r="G1298" s="9" t="n"/>
      <c r="H1298" s="3">
        <f>IF(AND(D1298&lt;&gt;"",F1298&lt;&gt;""),F1298-D1298-G1298,"")</f>
        <v/>
      </c>
      <c r="I1298" s="14">
        <f>IF(E1298&lt;&gt;"", YEARFRAC(C1298, E1298) * 12, "")</f>
        <v/>
      </c>
      <c r="J1298" s="2">
        <f>IF(I1298="", "", IF(OR(AND(A1298="Listed Equity Shares", I1298&gt;12), AND(A1298="Unlisted Equity Shares", I1298&gt;24)), "Long Term", "Short Term"))</f>
        <v/>
      </c>
      <c r="K1298" s="5">
        <f>IF(J1298="", "", IF(J1298="Long Term", 12.5%,"as per slab"))</f>
        <v/>
      </c>
      <c r="L1298" s="3">
        <f>+IFERROR(IF(J1298="","",H1298*K1298),"as per slab")</f>
        <v/>
      </c>
    </row>
    <row r="1299">
      <c r="A1299" s="7" t="n"/>
      <c r="B1299" s="7" t="n"/>
      <c r="C1299" s="8" t="n"/>
      <c r="D1299" s="9" t="n"/>
      <c r="E1299" s="8" t="n"/>
      <c r="F1299" s="9" t="n"/>
      <c r="G1299" s="9" t="n"/>
      <c r="H1299" s="3">
        <f>IF(AND(D1299&lt;&gt;"",F1299&lt;&gt;""),F1299-D1299-G1299,"")</f>
        <v/>
      </c>
      <c r="I1299" s="14">
        <f>IF(E1299&lt;&gt;"", YEARFRAC(C1299, E1299) * 12, "")</f>
        <v/>
      </c>
      <c r="J1299" s="2">
        <f>IF(I1299="", "", IF(OR(AND(A1299="Listed Equity Shares", I1299&gt;12), AND(A1299="Unlisted Equity Shares", I1299&gt;24)), "Long Term", "Short Term"))</f>
        <v/>
      </c>
      <c r="K1299" s="5">
        <f>IF(J1299="", "", IF(J1299="Long Term", 12.5%,"as per slab"))</f>
        <v/>
      </c>
      <c r="L1299" s="3">
        <f>+IFERROR(IF(J1299="","",H1299*K1299),"as per slab")</f>
        <v/>
      </c>
    </row>
    <row r="1300">
      <c r="A1300" s="7" t="n"/>
      <c r="B1300" s="7" t="n"/>
      <c r="C1300" s="8" t="n"/>
      <c r="D1300" s="9" t="n"/>
      <c r="E1300" s="8" t="n"/>
      <c r="F1300" s="9" t="n"/>
      <c r="G1300" s="9" t="n"/>
      <c r="H1300" s="3">
        <f>IF(AND(D1300&lt;&gt;"",F1300&lt;&gt;""),F1300-D1300-G1300,"")</f>
        <v/>
      </c>
      <c r="I1300" s="14">
        <f>IF(E1300&lt;&gt;"", YEARFRAC(C1300, E1300) * 12, "")</f>
        <v/>
      </c>
      <c r="J1300" s="2">
        <f>IF(I1300="", "", IF(OR(AND(A1300="Listed Equity Shares", I1300&gt;12), AND(A1300="Unlisted Equity Shares", I1300&gt;24)), "Long Term", "Short Term"))</f>
        <v/>
      </c>
      <c r="K1300" s="5">
        <f>IF(J1300="", "", IF(J1300="Long Term", 12.5%,"as per slab"))</f>
        <v/>
      </c>
      <c r="L1300" s="3">
        <f>+IFERROR(IF(J1300="","",H1300*K1300),"as per slab")</f>
        <v/>
      </c>
    </row>
    <row r="1301">
      <c r="A1301" s="7" t="n"/>
      <c r="B1301" s="7" t="n"/>
      <c r="C1301" s="8" t="n"/>
      <c r="D1301" s="9" t="n"/>
      <c r="E1301" s="8" t="n"/>
      <c r="F1301" s="9" t="n"/>
      <c r="G1301" s="9" t="n"/>
      <c r="H1301" s="3">
        <f>IF(AND(D1301&lt;&gt;"",F1301&lt;&gt;""),F1301-D1301-G1301,"")</f>
        <v/>
      </c>
      <c r="I1301" s="14">
        <f>IF(E1301&lt;&gt;"", YEARFRAC(C1301, E1301) * 12, "")</f>
        <v/>
      </c>
      <c r="J1301" s="2">
        <f>IF(I1301="", "", IF(OR(AND(A1301="Listed Equity Shares", I1301&gt;12), AND(A1301="Unlisted Equity Shares", I1301&gt;24)), "Long Term", "Short Term"))</f>
        <v/>
      </c>
      <c r="K1301" s="5">
        <f>IF(J1301="", "", IF(J1301="Long Term", 12.5%,"as per slab"))</f>
        <v/>
      </c>
      <c r="L1301" s="3">
        <f>+IFERROR(IF(J1301="","",H1301*K1301),"as per slab")</f>
        <v/>
      </c>
    </row>
    <row r="1302">
      <c r="A1302" s="7" t="n"/>
      <c r="B1302" s="7" t="n"/>
      <c r="C1302" s="8" t="n"/>
      <c r="D1302" s="9" t="n"/>
      <c r="E1302" s="8" t="n"/>
      <c r="F1302" s="9" t="n"/>
      <c r="G1302" s="9" t="n"/>
      <c r="H1302" s="3">
        <f>IF(AND(D1302&lt;&gt;"",F1302&lt;&gt;""),F1302-D1302-G1302,"")</f>
        <v/>
      </c>
      <c r="I1302" s="14">
        <f>IF(E1302&lt;&gt;"", YEARFRAC(C1302, E1302) * 12, "")</f>
        <v/>
      </c>
      <c r="J1302" s="2">
        <f>IF(I1302="", "", IF(OR(AND(A1302="Listed Equity Shares", I1302&gt;12), AND(A1302="Unlisted Equity Shares", I1302&gt;24)), "Long Term", "Short Term"))</f>
        <v/>
      </c>
      <c r="K1302" s="5">
        <f>IF(J1302="", "", IF(J1302="Long Term", 12.5%,"as per slab"))</f>
        <v/>
      </c>
      <c r="L1302" s="3">
        <f>+IFERROR(IF(J1302="","",H1302*K1302),"as per slab")</f>
        <v/>
      </c>
    </row>
    <row r="1303">
      <c r="A1303" s="7" t="n"/>
      <c r="B1303" s="7" t="n"/>
      <c r="C1303" s="8" t="n"/>
      <c r="D1303" s="9" t="n"/>
      <c r="E1303" s="8" t="n"/>
      <c r="F1303" s="9" t="n"/>
      <c r="G1303" s="9" t="n"/>
      <c r="H1303" s="3">
        <f>IF(AND(D1303&lt;&gt;"",F1303&lt;&gt;""),F1303-D1303-G1303,"")</f>
        <v/>
      </c>
      <c r="I1303" s="14">
        <f>IF(E1303&lt;&gt;"", YEARFRAC(C1303, E1303) * 12, "")</f>
        <v/>
      </c>
      <c r="J1303" s="2">
        <f>IF(I1303="", "", IF(OR(AND(A1303="Listed Equity Shares", I1303&gt;12), AND(A1303="Unlisted Equity Shares", I1303&gt;24)), "Long Term", "Short Term"))</f>
        <v/>
      </c>
      <c r="K1303" s="5">
        <f>IF(J1303="", "", IF(J1303="Long Term", 12.5%,"as per slab"))</f>
        <v/>
      </c>
      <c r="L1303" s="3">
        <f>+IFERROR(IF(J1303="","",H1303*K1303),"as per slab")</f>
        <v/>
      </c>
    </row>
    <row r="1304">
      <c r="A1304" s="7" t="n"/>
      <c r="B1304" s="7" t="n"/>
      <c r="C1304" s="8" t="n"/>
      <c r="D1304" s="9" t="n"/>
      <c r="E1304" s="8" t="n"/>
      <c r="F1304" s="9" t="n"/>
      <c r="G1304" s="9" t="n"/>
      <c r="H1304" s="3">
        <f>IF(AND(D1304&lt;&gt;"",F1304&lt;&gt;""),F1304-D1304-G1304,"")</f>
        <v/>
      </c>
      <c r="I1304" s="14">
        <f>IF(E1304&lt;&gt;"", YEARFRAC(C1304, E1304) * 12, "")</f>
        <v/>
      </c>
      <c r="J1304" s="2">
        <f>IF(I1304="", "", IF(OR(AND(A1304="Listed Equity Shares", I1304&gt;12), AND(A1304="Unlisted Equity Shares", I1304&gt;24)), "Long Term", "Short Term"))</f>
        <v/>
      </c>
      <c r="K1304" s="5">
        <f>IF(J1304="", "", IF(J1304="Long Term", 12.5%,"as per slab"))</f>
        <v/>
      </c>
      <c r="L1304" s="3">
        <f>+IFERROR(IF(J1304="","",H1304*K1304),"as per slab")</f>
        <v/>
      </c>
    </row>
    <row r="1305">
      <c r="A1305" s="7" t="n"/>
      <c r="B1305" s="7" t="n"/>
      <c r="C1305" s="8" t="n"/>
      <c r="D1305" s="9" t="n"/>
      <c r="E1305" s="8" t="n"/>
      <c r="F1305" s="9" t="n"/>
      <c r="G1305" s="9" t="n"/>
      <c r="H1305" s="3">
        <f>IF(AND(D1305&lt;&gt;"",F1305&lt;&gt;""),F1305-D1305-G1305,"")</f>
        <v/>
      </c>
      <c r="I1305" s="14">
        <f>IF(E1305&lt;&gt;"", YEARFRAC(C1305, E1305) * 12, "")</f>
        <v/>
      </c>
      <c r="J1305" s="2">
        <f>IF(I1305="", "", IF(OR(AND(A1305="Listed Equity Shares", I1305&gt;12), AND(A1305="Unlisted Equity Shares", I1305&gt;24)), "Long Term", "Short Term"))</f>
        <v/>
      </c>
      <c r="K1305" s="5">
        <f>IF(J1305="", "", IF(J1305="Long Term", 12.5%,"as per slab"))</f>
        <v/>
      </c>
      <c r="L1305" s="3">
        <f>+IFERROR(IF(J1305="","",H1305*K1305),"as per slab")</f>
        <v/>
      </c>
    </row>
    <row r="1306">
      <c r="A1306" s="7" t="n"/>
      <c r="B1306" s="7" t="n"/>
      <c r="C1306" s="8" t="n"/>
      <c r="D1306" s="9" t="n"/>
      <c r="E1306" s="8" t="n"/>
      <c r="F1306" s="9" t="n"/>
      <c r="G1306" s="9" t="n"/>
      <c r="H1306" s="3">
        <f>IF(AND(D1306&lt;&gt;"",F1306&lt;&gt;""),F1306-D1306-G1306,"")</f>
        <v/>
      </c>
      <c r="I1306" s="14">
        <f>IF(E1306&lt;&gt;"", YEARFRAC(C1306, E1306) * 12, "")</f>
        <v/>
      </c>
      <c r="J1306" s="2">
        <f>IF(I1306="", "", IF(OR(AND(A1306="Listed Equity Shares", I1306&gt;12), AND(A1306="Unlisted Equity Shares", I1306&gt;24)), "Long Term", "Short Term"))</f>
        <v/>
      </c>
      <c r="K1306" s="5">
        <f>IF(J1306="", "", IF(J1306="Long Term", 12.5%,"as per slab"))</f>
        <v/>
      </c>
      <c r="L1306" s="3">
        <f>+IFERROR(IF(J1306="","",H1306*K1306),"as per slab")</f>
        <v/>
      </c>
    </row>
    <row r="1307">
      <c r="A1307" s="7" t="n"/>
      <c r="B1307" s="7" t="n"/>
      <c r="C1307" s="8" t="n"/>
      <c r="D1307" s="9" t="n"/>
      <c r="E1307" s="8" t="n"/>
      <c r="F1307" s="9" t="n"/>
      <c r="G1307" s="9" t="n"/>
      <c r="H1307" s="3">
        <f>IF(AND(D1307&lt;&gt;"",F1307&lt;&gt;""),F1307-D1307-G1307,"")</f>
        <v/>
      </c>
      <c r="I1307" s="14">
        <f>IF(E1307&lt;&gt;"", YEARFRAC(C1307, E1307) * 12, "")</f>
        <v/>
      </c>
      <c r="J1307" s="2">
        <f>IF(I1307="", "", IF(OR(AND(A1307="Listed Equity Shares", I1307&gt;12), AND(A1307="Unlisted Equity Shares", I1307&gt;24)), "Long Term", "Short Term"))</f>
        <v/>
      </c>
      <c r="K1307" s="5">
        <f>IF(J1307="", "", IF(J1307="Long Term", 12.5%,"as per slab"))</f>
        <v/>
      </c>
      <c r="L1307" s="3">
        <f>+IFERROR(IF(J1307="","",H1307*K1307),"as per slab")</f>
        <v/>
      </c>
    </row>
    <row r="1308">
      <c r="A1308" s="7" t="n"/>
      <c r="B1308" s="7" t="n"/>
      <c r="C1308" s="8" t="n"/>
      <c r="D1308" s="9" t="n"/>
      <c r="E1308" s="8" t="n"/>
      <c r="F1308" s="9" t="n"/>
      <c r="G1308" s="9" t="n"/>
      <c r="H1308" s="3">
        <f>IF(AND(D1308&lt;&gt;"",F1308&lt;&gt;""),F1308-D1308-G1308,"")</f>
        <v/>
      </c>
      <c r="I1308" s="14">
        <f>IF(E1308&lt;&gt;"", YEARFRAC(C1308, E1308) * 12, "")</f>
        <v/>
      </c>
      <c r="J1308" s="2">
        <f>IF(I1308="", "", IF(OR(AND(A1308="Listed Equity Shares", I1308&gt;12), AND(A1308="Unlisted Equity Shares", I1308&gt;24)), "Long Term", "Short Term"))</f>
        <v/>
      </c>
      <c r="K1308" s="5">
        <f>IF(J1308="", "", IF(J1308="Long Term", 12.5%,"as per slab"))</f>
        <v/>
      </c>
      <c r="L1308" s="3">
        <f>+IFERROR(IF(J1308="","",H1308*K1308),"as per slab")</f>
        <v/>
      </c>
    </row>
    <row r="1309">
      <c r="A1309" s="7" t="n"/>
      <c r="B1309" s="7" t="n"/>
      <c r="C1309" s="8" t="n"/>
      <c r="D1309" s="9" t="n"/>
      <c r="E1309" s="8" t="n"/>
      <c r="F1309" s="9" t="n"/>
      <c r="G1309" s="9" t="n"/>
      <c r="H1309" s="3">
        <f>IF(AND(D1309&lt;&gt;"",F1309&lt;&gt;""),F1309-D1309-G1309,"")</f>
        <v/>
      </c>
      <c r="I1309" s="14">
        <f>IF(E1309&lt;&gt;"", YEARFRAC(C1309, E1309) * 12, "")</f>
        <v/>
      </c>
      <c r="J1309" s="2">
        <f>IF(I1309="", "", IF(OR(AND(A1309="Listed Equity Shares", I1309&gt;12), AND(A1309="Unlisted Equity Shares", I1309&gt;24)), "Long Term", "Short Term"))</f>
        <v/>
      </c>
      <c r="K1309" s="5">
        <f>IF(J1309="", "", IF(J1309="Long Term", 12.5%,"as per slab"))</f>
        <v/>
      </c>
      <c r="L1309" s="3">
        <f>+IFERROR(IF(J1309="","",H1309*K1309),"as per slab")</f>
        <v/>
      </c>
    </row>
    <row r="1310">
      <c r="A1310" s="7" t="n"/>
      <c r="B1310" s="7" t="n"/>
      <c r="C1310" s="8" t="n"/>
      <c r="D1310" s="9" t="n"/>
      <c r="E1310" s="8" t="n"/>
      <c r="F1310" s="9" t="n"/>
      <c r="G1310" s="9" t="n"/>
      <c r="H1310" s="3">
        <f>IF(AND(D1310&lt;&gt;"",F1310&lt;&gt;""),F1310-D1310-G1310,"")</f>
        <v/>
      </c>
      <c r="I1310" s="14">
        <f>IF(E1310&lt;&gt;"", YEARFRAC(C1310, E1310) * 12, "")</f>
        <v/>
      </c>
      <c r="J1310" s="2">
        <f>IF(I1310="", "", IF(OR(AND(A1310="Listed Equity Shares", I1310&gt;12), AND(A1310="Unlisted Equity Shares", I1310&gt;24)), "Long Term", "Short Term"))</f>
        <v/>
      </c>
      <c r="K1310" s="5">
        <f>IF(J1310="", "", IF(J1310="Long Term", 12.5%,"as per slab"))</f>
        <v/>
      </c>
      <c r="L1310" s="3">
        <f>+IFERROR(IF(J1310="","",H1310*K1310),"as per slab")</f>
        <v/>
      </c>
    </row>
    <row r="1311">
      <c r="A1311" s="7" t="n"/>
      <c r="B1311" s="7" t="n"/>
      <c r="C1311" s="8" t="n"/>
      <c r="D1311" s="9" t="n"/>
      <c r="E1311" s="8" t="n"/>
      <c r="F1311" s="9" t="n"/>
      <c r="G1311" s="9" t="n"/>
      <c r="H1311" s="3">
        <f>IF(AND(D1311&lt;&gt;"",F1311&lt;&gt;""),F1311-D1311-G1311,"")</f>
        <v/>
      </c>
      <c r="I1311" s="14">
        <f>IF(E1311&lt;&gt;"", YEARFRAC(C1311, E1311) * 12, "")</f>
        <v/>
      </c>
      <c r="J1311" s="2">
        <f>IF(I1311="", "", IF(OR(AND(A1311="Listed Equity Shares", I1311&gt;12), AND(A1311="Unlisted Equity Shares", I1311&gt;24)), "Long Term", "Short Term"))</f>
        <v/>
      </c>
      <c r="K1311" s="5">
        <f>IF(J1311="", "", IF(J1311="Long Term", 12.5%,"as per slab"))</f>
        <v/>
      </c>
      <c r="L1311" s="3">
        <f>+IFERROR(IF(J1311="","",H1311*K1311),"as per slab")</f>
        <v/>
      </c>
    </row>
    <row r="1312">
      <c r="A1312" s="7" t="n"/>
      <c r="B1312" s="7" t="n"/>
      <c r="C1312" s="8" t="n"/>
      <c r="D1312" s="9" t="n"/>
      <c r="E1312" s="8" t="n"/>
      <c r="F1312" s="9" t="n"/>
      <c r="G1312" s="9" t="n"/>
      <c r="H1312" s="3">
        <f>IF(AND(D1312&lt;&gt;"",F1312&lt;&gt;""),F1312-D1312-G1312,"")</f>
        <v/>
      </c>
      <c r="I1312" s="14">
        <f>IF(E1312&lt;&gt;"", YEARFRAC(C1312, E1312) * 12, "")</f>
        <v/>
      </c>
      <c r="J1312" s="2">
        <f>IF(I1312="", "", IF(OR(AND(A1312="Listed Equity Shares", I1312&gt;12), AND(A1312="Unlisted Equity Shares", I1312&gt;24)), "Long Term", "Short Term"))</f>
        <v/>
      </c>
      <c r="K1312" s="5">
        <f>IF(J1312="", "", IF(J1312="Long Term", 12.5%,"as per slab"))</f>
        <v/>
      </c>
      <c r="L1312" s="3">
        <f>+IFERROR(IF(J1312="","",H1312*K1312),"as per slab")</f>
        <v/>
      </c>
    </row>
    <row r="1313">
      <c r="A1313" s="7" t="n"/>
      <c r="B1313" s="7" t="n"/>
      <c r="C1313" s="8" t="n"/>
      <c r="D1313" s="9" t="n"/>
      <c r="E1313" s="8" t="n"/>
      <c r="F1313" s="9" t="n"/>
      <c r="G1313" s="9" t="n"/>
      <c r="H1313" s="3">
        <f>IF(AND(D1313&lt;&gt;"",F1313&lt;&gt;""),F1313-D1313-G1313,"")</f>
        <v/>
      </c>
      <c r="I1313" s="14">
        <f>IF(E1313&lt;&gt;"", YEARFRAC(C1313, E1313) * 12, "")</f>
        <v/>
      </c>
      <c r="J1313" s="2">
        <f>IF(I1313="", "", IF(OR(AND(A1313="Listed Equity Shares", I1313&gt;12), AND(A1313="Unlisted Equity Shares", I1313&gt;24)), "Long Term", "Short Term"))</f>
        <v/>
      </c>
      <c r="K1313" s="5">
        <f>IF(J1313="", "", IF(J1313="Long Term", 12.5%,"as per slab"))</f>
        <v/>
      </c>
      <c r="L1313" s="3">
        <f>+IFERROR(IF(J1313="","",H1313*K1313),"as per slab")</f>
        <v/>
      </c>
    </row>
    <row r="1314">
      <c r="A1314" s="7" t="n"/>
      <c r="B1314" s="7" t="n"/>
      <c r="C1314" s="8" t="n"/>
      <c r="D1314" s="9" t="n"/>
      <c r="E1314" s="8" t="n"/>
      <c r="F1314" s="9" t="n"/>
      <c r="G1314" s="9" t="n"/>
      <c r="H1314" s="3">
        <f>IF(AND(D1314&lt;&gt;"",F1314&lt;&gt;""),F1314-D1314-G1314,"")</f>
        <v/>
      </c>
      <c r="I1314" s="14">
        <f>IF(E1314&lt;&gt;"", YEARFRAC(C1314, E1314) * 12, "")</f>
        <v/>
      </c>
      <c r="J1314" s="2">
        <f>IF(I1314="", "", IF(OR(AND(A1314="Listed Equity Shares", I1314&gt;12), AND(A1314="Unlisted Equity Shares", I1314&gt;24)), "Long Term", "Short Term"))</f>
        <v/>
      </c>
      <c r="K1314" s="5">
        <f>IF(J1314="", "", IF(J1314="Long Term", 12.5%,"as per slab"))</f>
        <v/>
      </c>
      <c r="L1314" s="3">
        <f>+IFERROR(IF(J1314="","",H1314*K1314),"as per slab")</f>
        <v/>
      </c>
    </row>
    <row r="1315">
      <c r="A1315" s="7" t="n"/>
      <c r="B1315" s="7" t="n"/>
      <c r="C1315" s="8" t="n"/>
      <c r="D1315" s="9" t="n"/>
      <c r="E1315" s="8" t="n"/>
      <c r="F1315" s="9" t="n"/>
      <c r="G1315" s="9" t="n"/>
      <c r="H1315" s="3">
        <f>IF(AND(D1315&lt;&gt;"",F1315&lt;&gt;""),F1315-D1315-G1315,"")</f>
        <v/>
      </c>
      <c r="I1315" s="14">
        <f>IF(E1315&lt;&gt;"", YEARFRAC(C1315, E1315) * 12, "")</f>
        <v/>
      </c>
      <c r="J1315" s="2">
        <f>IF(I1315="", "", IF(OR(AND(A1315="Listed Equity Shares", I1315&gt;12), AND(A1315="Unlisted Equity Shares", I1315&gt;24)), "Long Term", "Short Term"))</f>
        <v/>
      </c>
      <c r="K1315" s="5">
        <f>IF(J1315="", "", IF(J1315="Long Term", 12.5%,"as per slab"))</f>
        <v/>
      </c>
      <c r="L1315" s="3">
        <f>+IFERROR(IF(J1315="","",H1315*K1315),"as per slab")</f>
        <v/>
      </c>
    </row>
    <row r="1316">
      <c r="A1316" s="7" t="n"/>
      <c r="B1316" s="7" t="n"/>
      <c r="C1316" s="8" t="n"/>
      <c r="D1316" s="9" t="n"/>
      <c r="E1316" s="8" t="n"/>
      <c r="F1316" s="9" t="n"/>
      <c r="G1316" s="9" t="n"/>
      <c r="H1316" s="3">
        <f>IF(AND(D1316&lt;&gt;"",F1316&lt;&gt;""),F1316-D1316-G1316,"")</f>
        <v/>
      </c>
      <c r="I1316" s="14">
        <f>IF(E1316&lt;&gt;"", YEARFRAC(C1316, E1316) * 12, "")</f>
        <v/>
      </c>
      <c r="J1316" s="2">
        <f>IF(I1316="", "", IF(OR(AND(A1316="Listed Equity Shares", I1316&gt;12), AND(A1316="Unlisted Equity Shares", I1316&gt;24)), "Long Term", "Short Term"))</f>
        <v/>
      </c>
      <c r="K1316" s="5">
        <f>IF(J1316="", "", IF(J1316="Long Term", 12.5%,"as per slab"))</f>
        <v/>
      </c>
      <c r="L1316" s="3">
        <f>+IFERROR(IF(J1316="","",H1316*K1316),"as per slab")</f>
        <v/>
      </c>
    </row>
    <row r="1317">
      <c r="A1317" s="7" t="n"/>
      <c r="B1317" s="7" t="n"/>
      <c r="C1317" s="8" t="n"/>
      <c r="D1317" s="9" t="n"/>
      <c r="E1317" s="8" t="n"/>
      <c r="F1317" s="9" t="n"/>
      <c r="G1317" s="9" t="n"/>
      <c r="H1317" s="3">
        <f>IF(AND(D1317&lt;&gt;"",F1317&lt;&gt;""),F1317-D1317-G1317,"")</f>
        <v/>
      </c>
      <c r="I1317" s="14">
        <f>IF(E1317&lt;&gt;"", YEARFRAC(C1317, E1317) * 12, "")</f>
        <v/>
      </c>
      <c r="J1317" s="2">
        <f>IF(I1317="", "", IF(OR(AND(A1317="Listed Equity Shares", I1317&gt;12), AND(A1317="Unlisted Equity Shares", I1317&gt;24)), "Long Term", "Short Term"))</f>
        <v/>
      </c>
      <c r="K1317" s="5">
        <f>IF(J1317="", "", IF(J1317="Long Term", 12.5%,"as per slab"))</f>
        <v/>
      </c>
      <c r="L1317" s="3">
        <f>+IFERROR(IF(J1317="","",H1317*K1317),"as per slab")</f>
        <v/>
      </c>
    </row>
    <row r="1318">
      <c r="A1318" s="7" t="n"/>
      <c r="B1318" s="7" t="n"/>
      <c r="C1318" s="8" t="n"/>
      <c r="D1318" s="9" t="n"/>
      <c r="E1318" s="8" t="n"/>
      <c r="F1318" s="9" t="n"/>
      <c r="G1318" s="9" t="n"/>
      <c r="H1318" s="3">
        <f>IF(AND(D1318&lt;&gt;"",F1318&lt;&gt;""),F1318-D1318-G1318,"")</f>
        <v/>
      </c>
      <c r="I1318" s="14">
        <f>IF(E1318&lt;&gt;"", YEARFRAC(C1318, E1318) * 12, "")</f>
        <v/>
      </c>
      <c r="J1318" s="2">
        <f>IF(I1318="", "", IF(OR(AND(A1318="Listed Equity Shares", I1318&gt;12), AND(A1318="Unlisted Equity Shares", I1318&gt;24)), "Long Term", "Short Term"))</f>
        <v/>
      </c>
      <c r="K1318" s="5">
        <f>IF(J1318="", "", IF(J1318="Long Term", 12.5%,"as per slab"))</f>
        <v/>
      </c>
      <c r="L1318" s="3">
        <f>+IFERROR(IF(J1318="","",H1318*K1318),"as per slab")</f>
        <v/>
      </c>
    </row>
    <row r="1319">
      <c r="A1319" s="7" t="n"/>
      <c r="B1319" s="7" t="n"/>
      <c r="C1319" s="8" t="n"/>
      <c r="D1319" s="9" t="n"/>
      <c r="E1319" s="8" t="n"/>
      <c r="F1319" s="9" t="n"/>
      <c r="G1319" s="9" t="n"/>
      <c r="H1319" s="3">
        <f>IF(AND(D1319&lt;&gt;"",F1319&lt;&gt;""),F1319-D1319-G1319,"")</f>
        <v/>
      </c>
      <c r="I1319" s="14">
        <f>IF(E1319&lt;&gt;"", YEARFRAC(C1319, E1319) * 12, "")</f>
        <v/>
      </c>
      <c r="J1319" s="2">
        <f>IF(I1319="", "", IF(OR(AND(A1319="Listed Equity Shares", I1319&gt;12), AND(A1319="Unlisted Equity Shares", I1319&gt;24)), "Long Term", "Short Term"))</f>
        <v/>
      </c>
      <c r="K1319" s="5">
        <f>IF(J1319="", "", IF(J1319="Long Term", 12.5%,"as per slab"))</f>
        <v/>
      </c>
      <c r="L1319" s="3">
        <f>+IFERROR(IF(J1319="","",H1319*K1319),"as per slab")</f>
        <v/>
      </c>
    </row>
    <row r="1320">
      <c r="A1320" s="7" t="n"/>
      <c r="B1320" s="7" t="n"/>
      <c r="C1320" s="8" t="n"/>
      <c r="D1320" s="9" t="n"/>
      <c r="E1320" s="8" t="n"/>
      <c r="F1320" s="9" t="n"/>
      <c r="G1320" s="9" t="n"/>
      <c r="H1320" s="3">
        <f>IF(AND(D1320&lt;&gt;"",F1320&lt;&gt;""),F1320-D1320-G1320,"")</f>
        <v/>
      </c>
      <c r="I1320" s="14">
        <f>IF(E1320&lt;&gt;"", YEARFRAC(C1320, E1320) * 12, "")</f>
        <v/>
      </c>
      <c r="J1320" s="2">
        <f>IF(I1320="", "", IF(OR(AND(A1320="Listed Equity Shares", I1320&gt;12), AND(A1320="Unlisted Equity Shares", I1320&gt;24)), "Long Term", "Short Term"))</f>
        <v/>
      </c>
      <c r="K1320" s="5">
        <f>IF(J1320="", "", IF(J1320="Long Term", 12.5%,"as per slab"))</f>
        <v/>
      </c>
      <c r="L1320" s="3">
        <f>+IFERROR(IF(J1320="","",H1320*K1320),"as per slab")</f>
        <v/>
      </c>
    </row>
    <row r="1321">
      <c r="A1321" s="7" t="n"/>
      <c r="B1321" s="7" t="n"/>
      <c r="C1321" s="8" t="n"/>
      <c r="D1321" s="9" t="n"/>
      <c r="E1321" s="8" t="n"/>
      <c r="F1321" s="9" t="n"/>
      <c r="G1321" s="9" t="n"/>
      <c r="H1321" s="3">
        <f>IF(AND(D1321&lt;&gt;"",F1321&lt;&gt;""),F1321-D1321-G1321,"")</f>
        <v/>
      </c>
      <c r="I1321" s="14">
        <f>IF(E1321&lt;&gt;"", YEARFRAC(C1321, E1321) * 12, "")</f>
        <v/>
      </c>
      <c r="J1321" s="2">
        <f>IF(I1321="", "", IF(OR(AND(A1321="Listed Equity Shares", I1321&gt;12), AND(A1321="Unlisted Equity Shares", I1321&gt;24)), "Long Term", "Short Term"))</f>
        <v/>
      </c>
      <c r="K1321" s="5">
        <f>IF(J1321="", "", IF(J1321="Long Term", 12.5%,"as per slab"))</f>
        <v/>
      </c>
      <c r="L1321" s="3">
        <f>+IFERROR(IF(J1321="","",H1321*K1321),"as per slab")</f>
        <v/>
      </c>
    </row>
    <row r="1322">
      <c r="A1322" s="7" t="n"/>
      <c r="B1322" s="7" t="n"/>
      <c r="C1322" s="8" t="n"/>
      <c r="D1322" s="9" t="n"/>
      <c r="E1322" s="8" t="n"/>
      <c r="F1322" s="9" t="n"/>
      <c r="G1322" s="9" t="n"/>
      <c r="H1322" s="3">
        <f>IF(AND(D1322&lt;&gt;"",F1322&lt;&gt;""),F1322-D1322-G1322,"")</f>
        <v/>
      </c>
      <c r="I1322" s="14">
        <f>IF(E1322&lt;&gt;"", YEARFRAC(C1322, E1322) * 12, "")</f>
        <v/>
      </c>
      <c r="J1322" s="2">
        <f>IF(I1322="", "", IF(OR(AND(A1322="Listed Equity Shares", I1322&gt;12), AND(A1322="Unlisted Equity Shares", I1322&gt;24)), "Long Term", "Short Term"))</f>
        <v/>
      </c>
      <c r="K1322" s="5">
        <f>IF(J1322="", "", IF(J1322="Long Term", 12.5%,"as per slab"))</f>
        <v/>
      </c>
      <c r="L1322" s="3">
        <f>+IFERROR(IF(J1322="","",H1322*K1322),"as per slab")</f>
        <v/>
      </c>
    </row>
    <row r="1323">
      <c r="A1323" s="7" t="n"/>
      <c r="B1323" s="7" t="n"/>
      <c r="C1323" s="8" t="n"/>
      <c r="D1323" s="9" t="n"/>
      <c r="E1323" s="8" t="n"/>
      <c r="F1323" s="9" t="n"/>
      <c r="G1323" s="9" t="n"/>
      <c r="H1323" s="3">
        <f>IF(AND(D1323&lt;&gt;"",F1323&lt;&gt;""),F1323-D1323-G1323,"")</f>
        <v/>
      </c>
      <c r="I1323" s="14">
        <f>IF(E1323&lt;&gt;"", YEARFRAC(C1323, E1323) * 12, "")</f>
        <v/>
      </c>
      <c r="J1323" s="2">
        <f>IF(I1323="", "", IF(OR(AND(A1323="Listed Equity Shares", I1323&gt;12), AND(A1323="Unlisted Equity Shares", I1323&gt;24)), "Long Term", "Short Term"))</f>
        <v/>
      </c>
      <c r="K1323" s="5">
        <f>IF(J1323="", "", IF(J1323="Long Term", 12.5%,"as per slab"))</f>
        <v/>
      </c>
      <c r="L1323" s="3">
        <f>+IFERROR(IF(J1323="","",H1323*K1323),"as per slab")</f>
        <v/>
      </c>
    </row>
    <row r="1324">
      <c r="A1324" s="7" t="n"/>
      <c r="B1324" s="7" t="n"/>
      <c r="C1324" s="8" t="n"/>
      <c r="D1324" s="9" t="n"/>
      <c r="E1324" s="8" t="n"/>
      <c r="F1324" s="9" t="n"/>
      <c r="G1324" s="9" t="n"/>
      <c r="H1324" s="3">
        <f>IF(AND(D1324&lt;&gt;"",F1324&lt;&gt;""),F1324-D1324-G1324,"")</f>
        <v/>
      </c>
      <c r="I1324" s="14">
        <f>IF(E1324&lt;&gt;"", YEARFRAC(C1324, E1324) * 12, "")</f>
        <v/>
      </c>
      <c r="J1324" s="2">
        <f>IF(I1324="", "", IF(OR(AND(A1324="Listed Equity Shares", I1324&gt;12), AND(A1324="Unlisted Equity Shares", I1324&gt;24)), "Long Term", "Short Term"))</f>
        <v/>
      </c>
      <c r="K1324" s="5">
        <f>IF(J1324="", "", IF(J1324="Long Term", 12.5%,"as per slab"))</f>
        <v/>
      </c>
      <c r="L1324" s="3">
        <f>+IFERROR(IF(J1324="","",H1324*K1324),"as per slab")</f>
        <v/>
      </c>
    </row>
    <row r="1325">
      <c r="A1325" s="7" t="n"/>
      <c r="B1325" s="7" t="n"/>
      <c r="C1325" s="8" t="n"/>
      <c r="D1325" s="9" t="n"/>
      <c r="E1325" s="8" t="n"/>
      <c r="F1325" s="9" t="n"/>
      <c r="G1325" s="9" t="n"/>
      <c r="H1325" s="3">
        <f>IF(AND(D1325&lt;&gt;"",F1325&lt;&gt;""),F1325-D1325-G1325,"")</f>
        <v/>
      </c>
      <c r="I1325" s="14">
        <f>IF(E1325&lt;&gt;"", YEARFRAC(C1325, E1325) * 12, "")</f>
        <v/>
      </c>
      <c r="J1325" s="2">
        <f>IF(I1325="", "", IF(OR(AND(A1325="Listed Equity Shares", I1325&gt;12), AND(A1325="Unlisted Equity Shares", I1325&gt;24)), "Long Term", "Short Term"))</f>
        <v/>
      </c>
      <c r="K1325" s="5">
        <f>IF(J1325="", "", IF(J1325="Long Term", 12.5%,"as per slab"))</f>
        <v/>
      </c>
      <c r="L1325" s="3">
        <f>+IFERROR(IF(J1325="","",H1325*K1325),"as per slab")</f>
        <v/>
      </c>
    </row>
    <row r="1326">
      <c r="A1326" s="7" t="n"/>
      <c r="B1326" s="7" t="n"/>
      <c r="C1326" s="8" t="n"/>
      <c r="D1326" s="9" t="n"/>
      <c r="E1326" s="8" t="n"/>
      <c r="F1326" s="9" t="n"/>
      <c r="G1326" s="9" t="n"/>
      <c r="H1326" s="3">
        <f>IF(AND(D1326&lt;&gt;"",F1326&lt;&gt;""),F1326-D1326-G1326,"")</f>
        <v/>
      </c>
      <c r="I1326" s="14">
        <f>IF(E1326&lt;&gt;"", YEARFRAC(C1326, E1326) * 12, "")</f>
        <v/>
      </c>
      <c r="J1326" s="2">
        <f>IF(I1326="", "", IF(OR(AND(A1326="Listed Equity Shares", I1326&gt;12), AND(A1326="Unlisted Equity Shares", I1326&gt;24)), "Long Term", "Short Term"))</f>
        <v/>
      </c>
      <c r="K1326" s="5">
        <f>IF(J1326="", "", IF(J1326="Long Term", 12.5%,"as per slab"))</f>
        <v/>
      </c>
      <c r="L1326" s="3">
        <f>+IFERROR(IF(J1326="","",H1326*K1326),"as per slab")</f>
        <v/>
      </c>
    </row>
    <row r="1327">
      <c r="A1327" s="7" t="n"/>
      <c r="B1327" s="7" t="n"/>
      <c r="C1327" s="8" t="n"/>
      <c r="D1327" s="9" t="n"/>
      <c r="E1327" s="8" t="n"/>
      <c r="F1327" s="9" t="n"/>
      <c r="G1327" s="9" t="n"/>
      <c r="H1327" s="3">
        <f>IF(AND(D1327&lt;&gt;"",F1327&lt;&gt;""),F1327-D1327-G1327,"")</f>
        <v/>
      </c>
      <c r="I1327" s="14">
        <f>IF(E1327&lt;&gt;"", YEARFRAC(C1327, E1327) * 12, "")</f>
        <v/>
      </c>
      <c r="J1327" s="2">
        <f>IF(I1327="", "", IF(OR(AND(A1327="Listed Equity Shares", I1327&gt;12), AND(A1327="Unlisted Equity Shares", I1327&gt;24)), "Long Term", "Short Term"))</f>
        <v/>
      </c>
      <c r="K1327" s="5">
        <f>IF(J1327="", "", IF(J1327="Long Term", 12.5%,"as per slab"))</f>
        <v/>
      </c>
      <c r="L1327" s="3">
        <f>+IFERROR(IF(J1327="","",H1327*K1327),"as per slab")</f>
        <v/>
      </c>
    </row>
    <row r="1328">
      <c r="A1328" s="7" t="n"/>
      <c r="B1328" s="7" t="n"/>
      <c r="C1328" s="8" t="n"/>
      <c r="D1328" s="9" t="n"/>
      <c r="E1328" s="8" t="n"/>
      <c r="F1328" s="9" t="n"/>
      <c r="G1328" s="9" t="n"/>
      <c r="H1328" s="3">
        <f>IF(AND(D1328&lt;&gt;"",F1328&lt;&gt;""),F1328-D1328-G1328,"")</f>
        <v/>
      </c>
      <c r="I1328" s="14">
        <f>IF(E1328&lt;&gt;"", YEARFRAC(C1328, E1328) * 12, "")</f>
        <v/>
      </c>
      <c r="J1328" s="2">
        <f>IF(I1328="", "", IF(OR(AND(A1328="Listed Equity Shares", I1328&gt;12), AND(A1328="Unlisted Equity Shares", I1328&gt;24)), "Long Term", "Short Term"))</f>
        <v/>
      </c>
      <c r="K1328" s="5">
        <f>IF(J1328="", "", IF(J1328="Long Term", 12.5%,"as per slab"))</f>
        <v/>
      </c>
      <c r="L1328" s="3">
        <f>+IFERROR(IF(J1328="","",H1328*K1328),"as per slab")</f>
        <v/>
      </c>
    </row>
    <row r="1329">
      <c r="A1329" s="7" t="n"/>
      <c r="B1329" s="7" t="n"/>
      <c r="C1329" s="8" t="n"/>
      <c r="D1329" s="9" t="n"/>
      <c r="E1329" s="8" t="n"/>
      <c r="F1329" s="9" t="n"/>
      <c r="G1329" s="9" t="n"/>
      <c r="H1329" s="3">
        <f>IF(AND(D1329&lt;&gt;"",F1329&lt;&gt;""),F1329-D1329-G1329,"")</f>
        <v/>
      </c>
      <c r="I1329" s="14">
        <f>IF(E1329&lt;&gt;"", YEARFRAC(C1329, E1329) * 12, "")</f>
        <v/>
      </c>
      <c r="J1329" s="2">
        <f>IF(I1329="", "", IF(OR(AND(A1329="Listed Equity Shares", I1329&gt;12), AND(A1329="Unlisted Equity Shares", I1329&gt;24)), "Long Term", "Short Term"))</f>
        <v/>
      </c>
      <c r="K1329" s="5">
        <f>IF(J1329="", "", IF(J1329="Long Term", 12.5%,"as per slab"))</f>
        <v/>
      </c>
      <c r="L1329" s="3">
        <f>+IFERROR(IF(J1329="","",H1329*K1329),"as per slab")</f>
        <v/>
      </c>
    </row>
    <row r="1330">
      <c r="A1330" s="7" t="n"/>
      <c r="B1330" s="7" t="n"/>
      <c r="C1330" s="8" t="n"/>
      <c r="D1330" s="9" t="n"/>
      <c r="E1330" s="8" t="n"/>
      <c r="F1330" s="9" t="n"/>
      <c r="G1330" s="9" t="n"/>
      <c r="H1330" s="3">
        <f>IF(AND(D1330&lt;&gt;"",F1330&lt;&gt;""),F1330-D1330-G1330,"")</f>
        <v/>
      </c>
      <c r="I1330" s="14">
        <f>IF(E1330&lt;&gt;"", YEARFRAC(C1330, E1330) * 12, "")</f>
        <v/>
      </c>
      <c r="J1330" s="2">
        <f>IF(I1330="", "", IF(OR(AND(A1330="Listed Equity Shares", I1330&gt;12), AND(A1330="Unlisted Equity Shares", I1330&gt;24)), "Long Term", "Short Term"))</f>
        <v/>
      </c>
      <c r="K1330" s="5">
        <f>IF(J1330="", "", IF(J1330="Long Term", 12.5%,"as per slab"))</f>
        <v/>
      </c>
      <c r="L1330" s="3">
        <f>+IFERROR(IF(J1330="","",H1330*K1330),"as per slab")</f>
        <v/>
      </c>
    </row>
    <row r="1331">
      <c r="A1331" s="7" t="n"/>
      <c r="B1331" s="7" t="n"/>
      <c r="C1331" s="8" t="n"/>
      <c r="D1331" s="9" t="n"/>
      <c r="E1331" s="8" t="n"/>
      <c r="F1331" s="9" t="n"/>
      <c r="G1331" s="9" t="n"/>
      <c r="H1331" s="3">
        <f>IF(AND(D1331&lt;&gt;"",F1331&lt;&gt;""),F1331-D1331-G1331,"")</f>
        <v/>
      </c>
      <c r="I1331" s="14">
        <f>IF(E1331&lt;&gt;"", YEARFRAC(C1331, E1331) * 12, "")</f>
        <v/>
      </c>
      <c r="J1331" s="2">
        <f>IF(I1331="", "", IF(OR(AND(A1331="Listed Equity Shares", I1331&gt;12), AND(A1331="Unlisted Equity Shares", I1331&gt;24)), "Long Term", "Short Term"))</f>
        <v/>
      </c>
      <c r="K1331" s="5">
        <f>IF(J1331="", "", IF(J1331="Long Term", 12.5%,"as per slab"))</f>
        <v/>
      </c>
      <c r="L1331" s="3">
        <f>+IFERROR(IF(J1331="","",H1331*K1331),"as per slab")</f>
        <v/>
      </c>
    </row>
    <row r="1332">
      <c r="A1332" s="7" t="n"/>
      <c r="B1332" s="7" t="n"/>
      <c r="C1332" s="8" t="n"/>
      <c r="D1332" s="9" t="n"/>
      <c r="E1332" s="8" t="n"/>
      <c r="F1332" s="9" t="n"/>
      <c r="G1332" s="9" t="n"/>
      <c r="H1332" s="3">
        <f>IF(AND(D1332&lt;&gt;"",F1332&lt;&gt;""),F1332-D1332-G1332,"")</f>
        <v/>
      </c>
      <c r="I1332" s="14">
        <f>IF(E1332&lt;&gt;"", YEARFRAC(C1332, E1332) * 12, "")</f>
        <v/>
      </c>
      <c r="J1332" s="2">
        <f>IF(I1332="", "", IF(OR(AND(A1332="Listed Equity Shares", I1332&gt;12), AND(A1332="Unlisted Equity Shares", I1332&gt;24)), "Long Term", "Short Term"))</f>
        <v/>
      </c>
      <c r="K1332" s="5">
        <f>IF(J1332="", "", IF(J1332="Long Term", 12.5%,"as per slab"))</f>
        <v/>
      </c>
      <c r="L1332" s="3">
        <f>+IFERROR(IF(J1332="","",H1332*K1332),"as per slab")</f>
        <v/>
      </c>
    </row>
    <row r="1333">
      <c r="A1333" s="7" t="n"/>
      <c r="B1333" s="7" t="n"/>
      <c r="C1333" s="8" t="n"/>
      <c r="D1333" s="9" t="n"/>
      <c r="E1333" s="8" t="n"/>
      <c r="F1333" s="9" t="n"/>
      <c r="G1333" s="9" t="n"/>
      <c r="H1333" s="3">
        <f>IF(AND(D1333&lt;&gt;"",F1333&lt;&gt;""),F1333-D1333-G1333,"")</f>
        <v/>
      </c>
      <c r="I1333" s="14">
        <f>IF(E1333&lt;&gt;"", YEARFRAC(C1333, E1333) * 12, "")</f>
        <v/>
      </c>
      <c r="J1333" s="2">
        <f>IF(I1333="", "", IF(OR(AND(A1333="Listed Equity Shares", I1333&gt;12), AND(A1333="Unlisted Equity Shares", I1333&gt;24)), "Long Term", "Short Term"))</f>
        <v/>
      </c>
      <c r="K1333" s="5">
        <f>IF(J1333="", "", IF(J1333="Long Term", 12.5%,"as per slab"))</f>
        <v/>
      </c>
      <c r="L1333" s="3">
        <f>+IFERROR(IF(J1333="","",H1333*K1333),"as per slab")</f>
        <v/>
      </c>
    </row>
    <row r="1334">
      <c r="A1334" s="7" t="n"/>
      <c r="B1334" s="7" t="n"/>
      <c r="C1334" s="8" t="n"/>
      <c r="D1334" s="9" t="n"/>
      <c r="E1334" s="8" t="n"/>
      <c r="F1334" s="9" t="n"/>
      <c r="G1334" s="9" t="n"/>
      <c r="H1334" s="3">
        <f>IF(AND(D1334&lt;&gt;"",F1334&lt;&gt;""),F1334-D1334-G1334,"")</f>
        <v/>
      </c>
      <c r="I1334" s="14">
        <f>IF(E1334&lt;&gt;"", YEARFRAC(C1334, E1334) * 12, "")</f>
        <v/>
      </c>
      <c r="J1334" s="2">
        <f>IF(I1334="", "", IF(OR(AND(A1334="Listed Equity Shares", I1334&gt;12), AND(A1334="Unlisted Equity Shares", I1334&gt;24)), "Long Term", "Short Term"))</f>
        <v/>
      </c>
      <c r="K1334" s="5">
        <f>IF(J1334="", "", IF(J1334="Long Term", 12.5%,"as per slab"))</f>
        <v/>
      </c>
      <c r="L1334" s="3">
        <f>+IFERROR(IF(J1334="","",H1334*K1334),"as per slab")</f>
        <v/>
      </c>
    </row>
    <row r="1335">
      <c r="A1335" s="7" t="n"/>
      <c r="B1335" s="7" t="n"/>
      <c r="C1335" s="8" t="n"/>
      <c r="D1335" s="9" t="n"/>
      <c r="E1335" s="8" t="n"/>
      <c r="F1335" s="9" t="n"/>
      <c r="G1335" s="9" t="n"/>
      <c r="H1335" s="3">
        <f>IF(AND(D1335&lt;&gt;"",F1335&lt;&gt;""),F1335-D1335-G1335,"")</f>
        <v/>
      </c>
      <c r="I1335" s="14">
        <f>IF(E1335&lt;&gt;"", YEARFRAC(C1335, E1335) * 12, "")</f>
        <v/>
      </c>
      <c r="J1335" s="2">
        <f>IF(I1335="", "", IF(OR(AND(A1335="Listed Equity Shares", I1335&gt;12), AND(A1335="Unlisted Equity Shares", I1335&gt;24)), "Long Term", "Short Term"))</f>
        <v/>
      </c>
      <c r="K1335" s="5">
        <f>IF(J1335="", "", IF(J1335="Long Term", 12.5%,"as per slab"))</f>
        <v/>
      </c>
      <c r="L1335" s="3">
        <f>+IFERROR(IF(J1335="","",H1335*K1335),"as per slab")</f>
        <v/>
      </c>
    </row>
    <row r="1336">
      <c r="A1336" s="7" t="n"/>
      <c r="B1336" s="7" t="n"/>
      <c r="C1336" s="8" t="n"/>
      <c r="D1336" s="9" t="n"/>
      <c r="E1336" s="8" t="n"/>
      <c r="F1336" s="9" t="n"/>
      <c r="G1336" s="9" t="n"/>
      <c r="H1336" s="3">
        <f>IF(AND(D1336&lt;&gt;"",F1336&lt;&gt;""),F1336-D1336-G1336,"")</f>
        <v/>
      </c>
      <c r="I1336" s="14">
        <f>IF(E1336&lt;&gt;"", YEARFRAC(C1336, E1336) * 12, "")</f>
        <v/>
      </c>
      <c r="J1336" s="2">
        <f>IF(I1336="", "", IF(OR(AND(A1336="Listed Equity Shares", I1336&gt;12), AND(A1336="Unlisted Equity Shares", I1336&gt;24)), "Long Term", "Short Term"))</f>
        <v/>
      </c>
      <c r="K1336" s="5">
        <f>IF(J1336="", "", IF(J1336="Long Term", 12.5%,"as per slab"))</f>
        <v/>
      </c>
      <c r="L1336" s="3">
        <f>+IFERROR(IF(J1336="","",H1336*K1336),"as per slab")</f>
        <v/>
      </c>
    </row>
    <row r="1337">
      <c r="A1337" s="7" t="n"/>
      <c r="B1337" s="7" t="n"/>
      <c r="C1337" s="8" t="n"/>
      <c r="D1337" s="9" t="n"/>
      <c r="E1337" s="8" t="n"/>
      <c r="F1337" s="9" t="n"/>
      <c r="G1337" s="9" t="n"/>
      <c r="H1337" s="3">
        <f>IF(AND(D1337&lt;&gt;"",F1337&lt;&gt;""),F1337-D1337-G1337,"")</f>
        <v/>
      </c>
      <c r="I1337" s="14">
        <f>IF(E1337&lt;&gt;"", YEARFRAC(C1337, E1337) * 12, "")</f>
        <v/>
      </c>
      <c r="J1337" s="2">
        <f>IF(I1337="", "", IF(OR(AND(A1337="Listed Equity Shares", I1337&gt;12), AND(A1337="Unlisted Equity Shares", I1337&gt;24)), "Long Term", "Short Term"))</f>
        <v/>
      </c>
      <c r="K1337" s="5">
        <f>IF(J1337="", "", IF(J1337="Long Term", 12.5%,"as per slab"))</f>
        <v/>
      </c>
      <c r="L1337" s="3">
        <f>+IFERROR(IF(J1337="","",H1337*K1337),"as per slab")</f>
        <v/>
      </c>
    </row>
    <row r="1338">
      <c r="A1338" s="7" t="n"/>
      <c r="B1338" s="7" t="n"/>
      <c r="C1338" s="8" t="n"/>
      <c r="D1338" s="9" t="n"/>
      <c r="E1338" s="8" t="n"/>
      <c r="F1338" s="9" t="n"/>
      <c r="G1338" s="9" t="n"/>
      <c r="H1338" s="3">
        <f>IF(AND(D1338&lt;&gt;"",F1338&lt;&gt;""),F1338-D1338-G1338,"")</f>
        <v/>
      </c>
      <c r="I1338" s="14">
        <f>IF(E1338&lt;&gt;"", YEARFRAC(C1338, E1338) * 12, "")</f>
        <v/>
      </c>
      <c r="J1338" s="2">
        <f>IF(I1338="", "", IF(OR(AND(A1338="Listed Equity Shares", I1338&gt;12), AND(A1338="Unlisted Equity Shares", I1338&gt;24)), "Long Term", "Short Term"))</f>
        <v/>
      </c>
      <c r="K1338" s="5">
        <f>IF(J1338="", "", IF(J1338="Long Term", 12.5%,"as per slab"))</f>
        <v/>
      </c>
      <c r="L1338" s="3">
        <f>+IFERROR(IF(J1338="","",H1338*K1338),"as per slab")</f>
        <v/>
      </c>
    </row>
    <row r="1339">
      <c r="A1339" s="7" t="n"/>
      <c r="B1339" s="7" t="n"/>
      <c r="C1339" s="8" t="n"/>
      <c r="D1339" s="9" t="n"/>
      <c r="E1339" s="8" t="n"/>
      <c r="F1339" s="9" t="n"/>
      <c r="G1339" s="9" t="n"/>
      <c r="H1339" s="3">
        <f>IF(AND(D1339&lt;&gt;"",F1339&lt;&gt;""),F1339-D1339-G1339,"")</f>
        <v/>
      </c>
      <c r="I1339" s="14">
        <f>IF(E1339&lt;&gt;"", YEARFRAC(C1339, E1339) * 12, "")</f>
        <v/>
      </c>
      <c r="J1339" s="2">
        <f>IF(I1339="", "", IF(OR(AND(A1339="Listed Equity Shares", I1339&gt;12), AND(A1339="Unlisted Equity Shares", I1339&gt;24)), "Long Term", "Short Term"))</f>
        <v/>
      </c>
      <c r="K1339" s="5">
        <f>IF(J1339="", "", IF(J1339="Long Term", 12.5%,"as per slab"))</f>
        <v/>
      </c>
      <c r="L1339" s="3">
        <f>+IFERROR(IF(J1339="","",H1339*K1339),"as per slab")</f>
        <v/>
      </c>
    </row>
    <row r="1340">
      <c r="A1340" s="7" t="n"/>
      <c r="B1340" s="7" t="n"/>
      <c r="C1340" s="8" t="n"/>
      <c r="D1340" s="9" t="n"/>
      <c r="E1340" s="8" t="n"/>
      <c r="F1340" s="9" t="n"/>
      <c r="G1340" s="9" t="n"/>
      <c r="H1340" s="3">
        <f>IF(AND(D1340&lt;&gt;"",F1340&lt;&gt;""),F1340-D1340-G1340,"")</f>
        <v/>
      </c>
      <c r="I1340" s="14">
        <f>IF(E1340&lt;&gt;"", YEARFRAC(C1340, E1340) * 12, "")</f>
        <v/>
      </c>
      <c r="J1340" s="2">
        <f>IF(I1340="", "", IF(OR(AND(A1340="Listed Equity Shares", I1340&gt;12), AND(A1340="Unlisted Equity Shares", I1340&gt;24)), "Long Term", "Short Term"))</f>
        <v/>
      </c>
      <c r="K1340" s="5">
        <f>IF(J1340="", "", IF(J1340="Long Term", 12.5%,"as per slab"))</f>
        <v/>
      </c>
      <c r="L1340" s="3">
        <f>+IFERROR(IF(J1340="","",H1340*K1340),"as per slab")</f>
        <v/>
      </c>
    </row>
    <row r="1341">
      <c r="A1341" s="7" t="n"/>
      <c r="B1341" s="7" t="n"/>
      <c r="C1341" s="8" t="n"/>
      <c r="D1341" s="9" t="n"/>
      <c r="E1341" s="8" t="n"/>
      <c r="F1341" s="9" t="n"/>
      <c r="G1341" s="9" t="n"/>
      <c r="H1341" s="3">
        <f>IF(AND(D1341&lt;&gt;"",F1341&lt;&gt;""),F1341-D1341-G1341,"")</f>
        <v/>
      </c>
      <c r="I1341" s="14">
        <f>IF(E1341&lt;&gt;"", YEARFRAC(C1341, E1341) * 12, "")</f>
        <v/>
      </c>
      <c r="J1341" s="2">
        <f>IF(I1341="", "", IF(OR(AND(A1341="Listed Equity Shares", I1341&gt;12), AND(A1341="Unlisted Equity Shares", I1341&gt;24)), "Long Term", "Short Term"))</f>
        <v/>
      </c>
      <c r="K1341" s="5">
        <f>IF(J1341="", "", IF(J1341="Long Term", 12.5%,"as per slab"))</f>
        <v/>
      </c>
      <c r="L1341" s="3">
        <f>+IFERROR(IF(J1341="","",H1341*K1341),"as per slab")</f>
        <v/>
      </c>
    </row>
    <row r="1342">
      <c r="A1342" s="7" t="n"/>
      <c r="B1342" s="7" t="n"/>
      <c r="C1342" s="8" t="n"/>
      <c r="D1342" s="9" t="n"/>
      <c r="E1342" s="8" t="n"/>
      <c r="F1342" s="9" t="n"/>
      <c r="G1342" s="9" t="n"/>
      <c r="H1342" s="3">
        <f>IF(AND(D1342&lt;&gt;"",F1342&lt;&gt;""),F1342-D1342-G1342,"")</f>
        <v/>
      </c>
      <c r="I1342" s="14">
        <f>IF(E1342&lt;&gt;"", YEARFRAC(C1342, E1342) * 12, "")</f>
        <v/>
      </c>
      <c r="J1342" s="2">
        <f>IF(I1342="", "", IF(OR(AND(A1342="Listed Equity Shares", I1342&gt;12), AND(A1342="Unlisted Equity Shares", I1342&gt;24)), "Long Term", "Short Term"))</f>
        <v/>
      </c>
      <c r="K1342" s="5">
        <f>IF(J1342="", "", IF(J1342="Long Term", 12.5%,"as per slab"))</f>
        <v/>
      </c>
      <c r="L1342" s="3">
        <f>+IFERROR(IF(J1342="","",H1342*K1342),"as per slab")</f>
        <v/>
      </c>
    </row>
    <row r="1343">
      <c r="A1343" s="7" t="n"/>
      <c r="B1343" s="7" t="n"/>
      <c r="C1343" s="8" t="n"/>
      <c r="D1343" s="9" t="n"/>
      <c r="E1343" s="8" t="n"/>
      <c r="F1343" s="9" t="n"/>
      <c r="G1343" s="9" t="n"/>
      <c r="H1343" s="3">
        <f>IF(AND(D1343&lt;&gt;"",F1343&lt;&gt;""),F1343-D1343-G1343,"")</f>
        <v/>
      </c>
      <c r="I1343" s="14">
        <f>IF(E1343&lt;&gt;"", YEARFRAC(C1343, E1343) * 12, "")</f>
        <v/>
      </c>
      <c r="J1343" s="2">
        <f>IF(I1343="", "", IF(OR(AND(A1343="Listed Equity Shares", I1343&gt;12), AND(A1343="Unlisted Equity Shares", I1343&gt;24)), "Long Term", "Short Term"))</f>
        <v/>
      </c>
      <c r="K1343" s="5">
        <f>IF(J1343="", "", IF(J1343="Long Term", 12.5%,"as per slab"))</f>
        <v/>
      </c>
      <c r="L1343" s="3">
        <f>+IFERROR(IF(J1343="","",H1343*K1343),"as per slab")</f>
        <v/>
      </c>
    </row>
    <row r="1344">
      <c r="A1344" s="7" t="n"/>
      <c r="B1344" s="7" t="n"/>
      <c r="C1344" s="8" t="n"/>
      <c r="D1344" s="9" t="n"/>
      <c r="E1344" s="8" t="n"/>
      <c r="F1344" s="9" t="n"/>
      <c r="G1344" s="9" t="n"/>
      <c r="H1344" s="3">
        <f>IF(AND(D1344&lt;&gt;"",F1344&lt;&gt;""),F1344-D1344-G1344,"")</f>
        <v/>
      </c>
      <c r="I1344" s="14">
        <f>IF(E1344&lt;&gt;"", YEARFRAC(C1344, E1344) * 12, "")</f>
        <v/>
      </c>
      <c r="J1344" s="2">
        <f>IF(I1344="", "", IF(OR(AND(A1344="Listed Equity Shares", I1344&gt;12), AND(A1344="Unlisted Equity Shares", I1344&gt;24)), "Long Term", "Short Term"))</f>
        <v/>
      </c>
      <c r="K1344" s="5">
        <f>IF(J1344="", "", IF(J1344="Long Term", 12.5%,"as per slab"))</f>
        <v/>
      </c>
      <c r="L1344" s="3">
        <f>+IFERROR(IF(J1344="","",H1344*K1344),"as per slab")</f>
        <v/>
      </c>
    </row>
    <row r="1345">
      <c r="A1345" s="7" t="n"/>
      <c r="B1345" s="7" t="n"/>
      <c r="C1345" s="8" t="n"/>
      <c r="D1345" s="9" t="n"/>
      <c r="E1345" s="8" t="n"/>
      <c r="F1345" s="9" t="n"/>
      <c r="G1345" s="9" t="n"/>
      <c r="H1345" s="3">
        <f>IF(AND(D1345&lt;&gt;"",F1345&lt;&gt;""),F1345-D1345-G1345,"")</f>
        <v/>
      </c>
      <c r="I1345" s="14">
        <f>IF(E1345&lt;&gt;"", YEARFRAC(C1345, E1345) * 12, "")</f>
        <v/>
      </c>
      <c r="J1345" s="2">
        <f>IF(I1345="", "", IF(OR(AND(A1345="Listed Equity Shares", I1345&gt;12), AND(A1345="Unlisted Equity Shares", I1345&gt;24)), "Long Term", "Short Term"))</f>
        <v/>
      </c>
      <c r="K1345" s="5">
        <f>IF(J1345="", "", IF(J1345="Long Term", 12.5%,"as per slab"))</f>
        <v/>
      </c>
      <c r="L1345" s="3">
        <f>+IFERROR(IF(J1345="","",H1345*K1345),"as per slab")</f>
        <v/>
      </c>
    </row>
    <row r="1346">
      <c r="A1346" s="7" t="n"/>
      <c r="B1346" s="7" t="n"/>
      <c r="C1346" s="8" t="n"/>
      <c r="D1346" s="9" t="n"/>
      <c r="E1346" s="8" t="n"/>
      <c r="F1346" s="9" t="n"/>
      <c r="G1346" s="9" t="n"/>
      <c r="H1346" s="3">
        <f>IF(AND(D1346&lt;&gt;"",F1346&lt;&gt;""),F1346-D1346-G1346,"")</f>
        <v/>
      </c>
      <c r="I1346" s="14">
        <f>IF(E1346&lt;&gt;"", YEARFRAC(C1346, E1346) * 12, "")</f>
        <v/>
      </c>
      <c r="J1346" s="2">
        <f>IF(I1346="", "", IF(OR(AND(A1346="Listed Equity Shares", I1346&gt;12), AND(A1346="Unlisted Equity Shares", I1346&gt;24)), "Long Term", "Short Term"))</f>
        <v/>
      </c>
      <c r="K1346" s="5">
        <f>IF(J1346="", "", IF(J1346="Long Term", 12.5%,"as per slab"))</f>
        <v/>
      </c>
      <c r="L1346" s="3">
        <f>+IFERROR(IF(J1346="","",H1346*K1346),"as per slab")</f>
        <v/>
      </c>
    </row>
    <row r="1347">
      <c r="A1347" s="7" t="n"/>
      <c r="B1347" s="7" t="n"/>
      <c r="C1347" s="8" t="n"/>
      <c r="D1347" s="9" t="n"/>
      <c r="E1347" s="8" t="n"/>
      <c r="F1347" s="9" t="n"/>
      <c r="G1347" s="9" t="n"/>
      <c r="H1347" s="3">
        <f>IF(AND(D1347&lt;&gt;"",F1347&lt;&gt;""),F1347-D1347-G1347,"")</f>
        <v/>
      </c>
      <c r="I1347" s="14">
        <f>IF(E1347&lt;&gt;"", YEARFRAC(C1347, E1347) * 12, "")</f>
        <v/>
      </c>
      <c r="J1347" s="2">
        <f>IF(I1347="", "", IF(OR(AND(A1347="Listed Equity Shares", I1347&gt;12), AND(A1347="Unlisted Equity Shares", I1347&gt;24)), "Long Term", "Short Term"))</f>
        <v/>
      </c>
      <c r="K1347" s="5">
        <f>IF(J1347="", "", IF(J1347="Long Term", 12.5%,"as per slab"))</f>
        <v/>
      </c>
      <c r="L1347" s="3">
        <f>+IFERROR(IF(J1347="","",H1347*K1347),"as per slab")</f>
        <v/>
      </c>
    </row>
    <row r="1348">
      <c r="A1348" s="7" t="n"/>
      <c r="B1348" s="7" t="n"/>
      <c r="C1348" s="8" t="n"/>
      <c r="D1348" s="9" t="n"/>
      <c r="E1348" s="8" t="n"/>
      <c r="F1348" s="9" t="n"/>
      <c r="G1348" s="9" t="n"/>
      <c r="H1348" s="3">
        <f>IF(AND(D1348&lt;&gt;"",F1348&lt;&gt;""),F1348-D1348-G1348,"")</f>
        <v/>
      </c>
      <c r="I1348" s="14">
        <f>IF(E1348&lt;&gt;"", YEARFRAC(C1348, E1348) * 12, "")</f>
        <v/>
      </c>
      <c r="J1348" s="2">
        <f>IF(I1348="", "", IF(OR(AND(A1348="Listed Equity Shares", I1348&gt;12), AND(A1348="Unlisted Equity Shares", I1348&gt;24)), "Long Term", "Short Term"))</f>
        <v/>
      </c>
      <c r="K1348" s="5">
        <f>IF(J1348="", "", IF(J1348="Long Term", 12.5%,"as per slab"))</f>
        <v/>
      </c>
      <c r="L1348" s="3">
        <f>+IFERROR(IF(J1348="","",H1348*K1348),"as per slab")</f>
        <v/>
      </c>
    </row>
    <row r="1349">
      <c r="A1349" s="7" t="n"/>
      <c r="B1349" s="7" t="n"/>
      <c r="C1349" s="8" t="n"/>
      <c r="D1349" s="9" t="n"/>
      <c r="E1349" s="8" t="n"/>
      <c r="F1349" s="9" t="n"/>
      <c r="G1349" s="9" t="n"/>
      <c r="H1349" s="3">
        <f>IF(AND(D1349&lt;&gt;"",F1349&lt;&gt;""),F1349-D1349-G1349,"")</f>
        <v/>
      </c>
      <c r="I1349" s="14">
        <f>IF(E1349&lt;&gt;"", YEARFRAC(C1349, E1349) * 12, "")</f>
        <v/>
      </c>
      <c r="J1349" s="2">
        <f>IF(I1349="", "", IF(OR(AND(A1349="Listed Equity Shares", I1349&gt;12), AND(A1349="Unlisted Equity Shares", I1349&gt;24)), "Long Term", "Short Term"))</f>
        <v/>
      </c>
      <c r="K1349" s="5">
        <f>IF(J1349="", "", IF(J1349="Long Term", 12.5%,"as per slab"))</f>
        <v/>
      </c>
      <c r="L1349" s="3">
        <f>+IFERROR(IF(J1349="","",H1349*K1349),"as per slab")</f>
        <v/>
      </c>
    </row>
    <row r="1350">
      <c r="A1350" s="7" t="n"/>
      <c r="B1350" s="7" t="n"/>
      <c r="C1350" s="8" t="n"/>
      <c r="D1350" s="9" t="n"/>
      <c r="E1350" s="8" t="n"/>
      <c r="F1350" s="9" t="n"/>
      <c r="G1350" s="9" t="n"/>
      <c r="H1350" s="3">
        <f>IF(AND(D1350&lt;&gt;"",F1350&lt;&gt;""),F1350-D1350-G1350,"")</f>
        <v/>
      </c>
      <c r="I1350" s="14">
        <f>IF(E1350&lt;&gt;"", YEARFRAC(C1350, E1350) * 12, "")</f>
        <v/>
      </c>
      <c r="J1350" s="2">
        <f>IF(I1350="", "", IF(OR(AND(A1350="Listed Equity Shares", I1350&gt;12), AND(A1350="Unlisted Equity Shares", I1350&gt;24)), "Long Term", "Short Term"))</f>
        <v/>
      </c>
      <c r="K1350" s="5">
        <f>IF(J1350="", "", IF(J1350="Long Term", 12.5%,"as per slab"))</f>
        <v/>
      </c>
      <c r="L1350" s="3">
        <f>+IFERROR(IF(J1350="","",H1350*K1350),"as per slab")</f>
        <v/>
      </c>
    </row>
    <row r="1351">
      <c r="A1351" s="7" t="n"/>
      <c r="B1351" s="7" t="n"/>
      <c r="C1351" s="8" t="n"/>
      <c r="D1351" s="9" t="n"/>
      <c r="E1351" s="8" t="n"/>
      <c r="F1351" s="9" t="n"/>
      <c r="G1351" s="9" t="n"/>
      <c r="H1351" s="3">
        <f>IF(AND(D1351&lt;&gt;"",F1351&lt;&gt;""),F1351-D1351-G1351,"")</f>
        <v/>
      </c>
      <c r="I1351" s="14">
        <f>IF(E1351&lt;&gt;"", YEARFRAC(C1351, E1351) * 12, "")</f>
        <v/>
      </c>
      <c r="J1351" s="2">
        <f>IF(I1351="", "", IF(OR(AND(A1351="Listed Equity Shares", I1351&gt;12), AND(A1351="Unlisted Equity Shares", I1351&gt;24)), "Long Term", "Short Term"))</f>
        <v/>
      </c>
      <c r="K1351" s="5">
        <f>IF(J1351="", "", IF(J1351="Long Term", 12.5%,"as per slab"))</f>
        <v/>
      </c>
      <c r="L1351" s="3">
        <f>+IFERROR(IF(J1351="","",H1351*K1351),"as per slab")</f>
        <v/>
      </c>
    </row>
    <row r="1352">
      <c r="A1352" s="7" t="n"/>
      <c r="B1352" s="7" t="n"/>
      <c r="C1352" s="8" t="n"/>
      <c r="D1352" s="9" t="n"/>
      <c r="E1352" s="8" t="n"/>
      <c r="F1352" s="9" t="n"/>
      <c r="G1352" s="9" t="n"/>
      <c r="H1352" s="3">
        <f>IF(AND(D1352&lt;&gt;"",F1352&lt;&gt;""),F1352-D1352-G1352,"")</f>
        <v/>
      </c>
      <c r="I1352" s="14">
        <f>IF(E1352&lt;&gt;"", YEARFRAC(C1352, E1352) * 12, "")</f>
        <v/>
      </c>
      <c r="J1352" s="2">
        <f>IF(I1352="", "", IF(OR(AND(A1352="Listed Equity Shares", I1352&gt;12), AND(A1352="Unlisted Equity Shares", I1352&gt;24)), "Long Term", "Short Term"))</f>
        <v/>
      </c>
      <c r="K1352" s="5">
        <f>IF(J1352="", "", IF(J1352="Long Term", 12.5%,"as per slab"))</f>
        <v/>
      </c>
      <c r="L1352" s="3">
        <f>+IFERROR(IF(J1352="","",H1352*K1352),"as per slab")</f>
        <v/>
      </c>
    </row>
    <row r="1353">
      <c r="A1353" s="7" t="n"/>
      <c r="B1353" s="7" t="n"/>
      <c r="C1353" s="8" t="n"/>
      <c r="D1353" s="9" t="n"/>
      <c r="E1353" s="8" t="n"/>
      <c r="F1353" s="9" t="n"/>
      <c r="G1353" s="9" t="n"/>
      <c r="H1353" s="3">
        <f>IF(AND(D1353&lt;&gt;"",F1353&lt;&gt;""),F1353-D1353-G1353,"")</f>
        <v/>
      </c>
      <c r="I1353" s="14">
        <f>IF(E1353&lt;&gt;"", YEARFRAC(C1353, E1353) * 12, "")</f>
        <v/>
      </c>
      <c r="J1353" s="2">
        <f>IF(I1353="", "", IF(OR(AND(A1353="Listed Equity Shares", I1353&gt;12), AND(A1353="Unlisted Equity Shares", I1353&gt;24)), "Long Term", "Short Term"))</f>
        <v/>
      </c>
      <c r="K1353" s="5">
        <f>IF(J1353="", "", IF(J1353="Long Term", 12.5%,"as per slab"))</f>
        <v/>
      </c>
      <c r="L1353" s="3">
        <f>+IFERROR(IF(J1353="","",H1353*K1353),"as per slab")</f>
        <v/>
      </c>
    </row>
    <row r="1354">
      <c r="A1354" s="7" t="n"/>
      <c r="B1354" s="7" t="n"/>
      <c r="C1354" s="8" t="n"/>
      <c r="D1354" s="9" t="n"/>
      <c r="E1354" s="8" t="n"/>
      <c r="F1354" s="9" t="n"/>
      <c r="G1354" s="9" t="n"/>
      <c r="H1354" s="3">
        <f>IF(AND(D1354&lt;&gt;"",F1354&lt;&gt;""),F1354-D1354-G1354,"")</f>
        <v/>
      </c>
      <c r="I1354" s="14">
        <f>IF(E1354&lt;&gt;"", YEARFRAC(C1354, E1354) * 12, "")</f>
        <v/>
      </c>
      <c r="J1354" s="2">
        <f>IF(I1354="", "", IF(OR(AND(A1354="Listed Equity Shares", I1354&gt;12), AND(A1354="Unlisted Equity Shares", I1354&gt;24)), "Long Term", "Short Term"))</f>
        <v/>
      </c>
      <c r="K1354" s="5">
        <f>IF(J1354="", "", IF(J1354="Long Term", 12.5%,"as per slab"))</f>
        <v/>
      </c>
      <c r="L1354" s="3">
        <f>+IFERROR(IF(J1354="","",H1354*K1354),"as per slab")</f>
        <v/>
      </c>
    </row>
    <row r="1355">
      <c r="A1355" s="7" t="n"/>
      <c r="B1355" s="7" t="n"/>
      <c r="C1355" s="8" t="n"/>
      <c r="D1355" s="9" t="n"/>
      <c r="E1355" s="8" t="n"/>
      <c r="F1355" s="9" t="n"/>
      <c r="G1355" s="9" t="n"/>
      <c r="H1355" s="3">
        <f>IF(AND(D1355&lt;&gt;"",F1355&lt;&gt;""),F1355-D1355-G1355,"")</f>
        <v/>
      </c>
      <c r="I1355" s="14">
        <f>IF(E1355&lt;&gt;"", YEARFRAC(C1355, E1355) * 12, "")</f>
        <v/>
      </c>
      <c r="J1355" s="2">
        <f>IF(I1355="", "", IF(OR(AND(A1355="Listed Equity Shares", I1355&gt;12), AND(A1355="Unlisted Equity Shares", I1355&gt;24)), "Long Term", "Short Term"))</f>
        <v/>
      </c>
      <c r="K1355" s="5">
        <f>IF(J1355="", "", IF(J1355="Long Term", 12.5%,"as per slab"))</f>
        <v/>
      </c>
      <c r="L1355" s="3">
        <f>+IFERROR(IF(J1355="","",H1355*K1355),"as per slab")</f>
        <v/>
      </c>
    </row>
    <row r="1356">
      <c r="A1356" s="7" t="n"/>
      <c r="B1356" s="7" t="n"/>
      <c r="C1356" s="8" t="n"/>
      <c r="D1356" s="9" t="n"/>
      <c r="E1356" s="8" t="n"/>
      <c r="F1356" s="9" t="n"/>
      <c r="G1356" s="9" t="n"/>
      <c r="H1356" s="3">
        <f>IF(AND(D1356&lt;&gt;"",F1356&lt;&gt;""),F1356-D1356-G1356,"")</f>
        <v/>
      </c>
      <c r="I1356" s="14">
        <f>IF(E1356&lt;&gt;"", YEARFRAC(C1356, E1356) * 12, "")</f>
        <v/>
      </c>
      <c r="J1356" s="2">
        <f>IF(I1356="", "", IF(OR(AND(A1356="Listed Equity Shares", I1356&gt;12), AND(A1356="Unlisted Equity Shares", I1356&gt;24)), "Long Term", "Short Term"))</f>
        <v/>
      </c>
      <c r="K1356" s="5">
        <f>IF(J1356="", "", IF(J1356="Long Term", 12.5%,"as per slab"))</f>
        <v/>
      </c>
      <c r="L1356" s="3">
        <f>+IFERROR(IF(J1356="","",H1356*K1356),"as per slab")</f>
        <v/>
      </c>
    </row>
    <row r="1357">
      <c r="A1357" s="7" t="n"/>
      <c r="B1357" s="7" t="n"/>
      <c r="C1357" s="8" t="n"/>
      <c r="D1357" s="9" t="n"/>
      <c r="E1357" s="8" t="n"/>
      <c r="F1357" s="9" t="n"/>
      <c r="G1357" s="9" t="n"/>
      <c r="H1357" s="3">
        <f>IF(AND(D1357&lt;&gt;"",F1357&lt;&gt;""),F1357-D1357-G1357,"")</f>
        <v/>
      </c>
      <c r="I1357" s="14">
        <f>IF(E1357&lt;&gt;"", YEARFRAC(C1357, E1357) * 12, "")</f>
        <v/>
      </c>
      <c r="J1357" s="2">
        <f>IF(I1357="", "", IF(OR(AND(A1357="Listed Equity Shares", I1357&gt;12), AND(A1357="Unlisted Equity Shares", I1357&gt;24)), "Long Term", "Short Term"))</f>
        <v/>
      </c>
      <c r="K1357" s="5">
        <f>IF(J1357="", "", IF(J1357="Long Term", 12.5%,"as per slab"))</f>
        <v/>
      </c>
      <c r="L1357" s="3">
        <f>+IFERROR(IF(J1357="","",H1357*K1357),"as per slab")</f>
        <v/>
      </c>
    </row>
    <row r="1358">
      <c r="A1358" s="7" t="n"/>
      <c r="B1358" s="7" t="n"/>
      <c r="C1358" s="8" t="n"/>
      <c r="D1358" s="9" t="n"/>
      <c r="E1358" s="8" t="n"/>
      <c r="F1358" s="9" t="n"/>
      <c r="G1358" s="9" t="n"/>
      <c r="H1358" s="3">
        <f>IF(AND(D1358&lt;&gt;"",F1358&lt;&gt;""),F1358-D1358-G1358,"")</f>
        <v/>
      </c>
      <c r="I1358" s="14">
        <f>IF(E1358&lt;&gt;"", YEARFRAC(C1358, E1358) * 12, "")</f>
        <v/>
      </c>
      <c r="J1358" s="2">
        <f>IF(I1358="", "", IF(OR(AND(A1358="Listed Equity Shares", I1358&gt;12), AND(A1358="Unlisted Equity Shares", I1358&gt;24)), "Long Term", "Short Term"))</f>
        <v/>
      </c>
      <c r="K1358" s="5">
        <f>IF(J1358="", "", IF(J1358="Long Term", 12.5%,"as per slab"))</f>
        <v/>
      </c>
      <c r="L1358" s="3">
        <f>+IFERROR(IF(J1358="","",H1358*K1358),"as per slab")</f>
        <v/>
      </c>
    </row>
    <row r="1359">
      <c r="A1359" s="7" t="n"/>
      <c r="B1359" s="7" t="n"/>
      <c r="C1359" s="8" t="n"/>
      <c r="D1359" s="9" t="n"/>
      <c r="E1359" s="8" t="n"/>
      <c r="F1359" s="9" t="n"/>
      <c r="G1359" s="9" t="n"/>
      <c r="H1359" s="3">
        <f>IF(AND(D1359&lt;&gt;"",F1359&lt;&gt;""),F1359-D1359-G1359,"")</f>
        <v/>
      </c>
      <c r="I1359" s="14">
        <f>IF(E1359&lt;&gt;"", YEARFRAC(C1359, E1359) * 12, "")</f>
        <v/>
      </c>
      <c r="J1359" s="2">
        <f>IF(I1359="", "", IF(OR(AND(A1359="Listed Equity Shares", I1359&gt;12), AND(A1359="Unlisted Equity Shares", I1359&gt;24)), "Long Term", "Short Term"))</f>
        <v/>
      </c>
      <c r="K1359" s="5">
        <f>IF(J1359="", "", IF(J1359="Long Term", 12.5%,"as per slab"))</f>
        <v/>
      </c>
      <c r="L1359" s="3">
        <f>+IFERROR(IF(J1359="","",H1359*K1359),"as per slab")</f>
        <v/>
      </c>
    </row>
    <row r="1360">
      <c r="A1360" s="7" t="n"/>
      <c r="B1360" s="7" t="n"/>
      <c r="C1360" s="8" t="n"/>
      <c r="D1360" s="9" t="n"/>
      <c r="E1360" s="8" t="n"/>
      <c r="F1360" s="9" t="n"/>
      <c r="G1360" s="9" t="n"/>
      <c r="H1360" s="3">
        <f>IF(AND(D1360&lt;&gt;"",F1360&lt;&gt;""),F1360-D1360-G1360,"")</f>
        <v/>
      </c>
      <c r="I1360" s="14">
        <f>IF(E1360&lt;&gt;"", YEARFRAC(C1360, E1360) * 12, "")</f>
        <v/>
      </c>
      <c r="J1360" s="2">
        <f>IF(I1360="", "", IF(OR(AND(A1360="Listed Equity Shares", I1360&gt;12), AND(A1360="Unlisted Equity Shares", I1360&gt;24)), "Long Term", "Short Term"))</f>
        <v/>
      </c>
      <c r="K1360" s="5">
        <f>IF(J1360="", "", IF(J1360="Long Term", 12.5%,"as per slab"))</f>
        <v/>
      </c>
      <c r="L1360" s="3">
        <f>+IFERROR(IF(J1360="","",H1360*K1360),"as per slab")</f>
        <v/>
      </c>
    </row>
    <row r="1361">
      <c r="A1361" s="7" t="n"/>
      <c r="B1361" s="7" t="n"/>
      <c r="C1361" s="8" t="n"/>
      <c r="D1361" s="9" t="n"/>
      <c r="E1361" s="8" t="n"/>
      <c r="F1361" s="9" t="n"/>
      <c r="G1361" s="9" t="n"/>
      <c r="H1361" s="3">
        <f>IF(AND(D1361&lt;&gt;"",F1361&lt;&gt;""),F1361-D1361-G1361,"")</f>
        <v/>
      </c>
      <c r="I1361" s="14">
        <f>IF(E1361&lt;&gt;"", YEARFRAC(C1361, E1361) * 12, "")</f>
        <v/>
      </c>
      <c r="J1361" s="2">
        <f>IF(I1361="", "", IF(OR(AND(A1361="Listed Equity Shares", I1361&gt;12), AND(A1361="Unlisted Equity Shares", I1361&gt;24)), "Long Term", "Short Term"))</f>
        <v/>
      </c>
      <c r="K1361" s="5">
        <f>IF(J1361="", "", IF(J1361="Long Term", 12.5%,"as per slab"))</f>
        <v/>
      </c>
      <c r="L1361" s="3">
        <f>+IFERROR(IF(J1361="","",H1361*K1361),"as per slab")</f>
        <v/>
      </c>
    </row>
    <row r="1362">
      <c r="A1362" s="7" t="n"/>
      <c r="B1362" s="7" t="n"/>
      <c r="C1362" s="8" t="n"/>
      <c r="D1362" s="9" t="n"/>
      <c r="E1362" s="8" t="n"/>
      <c r="F1362" s="9" t="n"/>
      <c r="G1362" s="9" t="n"/>
      <c r="H1362" s="3">
        <f>IF(AND(D1362&lt;&gt;"",F1362&lt;&gt;""),F1362-D1362-G1362,"")</f>
        <v/>
      </c>
      <c r="I1362" s="14">
        <f>IF(E1362&lt;&gt;"", YEARFRAC(C1362, E1362) * 12, "")</f>
        <v/>
      </c>
      <c r="J1362" s="2">
        <f>IF(I1362="", "", IF(OR(AND(A1362="Listed Equity Shares", I1362&gt;12), AND(A1362="Unlisted Equity Shares", I1362&gt;24)), "Long Term", "Short Term"))</f>
        <v/>
      </c>
      <c r="K1362" s="5">
        <f>IF(J1362="", "", IF(J1362="Long Term", 12.5%,"as per slab"))</f>
        <v/>
      </c>
      <c r="L1362" s="3">
        <f>+IFERROR(IF(J1362="","",H1362*K1362),"as per slab")</f>
        <v/>
      </c>
    </row>
    <row r="1363">
      <c r="A1363" s="7" t="n"/>
      <c r="B1363" s="7" t="n"/>
      <c r="C1363" s="8" t="n"/>
      <c r="D1363" s="9" t="n"/>
      <c r="E1363" s="8" t="n"/>
      <c r="F1363" s="9" t="n"/>
      <c r="G1363" s="9" t="n"/>
      <c r="H1363" s="3">
        <f>IF(AND(D1363&lt;&gt;"",F1363&lt;&gt;""),F1363-D1363-G1363,"")</f>
        <v/>
      </c>
      <c r="I1363" s="14">
        <f>IF(E1363&lt;&gt;"", YEARFRAC(C1363, E1363) * 12, "")</f>
        <v/>
      </c>
      <c r="J1363" s="2">
        <f>IF(I1363="", "", IF(OR(AND(A1363="Listed Equity Shares", I1363&gt;12), AND(A1363="Unlisted Equity Shares", I1363&gt;24)), "Long Term", "Short Term"))</f>
        <v/>
      </c>
      <c r="K1363" s="5">
        <f>IF(J1363="", "", IF(J1363="Long Term", 12.5%,"as per slab"))</f>
        <v/>
      </c>
      <c r="L1363" s="3">
        <f>+IFERROR(IF(J1363="","",H1363*K1363),"as per slab")</f>
        <v/>
      </c>
    </row>
    <row r="1364">
      <c r="A1364" s="7" t="n"/>
      <c r="B1364" s="7" t="n"/>
      <c r="C1364" s="8" t="n"/>
      <c r="D1364" s="9" t="n"/>
      <c r="E1364" s="8" t="n"/>
      <c r="F1364" s="9" t="n"/>
      <c r="G1364" s="9" t="n"/>
      <c r="H1364" s="3">
        <f>IF(AND(D1364&lt;&gt;"",F1364&lt;&gt;""),F1364-D1364-G1364,"")</f>
        <v/>
      </c>
      <c r="I1364" s="14">
        <f>IF(E1364&lt;&gt;"", YEARFRAC(C1364, E1364) * 12, "")</f>
        <v/>
      </c>
      <c r="J1364" s="2">
        <f>IF(I1364="", "", IF(OR(AND(A1364="Listed Equity Shares", I1364&gt;12), AND(A1364="Unlisted Equity Shares", I1364&gt;24)), "Long Term", "Short Term"))</f>
        <v/>
      </c>
      <c r="K1364" s="5">
        <f>IF(J1364="", "", IF(J1364="Long Term", 12.5%,"as per slab"))</f>
        <v/>
      </c>
      <c r="L1364" s="3">
        <f>+IFERROR(IF(J1364="","",H1364*K1364),"as per slab")</f>
        <v/>
      </c>
    </row>
    <row r="1365">
      <c r="A1365" s="7" t="n"/>
      <c r="B1365" s="7" t="n"/>
      <c r="C1365" s="8" t="n"/>
      <c r="D1365" s="9" t="n"/>
      <c r="E1365" s="8" t="n"/>
      <c r="F1365" s="9" t="n"/>
      <c r="G1365" s="9" t="n"/>
      <c r="H1365" s="3">
        <f>IF(AND(D1365&lt;&gt;"",F1365&lt;&gt;""),F1365-D1365-G1365,"")</f>
        <v/>
      </c>
      <c r="I1365" s="14">
        <f>IF(E1365&lt;&gt;"", YEARFRAC(C1365, E1365) * 12, "")</f>
        <v/>
      </c>
      <c r="J1365" s="2">
        <f>IF(I1365="", "", IF(OR(AND(A1365="Listed Equity Shares", I1365&gt;12), AND(A1365="Unlisted Equity Shares", I1365&gt;24)), "Long Term", "Short Term"))</f>
        <v/>
      </c>
      <c r="K1365" s="5">
        <f>IF(J1365="", "", IF(J1365="Long Term", 12.5%,"as per slab"))</f>
        <v/>
      </c>
      <c r="L1365" s="3">
        <f>+IFERROR(IF(J1365="","",H1365*K1365),"as per slab")</f>
        <v/>
      </c>
    </row>
    <row r="1366">
      <c r="A1366" s="7" t="n"/>
      <c r="B1366" s="7" t="n"/>
      <c r="C1366" s="8" t="n"/>
      <c r="D1366" s="9" t="n"/>
      <c r="E1366" s="8" t="n"/>
      <c r="F1366" s="9" t="n"/>
      <c r="G1366" s="9" t="n"/>
      <c r="H1366" s="3">
        <f>IF(AND(D1366&lt;&gt;"",F1366&lt;&gt;""),F1366-D1366-G1366,"")</f>
        <v/>
      </c>
      <c r="I1366" s="14">
        <f>IF(E1366&lt;&gt;"", YEARFRAC(C1366, E1366) * 12, "")</f>
        <v/>
      </c>
      <c r="J1366" s="2">
        <f>IF(I1366="", "", IF(OR(AND(A1366="Listed Equity Shares", I1366&gt;12), AND(A1366="Unlisted Equity Shares", I1366&gt;24)), "Long Term", "Short Term"))</f>
        <v/>
      </c>
      <c r="K1366" s="5">
        <f>IF(J1366="", "", IF(J1366="Long Term", 12.5%,"as per slab"))</f>
        <v/>
      </c>
      <c r="L1366" s="3">
        <f>+IFERROR(IF(J1366="","",H1366*K1366),"as per slab")</f>
        <v/>
      </c>
    </row>
    <row r="1367">
      <c r="A1367" s="7" t="n"/>
      <c r="B1367" s="7" t="n"/>
      <c r="C1367" s="8" t="n"/>
      <c r="D1367" s="9" t="n"/>
      <c r="E1367" s="8" t="n"/>
      <c r="F1367" s="9" t="n"/>
      <c r="G1367" s="9" t="n"/>
      <c r="H1367" s="3">
        <f>IF(AND(D1367&lt;&gt;"",F1367&lt;&gt;""),F1367-D1367-G1367,"")</f>
        <v/>
      </c>
      <c r="I1367" s="14">
        <f>IF(E1367&lt;&gt;"", YEARFRAC(C1367, E1367) * 12, "")</f>
        <v/>
      </c>
      <c r="J1367" s="2">
        <f>IF(I1367="", "", IF(OR(AND(A1367="Listed Equity Shares", I1367&gt;12), AND(A1367="Unlisted Equity Shares", I1367&gt;24)), "Long Term", "Short Term"))</f>
        <v/>
      </c>
      <c r="K1367" s="5">
        <f>IF(J1367="", "", IF(J1367="Long Term", 12.5%,"as per slab"))</f>
        <v/>
      </c>
      <c r="L1367" s="3">
        <f>+IFERROR(IF(J1367="","",H1367*K1367),"as per slab")</f>
        <v/>
      </c>
    </row>
    <row r="1368">
      <c r="A1368" s="7" t="n"/>
      <c r="B1368" s="7" t="n"/>
      <c r="C1368" s="8" t="n"/>
      <c r="D1368" s="9" t="n"/>
      <c r="E1368" s="8" t="n"/>
      <c r="F1368" s="9" t="n"/>
      <c r="G1368" s="9" t="n"/>
      <c r="H1368" s="3">
        <f>IF(AND(D1368&lt;&gt;"",F1368&lt;&gt;""),F1368-D1368-G1368,"")</f>
        <v/>
      </c>
      <c r="I1368" s="14">
        <f>IF(E1368&lt;&gt;"", YEARFRAC(C1368, E1368) * 12, "")</f>
        <v/>
      </c>
      <c r="J1368" s="2">
        <f>IF(I1368="", "", IF(OR(AND(A1368="Listed Equity Shares", I1368&gt;12), AND(A1368="Unlisted Equity Shares", I1368&gt;24)), "Long Term", "Short Term"))</f>
        <v/>
      </c>
      <c r="K1368" s="5">
        <f>IF(J1368="", "", IF(J1368="Long Term", 12.5%,"as per slab"))</f>
        <v/>
      </c>
      <c r="L1368" s="3">
        <f>+IFERROR(IF(J1368="","",H1368*K1368),"as per slab")</f>
        <v/>
      </c>
    </row>
    <row r="1369">
      <c r="A1369" s="7" t="n"/>
      <c r="B1369" s="7" t="n"/>
      <c r="C1369" s="8" t="n"/>
      <c r="D1369" s="9" t="n"/>
      <c r="E1369" s="8" t="n"/>
      <c r="F1369" s="9" t="n"/>
      <c r="G1369" s="9" t="n"/>
      <c r="H1369" s="3">
        <f>IF(AND(D1369&lt;&gt;"",F1369&lt;&gt;""),F1369-D1369-G1369,"")</f>
        <v/>
      </c>
      <c r="I1369" s="14">
        <f>IF(E1369&lt;&gt;"", YEARFRAC(C1369, E1369) * 12, "")</f>
        <v/>
      </c>
      <c r="J1369" s="2">
        <f>IF(I1369="", "", IF(OR(AND(A1369="Listed Equity Shares", I1369&gt;12), AND(A1369="Unlisted Equity Shares", I1369&gt;24)), "Long Term", "Short Term"))</f>
        <v/>
      </c>
      <c r="K1369" s="5">
        <f>IF(J1369="", "", IF(J1369="Long Term", 12.5%,"as per slab"))</f>
        <v/>
      </c>
      <c r="L1369" s="3">
        <f>+IFERROR(IF(J1369="","",H1369*K1369),"as per slab")</f>
        <v/>
      </c>
    </row>
    <row r="1370">
      <c r="A1370" s="7" t="n"/>
      <c r="B1370" s="7" t="n"/>
      <c r="C1370" s="8" t="n"/>
      <c r="D1370" s="9" t="n"/>
      <c r="E1370" s="8" t="n"/>
      <c r="F1370" s="9" t="n"/>
      <c r="G1370" s="9" t="n"/>
      <c r="H1370" s="3">
        <f>IF(AND(D1370&lt;&gt;"",F1370&lt;&gt;""),F1370-D1370-G1370,"")</f>
        <v/>
      </c>
      <c r="I1370" s="14">
        <f>IF(E1370&lt;&gt;"", YEARFRAC(C1370, E1370) * 12, "")</f>
        <v/>
      </c>
      <c r="J1370" s="2">
        <f>IF(I1370="", "", IF(OR(AND(A1370="Listed Equity Shares", I1370&gt;12), AND(A1370="Unlisted Equity Shares", I1370&gt;24)), "Long Term", "Short Term"))</f>
        <v/>
      </c>
      <c r="K1370" s="5">
        <f>IF(J1370="", "", IF(J1370="Long Term", 12.5%,"as per slab"))</f>
        <v/>
      </c>
      <c r="L1370" s="3">
        <f>+IFERROR(IF(J1370="","",H1370*K1370),"as per slab")</f>
        <v/>
      </c>
    </row>
    <row r="1371">
      <c r="A1371" s="7" t="n"/>
      <c r="B1371" s="7" t="n"/>
      <c r="C1371" s="8" t="n"/>
      <c r="D1371" s="9" t="n"/>
      <c r="E1371" s="8" t="n"/>
      <c r="F1371" s="9" t="n"/>
      <c r="G1371" s="9" t="n"/>
      <c r="H1371" s="3">
        <f>IF(AND(D1371&lt;&gt;"",F1371&lt;&gt;""),F1371-D1371-G1371,"")</f>
        <v/>
      </c>
      <c r="I1371" s="14">
        <f>IF(E1371&lt;&gt;"", YEARFRAC(C1371, E1371) * 12, "")</f>
        <v/>
      </c>
      <c r="J1371" s="2">
        <f>IF(I1371="", "", IF(OR(AND(A1371="Listed Equity Shares", I1371&gt;12), AND(A1371="Unlisted Equity Shares", I1371&gt;24)), "Long Term", "Short Term"))</f>
        <v/>
      </c>
      <c r="K1371" s="5">
        <f>IF(J1371="", "", IF(J1371="Long Term", 12.5%,"as per slab"))</f>
        <v/>
      </c>
      <c r="L1371" s="3">
        <f>+IFERROR(IF(J1371="","",H1371*K1371),"as per slab")</f>
        <v/>
      </c>
    </row>
    <row r="1372">
      <c r="A1372" s="7" t="n"/>
      <c r="B1372" s="7" t="n"/>
      <c r="C1372" s="8" t="n"/>
      <c r="D1372" s="9" t="n"/>
      <c r="E1372" s="8" t="n"/>
      <c r="F1372" s="9" t="n"/>
      <c r="G1372" s="9" t="n"/>
      <c r="H1372" s="3">
        <f>IF(AND(D1372&lt;&gt;"",F1372&lt;&gt;""),F1372-D1372-G1372,"")</f>
        <v/>
      </c>
      <c r="I1372" s="14">
        <f>IF(E1372&lt;&gt;"", YEARFRAC(C1372, E1372) * 12, "")</f>
        <v/>
      </c>
      <c r="J1372" s="2">
        <f>IF(I1372="", "", IF(OR(AND(A1372="Listed Equity Shares", I1372&gt;12), AND(A1372="Unlisted Equity Shares", I1372&gt;24)), "Long Term", "Short Term"))</f>
        <v/>
      </c>
      <c r="K1372" s="5">
        <f>IF(J1372="", "", IF(J1372="Long Term", 12.5%,"as per slab"))</f>
        <v/>
      </c>
      <c r="L1372" s="3">
        <f>+IFERROR(IF(J1372="","",H1372*K1372),"as per slab")</f>
        <v/>
      </c>
    </row>
    <row r="1373">
      <c r="A1373" s="7" t="n"/>
      <c r="B1373" s="7" t="n"/>
      <c r="C1373" s="8" t="n"/>
      <c r="D1373" s="9" t="n"/>
      <c r="E1373" s="8" t="n"/>
      <c r="F1373" s="9" t="n"/>
      <c r="G1373" s="9" t="n"/>
      <c r="H1373" s="3">
        <f>IF(AND(D1373&lt;&gt;"",F1373&lt;&gt;""),F1373-D1373-G1373,"")</f>
        <v/>
      </c>
      <c r="I1373" s="14">
        <f>IF(E1373&lt;&gt;"", YEARFRAC(C1373, E1373) * 12, "")</f>
        <v/>
      </c>
      <c r="J1373" s="2">
        <f>IF(I1373="", "", IF(OR(AND(A1373="Listed Equity Shares", I1373&gt;12), AND(A1373="Unlisted Equity Shares", I1373&gt;24)), "Long Term", "Short Term"))</f>
        <v/>
      </c>
      <c r="K1373" s="5">
        <f>IF(J1373="", "", IF(J1373="Long Term", 12.5%,"as per slab"))</f>
        <v/>
      </c>
      <c r="L1373" s="3">
        <f>+IFERROR(IF(J1373="","",H1373*K1373),"as per slab")</f>
        <v/>
      </c>
    </row>
    <row r="1374">
      <c r="A1374" s="7" t="n"/>
      <c r="B1374" s="7" t="n"/>
      <c r="C1374" s="8" t="n"/>
      <c r="D1374" s="9" t="n"/>
      <c r="E1374" s="8" t="n"/>
      <c r="F1374" s="9" t="n"/>
      <c r="G1374" s="9" t="n"/>
      <c r="H1374" s="3">
        <f>IF(AND(D1374&lt;&gt;"",F1374&lt;&gt;""),F1374-D1374-G1374,"")</f>
        <v/>
      </c>
      <c r="I1374" s="14">
        <f>IF(E1374&lt;&gt;"", YEARFRAC(C1374, E1374) * 12, "")</f>
        <v/>
      </c>
      <c r="J1374" s="2">
        <f>IF(I1374="", "", IF(OR(AND(A1374="Listed Equity Shares", I1374&gt;12), AND(A1374="Unlisted Equity Shares", I1374&gt;24)), "Long Term", "Short Term"))</f>
        <v/>
      </c>
      <c r="K1374" s="5">
        <f>IF(J1374="", "", IF(J1374="Long Term", 12.5%,"as per slab"))</f>
        <v/>
      </c>
      <c r="L1374" s="3">
        <f>+IFERROR(IF(J1374="","",H1374*K1374),"as per slab")</f>
        <v/>
      </c>
    </row>
    <row r="1375">
      <c r="A1375" s="7" t="n"/>
      <c r="B1375" s="7" t="n"/>
      <c r="C1375" s="8" t="n"/>
      <c r="D1375" s="9" t="n"/>
      <c r="E1375" s="8" t="n"/>
      <c r="F1375" s="9" t="n"/>
      <c r="G1375" s="9" t="n"/>
      <c r="H1375" s="3">
        <f>IF(AND(D1375&lt;&gt;"",F1375&lt;&gt;""),F1375-D1375-G1375,"")</f>
        <v/>
      </c>
      <c r="I1375" s="14">
        <f>IF(E1375&lt;&gt;"", YEARFRAC(C1375, E1375) * 12, "")</f>
        <v/>
      </c>
      <c r="J1375" s="2">
        <f>IF(I1375="", "", IF(OR(AND(A1375="Listed Equity Shares", I1375&gt;12), AND(A1375="Unlisted Equity Shares", I1375&gt;24)), "Long Term", "Short Term"))</f>
        <v/>
      </c>
      <c r="K1375" s="5">
        <f>IF(J1375="", "", IF(J1375="Long Term", 12.5%,"as per slab"))</f>
        <v/>
      </c>
      <c r="L1375" s="3">
        <f>+IFERROR(IF(J1375="","",H1375*K1375),"as per slab")</f>
        <v/>
      </c>
    </row>
    <row r="1376">
      <c r="A1376" s="7" t="n"/>
      <c r="B1376" s="7" t="n"/>
      <c r="C1376" s="8" t="n"/>
      <c r="D1376" s="9" t="n"/>
      <c r="E1376" s="8" t="n"/>
      <c r="F1376" s="9" t="n"/>
      <c r="G1376" s="9" t="n"/>
      <c r="H1376" s="3">
        <f>IF(AND(D1376&lt;&gt;"",F1376&lt;&gt;""),F1376-D1376-G1376,"")</f>
        <v/>
      </c>
      <c r="I1376" s="14">
        <f>IF(E1376&lt;&gt;"", YEARFRAC(C1376, E1376) * 12, "")</f>
        <v/>
      </c>
      <c r="J1376" s="2">
        <f>IF(I1376="", "", IF(OR(AND(A1376="Listed Equity Shares", I1376&gt;12), AND(A1376="Unlisted Equity Shares", I1376&gt;24)), "Long Term", "Short Term"))</f>
        <v/>
      </c>
      <c r="K1376" s="5">
        <f>IF(J1376="", "", IF(J1376="Long Term", 12.5%,"as per slab"))</f>
        <v/>
      </c>
      <c r="L1376" s="3">
        <f>+IFERROR(IF(J1376="","",H1376*K1376),"as per slab")</f>
        <v/>
      </c>
    </row>
    <row r="1377">
      <c r="A1377" s="7" t="n"/>
      <c r="B1377" s="7" t="n"/>
      <c r="C1377" s="8" t="n"/>
      <c r="D1377" s="9" t="n"/>
      <c r="E1377" s="8" t="n"/>
      <c r="F1377" s="9" t="n"/>
      <c r="G1377" s="9" t="n"/>
      <c r="H1377" s="3">
        <f>IF(AND(D1377&lt;&gt;"",F1377&lt;&gt;""),F1377-D1377-G1377,"")</f>
        <v/>
      </c>
      <c r="I1377" s="14">
        <f>IF(E1377&lt;&gt;"", YEARFRAC(C1377, E1377) * 12, "")</f>
        <v/>
      </c>
      <c r="J1377" s="2">
        <f>IF(I1377="", "", IF(OR(AND(A1377="Listed Equity Shares", I1377&gt;12), AND(A1377="Unlisted Equity Shares", I1377&gt;24)), "Long Term", "Short Term"))</f>
        <v/>
      </c>
      <c r="K1377" s="5">
        <f>IF(J1377="", "", IF(J1377="Long Term", 12.5%,"as per slab"))</f>
        <v/>
      </c>
      <c r="L1377" s="3">
        <f>+IFERROR(IF(J1377="","",H1377*K1377),"as per slab")</f>
        <v/>
      </c>
    </row>
    <row r="1378">
      <c r="A1378" s="7" t="n"/>
      <c r="B1378" s="7" t="n"/>
      <c r="C1378" s="8" t="n"/>
      <c r="D1378" s="9" t="n"/>
      <c r="E1378" s="8" t="n"/>
      <c r="F1378" s="9" t="n"/>
      <c r="G1378" s="9" t="n"/>
      <c r="H1378" s="3">
        <f>IF(AND(D1378&lt;&gt;"",F1378&lt;&gt;""),F1378-D1378-G1378,"")</f>
        <v/>
      </c>
      <c r="I1378" s="14">
        <f>IF(E1378&lt;&gt;"", YEARFRAC(C1378, E1378) * 12, "")</f>
        <v/>
      </c>
      <c r="J1378" s="2">
        <f>IF(I1378="", "", IF(OR(AND(A1378="Listed Equity Shares", I1378&gt;12), AND(A1378="Unlisted Equity Shares", I1378&gt;24)), "Long Term", "Short Term"))</f>
        <v/>
      </c>
      <c r="K1378" s="5">
        <f>IF(J1378="", "", IF(J1378="Long Term", 12.5%,"as per slab"))</f>
        <v/>
      </c>
      <c r="L1378" s="3">
        <f>+IFERROR(IF(J1378="","",H1378*K1378),"as per slab")</f>
        <v/>
      </c>
    </row>
    <row r="1379">
      <c r="A1379" s="7" t="n"/>
      <c r="B1379" s="7" t="n"/>
      <c r="C1379" s="8" t="n"/>
      <c r="D1379" s="9" t="n"/>
      <c r="E1379" s="8" t="n"/>
      <c r="F1379" s="9" t="n"/>
      <c r="G1379" s="9" t="n"/>
      <c r="H1379" s="3">
        <f>IF(AND(D1379&lt;&gt;"",F1379&lt;&gt;""),F1379-D1379-G1379,"")</f>
        <v/>
      </c>
      <c r="I1379" s="14">
        <f>IF(E1379&lt;&gt;"", YEARFRAC(C1379, E1379) * 12, "")</f>
        <v/>
      </c>
      <c r="J1379" s="2">
        <f>IF(I1379="", "", IF(OR(AND(A1379="Listed Equity Shares", I1379&gt;12), AND(A1379="Unlisted Equity Shares", I1379&gt;24)), "Long Term", "Short Term"))</f>
        <v/>
      </c>
      <c r="K1379" s="5">
        <f>IF(J1379="", "", IF(J1379="Long Term", 12.5%,"as per slab"))</f>
        <v/>
      </c>
      <c r="L1379" s="3">
        <f>+IFERROR(IF(J1379="","",H1379*K1379),"as per slab")</f>
        <v/>
      </c>
    </row>
    <row r="1380">
      <c r="A1380" s="7" t="n"/>
      <c r="B1380" s="7" t="n"/>
      <c r="C1380" s="8" t="n"/>
      <c r="D1380" s="9" t="n"/>
      <c r="E1380" s="8" t="n"/>
      <c r="F1380" s="9" t="n"/>
      <c r="G1380" s="9" t="n"/>
      <c r="H1380" s="3">
        <f>IF(AND(D1380&lt;&gt;"",F1380&lt;&gt;""),F1380-D1380-G1380,"")</f>
        <v/>
      </c>
      <c r="I1380" s="14">
        <f>IF(E1380&lt;&gt;"", YEARFRAC(C1380, E1380) * 12, "")</f>
        <v/>
      </c>
      <c r="J1380" s="2">
        <f>IF(I1380="", "", IF(OR(AND(A1380="Listed Equity Shares", I1380&gt;12), AND(A1380="Unlisted Equity Shares", I1380&gt;24)), "Long Term", "Short Term"))</f>
        <v/>
      </c>
      <c r="K1380" s="5">
        <f>IF(J1380="", "", IF(J1380="Long Term", 12.5%,"as per slab"))</f>
        <v/>
      </c>
      <c r="L1380" s="3">
        <f>+IFERROR(IF(J1380="","",H1380*K1380),"as per slab")</f>
        <v/>
      </c>
    </row>
    <row r="1381">
      <c r="A1381" s="7" t="n"/>
      <c r="B1381" s="7" t="n"/>
      <c r="C1381" s="8" t="n"/>
      <c r="D1381" s="9" t="n"/>
      <c r="E1381" s="8" t="n"/>
      <c r="F1381" s="9" t="n"/>
      <c r="G1381" s="9" t="n"/>
      <c r="H1381" s="3">
        <f>IF(AND(D1381&lt;&gt;"",F1381&lt;&gt;""),F1381-D1381-G1381,"")</f>
        <v/>
      </c>
      <c r="I1381" s="14">
        <f>IF(E1381&lt;&gt;"", YEARFRAC(C1381, E1381) * 12, "")</f>
        <v/>
      </c>
      <c r="J1381" s="2">
        <f>IF(I1381="", "", IF(OR(AND(A1381="Listed Equity Shares", I1381&gt;12), AND(A1381="Unlisted Equity Shares", I1381&gt;24)), "Long Term", "Short Term"))</f>
        <v/>
      </c>
      <c r="K1381" s="5">
        <f>IF(J1381="", "", IF(J1381="Long Term", 12.5%,"as per slab"))</f>
        <v/>
      </c>
      <c r="L1381" s="3">
        <f>+IFERROR(IF(J1381="","",H1381*K1381),"as per slab")</f>
        <v/>
      </c>
    </row>
    <row r="1382">
      <c r="A1382" s="7" t="n"/>
      <c r="B1382" s="7" t="n"/>
      <c r="C1382" s="8" t="n"/>
      <c r="D1382" s="9" t="n"/>
      <c r="E1382" s="8" t="n"/>
      <c r="F1382" s="9" t="n"/>
      <c r="G1382" s="9" t="n"/>
      <c r="H1382" s="3">
        <f>IF(AND(D1382&lt;&gt;"",F1382&lt;&gt;""),F1382-D1382-G1382,"")</f>
        <v/>
      </c>
      <c r="I1382" s="14">
        <f>IF(E1382&lt;&gt;"", YEARFRAC(C1382, E1382) * 12, "")</f>
        <v/>
      </c>
      <c r="J1382" s="2">
        <f>IF(I1382="", "", IF(OR(AND(A1382="Listed Equity Shares", I1382&gt;12), AND(A1382="Unlisted Equity Shares", I1382&gt;24)), "Long Term", "Short Term"))</f>
        <v/>
      </c>
      <c r="K1382" s="5">
        <f>IF(J1382="", "", IF(J1382="Long Term", 12.5%,"as per slab"))</f>
        <v/>
      </c>
      <c r="L1382" s="3">
        <f>+IFERROR(IF(J1382="","",H1382*K1382),"as per slab")</f>
        <v/>
      </c>
    </row>
    <row r="1383">
      <c r="A1383" s="7" t="n"/>
      <c r="B1383" s="7" t="n"/>
      <c r="C1383" s="8" t="n"/>
      <c r="D1383" s="9" t="n"/>
      <c r="E1383" s="8" t="n"/>
      <c r="F1383" s="9" t="n"/>
      <c r="G1383" s="9" t="n"/>
      <c r="H1383" s="3">
        <f>IF(AND(D1383&lt;&gt;"",F1383&lt;&gt;""),F1383-D1383-G1383,"")</f>
        <v/>
      </c>
      <c r="I1383" s="14">
        <f>IF(E1383&lt;&gt;"", YEARFRAC(C1383, E1383) * 12, "")</f>
        <v/>
      </c>
      <c r="J1383" s="2">
        <f>IF(I1383="", "", IF(OR(AND(A1383="Listed Equity Shares", I1383&gt;12), AND(A1383="Unlisted Equity Shares", I1383&gt;24)), "Long Term", "Short Term"))</f>
        <v/>
      </c>
      <c r="K1383" s="5">
        <f>IF(J1383="", "", IF(J1383="Long Term", 12.5%,"as per slab"))</f>
        <v/>
      </c>
      <c r="L1383" s="3">
        <f>+IFERROR(IF(J1383="","",H1383*K1383),"as per slab")</f>
        <v/>
      </c>
    </row>
    <row r="1384">
      <c r="A1384" s="7" t="n"/>
      <c r="B1384" s="7" t="n"/>
      <c r="C1384" s="8" t="n"/>
      <c r="D1384" s="9" t="n"/>
      <c r="E1384" s="8" t="n"/>
      <c r="F1384" s="9" t="n"/>
      <c r="G1384" s="9" t="n"/>
      <c r="H1384" s="3">
        <f>IF(AND(D1384&lt;&gt;"",F1384&lt;&gt;""),F1384-D1384-G1384,"")</f>
        <v/>
      </c>
      <c r="I1384" s="14">
        <f>IF(E1384&lt;&gt;"", YEARFRAC(C1384, E1384) * 12, "")</f>
        <v/>
      </c>
      <c r="J1384" s="2">
        <f>IF(I1384="", "", IF(OR(AND(A1384="Listed Equity Shares", I1384&gt;12), AND(A1384="Unlisted Equity Shares", I1384&gt;24)), "Long Term", "Short Term"))</f>
        <v/>
      </c>
      <c r="K1384" s="5">
        <f>IF(J1384="", "", IF(J1384="Long Term", 12.5%,"as per slab"))</f>
        <v/>
      </c>
      <c r="L1384" s="3">
        <f>+IFERROR(IF(J1384="","",H1384*K1384),"as per slab")</f>
        <v/>
      </c>
    </row>
    <row r="1385">
      <c r="A1385" s="7" t="n"/>
      <c r="B1385" s="7" t="n"/>
      <c r="C1385" s="8" t="n"/>
      <c r="D1385" s="9" t="n"/>
      <c r="E1385" s="8" t="n"/>
      <c r="F1385" s="9" t="n"/>
      <c r="G1385" s="9" t="n"/>
      <c r="H1385" s="3">
        <f>IF(AND(D1385&lt;&gt;"",F1385&lt;&gt;""),F1385-D1385-G1385,"")</f>
        <v/>
      </c>
      <c r="I1385" s="14">
        <f>IF(E1385&lt;&gt;"", YEARFRAC(C1385, E1385) * 12, "")</f>
        <v/>
      </c>
      <c r="J1385" s="2">
        <f>IF(I1385="", "", IF(OR(AND(A1385="Listed Equity Shares", I1385&gt;12), AND(A1385="Unlisted Equity Shares", I1385&gt;24)), "Long Term", "Short Term"))</f>
        <v/>
      </c>
      <c r="K1385" s="5">
        <f>IF(J1385="", "", IF(J1385="Long Term", 12.5%,"as per slab"))</f>
        <v/>
      </c>
      <c r="L1385" s="3">
        <f>+IFERROR(IF(J1385="","",H1385*K1385),"as per slab")</f>
        <v/>
      </c>
    </row>
    <row r="1386">
      <c r="A1386" s="7" t="n"/>
      <c r="B1386" s="7" t="n"/>
      <c r="C1386" s="8" t="n"/>
      <c r="D1386" s="9" t="n"/>
      <c r="E1386" s="8" t="n"/>
      <c r="F1386" s="9" t="n"/>
      <c r="G1386" s="9" t="n"/>
      <c r="H1386" s="3">
        <f>IF(AND(D1386&lt;&gt;"",F1386&lt;&gt;""),F1386-D1386-G1386,"")</f>
        <v/>
      </c>
      <c r="I1386" s="14">
        <f>IF(E1386&lt;&gt;"", YEARFRAC(C1386, E1386) * 12, "")</f>
        <v/>
      </c>
      <c r="J1386" s="2">
        <f>IF(I1386="", "", IF(OR(AND(A1386="Listed Equity Shares", I1386&gt;12), AND(A1386="Unlisted Equity Shares", I1386&gt;24)), "Long Term", "Short Term"))</f>
        <v/>
      </c>
      <c r="K1386" s="5">
        <f>IF(J1386="", "", IF(J1386="Long Term", 12.5%,"as per slab"))</f>
        <v/>
      </c>
      <c r="L1386" s="3">
        <f>+IFERROR(IF(J1386="","",H1386*K1386),"as per slab")</f>
        <v/>
      </c>
    </row>
    <row r="1387">
      <c r="A1387" s="7" t="n"/>
      <c r="B1387" s="7" t="n"/>
      <c r="C1387" s="8" t="n"/>
      <c r="D1387" s="9" t="n"/>
      <c r="E1387" s="8" t="n"/>
      <c r="F1387" s="9" t="n"/>
      <c r="G1387" s="9" t="n"/>
      <c r="H1387" s="3">
        <f>IF(AND(D1387&lt;&gt;"",F1387&lt;&gt;""),F1387-D1387-G1387,"")</f>
        <v/>
      </c>
      <c r="I1387" s="14">
        <f>IF(E1387&lt;&gt;"", YEARFRAC(C1387, E1387) * 12, "")</f>
        <v/>
      </c>
      <c r="J1387" s="2">
        <f>IF(I1387="", "", IF(OR(AND(A1387="Listed Equity Shares", I1387&gt;12), AND(A1387="Unlisted Equity Shares", I1387&gt;24)), "Long Term", "Short Term"))</f>
        <v/>
      </c>
      <c r="K1387" s="5">
        <f>IF(J1387="", "", IF(J1387="Long Term", 12.5%,"as per slab"))</f>
        <v/>
      </c>
      <c r="L1387" s="3">
        <f>+IFERROR(IF(J1387="","",H1387*K1387),"as per slab")</f>
        <v/>
      </c>
    </row>
    <row r="1388">
      <c r="A1388" s="7" t="n"/>
      <c r="B1388" s="7" t="n"/>
      <c r="C1388" s="8" t="n"/>
      <c r="D1388" s="9" t="n"/>
      <c r="E1388" s="8" t="n"/>
      <c r="F1388" s="9" t="n"/>
      <c r="G1388" s="9" t="n"/>
      <c r="H1388" s="3">
        <f>IF(AND(D1388&lt;&gt;"",F1388&lt;&gt;""),F1388-D1388-G1388,"")</f>
        <v/>
      </c>
      <c r="I1388" s="14">
        <f>IF(E1388&lt;&gt;"", YEARFRAC(C1388, E1388) * 12, "")</f>
        <v/>
      </c>
      <c r="J1388" s="2">
        <f>IF(I1388="", "", IF(OR(AND(A1388="Listed Equity Shares", I1388&gt;12), AND(A1388="Unlisted Equity Shares", I1388&gt;24)), "Long Term", "Short Term"))</f>
        <v/>
      </c>
      <c r="K1388" s="5">
        <f>IF(J1388="", "", IF(J1388="Long Term", 12.5%,"as per slab"))</f>
        <v/>
      </c>
      <c r="L1388" s="3">
        <f>+IFERROR(IF(J1388="","",H1388*K1388),"as per slab")</f>
        <v/>
      </c>
    </row>
    <row r="1389">
      <c r="A1389" s="7" t="n"/>
      <c r="B1389" s="7" t="n"/>
      <c r="C1389" s="8" t="n"/>
      <c r="D1389" s="9" t="n"/>
      <c r="E1389" s="8" t="n"/>
      <c r="F1389" s="9" t="n"/>
      <c r="G1389" s="9" t="n"/>
      <c r="H1389" s="3">
        <f>IF(AND(D1389&lt;&gt;"",F1389&lt;&gt;""),F1389-D1389-G1389,"")</f>
        <v/>
      </c>
      <c r="I1389" s="14">
        <f>IF(E1389&lt;&gt;"", YEARFRAC(C1389, E1389) * 12, "")</f>
        <v/>
      </c>
      <c r="J1389" s="2">
        <f>IF(I1389="", "", IF(OR(AND(A1389="Listed Equity Shares", I1389&gt;12), AND(A1389="Unlisted Equity Shares", I1389&gt;24)), "Long Term", "Short Term"))</f>
        <v/>
      </c>
      <c r="K1389" s="5">
        <f>IF(J1389="", "", IF(J1389="Long Term", 12.5%,"as per slab"))</f>
        <v/>
      </c>
      <c r="L1389" s="3">
        <f>+IFERROR(IF(J1389="","",H1389*K1389),"as per slab")</f>
        <v/>
      </c>
    </row>
    <row r="1390">
      <c r="A1390" s="7" t="n"/>
      <c r="B1390" s="7" t="n"/>
      <c r="C1390" s="8" t="n"/>
      <c r="D1390" s="9" t="n"/>
      <c r="E1390" s="8" t="n"/>
      <c r="F1390" s="9" t="n"/>
      <c r="G1390" s="9" t="n"/>
      <c r="H1390" s="3">
        <f>IF(AND(D1390&lt;&gt;"",F1390&lt;&gt;""),F1390-D1390-G1390,"")</f>
        <v/>
      </c>
      <c r="I1390" s="14">
        <f>IF(E1390&lt;&gt;"", YEARFRAC(C1390, E1390) * 12, "")</f>
        <v/>
      </c>
      <c r="J1390" s="2">
        <f>IF(I1390="", "", IF(OR(AND(A1390="Listed Equity Shares", I1390&gt;12), AND(A1390="Unlisted Equity Shares", I1390&gt;24)), "Long Term", "Short Term"))</f>
        <v/>
      </c>
      <c r="K1390" s="5">
        <f>IF(J1390="", "", IF(J1390="Long Term", 12.5%,"as per slab"))</f>
        <v/>
      </c>
      <c r="L1390" s="3">
        <f>+IFERROR(IF(J1390="","",H1390*K1390),"as per slab")</f>
        <v/>
      </c>
    </row>
    <row r="1391">
      <c r="A1391" s="7" t="n"/>
      <c r="B1391" s="7" t="n"/>
      <c r="C1391" s="8" t="n"/>
      <c r="D1391" s="9" t="n"/>
      <c r="E1391" s="8" t="n"/>
      <c r="F1391" s="9" t="n"/>
      <c r="G1391" s="9" t="n"/>
      <c r="H1391" s="3">
        <f>IF(AND(D1391&lt;&gt;"",F1391&lt;&gt;""),F1391-D1391-G1391,"")</f>
        <v/>
      </c>
      <c r="I1391" s="14">
        <f>IF(E1391&lt;&gt;"", YEARFRAC(C1391, E1391) * 12, "")</f>
        <v/>
      </c>
      <c r="J1391" s="2">
        <f>IF(I1391="", "", IF(OR(AND(A1391="Listed Equity Shares", I1391&gt;12), AND(A1391="Unlisted Equity Shares", I1391&gt;24)), "Long Term", "Short Term"))</f>
        <v/>
      </c>
      <c r="K1391" s="5">
        <f>IF(J1391="", "", IF(J1391="Long Term", 12.5%,"as per slab"))</f>
        <v/>
      </c>
      <c r="L1391" s="3">
        <f>+IFERROR(IF(J1391="","",H1391*K1391),"as per slab")</f>
        <v/>
      </c>
    </row>
    <row r="1392">
      <c r="A1392" s="7" t="n"/>
      <c r="B1392" s="7" t="n"/>
      <c r="C1392" s="8" t="n"/>
      <c r="D1392" s="9" t="n"/>
      <c r="E1392" s="8" t="n"/>
      <c r="F1392" s="9" t="n"/>
      <c r="G1392" s="9" t="n"/>
      <c r="H1392" s="3">
        <f>IF(AND(D1392&lt;&gt;"",F1392&lt;&gt;""),F1392-D1392-G1392,"")</f>
        <v/>
      </c>
      <c r="I1392" s="14">
        <f>IF(E1392&lt;&gt;"", YEARFRAC(C1392, E1392) * 12, "")</f>
        <v/>
      </c>
      <c r="J1392" s="2">
        <f>IF(I1392="", "", IF(OR(AND(A1392="Listed Equity Shares", I1392&gt;12), AND(A1392="Unlisted Equity Shares", I1392&gt;24)), "Long Term", "Short Term"))</f>
        <v/>
      </c>
      <c r="K1392" s="5">
        <f>IF(J1392="", "", IF(J1392="Long Term", 12.5%,"as per slab"))</f>
        <v/>
      </c>
      <c r="L1392" s="3">
        <f>+IFERROR(IF(J1392="","",H1392*K1392),"as per slab")</f>
        <v/>
      </c>
    </row>
    <row r="1393">
      <c r="A1393" s="7" t="n"/>
      <c r="B1393" s="7" t="n"/>
      <c r="C1393" s="8" t="n"/>
      <c r="D1393" s="9" t="n"/>
      <c r="E1393" s="8" t="n"/>
      <c r="F1393" s="9" t="n"/>
      <c r="G1393" s="9" t="n"/>
      <c r="H1393" s="3">
        <f>IF(AND(D1393&lt;&gt;"",F1393&lt;&gt;""),F1393-D1393-G1393,"")</f>
        <v/>
      </c>
      <c r="I1393" s="14">
        <f>IF(E1393&lt;&gt;"", YEARFRAC(C1393, E1393) * 12, "")</f>
        <v/>
      </c>
      <c r="J1393" s="2">
        <f>IF(I1393="", "", IF(OR(AND(A1393="Listed Equity Shares", I1393&gt;12), AND(A1393="Unlisted Equity Shares", I1393&gt;24)), "Long Term", "Short Term"))</f>
        <v/>
      </c>
      <c r="K1393" s="5">
        <f>IF(J1393="", "", IF(J1393="Long Term", 12.5%,"as per slab"))</f>
        <v/>
      </c>
      <c r="L1393" s="3">
        <f>+IFERROR(IF(J1393="","",H1393*K1393),"as per slab")</f>
        <v/>
      </c>
    </row>
    <row r="1394">
      <c r="A1394" s="7" t="n"/>
      <c r="B1394" s="7" t="n"/>
      <c r="C1394" s="8" t="n"/>
      <c r="D1394" s="9" t="n"/>
      <c r="E1394" s="8" t="n"/>
      <c r="F1394" s="9" t="n"/>
      <c r="G1394" s="9" t="n"/>
      <c r="H1394" s="3">
        <f>IF(AND(D1394&lt;&gt;"",F1394&lt;&gt;""),F1394-D1394-G1394,"")</f>
        <v/>
      </c>
      <c r="I1394" s="14">
        <f>IF(E1394&lt;&gt;"", YEARFRAC(C1394, E1394) * 12, "")</f>
        <v/>
      </c>
      <c r="J1394" s="2">
        <f>IF(I1394="", "", IF(OR(AND(A1394="Listed Equity Shares", I1394&gt;12), AND(A1394="Unlisted Equity Shares", I1394&gt;24)), "Long Term", "Short Term"))</f>
        <v/>
      </c>
      <c r="K1394" s="5">
        <f>IF(J1394="", "", IF(J1394="Long Term", 12.5%,"as per slab"))</f>
        <v/>
      </c>
      <c r="L1394" s="3">
        <f>+IFERROR(IF(J1394="","",H1394*K1394),"as per slab")</f>
        <v/>
      </c>
    </row>
    <row r="1395">
      <c r="A1395" s="7" t="n"/>
      <c r="B1395" s="7" t="n"/>
      <c r="C1395" s="8" t="n"/>
      <c r="D1395" s="9" t="n"/>
      <c r="E1395" s="8" t="n"/>
      <c r="F1395" s="9" t="n"/>
      <c r="G1395" s="9" t="n"/>
      <c r="H1395" s="3">
        <f>IF(AND(D1395&lt;&gt;"",F1395&lt;&gt;""),F1395-D1395-G1395,"")</f>
        <v/>
      </c>
      <c r="I1395" s="14">
        <f>IF(E1395&lt;&gt;"", YEARFRAC(C1395, E1395) * 12, "")</f>
        <v/>
      </c>
      <c r="J1395" s="2">
        <f>IF(I1395="", "", IF(OR(AND(A1395="Listed Equity Shares", I1395&gt;12), AND(A1395="Unlisted Equity Shares", I1395&gt;24)), "Long Term", "Short Term"))</f>
        <v/>
      </c>
      <c r="K1395" s="5">
        <f>IF(J1395="", "", IF(J1395="Long Term", 12.5%,"as per slab"))</f>
        <v/>
      </c>
      <c r="L1395" s="3">
        <f>+IFERROR(IF(J1395="","",H1395*K1395),"as per slab")</f>
        <v/>
      </c>
    </row>
    <row r="1396">
      <c r="A1396" s="7" t="n"/>
      <c r="B1396" s="7" t="n"/>
      <c r="C1396" s="8" t="n"/>
      <c r="D1396" s="9" t="n"/>
      <c r="E1396" s="8" t="n"/>
      <c r="F1396" s="9" t="n"/>
      <c r="G1396" s="9" t="n"/>
      <c r="H1396" s="3">
        <f>IF(AND(D1396&lt;&gt;"",F1396&lt;&gt;""),F1396-D1396-G1396,"")</f>
        <v/>
      </c>
      <c r="I1396" s="14">
        <f>IF(E1396&lt;&gt;"", YEARFRAC(C1396, E1396) * 12, "")</f>
        <v/>
      </c>
      <c r="J1396" s="2">
        <f>IF(I1396="", "", IF(OR(AND(A1396="Listed Equity Shares", I1396&gt;12), AND(A1396="Unlisted Equity Shares", I1396&gt;24)), "Long Term", "Short Term"))</f>
        <v/>
      </c>
      <c r="K1396" s="5">
        <f>IF(J1396="", "", IF(J1396="Long Term", 12.5%,"as per slab"))</f>
        <v/>
      </c>
      <c r="L1396" s="3">
        <f>+IFERROR(IF(J1396="","",H1396*K1396),"as per slab")</f>
        <v/>
      </c>
    </row>
    <row r="1397">
      <c r="A1397" s="7" t="n"/>
      <c r="B1397" s="7" t="n"/>
      <c r="C1397" s="8" t="n"/>
      <c r="D1397" s="9" t="n"/>
      <c r="E1397" s="8" t="n"/>
      <c r="F1397" s="9" t="n"/>
      <c r="G1397" s="9" t="n"/>
      <c r="H1397" s="3">
        <f>IF(AND(D1397&lt;&gt;"",F1397&lt;&gt;""),F1397-D1397-G1397,"")</f>
        <v/>
      </c>
      <c r="I1397" s="14">
        <f>IF(E1397&lt;&gt;"", YEARFRAC(C1397, E1397) * 12, "")</f>
        <v/>
      </c>
      <c r="J1397" s="2">
        <f>IF(I1397="", "", IF(OR(AND(A1397="Listed Equity Shares", I1397&gt;12), AND(A1397="Unlisted Equity Shares", I1397&gt;24)), "Long Term", "Short Term"))</f>
        <v/>
      </c>
      <c r="K1397" s="5">
        <f>IF(J1397="", "", IF(J1397="Long Term", 12.5%,"as per slab"))</f>
        <v/>
      </c>
      <c r="L1397" s="3">
        <f>+IFERROR(IF(J1397="","",H1397*K1397),"as per slab")</f>
        <v/>
      </c>
    </row>
    <row r="1398">
      <c r="A1398" s="7" t="n"/>
      <c r="B1398" s="7" t="n"/>
      <c r="C1398" s="8" t="n"/>
      <c r="D1398" s="9" t="n"/>
      <c r="E1398" s="8" t="n"/>
      <c r="F1398" s="9" t="n"/>
      <c r="G1398" s="9" t="n"/>
      <c r="H1398" s="3">
        <f>IF(AND(D1398&lt;&gt;"",F1398&lt;&gt;""),F1398-D1398-G1398,"")</f>
        <v/>
      </c>
      <c r="I1398" s="14">
        <f>IF(E1398&lt;&gt;"", YEARFRAC(C1398, E1398) * 12, "")</f>
        <v/>
      </c>
      <c r="J1398" s="2">
        <f>IF(I1398="", "", IF(OR(AND(A1398="Listed Equity Shares", I1398&gt;12), AND(A1398="Unlisted Equity Shares", I1398&gt;24)), "Long Term", "Short Term"))</f>
        <v/>
      </c>
      <c r="K1398" s="5">
        <f>IF(J1398="", "", IF(J1398="Long Term", 12.5%,"as per slab"))</f>
        <v/>
      </c>
      <c r="L1398" s="3">
        <f>+IFERROR(IF(J1398="","",H1398*K1398),"as per slab")</f>
        <v/>
      </c>
    </row>
    <row r="1399">
      <c r="A1399" s="7" t="n"/>
      <c r="B1399" s="7" t="n"/>
      <c r="C1399" s="8" t="n"/>
      <c r="D1399" s="9" t="n"/>
      <c r="E1399" s="8" t="n"/>
      <c r="F1399" s="9" t="n"/>
      <c r="G1399" s="9" t="n"/>
      <c r="H1399" s="3">
        <f>IF(AND(D1399&lt;&gt;"",F1399&lt;&gt;""),F1399-D1399-G1399,"")</f>
        <v/>
      </c>
      <c r="I1399" s="14">
        <f>IF(E1399&lt;&gt;"", YEARFRAC(C1399, E1399) * 12, "")</f>
        <v/>
      </c>
      <c r="J1399" s="2">
        <f>IF(I1399="", "", IF(OR(AND(A1399="Listed Equity Shares", I1399&gt;12), AND(A1399="Unlisted Equity Shares", I1399&gt;24)), "Long Term", "Short Term"))</f>
        <v/>
      </c>
      <c r="K1399" s="5">
        <f>IF(J1399="", "", IF(J1399="Long Term", 12.5%,"as per slab"))</f>
        <v/>
      </c>
      <c r="L1399" s="3">
        <f>+IFERROR(IF(J1399="","",H1399*K1399),"as per slab")</f>
        <v/>
      </c>
    </row>
    <row r="1400">
      <c r="A1400" s="7" t="n"/>
      <c r="B1400" s="7" t="n"/>
      <c r="C1400" s="8" t="n"/>
      <c r="D1400" s="9" t="n"/>
      <c r="E1400" s="8" t="n"/>
      <c r="F1400" s="9" t="n"/>
      <c r="G1400" s="9" t="n"/>
      <c r="H1400" s="3">
        <f>IF(AND(D1400&lt;&gt;"",F1400&lt;&gt;""),F1400-D1400-G1400,"")</f>
        <v/>
      </c>
      <c r="I1400" s="14">
        <f>IF(E1400&lt;&gt;"", YEARFRAC(C1400, E1400) * 12, "")</f>
        <v/>
      </c>
      <c r="J1400" s="2">
        <f>IF(I1400="", "", IF(OR(AND(A1400="Listed Equity Shares", I1400&gt;12), AND(A1400="Unlisted Equity Shares", I1400&gt;24)), "Long Term", "Short Term"))</f>
        <v/>
      </c>
      <c r="K1400" s="5">
        <f>IF(J1400="", "", IF(J1400="Long Term", 12.5%,"as per slab"))</f>
        <v/>
      </c>
      <c r="L1400" s="3">
        <f>+IFERROR(IF(J1400="","",H1400*K1400),"as per slab")</f>
        <v/>
      </c>
    </row>
    <row r="1401">
      <c r="A1401" s="7" t="n"/>
      <c r="B1401" s="7" t="n"/>
      <c r="C1401" s="8" t="n"/>
      <c r="D1401" s="9" t="n"/>
      <c r="E1401" s="8" t="n"/>
      <c r="F1401" s="9" t="n"/>
      <c r="G1401" s="9" t="n"/>
      <c r="H1401" s="3">
        <f>IF(AND(D1401&lt;&gt;"",F1401&lt;&gt;""),F1401-D1401-G1401,"")</f>
        <v/>
      </c>
      <c r="I1401" s="14">
        <f>IF(E1401&lt;&gt;"", YEARFRAC(C1401, E1401) * 12, "")</f>
        <v/>
      </c>
      <c r="J1401" s="2">
        <f>IF(I1401="", "", IF(OR(AND(A1401="Listed Equity Shares", I1401&gt;12), AND(A1401="Unlisted Equity Shares", I1401&gt;24)), "Long Term", "Short Term"))</f>
        <v/>
      </c>
      <c r="K1401" s="5">
        <f>IF(J1401="", "", IF(J1401="Long Term", 12.5%,"as per slab"))</f>
        <v/>
      </c>
      <c r="L1401" s="3">
        <f>+IFERROR(IF(J1401="","",H1401*K1401),"as per slab")</f>
        <v/>
      </c>
    </row>
    <row r="1402">
      <c r="A1402" s="7" t="n"/>
      <c r="B1402" s="7" t="n"/>
      <c r="C1402" s="8" t="n"/>
      <c r="D1402" s="9" t="n"/>
      <c r="E1402" s="8" t="n"/>
      <c r="F1402" s="9" t="n"/>
      <c r="G1402" s="9" t="n"/>
      <c r="H1402" s="3">
        <f>IF(AND(D1402&lt;&gt;"",F1402&lt;&gt;""),F1402-D1402-G1402,"")</f>
        <v/>
      </c>
      <c r="I1402" s="14">
        <f>IF(E1402&lt;&gt;"", YEARFRAC(C1402, E1402) * 12, "")</f>
        <v/>
      </c>
      <c r="J1402" s="2">
        <f>IF(I1402="", "", IF(OR(AND(A1402="Listed Equity Shares", I1402&gt;12), AND(A1402="Unlisted Equity Shares", I1402&gt;24)), "Long Term", "Short Term"))</f>
        <v/>
      </c>
      <c r="K1402" s="5">
        <f>IF(J1402="", "", IF(J1402="Long Term", 12.5%,"as per slab"))</f>
        <v/>
      </c>
      <c r="L1402" s="3">
        <f>+IFERROR(IF(J1402="","",H1402*K1402),"as per slab")</f>
        <v/>
      </c>
    </row>
    <row r="1403">
      <c r="A1403" s="7" t="n"/>
      <c r="B1403" s="7" t="n"/>
      <c r="C1403" s="8" t="n"/>
      <c r="D1403" s="9" t="n"/>
      <c r="E1403" s="8" t="n"/>
      <c r="F1403" s="9" t="n"/>
      <c r="G1403" s="9" t="n"/>
      <c r="H1403" s="3">
        <f>IF(AND(D1403&lt;&gt;"",F1403&lt;&gt;""),F1403-D1403-G1403,"")</f>
        <v/>
      </c>
      <c r="I1403" s="14">
        <f>IF(E1403&lt;&gt;"", YEARFRAC(C1403, E1403) * 12, "")</f>
        <v/>
      </c>
      <c r="J1403" s="2">
        <f>IF(I1403="", "", IF(OR(AND(A1403="Listed Equity Shares", I1403&gt;12), AND(A1403="Unlisted Equity Shares", I1403&gt;24)), "Long Term", "Short Term"))</f>
        <v/>
      </c>
      <c r="K1403" s="5">
        <f>IF(J1403="", "", IF(J1403="Long Term", 12.5%,"as per slab"))</f>
        <v/>
      </c>
      <c r="L1403" s="3">
        <f>+IFERROR(IF(J1403="","",H1403*K1403),"as per slab")</f>
        <v/>
      </c>
    </row>
    <row r="1404">
      <c r="A1404" s="7" t="n"/>
      <c r="B1404" s="7" t="n"/>
      <c r="C1404" s="8" t="n"/>
      <c r="D1404" s="9" t="n"/>
      <c r="E1404" s="8" t="n"/>
      <c r="F1404" s="9" t="n"/>
      <c r="G1404" s="9" t="n"/>
      <c r="H1404" s="3">
        <f>IF(AND(D1404&lt;&gt;"",F1404&lt;&gt;""),F1404-D1404-G1404,"")</f>
        <v/>
      </c>
      <c r="I1404" s="14">
        <f>IF(E1404&lt;&gt;"", YEARFRAC(C1404, E1404) * 12, "")</f>
        <v/>
      </c>
      <c r="J1404" s="2">
        <f>IF(I1404="", "", IF(OR(AND(A1404="Listed Equity Shares", I1404&gt;12), AND(A1404="Unlisted Equity Shares", I1404&gt;24)), "Long Term", "Short Term"))</f>
        <v/>
      </c>
      <c r="K1404" s="5">
        <f>IF(J1404="", "", IF(J1404="Long Term", 12.5%,"as per slab"))</f>
        <v/>
      </c>
      <c r="L1404" s="3">
        <f>+IFERROR(IF(J1404="","",H1404*K1404),"as per slab")</f>
        <v/>
      </c>
    </row>
    <row r="1405">
      <c r="A1405" s="7" t="n"/>
      <c r="B1405" s="7" t="n"/>
      <c r="C1405" s="8" t="n"/>
      <c r="D1405" s="9" t="n"/>
      <c r="E1405" s="8" t="n"/>
      <c r="F1405" s="9" t="n"/>
      <c r="G1405" s="9" t="n"/>
      <c r="H1405" s="3">
        <f>IF(AND(D1405&lt;&gt;"",F1405&lt;&gt;""),F1405-D1405-G1405,"")</f>
        <v/>
      </c>
      <c r="I1405" s="14">
        <f>IF(E1405&lt;&gt;"", YEARFRAC(C1405, E1405) * 12, "")</f>
        <v/>
      </c>
      <c r="J1405" s="2">
        <f>IF(I1405="", "", IF(OR(AND(A1405="Listed Equity Shares", I1405&gt;12), AND(A1405="Unlisted Equity Shares", I1405&gt;24)), "Long Term", "Short Term"))</f>
        <v/>
      </c>
      <c r="K1405" s="5">
        <f>IF(J1405="", "", IF(J1405="Long Term", 12.5%,"as per slab"))</f>
        <v/>
      </c>
      <c r="L1405" s="3">
        <f>+IFERROR(IF(J1405="","",H1405*K1405),"as per slab")</f>
        <v/>
      </c>
    </row>
    <row r="1406">
      <c r="A1406" s="7" t="n"/>
      <c r="B1406" s="7" t="n"/>
      <c r="C1406" s="8" t="n"/>
      <c r="D1406" s="9" t="n"/>
      <c r="E1406" s="8" t="n"/>
      <c r="F1406" s="9" t="n"/>
      <c r="G1406" s="9" t="n"/>
      <c r="H1406" s="3">
        <f>IF(AND(D1406&lt;&gt;"",F1406&lt;&gt;""),F1406-D1406-G1406,"")</f>
        <v/>
      </c>
      <c r="I1406" s="14">
        <f>IF(E1406&lt;&gt;"", YEARFRAC(C1406, E1406) * 12, "")</f>
        <v/>
      </c>
      <c r="J1406" s="2">
        <f>IF(I1406="", "", IF(OR(AND(A1406="Listed Equity Shares", I1406&gt;12), AND(A1406="Unlisted Equity Shares", I1406&gt;24)), "Long Term", "Short Term"))</f>
        <v/>
      </c>
      <c r="K1406" s="5">
        <f>IF(J1406="", "", IF(J1406="Long Term", 12.5%,"as per slab"))</f>
        <v/>
      </c>
      <c r="L1406" s="3">
        <f>+IFERROR(IF(J1406="","",H1406*K1406),"as per slab")</f>
        <v/>
      </c>
    </row>
    <row r="1407">
      <c r="A1407" s="7" t="n"/>
      <c r="B1407" s="7" t="n"/>
      <c r="C1407" s="8" t="n"/>
      <c r="D1407" s="9" t="n"/>
      <c r="E1407" s="8" t="n"/>
      <c r="F1407" s="9" t="n"/>
      <c r="G1407" s="9" t="n"/>
      <c r="H1407" s="3">
        <f>IF(AND(D1407&lt;&gt;"",F1407&lt;&gt;""),F1407-D1407-G1407,"")</f>
        <v/>
      </c>
      <c r="I1407" s="14">
        <f>IF(E1407&lt;&gt;"", YEARFRAC(C1407, E1407) * 12, "")</f>
        <v/>
      </c>
      <c r="J1407" s="2">
        <f>IF(I1407="", "", IF(OR(AND(A1407="Listed Equity Shares", I1407&gt;12), AND(A1407="Unlisted Equity Shares", I1407&gt;24)), "Long Term", "Short Term"))</f>
        <v/>
      </c>
      <c r="K1407" s="5">
        <f>IF(J1407="", "", IF(J1407="Long Term", 12.5%,"as per slab"))</f>
        <v/>
      </c>
      <c r="L1407" s="3">
        <f>+IFERROR(IF(J1407="","",H1407*K1407),"as per slab")</f>
        <v/>
      </c>
    </row>
    <row r="1408">
      <c r="A1408" s="7" t="n"/>
      <c r="B1408" s="7" t="n"/>
      <c r="C1408" s="8" t="n"/>
      <c r="D1408" s="9" t="n"/>
      <c r="E1408" s="8" t="n"/>
      <c r="F1408" s="9" t="n"/>
      <c r="G1408" s="9" t="n"/>
      <c r="H1408" s="3">
        <f>IF(AND(D1408&lt;&gt;"",F1408&lt;&gt;""),F1408-D1408-G1408,"")</f>
        <v/>
      </c>
      <c r="I1408" s="14">
        <f>IF(E1408&lt;&gt;"", YEARFRAC(C1408, E1408) * 12, "")</f>
        <v/>
      </c>
      <c r="J1408" s="2">
        <f>IF(I1408="", "", IF(OR(AND(A1408="Listed Equity Shares", I1408&gt;12), AND(A1408="Unlisted Equity Shares", I1408&gt;24)), "Long Term", "Short Term"))</f>
        <v/>
      </c>
      <c r="K1408" s="5">
        <f>IF(J1408="", "", IF(J1408="Long Term", 12.5%,"as per slab"))</f>
        <v/>
      </c>
      <c r="L1408" s="3">
        <f>+IFERROR(IF(J1408="","",H1408*K1408),"as per slab")</f>
        <v/>
      </c>
    </row>
    <row r="1409">
      <c r="A1409" s="7" t="n"/>
      <c r="B1409" s="7" t="n"/>
      <c r="C1409" s="8" t="n"/>
      <c r="D1409" s="9" t="n"/>
      <c r="E1409" s="8" t="n"/>
      <c r="F1409" s="9" t="n"/>
      <c r="G1409" s="9" t="n"/>
      <c r="H1409" s="3">
        <f>IF(AND(D1409&lt;&gt;"",F1409&lt;&gt;""),F1409-D1409-G1409,"")</f>
        <v/>
      </c>
      <c r="I1409" s="14">
        <f>IF(E1409&lt;&gt;"", YEARFRAC(C1409, E1409) * 12, "")</f>
        <v/>
      </c>
      <c r="J1409" s="2">
        <f>IF(I1409="", "", IF(OR(AND(A1409="Listed Equity Shares", I1409&gt;12), AND(A1409="Unlisted Equity Shares", I1409&gt;24)), "Long Term", "Short Term"))</f>
        <v/>
      </c>
      <c r="K1409" s="5">
        <f>IF(J1409="", "", IF(J1409="Long Term", 12.5%,"as per slab"))</f>
        <v/>
      </c>
      <c r="L1409" s="3">
        <f>+IFERROR(IF(J1409="","",H1409*K1409),"as per slab")</f>
        <v/>
      </c>
    </row>
    <row r="1410">
      <c r="A1410" s="7" t="n"/>
      <c r="B1410" s="7" t="n"/>
      <c r="C1410" s="8" t="n"/>
      <c r="D1410" s="9" t="n"/>
      <c r="E1410" s="8" t="n"/>
      <c r="F1410" s="9" t="n"/>
      <c r="G1410" s="9" t="n"/>
      <c r="H1410" s="3">
        <f>IF(AND(D1410&lt;&gt;"",F1410&lt;&gt;""),F1410-D1410-G1410,"")</f>
        <v/>
      </c>
      <c r="I1410" s="14">
        <f>IF(E1410&lt;&gt;"", YEARFRAC(C1410, E1410) * 12, "")</f>
        <v/>
      </c>
      <c r="J1410" s="2">
        <f>IF(I1410="", "", IF(OR(AND(A1410="Listed Equity Shares", I1410&gt;12), AND(A1410="Unlisted Equity Shares", I1410&gt;24)), "Long Term", "Short Term"))</f>
        <v/>
      </c>
      <c r="K1410" s="5">
        <f>IF(J1410="", "", IF(J1410="Long Term", 12.5%,"as per slab"))</f>
        <v/>
      </c>
      <c r="L1410" s="3">
        <f>+IFERROR(IF(J1410="","",H1410*K1410),"as per slab")</f>
        <v/>
      </c>
    </row>
    <row r="1411">
      <c r="A1411" s="7" t="n"/>
      <c r="B1411" s="7" t="n"/>
      <c r="C1411" s="8" t="n"/>
      <c r="D1411" s="9" t="n"/>
      <c r="E1411" s="8" t="n"/>
      <c r="F1411" s="9" t="n"/>
      <c r="G1411" s="9" t="n"/>
      <c r="H1411" s="3">
        <f>IF(AND(D1411&lt;&gt;"",F1411&lt;&gt;""),F1411-D1411-G1411,"")</f>
        <v/>
      </c>
      <c r="I1411" s="14">
        <f>IF(E1411&lt;&gt;"", YEARFRAC(C1411, E1411) * 12, "")</f>
        <v/>
      </c>
      <c r="J1411" s="2">
        <f>IF(I1411="", "", IF(OR(AND(A1411="Listed Equity Shares", I1411&gt;12), AND(A1411="Unlisted Equity Shares", I1411&gt;24)), "Long Term", "Short Term"))</f>
        <v/>
      </c>
      <c r="K1411" s="5">
        <f>IF(J1411="", "", IF(J1411="Long Term", 12.5%,"as per slab"))</f>
        <v/>
      </c>
      <c r="L1411" s="3">
        <f>+IFERROR(IF(J1411="","",H1411*K1411),"as per slab")</f>
        <v/>
      </c>
    </row>
    <row r="1412">
      <c r="A1412" s="7" t="n"/>
      <c r="B1412" s="7" t="n"/>
      <c r="C1412" s="8" t="n"/>
      <c r="D1412" s="9" t="n"/>
      <c r="E1412" s="8" t="n"/>
      <c r="F1412" s="9" t="n"/>
      <c r="G1412" s="9" t="n"/>
      <c r="H1412" s="3">
        <f>IF(AND(D1412&lt;&gt;"",F1412&lt;&gt;""),F1412-D1412-G1412,"")</f>
        <v/>
      </c>
      <c r="I1412" s="14">
        <f>IF(E1412&lt;&gt;"", YEARFRAC(C1412, E1412) * 12, "")</f>
        <v/>
      </c>
      <c r="J1412" s="2">
        <f>IF(I1412="", "", IF(OR(AND(A1412="Listed Equity Shares", I1412&gt;12), AND(A1412="Unlisted Equity Shares", I1412&gt;24)), "Long Term", "Short Term"))</f>
        <v/>
      </c>
      <c r="K1412" s="5">
        <f>IF(J1412="", "", IF(J1412="Long Term", 12.5%,"as per slab"))</f>
        <v/>
      </c>
      <c r="L1412" s="3">
        <f>+IFERROR(IF(J1412="","",H1412*K1412),"as per slab")</f>
        <v/>
      </c>
    </row>
    <row r="1413">
      <c r="A1413" s="7" t="n"/>
      <c r="B1413" s="7" t="n"/>
      <c r="C1413" s="8" t="n"/>
      <c r="D1413" s="9" t="n"/>
      <c r="E1413" s="8" t="n"/>
      <c r="F1413" s="9" t="n"/>
      <c r="G1413" s="9" t="n"/>
      <c r="H1413" s="3">
        <f>IF(AND(D1413&lt;&gt;"",F1413&lt;&gt;""),F1413-D1413-G1413,"")</f>
        <v/>
      </c>
      <c r="I1413" s="14">
        <f>IF(E1413&lt;&gt;"", YEARFRAC(C1413, E1413) * 12, "")</f>
        <v/>
      </c>
      <c r="J1413" s="2">
        <f>IF(I1413="", "", IF(OR(AND(A1413="Listed Equity Shares", I1413&gt;12), AND(A1413="Unlisted Equity Shares", I1413&gt;24)), "Long Term", "Short Term"))</f>
        <v/>
      </c>
      <c r="K1413" s="5">
        <f>IF(J1413="", "", IF(J1413="Long Term", 12.5%,"as per slab"))</f>
        <v/>
      </c>
      <c r="L1413" s="3">
        <f>+IFERROR(IF(J1413="","",H1413*K1413),"as per slab")</f>
        <v/>
      </c>
    </row>
    <row r="1414">
      <c r="A1414" s="7" t="n"/>
      <c r="B1414" s="7" t="n"/>
      <c r="C1414" s="8" t="n"/>
      <c r="D1414" s="9" t="n"/>
      <c r="E1414" s="8" t="n"/>
      <c r="F1414" s="9" t="n"/>
      <c r="G1414" s="9" t="n"/>
      <c r="H1414" s="3">
        <f>IF(AND(D1414&lt;&gt;"",F1414&lt;&gt;""),F1414-D1414-G1414,"")</f>
        <v/>
      </c>
      <c r="I1414" s="14">
        <f>IF(E1414&lt;&gt;"", YEARFRAC(C1414, E1414) * 12, "")</f>
        <v/>
      </c>
      <c r="J1414" s="2">
        <f>IF(I1414="", "", IF(OR(AND(A1414="Listed Equity Shares", I1414&gt;12), AND(A1414="Unlisted Equity Shares", I1414&gt;24)), "Long Term", "Short Term"))</f>
        <v/>
      </c>
      <c r="K1414" s="5">
        <f>IF(J1414="", "", IF(J1414="Long Term", 12.5%,"as per slab"))</f>
        <v/>
      </c>
      <c r="L1414" s="3">
        <f>+IFERROR(IF(J1414="","",H1414*K1414),"as per slab")</f>
        <v/>
      </c>
    </row>
    <row r="1415">
      <c r="A1415" s="7" t="n"/>
      <c r="B1415" s="7" t="n"/>
      <c r="C1415" s="8" t="n"/>
      <c r="D1415" s="9" t="n"/>
      <c r="E1415" s="8" t="n"/>
      <c r="F1415" s="9" t="n"/>
      <c r="G1415" s="9" t="n"/>
      <c r="H1415" s="3">
        <f>IF(AND(D1415&lt;&gt;"",F1415&lt;&gt;""),F1415-D1415-G1415,"")</f>
        <v/>
      </c>
      <c r="I1415" s="14">
        <f>IF(E1415&lt;&gt;"", YEARFRAC(C1415, E1415) * 12, "")</f>
        <v/>
      </c>
      <c r="J1415" s="2">
        <f>IF(I1415="", "", IF(OR(AND(A1415="Listed Equity Shares", I1415&gt;12), AND(A1415="Unlisted Equity Shares", I1415&gt;24)), "Long Term", "Short Term"))</f>
        <v/>
      </c>
      <c r="K1415" s="5">
        <f>IF(J1415="", "", IF(J1415="Long Term", 12.5%,"as per slab"))</f>
        <v/>
      </c>
      <c r="L1415" s="3">
        <f>+IFERROR(IF(J1415="","",H1415*K1415),"as per slab")</f>
        <v/>
      </c>
    </row>
    <row r="1416">
      <c r="A1416" s="7" t="n"/>
      <c r="B1416" s="7" t="n"/>
      <c r="C1416" s="8" t="n"/>
      <c r="D1416" s="9" t="n"/>
      <c r="E1416" s="8" t="n"/>
      <c r="F1416" s="9" t="n"/>
      <c r="G1416" s="9" t="n"/>
      <c r="H1416" s="3">
        <f>IF(AND(D1416&lt;&gt;"",F1416&lt;&gt;""),F1416-D1416-G1416,"")</f>
        <v/>
      </c>
      <c r="I1416" s="14">
        <f>IF(E1416&lt;&gt;"", YEARFRAC(C1416, E1416) * 12, "")</f>
        <v/>
      </c>
      <c r="J1416" s="2">
        <f>IF(I1416="", "", IF(OR(AND(A1416="Listed Equity Shares", I1416&gt;12), AND(A1416="Unlisted Equity Shares", I1416&gt;24)), "Long Term", "Short Term"))</f>
        <v/>
      </c>
      <c r="K1416" s="5">
        <f>IF(J1416="", "", IF(J1416="Long Term", 12.5%,"as per slab"))</f>
        <v/>
      </c>
      <c r="L1416" s="3">
        <f>+IFERROR(IF(J1416="","",H1416*K1416),"as per slab")</f>
        <v/>
      </c>
    </row>
    <row r="1417">
      <c r="A1417" s="7" t="n"/>
      <c r="B1417" s="7" t="n"/>
      <c r="C1417" s="8" t="n"/>
      <c r="D1417" s="9" t="n"/>
      <c r="E1417" s="8" t="n"/>
      <c r="F1417" s="9" t="n"/>
      <c r="G1417" s="9" t="n"/>
      <c r="H1417" s="3">
        <f>IF(AND(D1417&lt;&gt;"",F1417&lt;&gt;""),F1417-D1417-G1417,"")</f>
        <v/>
      </c>
      <c r="I1417" s="14">
        <f>IF(E1417&lt;&gt;"", YEARFRAC(C1417, E1417) * 12, "")</f>
        <v/>
      </c>
      <c r="J1417" s="2">
        <f>IF(I1417="", "", IF(OR(AND(A1417="Listed Equity Shares", I1417&gt;12), AND(A1417="Unlisted Equity Shares", I1417&gt;24)), "Long Term", "Short Term"))</f>
        <v/>
      </c>
      <c r="K1417" s="5">
        <f>IF(J1417="", "", IF(J1417="Long Term", 12.5%,"as per slab"))</f>
        <v/>
      </c>
      <c r="L1417" s="3">
        <f>+IFERROR(IF(J1417="","",H1417*K1417),"as per slab")</f>
        <v/>
      </c>
    </row>
    <row r="1418">
      <c r="A1418" s="7" t="n"/>
      <c r="B1418" s="7" t="n"/>
      <c r="C1418" s="8" t="n"/>
      <c r="D1418" s="9" t="n"/>
      <c r="E1418" s="8" t="n"/>
      <c r="F1418" s="9" t="n"/>
      <c r="G1418" s="9" t="n"/>
      <c r="H1418" s="3">
        <f>IF(AND(D1418&lt;&gt;"",F1418&lt;&gt;""),F1418-D1418-G1418,"")</f>
        <v/>
      </c>
      <c r="I1418" s="14">
        <f>IF(E1418&lt;&gt;"", YEARFRAC(C1418, E1418) * 12, "")</f>
        <v/>
      </c>
      <c r="J1418" s="2">
        <f>IF(I1418="", "", IF(OR(AND(A1418="Listed Equity Shares", I1418&gt;12), AND(A1418="Unlisted Equity Shares", I1418&gt;24)), "Long Term", "Short Term"))</f>
        <v/>
      </c>
      <c r="K1418" s="5">
        <f>IF(J1418="", "", IF(J1418="Long Term", 12.5%,"as per slab"))</f>
        <v/>
      </c>
      <c r="L1418" s="3">
        <f>+IFERROR(IF(J1418="","",H1418*K1418),"as per slab")</f>
        <v/>
      </c>
    </row>
    <row r="1419">
      <c r="A1419" s="7" t="n"/>
      <c r="B1419" s="7" t="n"/>
      <c r="C1419" s="8" t="n"/>
      <c r="D1419" s="9" t="n"/>
      <c r="E1419" s="8" t="n"/>
      <c r="F1419" s="9" t="n"/>
      <c r="G1419" s="9" t="n"/>
      <c r="H1419" s="3">
        <f>IF(AND(D1419&lt;&gt;"",F1419&lt;&gt;""),F1419-D1419-G1419,"")</f>
        <v/>
      </c>
      <c r="I1419" s="14">
        <f>IF(E1419&lt;&gt;"", YEARFRAC(C1419, E1419) * 12, "")</f>
        <v/>
      </c>
      <c r="J1419" s="2">
        <f>IF(I1419="", "", IF(OR(AND(A1419="Listed Equity Shares", I1419&gt;12), AND(A1419="Unlisted Equity Shares", I1419&gt;24)), "Long Term", "Short Term"))</f>
        <v/>
      </c>
      <c r="K1419" s="5">
        <f>IF(J1419="", "", IF(J1419="Long Term", 12.5%,"as per slab"))</f>
        <v/>
      </c>
      <c r="L1419" s="3">
        <f>+IFERROR(IF(J1419="","",H1419*K1419),"as per slab")</f>
        <v/>
      </c>
    </row>
    <row r="1420">
      <c r="A1420" s="7" t="n"/>
      <c r="B1420" s="7" t="n"/>
      <c r="C1420" s="8" t="n"/>
      <c r="D1420" s="9" t="n"/>
      <c r="E1420" s="8" t="n"/>
      <c r="F1420" s="9" t="n"/>
      <c r="G1420" s="9" t="n"/>
      <c r="H1420" s="3">
        <f>IF(AND(D1420&lt;&gt;"",F1420&lt;&gt;""),F1420-D1420-G1420,"")</f>
        <v/>
      </c>
      <c r="I1420" s="14">
        <f>IF(E1420&lt;&gt;"", YEARFRAC(C1420, E1420) * 12, "")</f>
        <v/>
      </c>
      <c r="J1420" s="2">
        <f>IF(I1420="", "", IF(OR(AND(A1420="Listed Equity Shares", I1420&gt;12), AND(A1420="Unlisted Equity Shares", I1420&gt;24)), "Long Term", "Short Term"))</f>
        <v/>
      </c>
      <c r="K1420" s="5">
        <f>IF(J1420="", "", IF(J1420="Long Term", 12.5%,"as per slab"))</f>
        <v/>
      </c>
      <c r="L1420" s="3">
        <f>+IFERROR(IF(J1420="","",H1420*K1420),"as per slab")</f>
        <v/>
      </c>
    </row>
    <row r="1421">
      <c r="A1421" s="7" t="n"/>
      <c r="B1421" s="7" t="n"/>
      <c r="C1421" s="8" t="n"/>
      <c r="D1421" s="9" t="n"/>
      <c r="E1421" s="8" t="n"/>
      <c r="F1421" s="9" t="n"/>
      <c r="G1421" s="9" t="n"/>
      <c r="H1421" s="3">
        <f>IF(AND(D1421&lt;&gt;"",F1421&lt;&gt;""),F1421-D1421-G1421,"")</f>
        <v/>
      </c>
      <c r="I1421" s="14">
        <f>IF(E1421&lt;&gt;"", YEARFRAC(C1421, E1421) * 12, "")</f>
        <v/>
      </c>
      <c r="J1421" s="2">
        <f>IF(I1421="", "", IF(OR(AND(A1421="Listed Equity Shares", I1421&gt;12), AND(A1421="Unlisted Equity Shares", I1421&gt;24)), "Long Term", "Short Term"))</f>
        <v/>
      </c>
      <c r="K1421" s="5">
        <f>IF(J1421="", "", IF(J1421="Long Term", 12.5%,"as per slab"))</f>
        <v/>
      </c>
      <c r="L1421" s="3">
        <f>+IFERROR(IF(J1421="","",H1421*K1421),"as per slab")</f>
        <v/>
      </c>
    </row>
    <row r="1422">
      <c r="A1422" s="7" t="n"/>
      <c r="B1422" s="7" t="n"/>
      <c r="C1422" s="8" t="n"/>
      <c r="D1422" s="9" t="n"/>
      <c r="E1422" s="8" t="n"/>
      <c r="F1422" s="9" t="n"/>
      <c r="G1422" s="9" t="n"/>
      <c r="H1422" s="3">
        <f>IF(AND(D1422&lt;&gt;"",F1422&lt;&gt;""),F1422-D1422-G1422,"")</f>
        <v/>
      </c>
      <c r="I1422" s="14">
        <f>IF(E1422&lt;&gt;"", YEARFRAC(C1422, E1422) * 12, "")</f>
        <v/>
      </c>
      <c r="J1422" s="2">
        <f>IF(I1422="", "", IF(OR(AND(A1422="Listed Equity Shares", I1422&gt;12), AND(A1422="Unlisted Equity Shares", I1422&gt;24)), "Long Term", "Short Term"))</f>
        <v/>
      </c>
      <c r="K1422" s="5">
        <f>IF(J1422="", "", IF(J1422="Long Term", 12.5%,"as per slab"))</f>
        <v/>
      </c>
      <c r="L1422" s="3">
        <f>+IFERROR(IF(J1422="","",H1422*K1422),"as per slab")</f>
        <v/>
      </c>
    </row>
    <row r="1423">
      <c r="A1423" s="7" t="n"/>
      <c r="B1423" s="7" t="n"/>
      <c r="C1423" s="8" t="n"/>
      <c r="D1423" s="9" t="n"/>
      <c r="E1423" s="8" t="n"/>
      <c r="F1423" s="9" t="n"/>
      <c r="G1423" s="9" t="n"/>
      <c r="H1423" s="3">
        <f>IF(AND(D1423&lt;&gt;"",F1423&lt;&gt;""),F1423-D1423-G1423,"")</f>
        <v/>
      </c>
      <c r="I1423" s="14">
        <f>IF(E1423&lt;&gt;"", YEARFRAC(C1423, E1423) * 12, "")</f>
        <v/>
      </c>
      <c r="J1423" s="2">
        <f>IF(I1423="", "", IF(OR(AND(A1423="Listed Equity Shares", I1423&gt;12), AND(A1423="Unlisted Equity Shares", I1423&gt;24)), "Long Term", "Short Term"))</f>
        <v/>
      </c>
      <c r="K1423" s="5">
        <f>IF(J1423="", "", IF(J1423="Long Term", 12.5%,"as per slab"))</f>
        <v/>
      </c>
      <c r="L1423" s="3">
        <f>+IFERROR(IF(J1423="","",H1423*K1423),"as per slab")</f>
        <v/>
      </c>
    </row>
    <row r="1424">
      <c r="A1424" s="7" t="n"/>
      <c r="B1424" s="7" t="n"/>
      <c r="C1424" s="8" t="n"/>
      <c r="D1424" s="9" t="n"/>
      <c r="E1424" s="8" t="n"/>
      <c r="F1424" s="9" t="n"/>
      <c r="G1424" s="9" t="n"/>
      <c r="H1424" s="3">
        <f>IF(AND(D1424&lt;&gt;"",F1424&lt;&gt;""),F1424-D1424-G1424,"")</f>
        <v/>
      </c>
      <c r="I1424" s="14">
        <f>IF(E1424&lt;&gt;"", YEARFRAC(C1424, E1424) * 12, "")</f>
        <v/>
      </c>
      <c r="J1424" s="2">
        <f>IF(I1424="", "", IF(OR(AND(A1424="Listed Equity Shares", I1424&gt;12), AND(A1424="Unlisted Equity Shares", I1424&gt;24)), "Long Term", "Short Term"))</f>
        <v/>
      </c>
      <c r="K1424" s="5">
        <f>IF(J1424="", "", IF(J1424="Long Term", 12.5%,"as per slab"))</f>
        <v/>
      </c>
      <c r="L1424" s="3">
        <f>+IFERROR(IF(J1424="","",H1424*K1424),"as per slab")</f>
        <v/>
      </c>
    </row>
    <row r="1425">
      <c r="A1425" s="7" t="n"/>
      <c r="B1425" s="7" t="n"/>
      <c r="C1425" s="8" t="n"/>
      <c r="D1425" s="9" t="n"/>
      <c r="E1425" s="8" t="n"/>
      <c r="F1425" s="9" t="n"/>
      <c r="G1425" s="9" t="n"/>
      <c r="H1425" s="3">
        <f>IF(AND(D1425&lt;&gt;"",F1425&lt;&gt;""),F1425-D1425-G1425,"")</f>
        <v/>
      </c>
      <c r="I1425" s="14">
        <f>IF(E1425&lt;&gt;"", YEARFRAC(C1425, E1425) * 12, "")</f>
        <v/>
      </c>
      <c r="J1425" s="2">
        <f>IF(I1425="", "", IF(OR(AND(A1425="Listed Equity Shares", I1425&gt;12), AND(A1425="Unlisted Equity Shares", I1425&gt;24)), "Long Term", "Short Term"))</f>
        <v/>
      </c>
      <c r="K1425" s="5">
        <f>IF(J1425="", "", IF(J1425="Long Term", 12.5%,"as per slab"))</f>
        <v/>
      </c>
      <c r="L1425" s="3">
        <f>+IFERROR(IF(J1425="","",H1425*K1425),"as per slab")</f>
        <v/>
      </c>
    </row>
    <row r="1426">
      <c r="A1426" s="7" t="n"/>
      <c r="B1426" s="7" t="n"/>
      <c r="C1426" s="8" t="n"/>
      <c r="D1426" s="9" t="n"/>
      <c r="E1426" s="8" t="n"/>
      <c r="F1426" s="9" t="n"/>
      <c r="G1426" s="9" t="n"/>
      <c r="H1426" s="3">
        <f>IF(AND(D1426&lt;&gt;"",F1426&lt;&gt;""),F1426-D1426-G1426,"")</f>
        <v/>
      </c>
      <c r="I1426" s="14">
        <f>IF(E1426&lt;&gt;"", YEARFRAC(C1426, E1426) * 12, "")</f>
        <v/>
      </c>
      <c r="J1426" s="2">
        <f>IF(I1426="", "", IF(OR(AND(A1426="Listed Equity Shares", I1426&gt;12), AND(A1426="Unlisted Equity Shares", I1426&gt;24)), "Long Term", "Short Term"))</f>
        <v/>
      </c>
      <c r="K1426" s="5">
        <f>IF(J1426="", "", IF(J1426="Long Term", 12.5%,"as per slab"))</f>
        <v/>
      </c>
      <c r="L1426" s="3">
        <f>+IFERROR(IF(J1426="","",H1426*K1426),"as per slab")</f>
        <v/>
      </c>
    </row>
    <row r="1427">
      <c r="A1427" s="7" t="n"/>
      <c r="B1427" s="7" t="n"/>
      <c r="C1427" s="8" t="n"/>
      <c r="D1427" s="9" t="n"/>
      <c r="E1427" s="8" t="n"/>
      <c r="F1427" s="9" t="n"/>
      <c r="G1427" s="9" t="n"/>
      <c r="H1427" s="3">
        <f>IF(AND(D1427&lt;&gt;"",F1427&lt;&gt;""),F1427-D1427-G1427,"")</f>
        <v/>
      </c>
      <c r="I1427" s="14">
        <f>IF(E1427&lt;&gt;"", YEARFRAC(C1427, E1427) * 12, "")</f>
        <v/>
      </c>
      <c r="J1427" s="2">
        <f>IF(I1427="", "", IF(OR(AND(A1427="Listed Equity Shares", I1427&gt;12), AND(A1427="Unlisted Equity Shares", I1427&gt;24)), "Long Term", "Short Term"))</f>
        <v/>
      </c>
      <c r="K1427" s="5">
        <f>IF(J1427="", "", IF(J1427="Long Term", 12.5%,"as per slab"))</f>
        <v/>
      </c>
      <c r="L1427" s="3">
        <f>+IFERROR(IF(J1427="","",H1427*K1427),"as per slab")</f>
        <v/>
      </c>
    </row>
    <row r="1428">
      <c r="A1428" s="7" t="n"/>
      <c r="B1428" s="7" t="n"/>
      <c r="C1428" s="8" t="n"/>
      <c r="D1428" s="9" t="n"/>
      <c r="E1428" s="8" t="n"/>
      <c r="F1428" s="9" t="n"/>
      <c r="G1428" s="9" t="n"/>
      <c r="H1428" s="3">
        <f>IF(AND(D1428&lt;&gt;"",F1428&lt;&gt;""),F1428-D1428-G1428,"")</f>
        <v/>
      </c>
      <c r="I1428" s="14">
        <f>IF(E1428&lt;&gt;"", YEARFRAC(C1428, E1428) * 12, "")</f>
        <v/>
      </c>
      <c r="J1428" s="2">
        <f>IF(I1428="", "", IF(OR(AND(A1428="Listed Equity Shares", I1428&gt;12), AND(A1428="Unlisted Equity Shares", I1428&gt;24)), "Long Term", "Short Term"))</f>
        <v/>
      </c>
      <c r="K1428" s="5">
        <f>IF(J1428="", "", IF(J1428="Long Term", 12.5%,"as per slab"))</f>
        <v/>
      </c>
      <c r="L1428" s="3">
        <f>+IFERROR(IF(J1428="","",H1428*K1428),"as per slab")</f>
        <v/>
      </c>
    </row>
    <row r="1429">
      <c r="A1429" s="7" t="n"/>
      <c r="B1429" s="7" t="n"/>
      <c r="C1429" s="8" t="n"/>
      <c r="D1429" s="9" t="n"/>
      <c r="E1429" s="8" t="n"/>
      <c r="F1429" s="9" t="n"/>
      <c r="G1429" s="9" t="n"/>
      <c r="H1429" s="3">
        <f>IF(AND(D1429&lt;&gt;"",F1429&lt;&gt;""),F1429-D1429-G1429,"")</f>
        <v/>
      </c>
      <c r="I1429" s="14">
        <f>IF(E1429&lt;&gt;"", YEARFRAC(C1429, E1429) * 12, "")</f>
        <v/>
      </c>
      <c r="J1429" s="2">
        <f>IF(I1429="", "", IF(OR(AND(A1429="Listed Equity Shares", I1429&gt;12), AND(A1429="Unlisted Equity Shares", I1429&gt;24)), "Long Term", "Short Term"))</f>
        <v/>
      </c>
      <c r="K1429" s="5">
        <f>IF(J1429="", "", IF(J1429="Long Term", 12.5%,"as per slab"))</f>
        <v/>
      </c>
      <c r="L1429" s="3">
        <f>+IFERROR(IF(J1429="","",H1429*K1429),"as per slab")</f>
        <v/>
      </c>
    </row>
    <row r="1430">
      <c r="A1430" s="7" t="n"/>
      <c r="B1430" s="7" t="n"/>
      <c r="C1430" s="8" t="n"/>
      <c r="D1430" s="9" t="n"/>
      <c r="E1430" s="8" t="n"/>
      <c r="F1430" s="9" t="n"/>
      <c r="G1430" s="9" t="n"/>
      <c r="H1430" s="3">
        <f>IF(AND(D1430&lt;&gt;"",F1430&lt;&gt;""),F1430-D1430-G1430,"")</f>
        <v/>
      </c>
      <c r="I1430" s="14">
        <f>IF(E1430&lt;&gt;"", YEARFRAC(C1430, E1430) * 12, "")</f>
        <v/>
      </c>
      <c r="J1430" s="2">
        <f>IF(I1430="", "", IF(OR(AND(A1430="Listed Equity Shares", I1430&gt;12), AND(A1430="Unlisted Equity Shares", I1430&gt;24)), "Long Term", "Short Term"))</f>
        <v/>
      </c>
      <c r="K1430" s="5">
        <f>IF(J1430="", "", IF(J1430="Long Term", 12.5%,"as per slab"))</f>
        <v/>
      </c>
      <c r="L1430" s="3">
        <f>+IFERROR(IF(J1430="","",H1430*K1430),"as per slab")</f>
        <v/>
      </c>
    </row>
    <row r="1431">
      <c r="A1431" s="7" t="n"/>
      <c r="B1431" s="7" t="n"/>
      <c r="C1431" s="8" t="n"/>
      <c r="D1431" s="9" t="n"/>
      <c r="E1431" s="8" t="n"/>
      <c r="F1431" s="9" t="n"/>
      <c r="G1431" s="9" t="n"/>
      <c r="H1431" s="3">
        <f>IF(AND(D1431&lt;&gt;"",F1431&lt;&gt;""),F1431-D1431-G1431,"")</f>
        <v/>
      </c>
      <c r="I1431" s="14">
        <f>IF(E1431&lt;&gt;"", YEARFRAC(C1431, E1431) * 12, "")</f>
        <v/>
      </c>
      <c r="J1431" s="2">
        <f>IF(I1431="", "", IF(OR(AND(A1431="Listed Equity Shares", I1431&gt;12), AND(A1431="Unlisted Equity Shares", I1431&gt;24)), "Long Term", "Short Term"))</f>
        <v/>
      </c>
      <c r="K1431" s="5">
        <f>IF(J1431="", "", IF(J1431="Long Term", 12.5%,"as per slab"))</f>
        <v/>
      </c>
      <c r="L1431" s="3">
        <f>+IFERROR(IF(J1431="","",H1431*K1431),"as per slab")</f>
        <v/>
      </c>
    </row>
    <row r="1432">
      <c r="A1432" s="7" t="n"/>
      <c r="B1432" s="7" t="n"/>
      <c r="C1432" s="8" t="n"/>
      <c r="D1432" s="9" t="n"/>
      <c r="E1432" s="8" t="n"/>
      <c r="F1432" s="9" t="n"/>
      <c r="G1432" s="9" t="n"/>
      <c r="H1432" s="3">
        <f>IF(AND(D1432&lt;&gt;"",F1432&lt;&gt;""),F1432-D1432-G1432,"")</f>
        <v/>
      </c>
      <c r="I1432" s="14">
        <f>IF(E1432&lt;&gt;"", YEARFRAC(C1432, E1432) * 12, "")</f>
        <v/>
      </c>
      <c r="J1432" s="2">
        <f>IF(I1432="", "", IF(OR(AND(A1432="Listed Equity Shares", I1432&gt;12), AND(A1432="Unlisted Equity Shares", I1432&gt;24)), "Long Term", "Short Term"))</f>
        <v/>
      </c>
      <c r="K1432" s="5">
        <f>IF(J1432="", "", IF(J1432="Long Term", 12.5%,"as per slab"))</f>
        <v/>
      </c>
      <c r="L1432" s="3">
        <f>+IFERROR(IF(J1432="","",H1432*K1432),"as per slab")</f>
        <v/>
      </c>
    </row>
    <row r="1433">
      <c r="A1433" s="7" t="n"/>
      <c r="B1433" s="7" t="n"/>
      <c r="C1433" s="8" t="n"/>
      <c r="D1433" s="9" t="n"/>
      <c r="E1433" s="8" t="n"/>
      <c r="F1433" s="9" t="n"/>
      <c r="G1433" s="9" t="n"/>
      <c r="H1433" s="3">
        <f>IF(AND(D1433&lt;&gt;"",F1433&lt;&gt;""),F1433-D1433-G1433,"")</f>
        <v/>
      </c>
      <c r="I1433" s="14">
        <f>IF(E1433&lt;&gt;"", YEARFRAC(C1433, E1433) * 12, "")</f>
        <v/>
      </c>
      <c r="J1433" s="2">
        <f>IF(I1433="", "", IF(OR(AND(A1433="Listed Equity Shares", I1433&gt;12), AND(A1433="Unlisted Equity Shares", I1433&gt;24)), "Long Term", "Short Term"))</f>
        <v/>
      </c>
      <c r="K1433" s="5">
        <f>IF(J1433="", "", IF(J1433="Long Term", 12.5%,"as per slab"))</f>
        <v/>
      </c>
      <c r="L1433" s="3">
        <f>+IFERROR(IF(J1433="","",H1433*K1433),"as per slab")</f>
        <v/>
      </c>
    </row>
    <row r="1434">
      <c r="A1434" s="7" t="n"/>
      <c r="B1434" s="7" t="n"/>
      <c r="C1434" s="8" t="n"/>
      <c r="D1434" s="9" t="n"/>
      <c r="E1434" s="8" t="n"/>
      <c r="F1434" s="9" t="n"/>
      <c r="G1434" s="9" t="n"/>
      <c r="H1434" s="3">
        <f>IF(AND(D1434&lt;&gt;"",F1434&lt;&gt;""),F1434-D1434-G1434,"")</f>
        <v/>
      </c>
      <c r="I1434" s="14">
        <f>IF(E1434&lt;&gt;"", YEARFRAC(C1434, E1434) * 12, "")</f>
        <v/>
      </c>
      <c r="J1434" s="2">
        <f>IF(I1434="", "", IF(OR(AND(A1434="Listed Equity Shares", I1434&gt;12), AND(A1434="Unlisted Equity Shares", I1434&gt;24)), "Long Term", "Short Term"))</f>
        <v/>
      </c>
      <c r="K1434" s="5">
        <f>IF(J1434="", "", IF(J1434="Long Term", 12.5%,"as per slab"))</f>
        <v/>
      </c>
      <c r="L1434" s="3">
        <f>+IFERROR(IF(J1434="","",H1434*K1434),"as per slab")</f>
        <v/>
      </c>
    </row>
    <row r="1435">
      <c r="A1435" s="7" t="n"/>
      <c r="B1435" s="7" t="n"/>
      <c r="C1435" s="8" t="n"/>
      <c r="D1435" s="9" t="n"/>
      <c r="E1435" s="8" t="n"/>
      <c r="F1435" s="9" t="n"/>
      <c r="G1435" s="9" t="n"/>
      <c r="H1435" s="3">
        <f>IF(AND(D1435&lt;&gt;"",F1435&lt;&gt;""),F1435-D1435-G1435,"")</f>
        <v/>
      </c>
      <c r="I1435" s="14">
        <f>IF(E1435&lt;&gt;"", YEARFRAC(C1435, E1435) * 12, "")</f>
        <v/>
      </c>
      <c r="J1435" s="2">
        <f>IF(I1435="", "", IF(OR(AND(A1435="Listed Equity Shares", I1435&gt;12), AND(A1435="Unlisted Equity Shares", I1435&gt;24)), "Long Term", "Short Term"))</f>
        <v/>
      </c>
      <c r="K1435" s="5">
        <f>IF(J1435="", "", IF(J1435="Long Term", 12.5%,"as per slab"))</f>
        <v/>
      </c>
      <c r="L1435" s="3">
        <f>+IFERROR(IF(J1435="","",H1435*K1435),"as per slab")</f>
        <v/>
      </c>
    </row>
    <row r="1436">
      <c r="A1436" s="7" t="n"/>
      <c r="B1436" s="7" t="n"/>
      <c r="C1436" s="8" t="n"/>
      <c r="D1436" s="9" t="n"/>
      <c r="E1436" s="8" t="n"/>
      <c r="F1436" s="9" t="n"/>
      <c r="G1436" s="9" t="n"/>
      <c r="H1436" s="3">
        <f>IF(AND(D1436&lt;&gt;"",F1436&lt;&gt;""),F1436-D1436-G1436,"")</f>
        <v/>
      </c>
      <c r="I1436" s="14">
        <f>IF(E1436&lt;&gt;"", YEARFRAC(C1436, E1436) * 12, "")</f>
        <v/>
      </c>
      <c r="J1436" s="2">
        <f>IF(I1436="", "", IF(OR(AND(A1436="Listed Equity Shares", I1436&gt;12), AND(A1436="Unlisted Equity Shares", I1436&gt;24)), "Long Term", "Short Term"))</f>
        <v/>
      </c>
      <c r="K1436" s="5">
        <f>IF(J1436="", "", IF(J1436="Long Term", 12.5%,"as per slab"))</f>
        <v/>
      </c>
      <c r="L1436" s="3">
        <f>+IFERROR(IF(J1436="","",H1436*K1436),"as per slab")</f>
        <v/>
      </c>
    </row>
    <row r="1437">
      <c r="A1437" s="7" t="n"/>
      <c r="B1437" s="7" t="n"/>
      <c r="C1437" s="8" t="n"/>
      <c r="D1437" s="9" t="n"/>
      <c r="E1437" s="8" t="n"/>
      <c r="F1437" s="9" t="n"/>
      <c r="G1437" s="9" t="n"/>
      <c r="H1437" s="3">
        <f>IF(AND(D1437&lt;&gt;"",F1437&lt;&gt;""),F1437-D1437-G1437,"")</f>
        <v/>
      </c>
      <c r="I1437" s="14">
        <f>IF(E1437&lt;&gt;"", YEARFRAC(C1437, E1437) * 12, "")</f>
        <v/>
      </c>
      <c r="J1437" s="2">
        <f>IF(I1437="", "", IF(OR(AND(A1437="Listed Equity Shares", I1437&gt;12), AND(A1437="Unlisted Equity Shares", I1437&gt;24)), "Long Term", "Short Term"))</f>
        <v/>
      </c>
      <c r="K1437" s="5">
        <f>IF(J1437="", "", IF(J1437="Long Term", 12.5%,"as per slab"))</f>
        <v/>
      </c>
      <c r="L1437" s="3">
        <f>+IFERROR(IF(J1437="","",H1437*K1437),"as per slab")</f>
        <v/>
      </c>
    </row>
    <row r="1438">
      <c r="A1438" s="7" t="n"/>
      <c r="B1438" s="7" t="n"/>
      <c r="C1438" s="8" t="n"/>
      <c r="D1438" s="9" t="n"/>
      <c r="E1438" s="8" t="n"/>
      <c r="F1438" s="9" t="n"/>
      <c r="G1438" s="9" t="n"/>
      <c r="H1438" s="3">
        <f>IF(AND(D1438&lt;&gt;"",F1438&lt;&gt;""),F1438-D1438-G1438,"")</f>
        <v/>
      </c>
      <c r="I1438" s="14">
        <f>IF(E1438&lt;&gt;"", YEARFRAC(C1438, E1438) * 12, "")</f>
        <v/>
      </c>
      <c r="J1438" s="2">
        <f>IF(I1438="", "", IF(OR(AND(A1438="Listed Equity Shares", I1438&gt;12), AND(A1438="Unlisted Equity Shares", I1438&gt;24)), "Long Term", "Short Term"))</f>
        <v/>
      </c>
      <c r="K1438" s="5">
        <f>IF(J1438="", "", IF(J1438="Long Term", 12.5%,"as per slab"))</f>
        <v/>
      </c>
      <c r="L1438" s="3">
        <f>+IFERROR(IF(J1438="","",H1438*K1438),"as per slab")</f>
        <v/>
      </c>
    </row>
    <row r="1439">
      <c r="A1439" s="7" t="n"/>
      <c r="B1439" s="7" t="n"/>
      <c r="C1439" s="8" t="n"/>
      <c r="D1439" s="9" t="n"/>
      <c r="E1439" s="8" t="n"/>
      <c r="F1439" s="9" t="n"/>
      <c r="G1439" s="9" t="n"/>
      <c r="H1439" s="3">
        <f>IF(AND(D1439&lt;&gt;"",F1439&lt;&gt;""),F1439-D1439-G1439,"")</f>
        <v/>
      </c>
      <c r="I1439" s="14">
        <f>IF(E1439&lt;&gt;"", YEARFRAC(C1439, E1439) * 12, "")</f>
        <v/>
      </c>
      <c r="J1439" s="2">
        <f>IF(I1439="", "", IF(OR(AND(A1439="Listed Equity Shares", I1439&gt;12), AND(A1439="Unlisted Equity Shares", I1439&gt;24)), "Long Term", "Short Term"))</f>
        <v/>
      </c>
      <c r="K1439" s="5">
        <f>IF(J1439="", "", IF(J1439="Long Term", 12.5%,"as per slab"))</f>
        <v/>
      </c>
      <c r="L1439" s="3">
        <f>+IFERROR(IF(J1439="","",H1439*K1439),"as per slab")</f>
        <v/>
      </c>
    </row>
    <row r="1440">
      <c r="A1440" s="7" t="n"/>
      <c r="B1440" s="7" t="n"/>
      <c r="C1440" s="8" t="n"/>
      <c r="D1440" s="9" t="n"/>
      <c r="E1440" s="8" t="n"/>
      <c r="F1440" s="9" t="n"/>
      <c r="G1440" s="9" t="n"/>
      <c r="H1440" s="3">
        <f>IF(AND(D1440&lt;&gt;"",F1440&lt;&gt;""),F1440-D1440-G1440,"")</f>
        <v/>
      </c>
      <c r="I1440" s="14">
        <f>IF(E1440&lt;&gt;"", YEARFRAC(C1440, E1440) * 12, "")</f>
        <v/>
      </c>
      <c r="J1440" s="2">
        <f>IF(I1440="", "", IF(OR(AND(A1440="Listed Equity Shares", I1440&gt;12), AND(A1440="Unlisted Equity Shares", I1440&gt;24)), "Long Term", "Short Term"))</f>
        <v/>
      </c>
      <c r="K1440" s="5">
        <f>IF(J1440="", "", IF(J1440="Long Term", 12.5%,"as per slab"))</f>
        <v/>
      </c>
      <c r="L1440" s="3">
        <f>+IFERROR(IF(J1440="","",H1440*K1440),"as per slab")</f>
        <v/>
      </c>
    </row>
    <row r="1441">
      <c r="A1441" s="7" t="n"/>
      <c r="B1441" s="7" t="n"/>
      <c r="C1441" s="8" t="n"/>
      <c r="D1441" s="9" t="n"/>
      <c r="E1441" s="8" t="n"/>
      <c r="F1441" s="9" t="n"/>
      <c r="G1441" s="9" t="n"/>
      <c r="H1441" s="3">
        <f>IF(AND(D1441&lt;&gt;"",F1441&lt;&gt;""),F1441-D1441-G1441,"")</f>
        <v/>
      </c>
      <c r="I1441" s="14">
        <f>IF(E1441&lt;&gt;"", YEARFRAC(C1441, E1441) * 12, "")</f>
        <v/>
      </c>
      <c r="J1441" s="2">
        <f>IF(I1441="", "", IF(OR(AND(A1441="Listed Equity Shares", I1441&gt;12), AND(A1441="Unlisted Equity Shares", I1441&gt;24)), "Long Term", "Short Term"))</f>
        <v/>
      </c>
      <c r="K1441" s="5">
        <f>IF(J1441="", "", IF(J1441="Long Term", 12.5%,"as per slab"))</f>
        <v/>
      </c>
      <c r="L1441" s="3">
        <f>+IFERROR(IF(J1441="","",H1441*K1441),"as per slab")</f>
        <v/>
      </c>
    </row>
    <row r="1442">
      <c r="A1442" s="7" t="n"/>
      <c r="B1442" s="7" t="n"/>
      <c r="C1442" s="8" t="n"/>
      <c r="D1442" s="9" t="n"/>
      <c r="E1442" s="8" t="n"/>
      <c r="F1442" s="9" t="n"/>
      <c r="G1442" s="9" t="n"/>
      <c r="H1442" s="3">
        <f>IF(AND(D1442&lt;&gt;"",F1442&lt;&gt;""),F1442-D1442-G1442,"")</f>
        <v/>
      </c>
      <c r="I1442" s="14">
        <f>IF(E1442&lt;&gt;"", YEARFRAC(C1442, E1442) * 12, "")</f>
        <v/>
      </c>
      <c r="J1442" s="2">
        <f>IF(I1442="", "", IF(OR(AND(A1442="Listed Equity Shares", I1442&gt;12), AND(A1442="Unlisted Equity Shares", I1442&gt;24)), "Long Term", "Short Term"))</f>
        <v/>
      </c>
      <c r="K1442" s="5">
        <f>IF(J1442="", "", IF(J1442="Long Term", 12.5%,"as per slab"))</f>
        <v/>
      </c>
      <c r="L1442" s="3">
        <f>+IFERROR(IF(J1442="","",H1442*K1442),"as per slab")</f>
        <v/>
      </c>
    </row>
    <row r="1443">
      <c r="A1443" s="7" t="n"/>
      <c r="B1443" s="7" t="n"/>
      <c r="C1443" s="8" t="n"/>
      <c r="D1443" s="9" t="n"/>
      <c r="E1443" s="8" t="n"/>
      <c r="F1443" s="9" t="n"/>
      <c r="G1443" s="9" t="n"/>
      <c r="H1443" s="3">
        <f>IF(AND(D1443&lt;&gt;"",F1443&lt;&gt;""),F1443-D1443-G1443,"")</f>
        <v/>
      </c>
      <c r="I1443" s="14">
        <f>IF(E1443&lt;&gt;"", YEARFRAC(C1443, E1443) * 12, "")</f>
        <v/>
      </c>
      <c r="J1443" s="2">
        <f>IF(I1443="", "", IF(OR(AND(A1443="Listed Equity Shares", I1443&gt;12), AND(A1443="Unlisted Equity Shares", I1443&gt;24)), "Long Term", "Short Term"))</f>
        <v/>
      </c>
      <c r="K1443" s="5">
        <f>IF(J1443="", "", IF(J1443="Long Term", 12.5%,"as per slab"))</f>
        <v/>
      </c>
      <c r="L1443" s="3">
        <f>+IFERROR(IF(J1443="","",H1443*K1443),"as per slab")</f>
        <v/>
      </c>
    </row>
    <row r="1444">
      <c r="A1444" s="7" t="n"/>
      <c r="B1444" s="7" t="n"/>
      <c r="C1444" s="8" t="n"/>
      <c r="D1444" s="9" t="n"/>
      <c r="E1444" s="8" t="n"/>
      <c r="F1444" s="9" t="n"/>
      <c r="G1444" s="9" t="n"/>
      <c r="H1444" s="3">
        <f>IF(AND(D1444&lt;&gt;"",F1444&lt;&gt;""),F1444-D1444-G1444,"")</f>
        <v/>
      </c>
      <c r="I1444" s="14">
        <f>IF(E1444&lt;&gt;"", YEARFRAC(C1444, E1444) * 12, "")</f>
        <v/>
      </c>
      <c r="J1444" s="2">
        <f>IF(I1444="", "", IF(OR(AND(A1444="Listed Equity Shares", I1444&gt;12), AND(A1444="Unlisted Equity Shares", I1444&gt;24)), "Long Term", "Short Term"))</f>
        <v/>
      </c>
      <c r="K1444" s="5">
        <f>IF(J1444="", "", IF(J1444="Long Term", 12.5%,"as per slab"))</f>
        <v/>
      </c>
      <c r="L1444" s="3">
        <f>+IFERROR(IF(J1444="","",H1444*K1444),"as per slab")</f>
        <v/>
      </c>
    </row>
    <row r="1445">
      <c r="A1445" s="7" t="n"/>
      <c r="B1445" s="7" t="n"/>
      <c r="C1445" s="8" t="n"/>
      <c r="D1445" s="9" t="n"/>
      <c r="E1445" s="8" t="n"/>
      <c r="F1445" s="9" t="n"/>
      <c r="G1445" s="9" t="n"/>
      <c r="H1445" s="3">
        <f>IF(AND(D1445&lt;&gt;"",F1445&lt;&gt;""),F1445-D1445-G1445,"")</f>
        <v/>
      </c>
      <c r="I1445" s="14">
        <f>IF(E1445&lt;&gt;"", YEARFRAC(C1445, E1445) * 12, "")</f>
        <v/>
      </c>
      <c r="J1445" s="2">
        <f>IF(I1445="", "", IF(OR(AND(A1445="Listed Equity Shares", I1445&gt;12), AND(A1445="Unlisted Equity Shares", I1445&gt;24)), "Long Term", "Short Term"))</f>
        <v/>
      </c>
      <c r="K1445" s="5">
        <f>IF(J1445="", "", IF(J1445="Long Term", 12.5%,"as per slab"))</f>
        <v/>
      </c>
      <c r="L1445" s="3">
        <f>+IFERROR(IF(J1445="","",H1445*K1445),"as per slab")</f>
        <v/>
      </c>
    </row>
    <row r="1446">
      <c r="A1446" s="7" t="n"/>
      <c r="B1446" s="7" t="n"/>
      <c r="C1446" s="8" t="n"/>
      <c r="D1446" s="9" t="n"/>
      <c r="E1446" s="8" t="n"/>
      <c r="F1446" s="9" t="n"/>
      <c r="G1446" s="9" t="n"/>
      <c r="H1446" s="3">
        <f>IF(AND(D1446&lt;&gt;"",F1446&lt;&gt;""),F1446-D1446-G1446,"")</f>
        <v/>
      </c>
      <c r="I1446" s="14">
        <f>IF(E1446&lt;&gt;"", YEARFRAC(C1446, E1446) * 12, "")</f>
        <v/>
      </c>
      <c r="J1446" s="2">
        <f>IF(I1446="", "", IF(OR(AND(A1446="Listed Equity Shares", I1446&gt;12), AND(A1446="Unlisted Equity Shares", I1446&gt;24)), "Long Term", "Short Term"))</f>
        <v/>
      </c>
      <c r="K1446" s="5">
        <f>IF(J1446="", "", IF(J1446="Long Term", 12.5%,"as per slab"))</f>
        <v/>
      </c>
      <c r="L1446" s="3">
        <f>+IFERROR(IF(J1446="","",H1446*K1446),"as per slab")</f>
        <v/>
      </c>
    </row>
    <row r="1447">
      <c r="A1447" s="7" t="n"/>
      <c r="B1447" s="7" t="n"/>
      <c r="C1447" s="8" t="n"/>
      <c r="D1447" s="9" t="n"/>
      <c r="E1447" s="8" t="n"/>
      <c r="F1447" s="9" t="n"/>
      <c r="G1447" s="9" t="n"/>
      <c r="H1447" s="3">
        <f>IF(AND(D1447&lt;&gt;"",F1447&lt;&gt;""),F1447-D1447-G1447,"")</f>
        <v/>
      </c>
      <c r="I1447" s="14">
        <f>IF(E1447&lt;&gt;"", YEARFRAC(C1447, E1447) * 12, "")</f>
        <v/>
      </c>
      <c r="J1447" s="2">
        <f>IF(I1447="", "", IF(OR(AND(A1447="Listed Equity Shares", I1447&gt;12), AND(A1447="Unlisted Equity Shares", I1447&gt;24)), "Long Term", "Short Term"))</f>
        <v/>
      </c>
      <c r="K1447" s="5">
        <f>IF(J1447="", "", IF(J1447="Long Term", 12.5%,"as per slab"))</f>
        <v/>
      </c>
      <c r="L1447" s="3">
        <f>+IFERROR(IF(J1447="","",H1447*K1447),"as per slab")</f>
        <v/>
      </c>
    </row>
    <row r="1448">
      <c r="A1448" s="7" t="n"/>
      <c r="B1448" s="7" t="n"/>
      <c r="C1448" s="8" t="n"/>
      <c r="D1448" s="9" t="n"/>
      <c r="E1448" s="8" t="n"/>
      <c r="F1448" s="9" t="n"/>
      <c r="G1448" s="9" t="n"/>
      <c r="H1448" s="3">
        <f>IF(AND(D1448&lt;&gt;"",F1448&lt;&gt;""),F1448-D1448-G1448,"")</f>
        <v/>
      </c>
      <c r="I1448" s="14">
        <f>IF(E1448&lt;&gt;"", YEARFRAC(C1448, E1448) * 12, "")</f>
        <v/>
      </c>
      <c r="J1448" s="2">
        <f>IF(I1448="", "", IF(OR(AND(A1448="Listed Equity Shares", I1448&gt;12), AND(A1448="Unlisted Equity Shares", I1448&gt;24)), "Long Term", "Short Term"))</f>
        <v/>
      </c>
      <c r="K1448" s="5">
        <f>IF(J1448="", "", IF(J1448="Long Term", 12.5%,"as per slab"))</f>
        <v/>
      </c>
      <c r="L1448" s="3">
        <f>+IFERROR(IF(J1448="","",H1448*K1448),"as per slab")</f>
        <v/>
      </c>
    </row>
    <row r="1449">
      <c r="A1449" s="7" t="n"/>
      <c r="B1449" s="7" t="n"/>
      <c r="C1449" s="8" t="n"/>
      <c r="D1449" s="9" t="n"/>
      <c r="E1449" s="8" t="n"/>
      <c r="F1449" s="9" t="n"/>
      <c r="G1449" s="9" t="n"/>
      <c r="H1449" s="3">
        <f>IF(AND(D1449&lt;&gt;"",F1449&lt;&gt;""),F1449-D1449-G1449,"")</f>
        <v/>
      </c>
      <c r="I1449" s="14">
        <f>IF(E1449&lt;&gt;"", YEARFRAC(C1449, E1449) * 12, "")</f>
        <v/>
      </c>
      <c r="J1449" s="2">
        <f>IF(I1449="", "", IF(OR(AND(A1449="Listed Equity Shares", I1449&gt;12), AND(A1449="Unlisted Equity Shares", I1449&gt;24)), "Long Term", "Short Term"))</f>
        <v/>
      </c>
      <c r="K1449" s="5">
        <f>IF(J1449="", "", IF(J1449="Long Term", 12.5%,"as per slab"))</f>
        <v/>
      </c>
      <c r="L1449" s="3">
        <f>+IFERROR(IF(J1449="","",H1449*K1449),"as per slab")</f>
        <v/>
      </c>
    </row>
    <row r="1450">
      <c r="A1450" s="7" t="n"/>
      <c r="B1450" s="7" t="n"/>
      <c r="C1450" s="8" t="n"/>
      <c r="D1450" s="9" t="n"/>
      <c r="E1450" s="8" t="n"/>
      <c r="F1450" s="9" t="n"/>
      <c r="G1450" s="9" t="n"/>
      <c r="H1450" s="3">
        <f>IF(AND(D1450&lt;&gt;"",F1450&lt;&gt;""),F1450-D1450-G1450,"")</f>
        <v/>
      </c>
      <c r="I1450" s="14">
        <f>IF(E1450&lt;&gt;"", YEARFRAC(C1450, E1450) * 12, "")</f>
        <v/>
      </c>
      <c r="J1450" s="2">
        <f>IF(I1450="", "", IF(OR(AND(A1450="Listed Equity Shares", I1450&gt;12), AND(A1450="Unlisted Equity Shares", I1450&gt;24)), "Long Term", "Short Term"))</f>
        <v/>
      </c>
      <c r="K1450" s="5">
        <f>IF(J1450="", "", IF(J1450="Long Term", 12.5%,"as per slab"))</f>
        <v/>
      </c>
      <c r="L1450" s="3">
        <f>+IFERROR(IF(J1450="","",H1450*K1450),"as per slab")</f>
        <v/>
      </c>
    </row>
    <row r="1451">
      <c r="A1451" s="7" t="n"/>
      <c r="B1451" s="7" t="n"/>
      <c r="C1451" s="8" t="n"/>
      <c r="D1451" s="9" t="n"/>
      <c r="E1451" s="8" t="n"/>
      <c r="F1451" s="9" t="n"/>
      <c r="G1451" s="9" t="n"/>
      <c r="H1451" s="3">
        <f>IF(AND(D1451&lt;&gt;"",F1451&lt;&gt;""),F1451-D1451-G1451,"")</f>
        <v/>
      </c>
      <c r="I1451" s="14">
        <f>IF(E1451&lt;&gt;"", YEARFRAC(C1451, E1451) * 12, "")</f>
        <v/>
      </c>
      <c r="J1451" s="2">
        <f>IF(I1451="", "", IF(OR(AND(A1451="Listed Equity Shares", I1451&gt;12), AND(A1451="Unlisted Equity Shares", I1451&gt;24)), "Long Term", "Short Term"))</f>
        <v/>
      </c>
      <c r="K1451" s="5">
        <f>IF(J1451="", "", IF(J1451="Long Term", 12.5%,"as per slab"))</f>
        <v/>
      </c>
      <c r="L1451" s="3">
        <f>+IFERROR(IF(J1451="","",H1451*K1451),"as per slab")</f>
        <v/>
      </c>
    </row>
    <row r="1452">
      <c r="A1452" s="7" t="n"/>
      <c r="B1452" s="7" t="n"/>
      <c r="C1452" s="8" t="n"/>
      <c r="D1452" s="9" t="n"/>
      <c r="E1452" s="8" t="n"/>
      <c r="F1452" s="9" t="n"/>
      <c r="G1452" s="9" t="n"/>
      <c r="H1452" s="3">
        <f>IF(AND(D1452&lt;&gt;"",F1452&lt;&gt;""),F1452-D1452-G1452,"")</f>
        <v/>
      </c>
      <c r="I1452" s="14">
        <f>IF(E1452&lt;&gt;"", YEARFRAC(C1452, E1452) * 12, "")</f>
        <v/>
      </c>
      <c r="J1452" s="2">
        <f>IF(I1452="", "", IF(OR(AND(A1452="Listed Equity Shares", I1452&gt;12), AND(A1452="Unlisted Equity Shares", I1452&gt;24)), "Long Term", "Short Term"))</f>
        <v/>
      </c>
      <c r="K1452" s="5">
        <f>IF(J1452="", "", IF(J1452="Long Term", 12.5%,"as per slab"))</f>
        <v/>
      </c>
      <c r="L1452" s="3">
        <f>+IFERROR(IF(J1452="","",H1452*K1452),"as per slab")</f>
        <v/>
      </c>
    </row>
    <row r="1453">
      <c r="A1453" s="7" t="n"/>
      <c r="B1453" s="7" t="n"/>
      <c r="C1453" s="8" t="n"/>
      <c r="D1453" s="9" t="n"/>
      <c r="E1453" s="8" t="n"/>
      <c r="F1453" s="9" t="n"/>
      <c r="G1453" s="9" t="n"/>
      <c r="H1453" s="3">
        <f>IF(AND(D1453&lt;&gt;"",F1453&lt;&gt;""),F1453-D1453-G1453,"")</f>
        <v/>
      </c>
      <c r="I1453" s="14">
        <f>IF(E1453&lt;&gt;"", YEARFRAC(C1453, E1453) * 12, "")</f>
        <v/>
      </c>
      <c r="J1453" s="2">
        <f>IF(I1453="", "", IF(OR(AND(A1453="Listed Equity Shares", I1453&gt;12), AND(A1453="Unlisted Equity Shares", I1453&gt;24)), "Long Term", "Short Term"))</f>
        <v/>
      </c>
      <c r="K1453" s="5">
        <f>IF(J1453="", "", IF(J1453="Long Term", 12.5%,"as per slab"))</f>
        <v/>
      </c>
      <c r="L1453" s="3">
        <f>+IFERROR(IF(J1453="","",H1453*K1453),"as per slab")</f>
        <v/>
      </c>
    </row>
    <row r="1454">
      <c r="A1454" s="7" t="n"/>
      <c r="B1454" s="7" t="n"/>
      <c r="C1454" s="8" t="n"/>
      <c r="D1454" s="9" t="n"/>
      <c r="E1454" s="8" t="n"/>
      <c r="F1454" s="9" t="n"/>
      <c r="G1454" s="9" t="n"/>
      <c r="H1454" s="3">
        <f>IF(AND(D1454&lt;&gt;"",F1454&lt;&gt;""),F1454-D1454-G1454,"")</f>
        <v/>
      </c>
      <c r="I1454" s="14">
        <f>IF(E1454&lt;&gt;"", YEARFRAC(C1454, E1454) * 12, "")</f>
        <v/>
      </c>
      <c r="J1454" s="2">
        <f>IF(I1454="", "", IF(OR(AND(A1454="Listed Equity Shares", I1454&gt;12), AND(A1454="Unlisted Equity Shares", I1454&gt;24)), "Long Term", "Short Term"))</f>
        <v/>
      </c>
      <c r="K1454" s="5">
        <f>IF(J1454="", "", IF(J1454="Long Term", 12.5%,"as per slab"))</f>
        <v/>
      </c>
      <c r="L1454" s="3">
        <f>+IFERROR(IF(J1454="","",H1454*K1454),"as per slab")</f>
        <v/>
      </c>
    </row>
    <row r="1455">
      <c r="A1455" s="7" t="n"/>
      <c r="B1455" s="7" t="n"/>
      <c r="C1455" s="8" t="n"/>
      <c r="D1455" s="9" t="n"/>
      <c r="E1455" s="8" t="n"/>
      <c r="F1455" s="9" t="n"/>
      <c r="G1455" s="9" t="n"/>
      <c r="H1455" s="3">
        <f>IF(AND(D1455&lt;&gt;"",F1455&lt;&gt;""),F1455-D1455-G1455,"")</f>
        <v/>
      </c>
      <c r="I1455" s="14">
        <f>IF(E1455&lt;&gt;"", YEARFRAC(C1455, E1455) * 12, "")</f>
        <v/>
      </c>
      <c r="J1455" s="2">
        <f>IF(I1455="", "", IF(OR(AND(A1455="Listed Equity Shares", I1455&gt;12), AND(A1455="Unlisted Equity Shares", I1455&gt;24)), "Long Term", "Short Term"))</f>
        <v/>
      </c>
      <c r="K1455" s="5">
        <f>IF(J1455="", "", IF(J1455="Long Term", 12.5%,"as per slab"))</f>
        <v/>
      </c>
      <c r="L1455" s="3">
        <f>+IFERROR(IF(J1455="","",H1455*K1455),"as per slab")</f>
        <v/>
      </c>
    </row>
    <row r="1456">
      <c r="A1456" s="7" t="n"/>
      <c r="B1456" s="7" t="n"/>
      <c r="C1456" s="8" t="n"/>
      <c r="D1456" s="9" t="n"/>
      <c r="E1456" s="8" t="n"/>
      <c r="F1456" s="9" t="n"/>
      <c r="G1456" s="9" t="n"/>
      <c r="H1456" s="3">
        <f>IF(AND(D1456&lt;&gt;"",F1456&lt;&gt;""),F1456-D1456-G1456,"")</f>
        <v/>
      </c>
      <c r="I1456" s="14">
        <f>IF(E1456&lt;&gt;"", YEARFRAC(C1456, E1456) * 12, "")</f>
        <v/>
      </c>
      <c r="J1456" s="2">
        <f>IF(I1456="", "", IF(OR(AND(A1456="Listed Equity Shares", I1456&gt;12), AND(A1456="Unlisted Equity Shares", I1456&gt;24)), "Long Term", "Short Term"))</f>
        <v/>
      </c>
      <c r="K1456" s="5">
        <f>IF(J1456="", "", IF(J1456="Long Term", 12.5%,"as per slab"))</f>
        <v/>
      </c>
      <c r="L1456" s="3">
        <f>+IFERROR(IF(J1456="","",H1456*K1456),"as per slab")</f>
        <v/>
      </c>
    </row>
    <row r="1457">
      <c r="A1457" s="7" t="n"/>
      <c r="B1457" s="7" t="n"/>
      <c r="C1457" s="8" t="n"/>
      <c r="D1457" s="9" t="n"/>
      <c r="E1457" s="8" t="n"/>
      <c r="F1457" s="9" t="n"/>
      <c r="G1457" s="9" t="n"/>
      <c r="H1457" s="3">
        <f>IF(AND(D1457&lt;&gt;"",F1457&lt;&gt;""),F1457-D1457-G1457,"")</f>
        <v/>
      </c>
      <c r="I1457" s="14">
        <f>IF(E1457&lt;&gt;"", YEARFRAC(C1457, E1457) * 12, "")</f>
        <v/>
      </c>
      <c r="J1457" s="2">
        <f>IF(I1457="", "", IF(OR(AND(A1457="Listed Equity Shares", I1457&gt;12), AND(A1457="Unlisted Equity Shares", I1457&gt;24)), "Long Term", "Short Term"))</f>
        <v/>
      </c>
      <c r="K1457" s="5">
        <f>IF(J1457="", "", IF(J1457="Long Term", 12.5%,"as per slab"))</f>
        <v/>
      </c>
      <c r="L1457" s="3">
        <f>+IFERROR(IF(J1457="","",H1457*K1457),"as per slab")</f>
        <v/>
      </c>
    </row>
    <row r="1458">
      <c r="A1458" s="7" t="n"/>
      <c r="B1458" s="7" t="n"/>
      <c r="C1458" s="8" t="n"/>
      <c r="D1458" s="9" t="n"/>
      <c r="E1458" s="8" t="n"/>
      <c r="F1458" s="9" t="n"/>
      <c r="G1458" s="9" t="n"/>
      <c r="H1458" s="3">
        <f>IF(AND(D1458&lt;&gt;"",F1458&lt;&gt;""),F1458-D1458-G1458,"")</f>
        <v/>
      </c>
      <c r="I1458" s="14">
        <f>IF(E1458&lt;&gt;"", YEARFRAC(C1458, E1458) * 12, "")</f>
        <v/>
      </c>
      <c r="J1458" s="2">
        <f>IF(I1458="", "", IF(OR(AND(A1458="Listed Equity Shares", I1458&gt;12), AND(A1458="Unlisted Equity Shares", I1458&gt;24)), "Long Term", "Short Term"))</f>
        <v/>
      </c>
      <c r="K1458" s="5">
        <f>IF(J1458="", "", IF(J1458="Long Term", 12.5%,"as per slab"))</f>
        <v/>
      </c>
      <c r="L1458" s="3">
        <f>+IFERROR(IF(J1458="","",H1458*K1458),"as per slab")</f>
        <v/>
      </c>
    </row>
    <row r="1459">
      <c r="A1459" s="7" t="n"/>
      <c r="B1459" s="7" t="n"/>
      <c r="C1459" s="8" t="n"/>
      <c r="D1459" s="9" t="n"/>
      <c r="E1459" s="8" t="n"/>
      <c r="F1459" s="9" t="n"/>
      <c r="G1459" s="9" t="n"/>
      <c r="H1459" s="3">
        <f>IF(AND(D1459&lt;&gt;"",F1459&lt;&gt;""),F1459-D1459-G1459,"")</f>
        <v/>
      </c>
      <c r="I1459" s="14">
        <f>IF(E1459&lt;&gt;"", YEARFRAC(C1459, E1459) * 12, "")</f>
        <v/>
      </c>
      <c r="J1459" s="2">
        <f>IF(I1459="", "", IF(OR(AND(A1459="Listed Equity Shares", I1459&gt;12), AND(A1459="Unlisted Equity Shares", I1459&gt;24)), "Long Term", "Short Term"))</f>
        <v/>
      </c>
      <c r="K1459" s="5">
        <f>IF(J1459="", "", IF(J1459="Long Term", 12.5%,"as per slab"))</f>
        <v/>
      </c>
      <c r="L1459" s="3">
        <f>+IFERROR(IF(J1459="","",H1459*K1459),"as per slab")</f>
        <v/>
      </c>
    </row>
    <row r="1460">
      <c r="A1460" s="7" t="n"/>
      <c r="B1460" s="7" t="n"/>
      <c r="C1460" s="8" t="n"/>
      <c r="D1460" s="9" t="n"/>
      <c r="E1460" s="8" t="n"/>
      <c r="F1460" s="9" t="n"/>
      <c r="G1460" s="9" t="n"/>
      <c r="H1460" s="3">
        <f>IF(AND(D1460&lt;&gt;"",F1460&lt;&gt;""),F1460-D1460-G1460,"")</f>
        <v/>
      </c>
      <c r="I1460" s="14">
        <f>IF(E1460&lt;&gt;"", YEARFRAC(C1460, E1460) * 12, "")</f>
        <v/>
      </c>
      <c r="J1460" s="2">
        <f>IF(I1460="", "", IF(OR(AND(A1460="Listed Equity Shares", I1460&gt;12), AND(A1460="Unlisted Equity Shares", I1460&gt;24)), "Long Term", "Short Term"))</f>
        <v/>
      </c>
      <c r="K1460" s="5">
        <f>IF(J1460="", "", IF(J1460="Long Term", 12.5%,"as per slab"))</f>
        <v/>
      </c>
      <c r="L1460" s="3">
        <f>+IFERROR(IF(J1460="","",H1460*K1460),"as per slab")</f>
        <v/>
      </c>
    </row>
    <row r="1461">
      <c r="A1461" s="7" t="n"/>
      <c r="B1461" s="7" t="n"/>
      <c r="C1461" s="8" t="n"/>
      <c r="D1461" s="9" t="n"/>
      <c r="E1461" s="8" t="n"/>
      <c r="F1461" s="9" t="n"/>
      <c r="G1461" s="9" t="n"/>
      <c r="H1461" s="3">
        <f>IF(AND(D1461&lt;&gt;"",F1461&lt;&gt;""),F1461-D1461-G1461,"")</f>
        <v/>
      </c>
      <c r="I1461" s="14">
        <f>IF(E1461&lt;&gt;"", YEARFRAC(C1461, E1461) * 12, "")</f>
        <v/>
      </c>
      <c r="J1461" s="2">
        <f>IF(I1461="", "", IF(OR(AND(A1461="Listed Equity Shares", I1461&gt;12), AND(A1461="Unlisted Equity Shares", I1461&gt;24)), "Long Term", "Short Term"))</f>
        <v/>
      </c>
      <c r="K1461" s="5">
        <f>IF(J1461="", "", IF(J1461="Long Term", 12.5%,"as per slab"))</f>
        <v/>
      </c>
      <c r="L1461" s="3">
        <f>+IFERROR(IF(J1461="","",H1461*K1461),"as per slab")</f>
        <v/>
      </c>
    </row>
    <row r="1462">
      <c r="A1462" s="7" t="n"/>
      <c r="B1462" s="7" t="n"/>
      <c r="C1462" s="8" t="n"/>
      <c r="D1462" s="9" t="n"/>
      <c r="E1462" s="8" t="n"/>
      <c r="F1462" s="9" t="n"/>
      <c r="G1462" s="9" t="n"/>
      <c r="H1462" s="3">
        <f>IF(AND(D1462&lt;&gt;"",F1462&lt;&gt;""),F1462-D1462-G1462,"")</f>
        <v/>
      </c>
      <c r="I1462" s="14">
        <f>IF(E1462&lt;&gt;"", YEARFRAC(C1462, E1462) * 12, "")</f>
        <v/>
      </c>
      <c r="J1462" s="2">
        <f>IF(I1462="", "", IF(OR(AND(A1462="Listed Equity Shares", I1462&gt;12), AND(A1462="Unlisted Equity Shares", I1462&gt;24)), "Long Term", "Short Term"))</f>
        <v/>
      </c>
      <c r="K1462" s="5">
        <f>IF(J1462="", "", IF(J1462="Long Term", 12.5%,"as per slab"))</f>
        <v/>
      </c>
      <c r="L1462" s="3">
        <f>+IFERROR(IF(J1462="","",H1462*K1462),"as per slab")</f>
        <v/>
      </c>
    </row>
    <row r="1463">
      <c r="A1463" s="7" t="n"/>
      <c r="B1463" s="7" t="n"/>
      <c r="C1463" s="8" t="n"/>
      <c r="D1463" s="9" t="n"/>
      <c r="E1463" s="8" t="n"/>
      <c r="F1463" s="9" t="n"/>
      <c r="G1463" s="9" t="n"/>
      <c r="H1463" s="3">
        <f>IF(AND(D1463&lt;&gt;"",F1463&lt;&gt;""),F1463-D1463-G1463,"")</f>
        <v/>
      </c>
      <c r="I1463" s="14">
        <f>IF(E1463&lt;&gt;"", YEARFRAC(C1463, E1463) * 12, "")</f>
        <v/>
      </c>
      <c r="J1463" s="2">
        <f>IF(I1463="", "", IF(OR(AND(A1463="Listed Equity Shares", I1463&gt;12), AND(A1463="Unlisted Equity Shares", I1463&gt;24)), "Long Term", "Short Term"))</f>
        <v/>
      </c>
      <c r="K1463" s="5">
        <f>IF(J1463="", "", IF(J1463="Long Term", 12.5%,"as per slab"))</f>
        <v/>
      </c>
      <c r="L1463" s="3">
        <f>+IFERROR(IF(J1463="","",H1463*K1463),"as per slab")</f>
        <v/>
      </c>
    </row>
    <row r="1464">
      <c r="A1464" s="7" t="n"/>
      <c r="B1464" s="7" t="n"/>
      <c r="C1464" s="8" t="n"/>
      <c r="D1464" s="9" t="n"/>
      <c r="E1464" s="8" t="n"/>
      <c r="F1464" s="9" t="n"/>
      <c r="G1464" s="9" t="n"/>
      <c r="H1464" s="3">
        <f>IF(AND(D1464&lt;&gt;"",F1464&lt;&gt;""),F1464-D1464-G1464,"")</f>
        <v/>
      </c>
      <c r="I1464" s="14">
        <f>IF(E1464&lt;&gt;"", YEARFRAC(C1464, E1464) * 12, "")</f>
        <v/>
      </c>
      <c r="J1464" s="2">
        <f>IF(I1464="", "", IF(OR(AND(A1464="Listed Equity Shares", I1464&gt;12), AND(A1464="Unlisted Equity Shares", I1464&gt;24)), "Long Term", "Short Term"))</f>
        <v/>
      </c>
      <c r="K1464" s="5">
        <f>IF(J1464="", "", IF(J1464="Long Term", 12.5%,"as per slab"))</f>
        <v/>
      </c>
      <c r="L1464" s="3">
        <f>+IFERROR(IF(J1464="","",H1464*K1464),"as per slab")</f>
        <v/>
      </c>
    </row>
    <row r="1465">
      <c r="A1465" s="7" t="n"/>
      <c r="B1465" s="7" t="n"/>
      <c r="C1465" s="8" t="n"/>
      <c r="D1465" s="9" t="n"/>
      <c r="E1465" s="8" t="n"/>
      <c r="F1465" s="9" t="n"/>
      <c r="G1465" s="9" t="n"/>
      <c r="H1465" s="3">
        <f>IF(AND(D1465&lt;&gt;"",F1465&lt;&gt;""),F1465-D1465-G1465,"")</f>
        <v/>
      </c>
      <c r="I1465" s="14">
        <f>IF(E1465&lt;&gt;"", YEARFRAC(C1465, E1465) * 12, "")</f>
        <v/>
      </c>
      <c r="J1465" s="2">
        <f>IF(I1465="", "", IF(OR(AND(A1465="Listed Equity Shares", I1465&gt;12), AND(A1465="Unlisted Equity Shares", I1465&gt;24)), "Long Term", "Short Term"))</f>
        <v/>
      </c>
      <c r="K1465" s="5">
        <f>IF(J1465="", "", IF(J1465="Long Term", 12.5%,"as per slab"))</f>
        <v/>
      </c>
      <c r="L1465" s="3">
        <f>+IFERROR(IF(J1465="","",H1465*K1465),"as per slab")</f>
        <v/>
      </c>
    </row>
    <row r="1466">
      <c r="A1466" s="7" t="n"/>
      <c r="B1466" s="7" t="n"/>
      <c r="C1466" s="8" t="n"/>
      <c r="D1466" s="9" t="n"/>
      <c r="E1466" s="8" t="n"/>
      <c r="F1466" s="9" t="n"/>
      <c r="G1466" s="9" t="n"/>
      <c r="H1466" s="3">
        <f>IF(AND(D1466&lt;&gt;"",F1466&lt;&gt;""),F1466-D1466-G1466,"")</f>
        <v/>
      </c>
      <c r="I1466" s="14">
        <f>IF(E1466&lt;&gt;"", YEARFRAC(C1466, E1466) * 12, "")</f>
        <v/>
      </c>
      <c r="J1466" s="2">
        <f>IF(I1466="", "", IF(OR(AND(A1466="Listed Equity Shares", I1466&gt;12), AND(A1466="Unlisted Equity Shares", I1466&gt;24)), "Long Term", "Short Term"))</f>
        <v/>
      </c>
      <c r="K1466" s="5">
        <f>IF(J1466="", "", IF(J1466="Long Term", 12.5%,"as per slab"))</f>
        <v/>
      </c>
      <c r="L1466" s="3">
        <f>+IFERROR(IF(J1466="","",H1466*K1466),"as per slab")</f>
        <v/>
      </c>
    </row>
    <row r="1467">
      <c r="A1467" s="7" t="n"/>
      <c r="B1467" s="7" t="n"/>
      <c r="C1467" s="8" t="n"/>
      <c r="D1467" s="9" t="n"/>
      <c r="E1467" s="8" t="n"/>
      <c r="F1467" s="9" t="n"/>
      <c r="G1467" s="9" t="n"/>
      <c r="H1467" s="3">
        <f>IF(AND(D1467&lt;&gt;"",F1467&lt;&gt;""),F1467-D1467-G1467,"")</f>
        <v/>
      </c>
      <c r="I1467" s="14">
        <f>IF(E1467&lt;&gt;"", YEARFRAC(C1467, E1467) * 12, "")</f>
        <v/>
      </c>
      <c r="J1467" s="2">
        <f>IF(I1467="", "", IF(OR(AND(A1467="Listed Equity Shares", I1467&gt;12), AND(A1467="Unlisted Equity Shares", I1467&gt;24)), "Long Term", "Short Term"))</f>
        <v/>
      </c>
      <c r="K1467" s="5">
        <f>IF(J1467="", "", IF(J1467="Long Term", 12.5%,"as per slab"))</f>
        <v/>
      </c>
      <c r="L1467" s="3">
        <f>+IFERROR(IF(J1467="","",H1467*K1467),"as per slab")</f>
        <v/>
      </c>
    </row>
    <row r="1468">
      <c r="A1468" s="7" t="n"/>
      <c r="B1468" s="7" t="n"/>
      <c r="C1468" s="8" t="n"/>
      <c r="D1468" s="9" t="n"/>
      <c r="E1468" s="8" t="n"/>
      <c r="F1468" s="9" t="n"/>
      <c r="G1468" s="9" t="n"/>
      <c r="H1468" s="3">
        <f>IF(AND(D1468&lt;&gt;"",F1468&lt;&gt;""),F1468-D1468-G1468,"")</f>
        <v/>
      </c>
      <c r="I1468" s="14">
        <f>IF(E1468&lt;&gt;"", YEARFRAC(C1468, E1468) * 12, "")</f>
        <v/>
      </c>
      <c r="J1468" s="2">
        <f>IF(I1468="", "", IF(OR(AND(A1468="Listed Equity Shares", I1468&gt;12), AND(A1468="Unlisted Equity Shares", I1468&gt;24)), "Long Term", "Short Term"))</f>
        <v/>
      </c>
      <c r="K1468" s="5">
        <f>IF(J1468="", "", IF(J1468="Long Term", 12.5%,"as per slab"))</f>
        <v/>
      </c>
      <c r="L1468" s="3">
        <f>+IFERROR(IF(J1468="","",H1468*K1468),"as per slab")</f>
        <v/>
      </c>
    </row>
    <row r="1469">
      <c r="A1469" s="7" t="n"/>
      <c r="B1469" s="7" t="n"/>
      <c r="C1469" s="8" t="n"/>
      <c r="D1469" s="9" t="n"/>
      <c r="E1469" s="8" t="n"/>
      <c r="F1469" s="9" t="n"/>
      <c r="G1469" s="9" t="n"/>
      <c r="H1469" s="3">
        <f>IF(AND(D1469&lt;&gt;"",F1469&lt;&gt;""),F1469-D1469-G1469,"")</f>
        <v/>
      </c>
      <c r="I1469" s="14">
        <f>IF(E1469&lt;&gt;"", YEARFRAC(C1469, E1469) * 12, "")</f>
        <v/>
      </c>
      <c r="J1469" s="2">
        <f>IF(I1469="", "", IF(OR(AND(A1469="Listed Equity Shares", I1469&gt;12), AND(A1469="Unlisted Equity Shares", I1469&gt;24)), "Long Term", "Short Term"))</f>
        <v/>
      </c>
      <c r="K1469" s="5">
        <f>IF(J1469="", "", IF(J1469="Long Term", 12.5%,"as per slab"))</f>
        <v/>
      </c>
      <c r="L1469" s="3">
        <f>+IFERROR(IF(J1469="","",H1469*K1469),"as per slab")</f>
        <v/>
      </c>
    </row>
    <row r="1470">
      <c r="A1470" s="7" t="n"/>
      <c r="B1470" s="7" t="n"/>
      <c r="C1470" s="8" t="n"/>
      <c r="D1470" s="9" t="n"/>
      <c r="E1470" s="8" t="n"/>
      <c r="F1470" s="9" t="n"/>
      <c r="G1470" s="9" t="n"/>
      <c r="H1470" s="3">
        <f>IF(AND(D1470&lt;&gt;"",F1470&lt;&gt;""),F1470-D1470-G1470,"")</f>
        <v/>
      </c>
      <c r="I1470" s="14">
        <f>IF(E1470&lt;&gt;"", YEARFRAC(C1470, E1470) * 12, "")</f>
        <v/>
      </c>
      <c r="J1470" s="2">
        <f>IF(I1470="", "", IF(OR(AND(A1470="Listed Equity Shares", I1470&gt;12), AND(A1470="Unlisted Equity Shares", I1470&gt;24)), "Long Term", "Short Term"))</f>
        <v/>
      </c>
      <c r="K1470" s="5">
        <f>IF(J1470="", "", IF(J1470="Long Term", 12.5%,"as per slab"))</f>
        <v/>
      </c>
      <c r="L1470" s="3">
        <f>+IFERROR(IF(J1470="","",H1470*K1470),"as per slab")</f>
        <v/>
      </c>
    </row>
    <row r="1471">
      <c r="A1471" s="7" t="n"/>
      <c r="B1471" s="7" t="n"/>
      <c r="C1471" s="8" t="n"/>
      <c r="D1471" s="9" t="n"/>
      <c r="E1471" s="8" t="n"/>
      <c r="F1471" s="9" t="n"/>
      <c r="G1471" s="9" t="n"/>
      <c r="H1471" s="3">
        <f>IF(AND(D1471&lt;&gt;"",F1471&lt;&gt;""),F1471-D1471-G1471,"")</f>
        <v/>
      </c>
      <c r="I1471" s="14">
        <f>IF(E1471&lt;&gt;"", YEARFRAC(C1471, E1471) * 12, "")</f>
        <v/>
      </c>
      <c r="J1471" s="2">
        <f>IF(I1471="", "", IF(OR(AND(A1471="Listed Equity Shares", I1471&gt;12), AND(A1471="Unlisted Equity Shares", I1471&gt;24)), "Long Term", "Short Term"))</f>
        <v/>
      </c>
      <c r="K1471" s="5">
        <f>IF(J1471="", "", IF(J1471="Long Term", 12.5%,"as per slab"))</f>
        <v/>
      </c>
      <c r="L1471" s="3">
        <f>+IFERROR(IF(J1471="","",H1471*K1471),"as per slab")</f>
        <v/>
      </c>
    </row>
    <row r="1472">
      <c r="A1472" s="7" t="n"/>
      <c r="B1472" s="7" t="n"/>
      <c r="C1472" s="8" t="n"/>
      <c r="D1472" s="9" t="n"/>
      <c r="E1472" s="8" t="n"/>
      <c r="F1472" s="9" t="n"/>
      <c r="G1472" s="9" t="n"/>
      <c r="H1472" s="3">
        <f>IF(AND(D1472&lt;&gt;"",F1472&lt;&gt;""),F1472-D1472-G1472,"")</f>
        <v/>
      </c>
      <c r="I1472" s="14">
        <f>IF(E1472&lt;&gt;"", YEARFRAC(C1472, E1472) * 12, "")</f>
        <v/>
      </c>
      <c r="J1472" s="2">
        <f>IF(I1472="", "", IF(OR(AND(A1472="Listed Equity Shares", I1472&gt;12), AND(A1472="Unlisted Equity Shares", I1472&gt;24)), "Long Term", "Short Term"))</f>
        <v/>
      </c>
      <c r="K1472" s="5">
        <f>IF(J1472="", "", IF(J1472="Long Term", 12.5%,"as per slab"))</f>
        <v/>
      </c>
      <c r="L1472" s="3">
        <f>+IFERROR(IF(J1472="","",H1472*K1472),"as per slab")</f>
        <v/>
      </c>
    </row>
    <row r="1473">
      <c r="A1473" s="7" t="n"/>
      <c r="B1473" s="7" t="n"/>
      <c r="C1473" s="8" t="n"/>
      <c r="D1473" s="9" t="n"/>
      <c r="E1473" s="8" t="n"/>
      <c r="F1473" s="9" t="n"/>
      <c r="G1473" s="9" t="n"/>
      <c r="H1473" s="3">
        <f>IF(AND(D1473&lt;&gt;"",F1473&lt;&gt;""),F1473-D1473-G1473,"")</f>
        <v/>
      </c>
      <c r="I1473" s="14">
        <f>IF(E1473&lt;&gt;"", YEARFRAC(C1473, E1473) * 12, "")</f>
        <v/>
      </c>
      <c r="J1473" s="2">
        <f>IF(I1473="", "", IF(OR(AND(A1473="Listed Equity Shares", I1473&gt;12), AND(A1473="Unlisted Equity Shares", I1473&gt;24)), "Long Term", "Short Term"))</f>
        <v/>
      </c>
      <c r="K1473" s="5">
        <f>IF(J1473="", "", IF(J1473="Long Term", 12.5%,"as per slab"))</f>
        <v/>
      </c>
      <c r="L1473" s="3">
        <f>+IFERROR(IF(J1473="","",H1473*K1473),"as per slab")</f>
        <v/>
      </c>
    </row>
    <row r="1474">
      <c r="A1474" s="7" t="n"/>
      <c r="B1474" s="7" t="n"/>
      <c r="C1474" s="8" t="n"/>
      <c r="D1474" s="9" t="n"/>
      <c r="E1474" s="8" t="n"/>
      <c r="F1474" s="9" t="n"/>
      <c r="G1474" s="9" t="n"/>
      <c r="H1474" s="3">
        <f>IF(AND(D1474&lt;&gt;"",F1474&lt;&gt;""),F1474-D1474-G1474,"")</f>
        <v/>
      </c>
      <c r="I1474" s="14">
        <f>IF(E1474&lt;&gt;"", YEARFRAC(C1474, E1474) * 12, "")</f>
        <v/>
      </c>
      <c r="J1474" s="2">
        <f>IF(I1474="", "", IF(OR(AND(A1474="Listed Equity Shares", I1474&gt;12), AND(A1474="Unlisted Equity Shares", I1474&gt;24)), "Long Term", "Short Term"))</f>
        <v/>
      </c>
      <c r="K1474" s="5">
        <f>IF(J1474="", "", IF(J1474="Long Term", 12.5%,"as per slab"))</f>
        <v/>
      </c>
      <c r="L1474" s="3">
        <f>+IFERROR(IF(J1474="","",H1474*K1474),"as per slab")</f>
        <v/>
      </c>
    </row>
    <row r="1475">
      <c r="A1475" s="7" t="n"/>
      <c r="B1475" s="7" t="n"/>
      <c r="C1475" s="8" t="n"/>
      <c r="D1475" s="9" t="n"/>
      <c r="E1475" s="8" t="n"/>
      <c r="F1475" s="9" t="n"/>
      <c r="G1475" s="9" t="n"/>
      <c r="H1475" s="3">
        <f>IF(AND(D1475&lt;&gt;"",F1475&lt;&gt;""),F1475-D1475-G1475,"")</f>
        <v/>
      </c>
      <c r="I1475" s="14">
        <f>IF(E1475&lt;&gt;"", YEARFRAC(C1475, E1475) * 12, "")</f>
        <v/>
      </c>
      <c r="J1475" s="2">
        <f>IF(I1475="", "", IF(OR(AND(A1475="Listed Equity Shares", I1475&gt;12), AND(A1475="Unlisted Equity Shares", I1475&gt;24)), "Long Term", "Short Term"))</f>
        <v/>
      </c>
      <c r="K1475" s="5">
        <f>IF(J1475="", "", IF(J1475="Long Term", 12.5%,"as per slab"))</f>
        <v/>
      </c>
      <c r="L1475" s="3">
        <f>+IFERROR(IF(J1475="","",H1475*K1475),"as per slab")</f>
        <v/>
      </c>
    </row>
    <row r="1476">
      <c r="A1476" s="7" t="n"/>
      <c r="B1476" s="7" t="n"/>
      <c r="C1476" s="8" t="n"/>
      <c r="D1476" s="9" t="n"/>
      <c r="E1476" s="8" t="n"/>
      <c r="F1476" s="9" t="n"/>
      <c r="G1476" s="9" t="n"/>
      <c r="H1476" s="3">
        <f>IF(AND(D1476&lt;&gt;"",F1476&lt;&gt;""),F1476-D1476-G1476,"")</f>
        <v/>
      </c>
      <c r="I1476" s="14">
        <f>IF(E1476&lt;&gt;"", YEARFRAC(C1476, E1476) * 12, "")</f>
        <v/>
      </c>
      <c r="J1476" s="2">
        <f>IF(I1476="", "", IF(OR(AND(A1476="Listed Equity Shares", I1476&gt;12), AND(A1476="Unlisted Equity Shares", I1476&gt;24)), "Long Term", "Short Term"))</f>
        <v/>
      </c>
      <c r="K1476" s="5">
        <f>IF(J1476="", "", IF(J1476="Long Term", 12.5%,"as per slab"))</f>
        <v/>
      </c>
      <c r="L1476" s="3">
        <f>+IFERROR(IF(J1476="","",H1476*K1476),"as per slab")</f>
        <v/>
      </c>
    </row>
    <row r="1477">
      <c r="A1477" s="7" t="n"/>
      <c r="B1477" s="7" t="n"/>
      <c r="C1477" s="8" t="n"/>
      <c r="D1477" s="9" t="n"/>
      <c r="E1477" s="8" t="n"/>
      <c r="F1477" s="9" t="n"/>
      <c r="G1477" s="9" t="n"/>
      <c r="H1477" s="3">
        <f>IF(AND(D1477&lt;&gt;"",F1477&lt;&gt;""),F1477-D1477-G1477,"")</f>
        <v/>
      </c>
      <c r="I1477" s="14">
        <f>IF(E1477&lt;&gt;"", YEARFRAC(C1477, E1477) * 12, "")</f>
        <v/>
      </c>
      <c r="J1477" s="2">
        <f>IF(I1477="", "", IF(OR(AND(A1477="Listed Equity Shares", I1477&gt;12), AND(A1477="Unlisted Equity Shares", I1477&gt;24)), "Long Term", "Short Term"))</f>
        <v/>
      </c>
      <c r="K1477" s="5">
        <f>IF(J1477="", "", IF(J1477="Long Term", 12.5%,"as per slab"))</f>
        <v/>
      </c>
      <c r="L1477" s="3">
        <f>+IFERROR(IF(J1477="","",H1477*K1477),"as per slab")</f>
        <v/>
      </c>
    </row>
    <row r="1478">
      <c r="A1478" s="7" t="n"/>
      <c r="B1478" s="7" t="n"/>
      <c r="C1478" s="8" t="n"/>
      <c r="D1478" s="9" t="n"/>
      <c r="E1478" s="8" t="n"/>
      <c r="F1478" s="9" t="n"/>
      <c r="G1478" s="9" t="n"/>
      <c r="H1478" s="3">
        <f>IF(AND(D1478&lt;&gt;"",F1478&lt;&gt;""),F1478-D1478-G1478,"")</f>
        <v/>
      </c>
      <c r="I1478" s="14">
        <f>IF(E1478&lt;&gt;"", YEARFRAC(C1478, E1478) * 12, "")</f>
        <v/>
      </c>
      <c r="J1478" s="2">
        <f>IF(I1478="", "", IF(OR(AND(A1478="Listed Equity Shares", I1478&gt;12), AND(A1478="Unlisted Equity Shares", I1478&gt;24)), "Long Term", "Short Term"))</f>
        <v/>
      </c>
      <c r="K1478" s="5">
        <f>IF(J1478="", "", IF(J1478="Long Term", 12.5%,"as per slab"))</f>
        <v/>
      </c>
      <c r="L1478" s="3">
        <f>+IFERROR(IF(J1478="","",H1478*K1478),"as per slab")</f>
        <v/>
      </c>
    </row>
    <row r="1479">
      <c r="A1479" s="7" t="n"/>
      <c r="B1479" s="7" t="n"/>
      <c r="C1479" s="8" t="n"/>
      <c r="D1479" s="9" t="n"/>
      <c r="E1479" s="8" t="n"/>
      <c r="F1479" s="9" t="n"/>
      <c r="G1479" s="9" t="n"/>
      <c r="H1479" s="3">
        <f>IF(AND(D1479&lt;&gt;"",F1479&lt;&gt;""),F1479-D1479-G1479,"")</f>
        <v/>
      </c>
      <c r="I1479" s="14">
        <f>IF(E1479&lt;&gt;"", YEARFRAC(C1479, E1479) * 12, "")</f>
        <v/>
      </c>
      <c r="J1479" s="2">
        <f>IF(I1479="", "", IF(OR(AND(A1479="Listed Equity Shares", I1479&gt;12), AND(A1479="Unlisted Equity Shares", I1479&gt;24)), "Long Term", "Short Term"))</f>
        <v/>
      </c>
      <c r="K1479" s="5">
        <f>IF(J1479="", "", IF(J1479="Long Term", 12.5%,"as per slab"))</f>
        <v/>
      </c>
      <c r="L1479" s="3">
        <f>+IFERROR(IF(J1479="","",H1479*K1479),"as per slab")</f>
        <v/>
      </c>
    </row>
    <row r="1480">
      <c r="A1480" s="7" t="n"/>
      <c r="B1480" s="7" t="n"/>
      <c r="C1480" s="8" t="n"/>
      <c r="D1480" s="9" t="n"/>
      <c r="E1480" s="8" t="n"/>
      <c r="F1480" s="9" t="n"/>
      <c r="G1480" s="9" t="n"/>
      <c r="H1480" s="3">
        <f>IF(AND(D1480&lt;&gt;"",F1480&lt;&gt;""),F1480-D1480-G1480,"")</f>
        <v/>
      </c>
      <c r="I1480" s="14">
        <f>IF(E1480&lt;&gt;"", YEARFRAC(C1480, E1480) * 12, "")</f>
        <v/>
      </c>
      <c r="J1480" s="2">
        <f>IF(I1480="", "", IF(OR(AND(A1480="Listed Equity Shares", I1480&gt;12), AND(A1480="Unlisted Equity Shares", I1480&gt;24)), "Long Term", "Short Term"))</f>
        <v/>
      </c>
      <c r="K1480" s="5">
        <f>IF(J1480="", "", IF(J1480="Long Term", 12.5%,"as per slab"))</f>
        <v/>
      </c>
      <c r="L1480" s="3">
        <f>+IFERROR(IF(J1480="","",H1480*K1480),"as per slab")</f>
        <v/>
      </c>
    </row>
    <row r="1481">
      <c r="A1481" s="7" t="n"/>
      <c r="B1481" s="7" t="n"/>
      <c r="C1481" s="8" t="n"/>
      <c r="D1481" s="9" t="n"/>
      <c r="E1481" s="8" t="n"/>
      <c r="F1481" s="9" t="n"/>
      <c r="G1481" s="9" t="n"/>
      <c r="H1481" s="3">
        <f>IF(AND(D1481&lt;&gt;"",F1481&lt;&gt;""),F1481-D1481-G1481,"")</f>
        <v/>
      </c>
      <c r="I1481" s="14">
        <f>IF(E1481&lt;&gt;"", YEARFRAC(C1481, E1481) * 12, "")</f>
        <v/>
      </c>
      <c r="J1481" s="2">
        <f>IF(I1481="", "", IF(OR(AND(A1481="Listed Equity Shares", I1481&gt;12), AND(A1481="Unlisted Equity Shares", I1481&gt;24)), "Long Term", "Short Term"))</f>
        <v/>
      </c>
      <c r="K1481" s="5">
        <f>IF(J1481="", "", IF(J1481="Long Term", 12.5%,"as per slab"))</f>
        <v/>
      </c>
      <c r="L1481" s="3">
        <f>+IFERROR(IF(J1481="","",H1481*K1481),"as per slab")</f>
        <v/>
      </c>
    </row>
    <row r="1482">
      <c r="A1482" s="7" t="n"/>
      <c r="B1482" s="7" t="n"/>
      <c r="C1482" s="8" t="n"/>
      <c r="D1482" s="9" t="n"/>
      <c r="E1482" s="8" t="n"/>
      <c r="F1482" s="9" t="n"/>
      <c r="G1482" s="9" t="n"/>
      <c r="H1482" s="3">
        <f>IF(AND(D1482&lt;&gt;"",F1482&lt;&gt;""),F1482-D1482-G1482,"")</f>
        <v/>
      </c>
      <c r="I1482" s="14">
        <f>IF(E1482&lt;&gt;"", YEARFRAC(C1482, E1482) * 12, "")</f>
        <v/>
      </c>
      <c r="J1482" s="2">
        <f>IF(I1482="", "", IF(OR(AND(A1482="Listed Equity Shares", I1482&gt;12), AND(A1482="Unlisted Equity Shares", I1482&gt;24)), "Long Term", "Short Term"))</f>
        <v/>
      </c>
      <c r="K1482" s="5">
        <f>IF(J1482="", "", IF(J1482="Long Term", 12.5%,"as per slab"))</f>
        <v/>
      </c>
      <c r="L1482" s="3">
        <f>+IFERROR(IF(J1482="","",H1482*K1482),"as per slab")</f>
        <v/>
      </c>
    </row>
    <row r="1483">
      <c r="A1483" s="7" t="n"/>
      <c r="B1483" s="7" t="n"/>
      <c r="C1483" s="8" t="n"/>
      <c r="D1483" s="9" t="n"/>
      <c r="E1483" s="8" t="n"/>
      <c r="F1483" s="9" t="n"/>
      <c r="G1483" s="9" t="n"/>
      <c r="H1483" s="3">
        <f>IF(AND(D1483&lt;&gt;"",F1483&lt;&gt;""),F1483-D1483-G1483,"")</f>
        <v/>
      </c>
      <c r="I1483" s="14">
        <f>IF(E1483&lt;&gt;"", YEARFRAC(C1483, E1483) * 12, "")</f>
        <v/>
      </c>
      <c r="J1483" s="2">
        <f>IF(I1483="", "", IF(OR(AND(A1483="Listed Equity Shares", I1483&gt;12), AND(A1483="Unlisted Equity Shares", I1483&gt;24)), "Long Term", "Short Term"))</f>
        <v/>
      </c>
      <c r="K1483" s="5">
        <f>IF(J1483="", "", IF(J1483="Long Term", 12.5%,"as per slab"))</f>
        <v/>
      </c>
      <c r="L1483" s="3">
        <f>+IFERROR(IF(J1483="","",H1483*K1483),"as per slab")</f>
        <v/>
      </c>
    </row>
    <row r="1484">
      <c r="A1484" s="7" t="n"/>
      <c r="B1484" s="7" t="n"/>
      <c r="C1484" s="8" t="n"/>
      <c r="D1484" s="9" t="n"/>
      <c r="E1484" s="8" t="n"/>
      <c r="F1484" s="9" t="n"/>
      <c r="G1484" s="9" t="n"/>
      <c r="H1484" s="3">
        <f>IF(AND(D1484&lt;&gt;"",F1484&lt;&gt;""),F1484-D1484-G1484,"")</f>
        <v/>
      </c>
      <c r="I1484" s="14">
        <f>IF(E1484&lt;&gt;"", YEARFRAC(C1484, E1484) * 12, "")</f>
        <v/>
      </c>
      <c r="J1484" s="2">
        <f>IF(I1484="", "", IF(OR(AND(A1484="Listed Equity Shares", I1484&gt;12), AND(A1484="Unlisted Equity Shares", I1484&gt;24)), "Long Term", "Short Term"))</f>
        <v/>
      </c>
      <c r="K1484" s="5">
        <f>IF(J1484="", "", IF(J1484="Long Term", 12.5%,"as per slab"))</f>
        <v/>
      </c>
      <c r="L1484" s="3">
        <f>+IFERROR(IF(J1484="","",H1484*K1484),"as per slab")</f>
        <v/>
      </c>
    </row>
    <row r="1485">
      <c r="A1485" s="7" t="n"/>
      <c r="B1485" s="7" t="n"/>
      <c r="C1485" s="8" t="n"/>
      <c r="D1485" s="9" t="n"/>
      <c r="E1485" s="8" t="n"/>
      <c r="F1485" s="9" t="n"/>
      <c r="G1485" s="9" t="n"/>
      <c r="H1485" s="3">
        <f>IF(AND(D1485&lt;&gt;"",F1485&lt;&gt;""),F1485-D1485-G1485,"")</f>
        <v/>
      </c>
      <c r="I1485" s="14">
        <f>IF(E1485&lt;&gt;"", YEARFRAC(C1485, E1485) * 12, "")</f>
        <v/>
      </c>
      <c r="J1485" s="2">
        <f>IF(I1485="", "", IF(OR(AND(A1485="Listed Equity Shares", I1485&gt;12), AND(A1485="Unlisted Equity Shares", I1485&gt;24)), "Long Term", "Short Term"))</f>
        <v/>
      </c>
      <c r="K1485" s="5">
        <f>IF(J1485="", "", IF(J1485="Long Term", 12.5%,"as per slab"))</f>
        <v/>
      </c>
      <c r="L1485" s="3">
        <f>+IFERROR(IF(J1485="","",H1485*K1485),"as per slab")</f>
        <v/>
      </c>
    </row>
    <row r="1486">
      <c r="A1486" s="7" t="n"/>
      <c r="B1486" s="7" t="n"/>
      <c r="C1486" s="8" t="n"/>
      <c r="D1486" s="9" t="n"/>
      <c r="E1486" s="8" t="n"/>
      <c r="F1486" s="9" t="n"/>
      <c r="G1486" s="9" t="n"/>
      <c r="H1486" s="3">
        <f>IF(AND(D1486&lt;&gt;"",F1486&lt;&gt;""),F1486-D1486-G1486,"")</f>
        <v/>
      </c>
      <c r="I1486" s="14">
        <f>IF(E1486&lt;&gt;"", YEARFRAC(C1486, E1486) * 12, "")</f>
        <v/>
      </c>
      <c r="J1486" s="2">
        <f>IF(I1486="", "", IF(OR(AND(A1486="Listed Equity Shares", I1486&gt;12), AND(A1486="Unlisted Equity Shares", I1486&gt;24)), "Long Term", "Short Term"))</f>
        <v/>
      </c>
      <c r="K1486" s="5">
        <f>IF(J1486="", "", IF(J1486="Long Term", 12.5%,"as per slab"))</f>
        <v/>
      </c>
      <c r="L1486" s="3">
        <f>+IFERROR(IF(J1486="","",H1486*K1486),"as per slab")</f>
        <v/>
      </c>
    </row>
    <row r="1487">
      <c r="A1487" s="7" t="n"/>
      <c r="B1487" s="7" t="n"/>
      <c r="C1487" s="8" t="n"/>
      <c r="D1487" s="9" t="n"/>
      <c r="E1487" s="8" t="n"/>
      <c r="F1487" s="9" t="n"/>
      <c r="G1487" s="9" t="n"/>
      <c r="H1487" s="3">
        <f>IF(AND(D1487&lt;&gt;"",F1487&lt;&gt;""),F1487-D1487-G1487,"")</f>
        <v/>
      </c>
      <c r="I1487" s="14">
        <f>IF(E1487&lt;&gt;"", YEARFRAC(C1487, E1487) * 12, "")</f>
        <v/>
      </c>
      <c r="J1487" s="2">
        <f>IF(I1487="", "", IF(OR(AND(A1487="Listed Equity Shares", I1487&gt;12), AND(A1487="Unlisted Equity Shares", I1487&gt;24)), "Long Term", "Short Term"))</f>
        <v/>
      </c>
      <c r="K1487" s="5">
        <f>IF(J1487="", "", IF(J1487="Long Term", 12.5%,"as per slab"))</f>
        <v/>
      </c>
      <c r="L1487" s="3">
        <f>+IFERROR(IF(J1487="","",H1487*K1487),"as per slab")</f>
        <v/>
      </c>
    </row>
    <row r="1488">
      <c r="A1488" s="7" t="n"/>
      <c r="B1488" s="7" t="n"/>
      <c r="C1488" s="8" t="n"/>
      <c r="D1488" s="9" t="n"/>
      <c r="E1488" s="8" t="n"/>
      <c r="F1488" s="9" t="n"/>
      <c r="G1488" s="9" t="n"/>
      <c r="H1488" s="3">
        <f>IF(AND(D1488&lt;&gt;"",F1488&lt;&gt;""),F1488-D1488-G1488,"")</f>
        <v/>
      </c>
      <c r="I1488" s="14">
        <f>IF(E1488&lt;&gt;"", YEARFRAC(C1488, E1488) * 12, "")</f>
        <v/>
      </c>
      <c r="J1488" s="2">
        <f>IF(I1488="", "", IF(OR(AND(A1488="Listed Equity Shares", I1488&gt;12), AND(A1488="Unlisted Equity Shares", I1488&gt;24)), "Long Term", "Short Term"))</f>
        <v/>
      </c>
      <c r="K1488" s="5">
        <f>IF(J1488="", "", IF(J1488="Long Term", 12.5%,"as per slab"))</f>
        <v/>
      </c>
      <c r="L1488" s="3">
        <f>+IFERROR(IF(J1488="","",H1488*K1488),"as per slab")</f>
        <v/>
      </c>
    </row>
    <row r="1489">
      <c r="A1489" s="7" t="n"/>
      <c r="B1489" s="7" t="n"/>
      <c r="C1489" s="8" t="n"/>
      <c r="D1489" s="9" t="n"/>
      <c r="E1489" s="8" t="n"/>
      <c r="F1489" s="9" t="n"/>
      <c r="G1489" s="9" t="n"/>
      <c r="H1489" s="3">
        <f>IF(AND(D1489&lt;&gt;"",F1489&lt;&gt;""),F1489-D1489-G1489,"")</f>
        <v/>
      </c>
      <c r="I1489" s="14">
        <f>IF(E1489&lt;&gt;"", YEARFRAC(C1489, E1489) * 12, "")</f>
        <v/>
      </c>
      <c r="J1489" s="2">
        <f>IF(I1489="", "", IF(OR(AND(A1489="Listed Equity Shares", I1489&gt;12), AND(A1489="Unlisted Equity Shares", I1489&gt;24)), "Long Term", "Short Term"))</f>
        <v/>
      </c>
      <c r="K1489" s="5">
        <f>IF(J1489="", "", IF(J1489="Long Term", 12.5%,"as per slab"))</f>
        <v/>
      </c>
      <c r="L1489" s="3">
        <f>+IFERROR(IF(J1489="","",H1489*K1489),"as per slab")</f>
        <v/>
      </c>
    </row>
    <row r="1490">
      <c r="A1490" s="7" t="n"/>
      <c r="B1490" s="7" t="n"/>
      <c r="C1490" s="8" t="n"/>
      <c r="D1490" s="9" t="n"/>
      <c r="E1490" s="8" t="n"/>
      <c r="F1490" s="9" t="n"/>
      <c r="G1490" s="9" t="n"/>
      <c r="H1490" s="3">
        <f>IF(AND(D1490&lt;&gt;"",F1490&lt;&gt;""),F1490-D1490-G1490,"")</f>
        <v/>
      </c>
      <c r="I1490" s="14">
        <f>IF(E1490&lt;&gt;"", YEARFRAC(C1490, E1490) * 12, "")</f>
        <v/>
      </c>
      <c r="J1490" s="2">
        <f>IF(I1490="", "", IF(OR(AND(A1490="Listed Equity Shares", I1490&gt;12), AND(A1490="Unlisted Equity Shares", I1490&gt;24)), "Long Term", "Short Term"))</f>
        <v/>
      </c>
      <c r="K1490" s="5">
        <f>IF(J1490="", "", IF(J1490="Long Term", 12.5%,"as per slab"))</f>
        <v/>
      </c>
      <c r="L1490" s="3">
        <f>+IFERROR(IF(J1490="","",H1490*K1490),"as per slab")</f>
        <v/>
      </c>
    </row>
    <row r="1491">
      <c r="A1491" s="7" t="n"/>
      <c r="B1491" s="7" t="n"/>
      <c r="C1491" s="8" t="n"/>
      <c r="D1491" s="9" t="n"/>
      <c r="E1491" s="8" t="n"/>
      <c r="F1491" s="9" t="n"/>
      <c r="G1491" s="9" t="n"/>
      <c r="H1491" s="3">
        <f>IF(AND(D1491&lt;&gt;"",F1491&lt;&gt;""),F1491-D1491-G1491,"")</f>
        <v/>
      </c>
      <c r="I1491" s="14">
        <f>IF(E1491&lt;&gt;"", YEARFRAC(C1491, E1491) * 12, "")</f>
        <v/>
      </c>
      <c r="J1491" s="2">
        <f>IF(I1491="", "", IF(OR(AND(A1491="Listed Equity Shares", I1491&gt;12), AND(A1491="Unlisted Equity Shares", I1491&gt;24)), "Long Term", "Short Term"))</f>
        <v/>
      </c>
      <c r="K1491" s="5">
        <f>IF(J1491="", "", IF(J1491="Long Term", 12.5%,"as per slab"))</f>
        <v/>
      </c>
      <c r="L1491" s="3">
        <f>+IFERROR(IF(J1491="","",H1491*K1491),"as per slab")</f>
        <v/>
      </c>
    </row>
    <row r="1492">
      <c r="A1492" s="7" t="n"/>
      <c r="B1492" s="7" t="n"/>
      <c r="C1492" s="8" t="n"/>
      <c r="D1492" s="9" t="n"/>
      <c r="E1492" s="8" t="n"/>
      <c r="F1492" s="9" t="n"/>
      <c r="G1492" s="9" t="n"/>
      <c r="H1492" s="3">
        <f>IF(AND(D1492&lt;&gt;"",F1492&lt;&gt;""),F1492-D1492-G1492,"")</f>
        <v/>
      </c>
      <c r="I1492" s="14">
        <f>IF(E1492&lt;&gt;"", YEARFRAC(C1492, E1492) * 12, "")</f>
        <v/>
      </c>
      <c r="J1492" s="2">
        <f>IF(I1492="", "", IF(OR(AND(A1492="Listed Equity Shares", I1492&gt;12), AND(A1492="Unlisted Equity Shares", I1492&gt;24)), "Long Term", "Short Term"))</f>
        <v/>
      </c>
      <c r="K1492" s="5">
        <f>IF(J1492="", "", IF(J1492="Long Term", 12.5%,"as per slab"))</f>
        <v/>
      </c>
      <c r="L1492" s="3">
        <f>+IFERROR(IF(J1492="","",H1492*K1492),"as per slab")</f>
        <v/>
      </c>
    </row>
    <row r="1493">
      <c r="A1493" s="7" t="n"/>
      <c r="B1493" s="7" t="n"/>
      <c r="C1493" s="8" t="n"/>
      <c r="D1493" s="9" t="n"/>
      <c r="E1493" s="8" t="n"/>
      <c r="F1493" s="9" t="n"/>
      <c r="G1493" s="9" t="n"/>
      <c r="H1493" s="3">
        <f>IF(AND(D1493&lt;&gt;"",F1493&lt;&gt;""),F1493-D1493-G1493,"")</f>
        <v/>
      </c>
      <c r="I1493" s="14">
        <f>IF(E1493&lt;&gt;"", YEARFRAC(C1493, E1493) * 12, "")</f>
        <v/>
      </c>
      <c r="J1493" s="2">
        <f>IF(I1493="", "", IF(OR(AND(A1493="Listed Equity Shares", I1493&gt;12), AND(A1493="Unlisted Equity Shares", I1493&gt;24)), "Long Term", "Short Term"))</f>
        <v/>
      </c>
      <c r="K1493" s="5">
        <f>IF(J1493="", "", IF(J1493="Long Term", 12.5%,"as per slab"))</f>
        <v/>
      </c>
      <c r="L1493" s="3">
        <f>+IFERROR(IF(J1493="","",H1493*K1493),"as per slab")</f>
        <v/>
      </c>
    </row>
    <row r="1494">
      <c r="A1494" s="7" t="n"/>
      <c r="B1494" s="7" t="n"/>
      <c r="C1494" s="8" t="n"/>
      <c r="D1494" s="9" t="n"/>
      <c r="E1494" s="8" t="n"/>
      <c r="F1494" s="9" t="n"/>
      <c r="G1494" s="9" t="n"/>
      <c r="H1494" s="3">
        <f>IF(AND(D1494&lt;&gt;"",F1494&lt;&gt;""),F1494-D1494-G1494,"")</f>
        <v/>
      </c>
      <c r="I1494" s="14">
        <f>IF(E1494&lt;&gt;"", YEARFRAC(C1494, E1494) * 12, "")</f>
        <v/>
      </c>
      <c r="J1494" s="2">
        <f>IF(I1494="", "", IF(OR(AND(A1494="Listed Equity Shares", I1494&gt;12), AND(A1494="Unlisted Equity Shares", I1494&gt;24)), "Long Term", "Short Term"))</f>
        <v/>
      </c>
      <c r="K1494" s="5">
        <f>IF(J1494="", "", IF(J1494="Long Term", 12.5%,"as per slab"))</f>
        <v/>
      </c>
      <c r="L1494" s="3">
        <f>+IFERROR(IF(J1494="","",H1494*K1494),"as per slab")</f>
        <v/>
      </c>
    </row>
    <row r="1495">
      <c r="A1495" s="7" t="n"/>
      <c r="B1495" s="7" t="n"/>
      <c r="C1495" s="8" t="n"/>
      <c r="D1495" s="9" t="n"/>
      <c r="E1495" s="8" t="n"/>
      <c r="F1495" s="9" t="n"/>
      <c r="G1495" s="9" t="n"/>
      <c r="H1495" s="3">
        <f>IF(AND(D1495&lt;&gt;"",F1495&lt;&gt;""),F1495-D1495-G1495,"")</f>
        <v/>
      </c>
      <c r="I1495" s="14">
        <f>IF(E1495&lt;&gt;"", YEARFRAC(C1495, E1495) * 12, "")</f>
        <v/>
      </c>
      <c r="J1495" s="2">
        <f>IF(I1495="", "", IF(OR(AND(A1495="Listed Equity Shares", I1495&gt;12), AND(A1495="Unlisted Equity Shares", I1495&gt;24)), "Long Term", "Short Term"))</f>
        <v/>
      </c>
      <c r="K1495" s="5">
        <f>IF(J1495="", "", IF(J1495="Long Term", 12.5%,"as per slab"))</f>
        <v/>
      </c>
      <c r="L1495" s="3">
        <f>+IFERROR(IF(J1495="","",H1495*K1495),"as per slab")</f>
        <v/>
      </c>
    </row>
    <row r="1496">
      <c r="A1496" s="7" t="n"/>
      <c r="B1496" s="7" t="n"/>
      <c r="C1496" s="8" t="n"/>
      <c r="D1496" s="9" t="n"/>
      <c r="E1496" s="8" t="n"/>
      <c r="F1496" s="9" t="n"/>
      <c r="G1496" s="9" t="n"/>
      <c r="H1496" s="3">
        <f>IF(AND(D1496&lt;&gt;"",F1496&lt;&gt;""),F1496-D1496-G1496,"")</f>
        <v/>
      </c>
      <c r="I1496" s="14">
        <f>IF(E1496&lt;&gt;"", YEARFRAC(C1496, E1496) * 12, "")</f>
        <v/>
      </c>
      <c r="J1496" s="2">
        <f>IF(I1496="", "", IF(OR(AND(A1496="Listed Equity Shares", I1496&gt;12), AND(A1496="Unlisted Equity Shares", I1496&gt;24)), "Long Term", "Short Term"))</f>
        <v/>
      </c>
      <c r="K1496" s="5">
        <f>IF(J1496="", "", IF(J1496="Long Term", 12.5%,"as per slab"))</f>
        <v/>
      </c>
      <c r="L1496" s="3">
        <f>+IFERROR(IF(J1496="","",H1496*K1496),"as per slab")</f>
        <v/>
      </c>
    </row>
    <row r="1497">
      <c r="A1497" s="7" t="n"/>
      <c r="B1497" s="7" t="n"/>
      <c r="C1497" s="8" t="n"/>
      <c r="D1497" s="9" t="n"/>
      <c r="E1497" s="8" t="n"/>
      <c r="F1497" s="9" t="n"/>
      <c r="G1497" s="9" t="n"/>
      <c r="H1497" s="3">
        <f>IF(AND(D1497&lt;&gt;"",F1497&lt;&gt;""),F1497-D1497-G1497,"")</f>
        <v/>
      </c>
      <c r="I1497" s="14">
        <f>IF(E1497&lt;&gt;"", YEARFRAC(C1497, E1497) * 12, "")</f>
        <v/>
      </c>
      <c r="J1497" s="2">
        <f>IF(I1497="", "", IF(OR(AND(A1497="Listed Equity Shares", I1497&gt;12), AND(A1497="Unlisted Equity Shares", I1497&gt;24)), "Long Term", "Short Term"))</f>
        <v/>
      </c>
      <c r="K1497" s="5">
        <f>IF(J1497="", "", IF(J1497="Long Term", 12.5%,"as per slab"))</f>
        <v/>
      </c>
      <c r="L1497" s="3">
        <f>+IFERROR(IF(J1497="","",H1497*K1497),"as per slab")</f>
        <v/>
      </c>
    </row>
    <row r="1498">
      <c r="A1498" s="7" t="n"/>
      <c r="B1498" s="7" t="n"/>
      <c r="C1498" s="8" t="n"/>
      <c r="D1498" s="9" t="n"/>
      <c r="E1498" s="8" t="n"/>
      <c r="F1498" s="9" t="n"/>
      <c r="G1498" s="9" t="n"/>
      <c r="H1498" s="3">
        <f>IF(AND(D1498&lt;&gt;"",F1498&lt;&gt;""),F1498-D1498-G1498,"")</f>
        <v/>
      </c>
      <c r="I1498" s="14">
        <f>IF(E1498&lt;&gt;"", YEARFRAC(C1498, E1498) * 12, "")</f>
        <v/>
      </c>
      <c r="J1498" s="2">
        <f>IF(I1498="", "", IF(OR(AND(A1498="Listed Equity Shares", I1498&gt;12), AND(A1498="Unlisted Equity Shares", I1498&gt;24)), "Long Term", "Short Term"))</f>
        <v/>
      </c>
      <c r="K1498" s="5">
        <f>IF(J1498="", "", IF(J1498="Long Term", 12.5%,"as per slab"))</f>
        <v/>
      </c>
      <c r="L1498" s="3">
        <f>+IFERROR(IF(J1498="","",H1498*K1498),"as per slab")</f>
        <v/>
      </c>
    </row>
    <row r="1499">
      <c r="A1499" s="7" t="n"/>
      <c r="B1499" s="7" t="n"/>
      <c r="C1499" s="8" t="n"/>
      <c r="D1499" s="9" t="n"/>
      <c r="E1499" s="8" t="n"/>
      <c r="F1499" s="9" t="n"/>
      <c r="G1499" s="9" t="n"/>
      <c r="H1499" s="3">
        <f>IF(AND(D1499&lt;&gt;"",F1499&lt;&gt;""),F1499-D1499-G1499,"")</f>
        <v/>
      </c>
      <c r="I1499" s="14">
        <f>IF(E1499&lt;&gt;"", YEARFRAC(C1499, E1499) * 12, "")</f>
        <v/>
      </c>
      <c r="J1499" s="2">
        <f>IF(I1499="", "", IF(OR(AND(A1499="Listed Equity Shares", I1499&gt;12), AND(A1499="Unlisted Equity Shares", I1499&gt;24)), "Long Term", "Short Term"))</f>
        <v/>
      </c>
      <c r="K1499" s="5">
        <f>IF(J1499="", "", IF(J1499="Long Term", 12.5%,"as per slab"))</f>
        <v/>
      </c>
      <c r="L1499" s="3">
        <f>+IFERROR(IF(J1499="","",H1499*K1499),"as per slab")</f>
        <v/>
      </c>
    </row>
    <row r="1500">
      <c r="A1500" s="7" t="n"/>
      <c r="B1500" s="7" t="n"/>
      <c r="C1500" s="8" t="n"/>
      <c r="D1500" s="9" t="n"/>
      <c r="E1500" s="8" t="n"/>
      <c r="F1500" s="9" t="n"/>
      <c r="G1500" s="9" t="n"/>
      <c r="H1500" s="3">
        <f>IF(AND(D1500&lt;&gt;"",F1500&lt;&gt;""),F1500-D1500-G1500,"")</f>
        <v/>
      </c>
      <c r="I1500" s="14">
        <f>IF(E1500&lt;&gt;"", YEARFRAC(C1500, E1500) * 12, "")</f>
        <v/>
      </c>
      <c r="J1500" s="2">
        <f>IF(I1500="", "", IF(OR(AND(A1500="Listed Equity Shares", I1500&gt;12), AND(A1500="Unlisted Equity Shares", I1500&gt;24)), "Long Term", "Short Term"))</f>
        <v/>
      </c>
      <c r="K1500" s="5">
        <f>IF(J1500="", "", IF(J1500="Long Term", 12.5%,"as per slab"))</f>
        <v/>
      </c>
      <c r="L1500" s="3">
        <f>+IFERROR(IF(J1500="","",H1500*K1500),"as per slab")</f>
        <v/>
      </c>
    </row>
    <row r="1501">
      <c r="A1501" s="7" t="n"/>
      <c r="B1501" s="7" t="n"/>
      <c r="C1501" s="8" t="n"/>
      <c r="D1501" s="9" t="n"/>
      <c r="E1501" s="8" t="n"/>
      <c r="F1501" s="9" t="n"/>
      <c r="G1501" s="9" t="n"/>
      <c r="H1501" s="3">
        <f>IF(AND(D1501&lt;&gt;"",F1501&lt;&gt;""),F1501-D1501-G1501,"")</f>
        <v/>
      </c>
      <c r="I1501" s="14">
        <f>IF(E1501&lt;&gt;"", YEARFRAC(C1501, E1501) * 12, "")</f>
        <v/>
      </c>
      <c r="J1501" s="2">
        <f>IF(I1501="", "", IF(OR(AND(A1501="Listed Equity Shares", I1501&gt;12), AND(A1501="Unlisted Equity Shares", I1501&gt;24)), "Long Term", "Short Term"))</f>
        <v/>
      </c>
      <c r="K1501" s="5">
        <f>IF(J1501="", "", IF(J1501="Long Term", 12.5%,"as per slab"))</f>
        <v/>
      </c>
      <c r="L1501" s="3">
        <f>+IFERROR(IF(J1501="","",H1501*K1501),"as per slab")</f>
        <v/>
      </c>
    </row>
    <row r="1502">
      <c r="A1502" s="7" t="n"/>
      <c r="B1502" s="7" t="n"/>
      <c r="C1502" s="8" t="n"/>
      <c r="D1502" s="9" t="n"/>
      <c r="E1502" s="8" t="n"/>
      <c r="F1502" s="9" t="n"/>
      <c r="G1502" s="9" t="n"/>
      <c r="H1502" s="3">
        <f>IF(AND(D1502&lt;&gt;"",F1502&lt;&gt;""),F1502-D1502-G1502,"")</f>
        <v/>
      </c>
      <c r="I1502" s="14">
        <f>IF(E1502&lt;&gt;"", YEARFRAC(C1502, E1502) * 12, "")</f>
        <v/>
      </c>
      <c r="J1502" s="2">
        <f>IF(I1502="", "", IF(OR(AND(A1502="Listed Equity Shares", I1502&gt;12), AND(A1502="Unlisted Equity Shares", I1502&gt;24)), "Long Term", "Short Term"))</f>
        <v/>
      </c>
      <c r="K1502" s="5">
        <f>IF(J1502="", "", IF(J1502="Long Term", 12.5%,"as per slab"))</f>
        <v/>
      </c>
      <c r="L1502" s="3">
        <f>+IFERROR(IF(J1502="","",H1502*K1502),"as per slab")</f>
        <v/>
      </c>
    </row>
    <row r="1503">
      <c r="A1503" s="7" t="n"/>
      <c r="B1503" s="7" t="n"/>
      <c r="C1503" s="8" t="n"/>
      <c r="D1503" s="9" t="n"/>
      <c r="E1503" s="8" t="n"/>
      <c r="F1503" s="9" t="n"/>
      <c r="G1503" s="9" t="n"/>
      <c r="H1503" s="3">
        <f>IF(AND(D1503&lt;&gt;"",F1503&lt;&gt;""),F1503-D1503-G1503,"")</f>
        <v/>
      </c>
      <c r="I1503" s="14">
        <f>IF(E1503&lt;&gt;"", YEARFRAC(C1503, E1503) * 12, "")</f>
        <v/>
      </c>
      <c r="J1503" s="2">
        <f>IF(I1503="", "", IF(OR(AND(A1503="Listed Equity Shares", I1503&gt;12), AND(A1503="Unlisted Equity Shares", I1503&gt;24)), "Long Term", "Short Term"))</f>
        <v/>
      </c>
      <c r="K1503" s="5">
        <f>IF(J1503="", "", IF(J1503="Long Term", 12.5%,"as per slab"))</f>
        <v/>
      </c>
      <c r="L1503" s="3">
        <f>+IFERROR(IF(J1503="","",H1503*K1503),"as per slab")</f>
        <v/>
      </c>
    </row>
    <row r="1504">
      <c r="A1504" s="7" t="n"/>
      <c r="B1504" s="7" t="n"/>
      <c r="C1504" s="8" t="n"/>
      <c r="D1504" s="9" t="n"/>
      <c r="E1504" s="8" t="n"/>
      <c r="F1504" s="9" t="n"/>
      <c r="G1504" s="9" t="n"/>
      <c r="H1504" s="3">
        <f>IF(AND(D1504&lt;&gt;"",F1504&lt;&gt;""),F1504-D1504-G1504,"")</f>
        <v/>
      </c>
      <c r="I1504" s="14">
        <f>IF(E1504&lt;&gt;"", YEARFRAC(C1504, E1504) * 12, "")</f>
        <v/>
      </c>
      <c r="J1504" s="2">
        <f>IF(I1504="", "", IF(OR(AND(A1504="Listed Equity Shares", I1504&gt;12), AND(A1504="Unlisted Equity Shares", I1504&gt;24)), "Long Term", "Short Term"))</f>
        <v/>
      </c>
      <c r="K1504" s="5">
        <f>IF(J1504="", "", IF(J1504="Long Term", 12.5%,"as per slab"))</f>
        <v/>
      </c>
      <c r="L1504" s="3">
        <f>+IFERROR(IF(J1504="","",H1504*K1504),"as per slab")</f>
        <v/>
      </c>
    </row>
    <row r="1505">
      <c r="A1505" s="7" t="n"/>
      <c r="B1505" s="7" t="n"/>
      <c r="C1505" s="8" t="n"/>
      <c r="D1505" s="9" t="n"/>
      <c r="E1505" s="8" t="n"/>
      <c r="F1505" s="9" t="n"/>
      <c r="G1505" s="9" t="n"/>
      <c r="H1505" s="3">
        <f>IF(AND(D1505&lt;&gt;"",F1505&lt;&gt;""),F1505-D1505-G1505,"")</f>
        <v/>
      </c>
      <c r="I1505" s="14">
        <f>IF(E1505&lt;&gt;"", YEARFRAC(C1505, E1505) * 12, "")</f>
        <v/>
      </c>
      <c r="J1505" s="2">
        <f>IF(I1505="", "", IF(OR(AND(A1505="Listed Equity Shares", I1505&gt;12), AND(A1505="Unlisted Equity Shares", I1505&gt;24)), "Long Term", "Short Term"))</f>
        <v/>
      </c>
      <c r="K1505" s="5">
        <f>IF(J1505="", "", IF(J1505="Long Term", 12.5%,"as per slab"))</f>
        <v/>
      </c>
      <c r="L1505" s="3">
        <f>+IFERROR(IF(J1505="","",H1505*K1505),"as per slab")</f>
        <v/>
      </c>
    </row>
    <row r="1506">
      <c r="A1506" s="7" t="n"/>
      <c r="B1506" s="7" t="n"/>
      <c r="C1506" s="8" t="n"/>
      <c r="D1506" s="9" t="n"/>
      <c r="E1506" s="8" t="n"/>
      <c r="F1506" s="9" t="n"/>
      <c r="G1506" s="9" t="n"/>
      <c r="H1506" s="3">
        <f>IF(AND(D1506&lt;&gt;"",F1506&lt;&gt;""),F1506-D1506-G1506,"")</f>
        <v/>
      </c>
      <c r="I1506" s="14">
        <f>IF(E1506&lt;&gt;"", YEARFRAC(C1506, E1506) * 12, "")</f>
        <v/>
      </c>
      <c r="J1506" s="2">
        <f>IF(I1506="", "", IF(OR(AND(A1506="Listed Equity Shares", I1506&gt;12), AND(A1506="Unlisted Equity Shares", I1506&gt;24)), "Long Term", "Short Term"))</f>
        <v/>
      </c>
      <c r="K1506" s="5">
        <f>IF(J1506="", "", IF(J1506="Long Term", 12.5%,"as per slab"))</f>
        <v/>
      </c>
      <c r="L1506" s="3">
        <f>+IFERROR(IF(J1506="","",H1506*K1506),"as per slab")</f>
        <v/>
      </c>
    </row>
    <row r="1507">
      <c r="A1507" s="7" t="n"/>
      <c r="B1507" s="7" t="n"/>
      <c r="C1507" s="8" t="n"/>
      <c r="D1507" s="9" t="n"/>
      <c r="E1507" s="8" t="n"/>
      <c r="F1507" s="9" t="n"/>
      <c r="G1507" s="9" t="n"/>
      <c r="H1507" s="3">
        <f>IF(AND(D1507&lt;&gt;"",F1507&lt;&gt;""),F1507-D1507-G1507,"")</f>
        <v/>
      </c>
      <c r="I1507" s="14">
        <f>IF(E1507&lt;&gt;"", YEARFRAC(C1507, E1507) * 12, "")</f>
        <v/>
      </c>
      <c r="J1507" s="2">
        <f>IF(I1507="", "", IF(OR(AND(A1507="Listed Equity Shares", I1507&gt;12), AND(A1507="Unlisted Equity Shares", I1507&gt;24)), "Long Term", "Short Term"))</f>
        <v/>
      </c>
      <c r="K1507" s="5">
        <f>IF(J1507="", "", IF(J1507="Long Term", 12.5%,"as per slab"))</f>
        <v/>
      </c>
      <c r="L1507" s="3">
        <f>+IFERROR(IF(J1507="","",H1507*K1507),"as per slab")</f>
        <v/>
      </c>
    </row>
    <row r="1508">
      <c r="A1508" s="7" t="n"/>
      <c r="B1508" s="7" t="n"/>
      <c r="C1508" s="8" t="n"/>
      <c r="D1508" s="9" t="n"/>
      <c r="E1508" s="8" t="n"/>
      <c r="F1508" s="9" t="n"/>
      <c r="G1508" s="9" t="n"/>
      <c r="H1508" s="3">
        <f>IF(AND(D1508&lt;&gt;"",F1508&lt;&gt;""),F1508-D1508-G1508,"")</f>
        <v/>
      </c>
      <c r="I1508" s="14">
        <f>IF(E1508&lt;&gt;"", YEARFRAC(C1508, E1508) * 12, "")</f>
        <v/>
      </c>
      <c r="J1508" s="2">
        <f>IF(I1508="", "", IF(OR(AND(A1508="Listed Equity Shares", I1508&gt;12), AND(A1508="Unlisted Equity Shares", I1508&gt;24)), "Long Term", "Short Term"))</f>
        <v/>
      </c>
      <c r="K1508" s="5">
        <f>IF(J1508="", "", IF(J1508="Long Term", 12.5%,"as per slab"))</f>
        <v/>
      </c>
      <c r="L1508" s="3">
        <f>+IFERROR(IF(J1508="","",H1508*K1508),"as per slab")</f>
        <v/>
      </c>
    </row>
    <row r="1509">
      <c r="A1509" s="7" t="n"/>
      <c r="B1509" s="7" t="n"/>
      <c r="C1509" s="8" t="n"/>
      <c r="D1509" s="9" t="n"/>
      <c r="E1509" s="8" t="n"/>
      <c r="F1509" s="9" t="n"/>
      <c r="G1509" s="9" t="n"/>
      <c r="H1509" s="3">
        <f>IF(AND(D1509&lt;&gt;"",F1509&lt;&gt;""),F1509-D1509-G1509,"")</f>
        <v/>
      </c>
      <c r="I1509" s="14">
        <f>IF(E1509&lt;&gt;"", YEARFRAC(C1509, E1509) * 12, "")</f>
        <v/>
      </c>
      <c r="J1509" s="2">
        <f>IF(I1509="", "", IF(OR(AND(A1509="Listed Equity Shares", I1509&gt;12), AND(A1509="Unlisted Equity Shares", I1509&gt;24)), "Long Term", "Short Term"))</f>
        <v/>
      </c>
      <c r="K1509" s="5">
        <f>IF(J1509="", "", IF(J1509="Long Term", 12.5%,"as per slab"))</f>
        <v/>
      </c>
      <c r="L1509" s="3">
        <f>+IFERROR(IF(J1509="","",H1509*K1509),"as per slab")</f>
        <v/>
      </c>
    </row>
    <row r="1510">
      <c r="A1510" s="7" t="n"/>
      <c r="B1510" s="7" t="n"/>
      <c r="C1510" s="8" t="n"/>
      <c r="D1510" s="9" t="n"/>
      <c r="E1510" s="8" t="n"/>
      <c r="F1510" s="9" t="n"/>
      <c r="G1510" s="9" t="n"/>
      <c r="H1510" s="3">
        <f>IF(AND(D1510&lt;&gt;"",F1510&lt;&gt;""),F1510-D1510-G1510,"")</f>
        <v/>
      </c>
      <c r="I1510" s="14">
        <f>IF(E1510&lt;&gt;"", YEARFRAC(C1510, E1510) * 12, "")</f>
        <v/>
      </c>
      <c r="J1510" s="2">
        <f>IF(I1510="", "", IF(OR(AND(A1510="Listed Equity Shares", I1510&gt;12), AND(A1510="Unlisted Equity Shares", I1510&gt;24)), "Long Term", "Short Term"))</f>
        <v/>
      </c>
      <c r="K1510" s="5">
        <f>IF(J1510="", "", IF(J1510="Long Term", 12.5%,"as per slab"))</f>
        <v/>
      </c>
      <c r="L1510" s="3">
        <f>+IFERROR(IF(J1510="","",H1510*K1510),"as per slab")</f>
        <v/>
      </c>
    </row>
    <row r="1511">
      <c r="A1511" s="7" t="n"/>
      <c r="B1511" s="7" t="n"/>
      <c r="C1511" s="8" t="n"/>
      <c r="D1511" s="9" t="n"/>
      <c r="E1511" s="8" t="n"/>
      <c r="F1511" s="9" t="n"/>
      <c r="G1511" s="9" t="n"/>
      <c r="H1511" s="3">
        <f>IF(AND(D1511&lt;&gt;"",F1511&lt;&gt;""),F1511-D1511-G1511,"")</f>
        <v/>
      </c>
      <c r="I1511" s="14">
        <f>IF(E1511&lt;&gt;"", YEARFRAC(C1511, E1511) * 12, "")</f>
        <v/>
      </c>
      <c r="J1511" s="2">
        <f>IF(I1511="", "", IF(OR(AND(A1511="Listed Equity Shares", I1511&gt;12), AND(A1511="Unlisted Equity Shares", I1511&gt;24)), "Long Term", "Short Term"))</f>
        <v/>
      </c>
      <c r="K1511" s="5">
        <f>IF(J1511="", "", IF(J1511="Long Term", 12.5%,"as per slab"))</f>
        <v/>
      </c>
      <c r="L1511" s="3">
        <f>+IFERROR(IF(J1511="","",H1511*K1511),"as per slab")</f>
        <v/>
      </c>
    </row>
    <row r="1512">
      <c r="A1512" s="7" t="n"/>
      <c r="B1512" s="7" t="n"/>
      <c r="C1512" s="8" t="n"/>
      <c r="D1512" s="9" t="n"/>
      <c r="E1512" s="8" t="n"/>
      <c r="F1512" s="9" t="n"/>
      <c r="G1512" s="9" t="n"/>
      <c r="H1512" s="3">
        <f>IF(AND(D1512&lt;&gt;"",F1512&lt;&gt;""),F1512-D1512-G1512,"")</f>
        <v/>
      </c>
      <c r="I1512" s="14">
        <f>IF(E1512&lt;&gt;"", YEARFRAC(C1512, E1512) * 12, "")</f>
        <v/>
      </c>
      <c r="J1512" s="2">
        <f>IF(I1512="", "", IF(OR(AND(A1512="Listed Equity Shares", I1512&gt;12), AND(A1512="Unlisted Equity Shares", I1512&gt;24)), "Long Term", "Short Term"))</f>
        <v/>
      </c>
      <c r="K1512" s="5">
        <f>IF(J1512="", "", IF(J1512="Long Term", 12.5%,"as per slab"))</f>
        <v/>
      </c>
      <c r="L1512" s="3">
        <f>+IFERROR(IF(J1512="","",H1512*K1512),"as per slab")</f>
        <v/>
      </c>
    </row>
    <row r="1513">
      <c r="A1513" s="7" t="n"/>
      <c r="B1513" s="7" t="n"/>
      <c r="C1513" s="8" t="n"/>
      <c r="D1513" s="9" t="n"/>
      <c r="E1513" s="8" t="n"/>
      <c r="F1513" s="9" t="n"/>
      <c r="G1513" s="9" t="n"/>
      <c r="H1513" s="3">
        <f>IF(AND(D1513&lt;&gt;"",F1513&lt;&gt;""),F1513-D1513-G1513,"")</f>
        <v/>
      </c>
      <c r="I1513" s="14">
        <f>IF(E1513&lt;&gt;"", YEARFRAC(C1513, E1513) * 12, "")</f>
        <v/>
      </c>
      <c r="J1513" s="2">
        <f>IF(I1513="", "", IF(OR(AND(A1513="Listed Equity Shares", I1513&gt;12), AND(A1513="Unlisted Equity Shares", I1513&gt;24)), "Long Term", "Short Term"))</f>
        <v/>
      </c>
      <c r="K1513" s="5">
        <f>IF(J1513="", "", IF(J1513="Long Term", 12.5%,"as per slab"))</f>
        <v/>
      </c>
      <c r="L1513" s="3">
        <f>+IFERROR(IF(J1513="","",H1513*K1513),"as per slab")</f>
        <v/>
      </c>
    </row>
    <row r="1514">
      <c r="A1514" s="7" t="n"/>
      <c r="B1514" s="7" t="n"/>
      <c r="C1514" s="8" t="n"/>
      <c r="D1514" s="9" t="n"/>
      <c r="E1514" s="8" t="n"/>
      <c r="F1514" s="9" t="n"/>
      <c r="G1514" s="9" t="n"/>
      <c r="H1514" s="3">
        <f>IF(AND(D1514&lt;&gt;"",F1514&lt;&gt;""),F1514-D1514-G1514,"")</f>
        <v/>
      </c>
      <c r="I1514" s="14">
        <f>IF(E1514&lt;&gt;"", YEARFRAC(C1514, E1514) * 12, "")</f>
        <v/>
      </c>
      <c r="J1514" s="2">
        <f>IF(I1514="", "", IF(OR(AND(A1514="Listed Equity Shares", I1514&gt;12), AND(A1514="Unlisted Equity Shares", I1514&gt;24)), "Long Term", "Short Term"))</f>
        <v/>
      </c>
      <c r="K1514" s="5">
        <f>IF(J1514="", "", IF(J1514="Long Term", 12.5%,"as per slab"))</f>
        <v/>
      </c>
      <c r="L1514" s="3">
        <f>+IFERROR(IF(J1514="","",H1514*K1514),"as per slab")</f>
        <v/>
      </c>
    </row>
    <row r="1515">
      <c r="A1515" s="7" t="n"/>
      <c r="B1515" s="7" t="n"/>
      <c r="C1515" s="8" t="n"/>
      <c r="D1515" s="9" t="n"/>
      <c r="E1515" s="8" t="n"/>
      <c r="F1515" s="9" t="n"/>
      <c r="G1515" s="9" t="n"/>
      <c r="H1515" s="3">
        <f>IF(AND(D1515&lt;&gt;"",F1515&lt;&gt;""),F1515-D1515-G1515,"")</f>
        <v/>
      </c>
      <c r="I1515" s="14">
        <f>IF(E1515&lt;&gt;"", YEARFRAC(C1515, E1515) * 12, "")</f>
        <v/>
      </c>
      <c r="J1515" s="2">
        <f>IF(I1515="", "", IF(OR(AND(A1515="Listed Equity Shares", I1515&gt;12), AND(A1515="Unlisted Equity Shares", I1515&gt;24)), "Long Term", "Short Term"))</f>
        <v/>
      </c>
      <c r="K1515" s="5">
        <f>IF(J1515="", "", IF(J1515="Long Term", 12.5%,"as per slab"))</f>
        <v/>
      </c>
      <c r="L1515" s="3">
        <f>+IFERROR(IF(J1515="","",H1515*K1515),"as per slab")</f>
        <v/>
      </c>
    </row>
    <row r="1516">
      <c r="A1516" s="7" t="n"/>
      <c r="B1516" s="7" t="n"/>
      <c r="C1516" s="8" t="n"/>
      <c r="D1516" s="9" t="n"/>
      <c r="E1516" s="8" t="n"/>
      <c r="F1516" s="9" t="n"/>
      <c r="G1516" s="9" t="n"/>
      <c r="H1516" s="3">
        <f>IF(AND(D1516&lt;&gt;"",F1516&lt;&gt;""),F1516-D1516-G1516,"")</f>
        <v/>
      </c>
      <c r="I1516" s="14">
        <f>IF(E1516&lt;&gt;"", YEARFRAC(C1516, E1516) * 12, "")</f>
        <v/>
      </c>
      <c r="J1516" s="2">
        <f>IF(I1516="", "", IF(OR(AND(A1516="Listed Equity Shares", I1516&gt;12), AND(A1516="Unlisted Equity Shares", I1516&gt;24)), "Long Term", "Short Term"))</f>
        <v/>
      </c>
      <c r="K1516" s="5">
        <f>IF(J1516="", "", IF(J1516="Long Term", 12.5%,"as per slab"))</f>
        <v/>
      </c>
      <c r="L1516" s="3">
        <f>+IFERROR(IF(J1516="","",H1516*K1516),"as per slab")</f>
        <v/>
      </c>
    </row>
    <row r="1517">
      <c r="A1517" s="7" t="n"/>
      <c r="B1517" s="7" t="n"/>
      <c r="C1517" s="8" t="n"/>
      <c r="D1517" s="9" t="n"/>
      <c r="E1517" s="8" t="n"/>
      <c r="F1517" s="9" t="n"/>
      <c r="G1517" s="9" t="n"/>
      <c r="H1517" s="3">
        <f>IF(AND(D1517&lt;&gt;"",F1517&lt;&gt;""),F1517-D1517-G1517,"")</f>
        <v/>
      </c>
      <c r="I1517" s="14">
        <f>IF(E1517&lt;&gt;"", YEARFRAC(C1517, E1517) * 12, "")</f>
        <v/>
      </c>
      <c r="J1517" s="2">
        <f>IF(I1517="", "", IF(OR(AND(A1517="Listed Equity Shares", I1517&gt;12), AND(A1517="Unlisted Equity Shares", I1517&gt;24)), "Long Term", "Short Term"))</f>
        <v/>
      </c>
      <c r="K1517" s="5">
        <f>IF(J1517="", "", IF(J1517="Long Term", 12.5%,"as per slab"))</f>
        <v/>
      </c>
      <c r="L1517" s="3">
        <f>+IFERROR(IF(J1517="","",H1517*K1517),"as per slab")</f>
        <v/>
      </c>
    </row>
    <row r="1518">
      <c r="A1518" s="7" t="n"/>
      <c r="B1518" s="7" t="n"/>
      <c r="C1518" s="8" t="n"/>
      <c r="D1518" s="9" t="n"/>
      <c r="E1518" s="8" t="n"/>
      <c r="F1518" s="9" t="n"/>
      <c r="G1518" s="9" t="n"/>
      <c r="H1518" s="3">
        <f>IF(AND(D1518&lt;&gt;"",F1518&lt;&gt;""),F1518-D1518-G1518,"")</f>
        <v/>
      </c>
      <c r="I1518" s="14">
        <f>IF(E1518&lt;&gt;"", YEARFRAC(C1518, E1518) * 12, "")</f>
        <v/>
      </c>
      <c r="J1518" s="2">
        <f>IF(I1518="", "", IF(OR(AND(A1518="Listed Equity Shares", I1518&gt;12), AND(A1518="Unlisted Equity Shares", I1518&gt;24)), "Long Term", "Short Term"))</f>
        <v/>
      </c>
      <c r="K1518" s="5">
        <f>IF(J1518="", "", IF(J1518="Long Term", 12.5%,"as per slab"))</f>
        <v/>
      </c>
      <c r="L1518" s="3">
        <f>+IFERROR(IF(J1518="","",H1518*K1518),"as per slab")</f>
        <v/>
      </c>
    </row>
    <row r="1519">
      <c r="A1519" s="7" t="n"/>
      <c r="B1519" s="7" t="n"/>
      <c r="C1519" s="8" t="n"/>
      <c r="D1519" s="9" t="n"/>
      <c r="E1519" s="8" t="n"/>
      <c r="F1519" s="9" t="n"/>
      <c r="G1519" s="9" t="n"/>
      <c r="H1519" s="3">
        <f>IF(AND(D1519&lt;&gt;"",F1519&lt;&gt;""),F1519-D1519-G1519,"")</f>
        <v/>
      </c>
      <c r="I1519" s="14">
        <f>IF(E1519&lt;&gt;"", YEARFRAC(C1519, E1519) * 12, "")</f>
        <v/>
      </c>
      <c r="J1519" s="2">
        <f>IF(I1519="", "", IF(OR(AND(A1519="Listed Equity Shares", I1519&gt;12), AND(A1519="Unlisted Equity Shares", I1519&gt;24)), "Long Term", "Short Term"))</f>
        <v/>
      </c>
      <c r="K1519" s="5">
        <f>IF(J1519="", "", IF(J1519="Long Term", 12.5%,"as per slab"))</f>
        <v/>
      </c>
      <c r="L1519" s="3">
        <f>+IFERROR(IF(J1519="","",H1519*K1519),"as per slab")</f>
        <v/>
      </c>
    </row>
    <row r="1520">
      <c r="A1520" s="7" t="n"/>
      <c r="B1520" s="7" t="n"/>
      <c r="C1520" s="8" t="n"/>
      <c r="D1520" s="9" t="n"/>
      <c r="E1520" s="8" t="n"/>
      <c r="F1520" s="9" t="n"/>
      <c r="G1520" s="9" t="n"/>
      <c r="H1520" s="3">
        <f>IF(AND(D1520&lt;&gt;"",F1520&lt;&gt;""),F1520-D1520-G1520,"")</f>
        <v/>
      </c>
      <c r="I1520" s="14">
        <f>IF(E1520&lt;&gt;"", YEARFRAC(C1520, E1520) * 12, "")</f>
        <v/>
      </c>
      <c r="J1520" s="2">
        <f>IF(I1520="", "", IF(OR(AND(A1520="Listed Equity Shares", I1520&gt;12), AND(A1520="Unlisted Equity Shares", I1520&gt;24)), "Long Term", "Short Term"))</f>
        <v/>
      </c>
      <c r="K1520" s="5">
        <f>IF(J1520="", "", IF(J1520="Long Term", 12.5%,"as per slab"))</f>
        <v/>
      </c>
      <c r="L1520" s="3">
        <f>+IFERROR(IF(J1520="","",H1520*K1520),"as per slab")</f>
        <v/>
      </c>
    </row>
    <row r="1521">
      <c r="A1521" s="7" t="n"/>
      <c r="B1521" s="7" t="n"/>
      <c r="C1521" s="8" t="n"/>
      <c r="D1521" s="9" t="n"/>
      <c r="E1521" s="8" t="n"/>
      <c r="F1521" s="9" t="n"/>
      <c r="G1521" s="9" t="n"/>
      <c r="H1521" s="3">
        <f>IF(AND(D1521&lt;&gt;"",F1521&lt;&gt;""),F1521-D1521-G1521,"")</f>
        <v/>
      </c>
      <c r="I1521" s="14">
        <f>IF(E1521&lt;&gt;"", YEARFRAC(C1521, E1521) * 12, "")</f>
        <v/>
      </c>
      <c r="J1521" s="2">
        <f>IF(I1521="", "", IF(OR(AND(A1521="Listed Equity Shares", I1521&gt;12), AND(A1521="Unlisted Equity Shares", I1521&gt;24)), "Long Term", "Short Term"))</f>
        <v/>
      </c>
      <c r="K1521" s="5">
        <f>IF(J1521="", "", IF(J1521="Long Term", 12.5%,"as per slab"))</f>
        <v/>
      </c>
      <c r="L1521" s="3">
        <f>+IFERROR(IF(J1521="","",H1521*K1521),"as per slab")</f>
        <v/>
      </c>
    </row>
    <row r="1522">
      <c r="A1522" s="7" t="n"/>
      <c r="B1522" s="7" t="n"/>
      <c r="C1522" s="8" t="n"/>
      <c r="D1522" s="9" t="n"/>
      <c r="E1522" s="8" t="n"/>
      <c r="F1522" s="9" t="n"/>
      <c r="G1522" s="9" t="n"/>
      <c r="H1522" s="3">
        <f>IF(AND(D1522&lt;&gt;"",F1522&lt;&gt;""),F1522-D1522-G1522,"")</f>
        <v/>
      </c>
      <c r="I1522" s="14">
        <f>IF(E1522&lt;&gt;"", YEARFRAC(C1522, E1522) * 12, "")</f>
        <v/>
      </c>
      <c r="J1522" s="2">
        <f>IF(I1522="", "", IF(OR(AND(A1522="Listed Equity Shares", I1522&gt;12), AND(A1522="Unlisted Equity Shares", I1522&gt;24)), "Long Term", "Short Term"))</f>
        <v/>
      </c>
      <c r="K1522" s="5">
        <f>IF(J1522="", "", IF(J1522="Long Term", 12.5%,"as per slab"))</f>
        <v/>
      </c>
      <c r="L1522" s="3">
        <f>+IFERROR(IF(J1522="","",H1522*K1522),"as per slab")</f>
        <v/>
      </c>
    </row>
    <row r="1523">
      <c r="A1523" s="7" t="n"/>
      <c r="B1523" s="7" t="n"/>
      <c r="C1523" s="8" t="n"/>
      <c r="D1523" s="9" t="n"/>
      <c r="E1523" s="8" t="n"/>
      <c r="F1523" s="9" t="n"/>
      <c r="G1523" s="9" t="n"/>
      <c r="H1523" s="3">
        <f>IF(AND(D1523&lt;&gt;"",F1523&lt;&gt;""),F1523-D1523-G1523,"")</f>
        <v/>
      </c>
      <c r="I1523" s="14">
        <f>IF(E1523&lt;&gt;"", YEARFRAC(C1523, E1523) * 12, "")</f>
        <v/>
      </c>
      <c r="J1523" s="2">
        <f>IF(I1523="", "", IF(OR(AND(A1523="Listed Equity Shares", I1523&gt;12), AND(A1523="Unlisted Equity Shares", I1523&gt;24)), "Long Term", "Short Term"))</f>
        <v/>
      </c>
      <c r="K1523" s="5">
        <f>IF(J1523="", "", IF(J1523="Long Term", 12.5%,"as per slab"))</f>
        <v/>
      </c>
      <c r="L1523" s="3">
        <f>+IFERROR(IF(J1523="","",H1523*K1523),"as per slab")</f>
        <v/>
      </c>
    </row>
    <row r="1524">
      <c r="A1524" s="7" t="n"/>
      <c r="B1524" s="7" t="n"/>
      <c r="C1524" s="8" t="n"/>
      <c r="D1524" s="9" t="n"/>
      <c r="E1524" s="8" t="n"/>
      <c r="F1524" s="9" t="n"/>
      <c r="G1524" s="9" t="n"/>
      <c r="H1524" s="3">
        <f>IF(AND(D1524&lt;&gt;"",F1524&lt;&gt;""),F1524-D1524-G1524,"")</f>
        <v/>
      </c>
      <c r="I1524" s="14">
        <f>IF(E1524&lt;&gt;"", YEARFRAC(C1524, E1524) * 12, "")</f>
        <v/>
      </c>
      <c r="J1524" s="2">
        <f>IF(I1524="", "", IF(OR(AND(A1524="Listed Equity Shares", I1524&gt;12), AND(A1524="Unlisted Equity Shares", I1524&gt;24)), "Long Term", "Short Term"))</f>
        <v/>
      </c>
      <c r="K1524" s="5">
        <f>IF(J1524="", "", IF(J1524="Long Term", 12.5%,"as per slab"))</f>
        <v/>
      </c>
      <c r="L1524" s="3">
        <f>+IFERROR(IF(J1524="","",H1524*K1524),"as per slab")</f>
        <v/>
      </c>
    </row>
    <row r="1525">
      <c r="A1525" s="7" t="n"/>
      <c r="B1525" s="7" t="n"/>
      <c r="C1525" s="8" t="n"/>
      <c r="D1525" s="9" t="n"/>
      <c r="E1525" s="8" t="n"/>
      <c r="F1525" s="9" t="n"/>
      <c r="G1525" s="9" t="n"/>
      <c r="H1525" s="3">
        <f>IF(AND(D1525&lt;&gt;"",F1525&lt;&gt;""),F1525-D1525-G1525,"")</f>
        <v/>
      </c>
      <c r="I1525" s="14">
        <f>IF(E1525&lt;&gt;"", YEARFRAC(C1525, E1525) * 12, "")</f>
        <v/>
      </c>
      <c r="J1525" s="2">
        <f>IF(I1525="", "", IF(OR(AND(A1525="Listed Equity Shares", I1525&gt;12), AND(A1525="Unlisted Equity Shares", I1525&gt;24)), "Long Term", "Short Term"))</f>
        <v/>
      </c>
      <c r="K1525" s="5">
        <f>IF(J1525="", "", IF(J1525="Long Term", 12.5%,"as per slab"))</f>
        <v/>
      </c>
      <c r="L1525" s="3">
        <f>+IFERROR(IF(J1525="","",H1525*K1525),"as per slab")</f>
        <v/>
      </c>
    </row>
    <row r="1526">
      <c r="A1526" s="7" t="n"/>
      <c r="B1526" s="7" t="n"/>
      <c r="C1526" s="8" t="n"/>
      <c r="D1526" s="9" t="n"/>
      <c r="E1526" s="8" t="n"/>
      <c r="F1526" s="9" t="n"/>
      <c r="G1526" s="9" t="n"/>
      <c r="H1526" s="3">
        <f>IF(AND(D1526&lt;&gt;"",F1526&lt;&gt;""),F1526-D1526-G1526,"")</f>
        <v/>
      </c>
      <c r="I1526" s="14">
        <f>IF(E1526&lt;&gt;"", YEARFRAC(C1526, E1526) * 12, "")</f>
        <v/>
      </c>
      <c r="J1526" s="2">
        <f>IF(I1526="", "", IF(OR(AND(A1526="Listed Equity Shares", I1526&gt;12), AND(A1526="Unlisted Equity Shares", I1526&gt;24)), "Long Term", "Short Term"))</f>
        <v/>
      </c>
      <c r="K1526" s="5">
        <f>IF(J1526="", "", IF(J1526="Long Term", 12.5%,"as per slab"))</f>
        <v/>
      </c>
      <c r="L1526" s="3">
        <f>+IFERROR(IF(J1526="","",H1526*K1526),"as per slab")</f>
        <v/>
      </c>
    </row>
    <row r="1527">
      <c r="A1527" s="7" t="n"/>
      <c r="B1527" s="7" t="n"/>
      <c r="C1527" s="8" t="n"/>
      <c r="D1527" s="9" t="n"/>
      <c r="E1527" s="8" t="n"/>
      <c r="F1527" s="9" t="n"/>
      <c r="G1527" s="9" t="n"/>
      <c r="H1527" s="3">
        <f>IF(AND(D1527&lt;&gt;"",F1527&lt;&gt;""),F1527-D1527-G1527,"")</f>
        <v/>
      </c>
      <c r="I1527" s="14">
        <f>IF(E1527&lt;&gt;"", YEARFRAC(C1527, E1527) * 12, "")</f>
        <v/>
      </c>
      <c r="J1527" s="2">
        <f>IF(I1527="", "", IF(OR(AND(A1527="Listed Equity Shares", I1527&gt;12), AND(A1527="Unlisted Equity Shares", I1527&gt;24)), "Long Term", "Short Term"))</f>
        <v/>
      </c>
      <c r="K1527" s="5">
        <f>IF(J1527="", "", IF(J1527="Long Term", 12.5%,"as per slab"))</f>
        <v/>
      </c>
      <c r="L1527" s="3">
        <f>+IFERROR(IF(J1527="","",H1527*K1527),"as per slab")</f>
        <v/>
      </c>
    </row>
    <row r="1528">
      <c r="A1528" s="7" t="n"/>
      <c r="B1528" s="7" t="n"/>
      <c r="C1528" s="8" t="n"/>
      <c r="D1528" s="9" t="n"/>
      <c r="E1528" s="8" t="n"/>
      <c r="F1528" s="9" t="n"/>
      <c r="G1528" s="9" t="n"/>
      <c r="H1528" s="3">
        <f>IF(AND(D1528&lt;&gt;"",F1528&lt;&gt;""),F1528-D1528-G1528,"")</f>
        <v/>
      </c>
      <c r="I1528" s="14">
        <f>IF(E1528&lt;&gt;"", YEARFRAC(C1528, E1528) * 12, "")</f>
        <v/>
      </c>
      <c r="J1528" s="2">
        <f>IF(I1528="", "", IF(OR(AND(A1528="Listed Equity Shares", I1528&gt;12), AND(A1528="Unlisted Equity Shares", I1528&gt;24)), "Long Term", "Short Term"))</f>
        <v/>
      </c>
      <c r="K1528" s="5">
        <f>IF(J1528="", "", IF(J1528="Long Term", 12.5%,"as per slab"))</f>
        <v/>
      </c>
      <c r="L1528" s="3">
        <f>+IFERROR(IF(J1528="","",H1528*K1528),"as per slab")</f>
        <v/>
      </c>
    </row>
    <row r="1529">
      <c r="A1529" s="7" t="n"/>
      <c r="B1529" s="7" t="n"/>
      <c r="C1529" s="8" t="n"/>
      <c r="D1529" s="9" t="n"/>
      <c r="E1529" s="8" t="n"/>
      <c r="F1529" s="9" t="n"/>
      <c r="G1529" s="9" t="n"/>
      <c r="H1529" s="3">
        <f>IF(AND(D1529&lt;&gt;"",F1529&lt;&gt;""),F1529-D1529-G1529,"")</f>
        <v/>
      </c>
      <c r="I1529" s="14">
        <f>IF(E1529&lt;&gt;"", YEARFRAC(C1529, E1529) * 12, "")</f>
        <v/>
      </c>
      <c r="J1529" s="2">
        <f>IF(I1529="", "", IF(OR(AND(A1529="Listed Equity Shares", I1529&gt;12), AND(A1529="Unlisted Equity Shares", I1529&gt;24)), "Long Term", "Short Term"))</f>
        <v/>
      </c>
      <c r="K1529" s="5">
        <f>IF(J1529="", "", IF(J1529="Long Term", 12.5%,"as per slab"))</f>
        <v/>
      </c>
      <c r="L1529" s="3">
        <f>+IFERROR(IF(J1529="","",H1529*K1529),"as per slab")</f>
        <v/>
      </c>
    </row>
    <row r="1530">
      <c r="A1530" s="7" t="n"/>
      <c r="B1530" s="7" t="n"/>
      <c r="C1530" s="8" t="n"/>
      <c r="D1530" s="9" t="n"/>
      <c r="E1530" s="8" t="n"/>
      <c r="F1530" s="9" t="n"/>
      <c r="G1530" s="9" t="n"/>
      <c r="H1530" s="3">
        <f>IF(AND(D1530&lt;&gt;"",F1530&lt;&gt;""),F1530-D1530-G1530,"")</f>
        <v/>
      </c>
      <c r="I1530" s="14">
        <f>IF(E1530&lt;&gt;"", YEARFRAC(C1530, E1530) * 12, "")</f>
        <v/>
      </c>
      <c r="J1530" s="2">
        <f>IF(I1530="", "", IF(OR(AND(A1530="Listed Equity Shares", I1530&gt;12), AND(A1530="Unlisted Equity Shares", I1530&gt;24)), "Long Term", "Short Term"))</f>
        <v/>
      </c>
      <c r="K1530" s="5">
        <f>IF(J1530="", "", IF(J1530="Long Term", 12.5%,"as per slab"))</f>
        <v/>
      </c>
      <c r="L1530" s="3">
        <f>+IFERROR(IF(J1530="","",H1530*K1530),"as per slab")</f>
        <v/>
      </c>
    </row>
    <row r="1531">
      <c r="A1531" s="7" t="n"/>
      <c r="B1531" s="7" t="n"/>
      <c r="C1531" s="8" t="n"/>
      <c r="D1531" s="9" t="n"/>
      <c r="E1531" s="8" t="n"/>
      <c r="F1531" s="9" t="n"/>
      <c r="G1531" s="9" t="n"/>
      <c r="H1531" s="3">
        <f>IF(AND(D1531&lt;&gt;"",F1531&lt;&gt;""),F1531-D1531-G1531,"")</f>
        <v/>
      </c>
      <c r="I1531" s="14">
        <f>IF(E1531&lt;&gt;"", YEARFRAC(C1531, E1531) * 12, "")</f>
        <v/>
      </c>
      <c r="J1531" s="2">
        <f>IF(I1531="", "", IF(OR(AND(A1531="Listed Equity Shares", I1531&gt;12), AND(A1531="Unlisted Equity Shares", I1531&gt;24)), "Long Term", "Short Term"))</f>
        <v/>
      </c>
      <c r="K1531" s="5">
        <f>IF(J1531="", "", IF(J1531="Long Term", 12.5%,"as per slab"))</f>
        <v/>
      </c>
      <c r="L1531" s="3">
        <f>+IFERROR(IF(J1531="","",H1531*K1531),"as per slab")</f>
        <v/>
      </c>
    </row>
    <row r="1532">
      <c r="A1532" s="7" t="n"/>
      <c r="B1532" s="7" t="n"/>
      <c r="C1532" s="8" t="n"/>
      <c r="D1532" s="9" t="n"/>
      <c r="E1532" s="8" t="n"/>
      <c r="F1532" s="9" t="n"/>
      <c r="G1532" s="9" t="n"/>
      <c r="H1532" s="3">
        <f>IF(AND(D1532&lt;&gt;"",F1532&lt;&gt;""),F1532-D1532-G1532,"")</f>
        <v/>
      </c>
      <c r="I1532" s="14">
        <f>IF(E1532&lt;&gt;"", YEARFRAC(C1532, E1532) * 12, "")</f>
        <v/>
      </c>
      <c r="J1532" s="2">
        <f>IF(I1532="", "", IF(OR(AND(A1532="Listed Equity Shares", I1532&gt;12), AND(A1532="Unlisted Equity Shares", I1532&gt;24)), "Long Term", "Short Term"))</f>
        <v/>
      </c>
      <c r="K1532" s="5">
        <f>IF(J1532="", "", IF(J1532="Long Term", 12.5%,"as per slab"))</f>
        <v/>
      </c>
      <c r="L1532" s="3">
        <f>+IFERROR(IF(J1532="","",H1532*K1532),"as per slab")</f>
        <v/>
      </c>
    </row>
    <row r="1533">
      <c r="A1533" s="7" t="n"/>
      <c r="B1533" s="7" t="n"/>
      <c r="C1533" s="8" t="n"/>
      <c r="D1533" s="9" t="n"/>
      <c r="E1533" s="8" t="n"/>
      <c r="F1533" s="9" t="n"/>
      <c r="G1533" s="9" t="n"/>
      <c r="H1533" s="3">
        <f>IF(AND(D1533&lt;&gt;"",F1533&lt;&gt;""),F1533-D1533-G1533,"")</f>
        <v/>
      </c>
      <c r="I1533" s="14">
        <f>IF(E1533&lt;&gt;"", YEARFRAC(C1533, E1533) * 12, "")</f>
        <v/>
      </c>
      <c r="J1533" s="2">
        <f>IF(I1533="", "", IF(OR(AND(A1533="Listed Equity Shares", I1533&gt;12), AND(A1533="Unlisted Equity Shares", I1533&gt;24)), "Long Term", "Short Term"))</f>
        <v/>
      </c>
      <c r="K1533" s="5">
        <f>IF(J1533="", "", IF(J1533="Long Term", 12.5%,"as per slab"))</f>
        <v/>
      </c>
      <c r="L1533" s="3">
        <f>+IFERROR(IF(J1533="","",H1533*K1533),"as per slab")</f>
        <v/>
      </c>
    </row>
    <row r="1534">
      <c r="A1534" s="7" t="n"/>
      <c r="B1534" s="7" t="n"/>
      <c r="C1534" s="8" t="n"/>
      <c r="D1534" s="9" t="n"/>
      <c r="E1534" s="8" t="n"/>
      <c r="F1534" s="9" t="n"/>
      <c r="G1534" s="9" t="n"/>
      <c r="H1534" s="3">
        <f>IF(AND(D1534&lt;&gt;"",F1534&lt;&gt;""),F1534-D1534-G1534,"")</f>
        <v/>
      </c>
      <c r="I1534" s="14">
        <f>IF(E1534&lt;&gt;"", YEARFRAC(C1534, E1534) * 12, "")</f>
        <v/>
      </c>
      <c r="J1534" s="2">
        <f>IF(I1534="", "", IF(OR(AND(A1534="Listed Equity Shares", I1534&gt;12), AND(A1534="Unlisted Equity Shares", I1534&gt;24)), "Long Term", "Short Term"))</f>
        <v/>
      </c>
      <c r="K1534" s="5">
        <f>IF(J1534="", "", IF(J1534="Long Term", 12.5%,"as per slab"))</f>
        <v/>
      </c>
      <c r="L1534" s="3">
        <f>+IFERROR(IF(J1534="","",H1534*K1534),"as per slab")</f>
        <v/>
      </c>
    </row>
    <row r="1535">
      <c r="A1535" s="7" t="n"/>
      <c r="B1535" s="7" t="n"/>
      <c r="C1535" s="8" t="n"/>
      <c r="D1535" s="9" t="n"/>
      <c r="E1535" s="8" t="n"/>
      <c r="F1535" s="9" t="n"/>
      <c r="G1535" s="9" t="n"/>
      <c r="H1535" s="3">
        <f>IF(AND(D1535&lt;&gt;"",F1535&lt;&gt;""),F1535-D1535-G1535,"")</f>
        <v/>
      </c>
      <c r="I1535" s="14">
        <f>IF(E1535&lt;&gt;"", YEARFRAC(C1535, E1535) * 12, "")</f>
        <v/>
      </c>
      <c r="J1535" s="2">
        <f>IF(I1535="", "", IF(OR(AND(A1535="Listed Equity Shares", I1535&gt;12), AND(A1535="Unlisted Equity Shares", I1535&gt;24)), "Long Term", "Short Term"))</f>
        <v/>
      </c>
      <c r="K1535" s="5">
        <f>IF(J1535="", "", IF(J1535="Long Term", 12.5%,"as per slab"))</f>
        <v/>
      </c>
      <c r="L1535" s="3">
        <f>+IFERROR(IF(J1535="","",H1535*K1535),"as per slab")</f>
        <v/>
      </c>
    </row>
    <row r="1536">
      <c r="A1536" s="7" t="n"/>
      <c r="B1536" s="7" t="n"/>
      <c r="C1536" s="8" t="n"/>
      <c r="D1536" s="9" t="n"/>
      <c r="E1536" s="8" t="n"/>
      <c r="F1536" s="9" t="n"/>
      <c r="G1536" s="9" t="n"/>
      <c r="H1536" s="3">
        <f>IF(AND(D1536&lt;&gt;"",F1536&lt;&gt;""),F1536-D1536-G1536,"")</f>
        <v/>
      </c>
      <c r="I1536" s="14">
        <f>IF(E1536&lt;&gt;"", YEARFRAC(C1536, E1536) * 12, "")</f>
        <v/>
      </c>
      <c r="J1536" s="2">
        <f>IF(I1536="", "", IF(OR(AND(A1536="Listed Equity Shares", I1536&gt;12), AND(A1536="Unlisted Equity Shares", I1536&gt;24)), "Long Term", "Short Term"))</f>
        <v/>
      </c>
      <c r="K1536" s="5">
        <f>IF(J1536="", "", IF(J1536="Long Term", 12.5%,"as per slab"))</f>
        <v/>
      </c>
      <c r="L1536" s="3">
        <f>+IFERROR(IF(J1536="","",H1536*K1536),"as per slab")</f>
        <v/>
      </c>
    </row>
    <row r="1537">
      <c r="A1537" s="7" t="n"/>
      <c r="B1537" s="7" t="n"/>
      <c r="C1537" s="8" t="n"/>
      <c r="D1537" s="9" t="n"/>
      <c r="E1537" s="8" t="n"/>
      <c r="F1537" s="9" t="n"/>
      <c r="G1537" s="9" t="n"/>
      <c r="H1537" s="3">
        <f>IF(AND(D1537&lt;&gt;"",F1537&lt;&gt;""),F1537-D1537-G1537,"")</f>
        <v/>
      </c>
      <c r="I1537" s="14">
        <f>IF(E1537&lt;&gt;"", YEARFRAC(C1537, E1537) * 12, "")</f>
        <v/>
      </c>
      <c r="J1537" s="2">
        <f>IF(I1537="", "", IF(OR(AND(A1537="Listed Equity Shares", I1537&gt;12), AND(A1537="Unlisted Equity Shares", I1537&gt;24)), "Long Term", "Short Term"))</f>
        <v/>
      </c>
      <c r="K1537" s="5">
        <f>IF(J1537="", "", IF(J1537="Long Term", 12.5%,"as per slab"))</f>
        <v/>
      </c>
      <c r="L1537" s="3">
        <f>+IFERROR(IF(J1537="","",H1537*K1537),"as per slab")</f>
        <v/>
      </c>
    </row>
    <row r="1538">
      <c r="A1538" s="7" t="n"/>
      <c r="B1538" s="7" t="n"/>
      <c r="C1538" s="8" t="n"/>
      <c r="D1538" s="9" t="n"/>
      <c r="E1538" s="8" t="n"/>
      <c r="F1538" s="9" t="n"/>
      <c r="G1538" s="9" t="n"/>
      <c r="H1538" s="3">
        <f>IF(AND(D1538&lt;&gt;"",F1538&lt;&gt;""),F1538-D1538-G1538,"")</f>
        <v/>
      </c>
      <c r="I1538" s="14">
        <f>IF(E1538&lt;&gt;"", YEARFRAC(C1538, E1538) * 12, "")</f>
        <v/>
      </c>
      <c r="J1538" s="2">
        <f>IF(I1538="", "", IF(OR(AND(A1538="Listed Equity Shares", I1538&gt;12), AND(A1538="Unlisted Equity Shares", I1538&gt;24)), "Long Term", "Short Term"))</f>
        <v/>
      </c>
      <c r="K1538" s="5">
        <f>IF(J1538="", "", IF(J1538="Long Term", 12.5%,"as per slab"))</f>
        <v/>
      </c>
      <c r="L1538" s="3">
        <f>+IFERROR(IF(J1538="","",H1538*K1538),"as per slab")</f>
        <v/>
      </c>
    </row>
    <row r="1539">
      <c r="A1539" s="7" t="n"/>
      <c r="B1539" s="7" t="n"/>
      <c r="C1539" s="8" t="n"/>
      <c r="D1539" s="9" t="n"/>
      <c r="E1539" s="8" t="n"/>
      <c r="F1539" s="9" t="n"/>
      <c r="G1539" s="9" t="n"/>
      <c r="H1539" s="3">
        <f>IF(AND(D1539&lt;&gt;"",F1539&lt;&gt;""),F1539-D1539-G1539,"")</f>
        <v/>
      </c>
      <c r="I1539" s="14">
        <f>IF(E1539&lt;&gt;"", YEARFRAC(C1539, E1539) * 12, "")</f>
        <v/>
      </c>
      <c r="J1539" s="2">
        <f>IF(I1539="", "", IF(OR(AND(A1539="Listed Equity Shares", I1539&gt;12), AND(A1539="Unlisted Equity Shares", I1539&gt;24)), "Long Term", "Short Term"))</f>
        <v/>
      </c>
      <c r="K1539" s="5">
        <f>IF(J1539="", "", IF(J1539="Long Term", 12.5%,"as per slab"))</f>
        <v/>
      </c>
      <c r="L1539" s="3">
        <f>+IFERROR(IF(J1539="","",H1539*K1539),"as per slab")</f>
        <v/>
      </c>
    </row>
    <row r="1540">
      <c r="A1540" s="7" t="n"/>
      <c r="B1540" s="7" t="n"/>
      <c r="C1540" s="8" t="n"/>
      <c r="D1540" s="9" t="n"/>
      <c r="E1540" s="8" t="n"/>
      <c r="F1540" s="9" t="n"/>
      <c r="G1540" s="9" t="n"/>
      <c r="H1540" s="3">
        <f>IF(AND(D1540&lt;&gt;"",F1540&lt;&gt;""),F1540-D1540-G1540,"")</f>
        <v/>
      </c>
      <c r="I1540" s="14">
        <f>IF(E1540&lt;&gt;"", YEARFRAC(C1540, E1540) * 12, "")</f>
        <v/>
      </c>
      <c r="J1540" s="2">
        <f>IF(I1540="", "", IF(OR(AND(A1540="Listed Equity Shares", I1540&gt;12), AND(A1540="Unlisted Equity Shares", I1540&gt;24)), "Long Term", "Short Term"))</f>
        <v/>
      </c>
      <c r="K1540" s="5">
        <f>IF(J1540="", "", IF(J1540="Long Term", 12.5%,"as per slab"))</f>
        <v/>
      </c>
      <c r="L1540" s="3">
        <f>+IFERROR(IF(J1540="","",H1540*K1540),"as per slab")</f>
        <v/>
      </c>
    </row>
    <row r="1541">
      <c r="A1541" s="7" t="n"/>
      <c r="B1541" s="7" t="n"/>
      <c r="C1541" s="8" t="n"/>
      <c r="D1541" s="9" t="n"/>
      <c r="E1541" s="8" t="n"/>
      <c r="F1541" s="9" t="n"/>
      <c r="G1541" s="9" t="n"/>
      <c r="H1541" s="3">
        <f>IF(AND(D1541&lt;&gt;"",F1541&lt;&gt;""),F1541-D1541-G1541,"")</f>
        <v/>
      </c>
      <c r="I1541" s="14">
        <f>IF(E1541&lt;&gt;"", YEARFRAC(C1541, E1541) * 12, "")</f>
        <v/>
      </c>
      <c r="J1541" s="2">
        <f>IF(I1541="", "", IF(OR(AND(A1541="Listed Equity Shares", I1541&gt;12), AND(A1541="Unlisted Equity Shares", I1541&gt;24)), "Long Term", "Short Term"))</f>
        <v/>
      </c>
      <c r="K1541" s="5">
        <f>IF(J1541="", "", IF(J1541="Long Term", 12.5%,"as per slab"))</f>
        <v/>
      </c>
      <c r="L1541" s="3">
        <f>+IFERROR(IF(J1541="","",H1541*K1541),"as per slab")</f>
        <v/>
      </c>
    </row>
    <row r="1542">
      <c r="A1542" s="7" t="n"/>
      <c r="B1542" s="7" t="n"/>
      <c r="C1542" s="8" t="n"/>
      <c r="D1542" s="9" t="n"/>
      <c r="E1542" s="8" t="n"/>
      <c r="F1542" s="9" t="n"/>
      <c r="G1542" s="9" t="n"/>
      <c r="H1542" s="3">
        <f>IF(AND(D1542&lt;&gt;"",F1542&lt;&gt;""),F1542-D1542-G1542,"")</f>
        <v/>
      </c>
      <c r="I1542" s="14">
        <f>IF(E1542&lt;&gt;"", YEARFRAC(C1542, E1542) * 12, "")</f>
        <v/>
      </c>
      <c r="J1542" s="2">
        <f>IF(I1542="", "", IF(OR(AND(A1542="Listed Equity Shares", I1542&gt;12), AND(A1542="Unlisted Equity Shares", I1542&gt;24)), "Long Term", "Short Term"))</f>
        <v/>
      </c>
      <c r="K1542" s="5">
        <f>IF(J1542="", "", IF(J1542="Long Term", 12.5%,"as per slab"))</f>
        <v/>
      </c>
      <c r="L1542" s="3">
        <f>+IFERROR(IF(J1542="","",H1542*K1542),"as per slab")</f>
        <v/>
      </c>
    </row>
    <row r="1543">
      <c r="A1543" s="7" t="n"/>
      <c r="B1543" s="7" t="n"/>
      <c r="C1543" s="8" t="n"/>
      <c r="D1543" s="9" t="n"/>
      <c r="E1543" s="8" t="n"/>
      <c r="F1543" s="9" t="n"/>
      <c r="G1543" s="9" t="n"/>
      <c r="H1543" s="3">
        <f>IF(AND(D1543&lt;&gt;"",F1543&lt;&gt;""),F1543-D1543-G1543,"")</f>
        <v/>
      </c>
      <c r="I1543" s="14">
        <f>IF(E1543&lt;&gt;"", YEARFRAC(C1543, E1543) * 12, "")</f>
        <v/>
      </c>
      <c r="J1543" s="2">
        <f>IF(I1543="", "", IF(OR(AND(A1543="Listed Equity Shares", I1543&gt;12), AND(A1543="Unlisted Equity Shares", I1543&gt;24)), "Long Term", "Short Term"))</f>
        <v/>
      </c>
      <c r="K1543" s="5">
        <f>IF(J1543="", "", IF(J1543="Long Term", 12.5%,"as per slab"))</f>
        <v/>
      </c>
      <c r="L1543" s="3">
        <f>+IFERROR(IF(J1543="","",H1543*K1543),"as per slab")</f>
        <v/>
      </c>
    </row>
    <row r="1544">
      <c r="A1544" s="7" t="n"/>
      <c r="B1544" s="7" t="n"/>
      <c r="C1544" s="8" t="n"/>
      <c r="D1544" s="9" t="n"/>
      <c r="E1544" s="8" t="n"/>
      <c r="F1544" s="9" t="n"/>
      <c r="G1544" s="9" t="n"/>
      <c r="H1544" s="3">
        <f>IF(AND(D1544&lt;&gt;"",F1544&lt;&gt;""),F1544-D1544-G1544,"")</f>
        <v/>
      </c>
      <c r="I1544" s="14">
        <f>IF(E1544&lt;&gt;"", YEARFRAC(C1544, E1544) * 12, "")</f>
        <v/>
      </c>
      <c r="J1544" s="2">
        <f>IF(I1544="", "", IF(OR(AND(A1544="Listed Equity Shares", I1544&gt;12), AND(A1544="Unlisted Equity Shares", I1544&gt;24)), "Long Term", "Short Term"))</f>
        <v/>
      </c>
      <c r="K1544" s="5">
        <f>IF(J1544="", "", IF(J1544="Long Term", 12.5%,"as per slab"))</f>
        <v/>
      </c>
      <c r="L1544" s="3">
        <f>+IFERROR(IF(J1544="","",H1544*K1544),"as per slab")</f>
        <v/>
      </c>
    </row>
    <row r="1545">
      <c r="A1545" s="7" t="n"/>
      <c r="B1545" s="7" t="n"/>
      <c r="C1545" s="8" t="n"/>
      <c r="D1545" s="9" t="n"/>
      <c r="E1545" s="8" t="n"/>
      <c r="F1545" s="9" t="n"/>
      <c r="G1545" s="9" t="n"/>
      <c r="H1545" s="3">
        <f>IF(AND(D1545&lt;&gt;"",F1545&lt;&gt;""),F1545-D1545-G1545,"")</f>
        <v/>
      </c>
      <c r="I1545" s="14">
        <f>IF(E1545&lt;&gt;"", YEARFRAC(C1545, E1545) * 12, "")</f>
        <v/>
      </c>
      <c r="J1545" s="2">
        <f>IF(I1545="", "", IF(OR(AND(A1545="Listed Equity Shares", I1545&gt;12), AND(A1545="Unlisted Equity Shares", I1545&gt;24)), "Long Term", "Short Term"))</f>
        <v/>
      </c>
      <c r="K1545" s="5">
        <f>IF(J1545="", "", IF(J1545="Long Term", 12.5%,"as per slab"))</f>
        <v/>
      </c>
      <c r="L1545" s="3">
        <f>+IFERROR(IF(J1545="","",H1545*K1545),"as per slab")</f>
        <v/>
      </c>
    </row>
    <row r="1546">
      <c r="A1546" s="7" t="n"/>
      <c r="B1546" s="7" t="n"/>
      <c r="C1546" s="8" t="n"/>
      <c r="D1546" s="9" t="n"/>
      <c r="E1546" s="8" t="n"/>
      <c r="F1546" s="9" t="n"/>
      <c r="G1546" s="9" t="n"/>
      <c r="H1546" s="3">
        <f>IF(AND(D1546&lt;&gt;"",F1546&lt;&gt;""),F1546-D1546-G1546,"")</f>
        <v/>
      </c>
      <c r="I1546" s="14">
        <f>IF(E1546&lt;&gt;"", YEARFRAC(C1546, E1546) * 12, "")</f>
        <v/>
      </c>
      <c r="J1546" s="2">
        <f>IF(I1546="", "", IF(OR(AND(A1546="Listed Equity Shares", I1546&gt;12), AND(A1546="Unlisted Equity Shares", I1546&gt;24)), "Long Term", "Short Term"))</f>
        <v/>
      </c>
      <c r="K1546" s="5">
        <f>IF(J1546="", "", IF(J1546="Long Term", 12.5%,"as per slab"))</f>
        <v/>
      </c>
      <c r="L1546" s="3">
        <f>+IFERROR(IF(J1546="","",H1546*K1546),"as per slab")</f>
        <v/>
      </c>
    </row>
    <row r="1547">
      <c r="A1547" s="7" t="n"/>
      <c r="B1547" s="7" t="n"/>
      <c r="C1547" s="8" t="n"/>
      <c r="D1547" s="9" t="n"/>
      <c r="E1547" s="8" t="n"/>
      <c r="F1547" s="9" t="n"/>
      <c r="G1547" s="9" t="n"/>
      <c r="H1547" s="3">
        <f>IF(AND(D1547&lt;&gt;"",F1547&lt;&gt;""),F1547-D1547-G1547,"")</f>
        <v/>
      </c>
      <c r="I1547" s="14">
        <f>IF(E1547&lt;&gt;"", YEARFRAC(C1547, E1547) * 12, "")</f>
        <v/>
      </c>
      <c r="J1547" s="2">
        <f>IF(I1547="", "", IF(OR(AND(A1547="Listed Equity Shares", I1547&gt;12), AND(A1547="Unlisted Equity Shares", I1547&gt;24)), "Long Term", "Short Term"))</f>
        <v/>
      </c>
      <c r="K1547" s="5">
        <f>IF(J1547="", "", IF(J1547="Long Term", 12.5%,"as per slab"))</f>
        <v/>
      </c>
      <c r="L1547" s="3">
        <f>+IFERROR(IF(J1547="","",H1547*K1547),"as per slab")</f>
        <v/>
      </c>
    </row>
    <row r="1548">
      <c r="A1548" s="7" t="n"/>
      <c r="B1548" s="7" t="n"/>
      <c r="C1548" s="8" t="n"/>
      <c r="D1548" s="9" t="n"/>
      <c r="E1548" s="8" t="n"/>
      <c r="F1548" s="9" t="n"/>
      <c r="G1548" s="9" t="n"/>
      <c r="H1548" s="3">
        <f>IF(AND(D1548&lt;&gt;"",F1548&lt;&gt;""),F1548-D1548-G1548,"")</f>
        <v/>
      </c>
      <c r="I1548" s="14">
        <f>IF(E1548&lt;&gt;"", YEARFRAC(C1548, E1548) * 12, "")</f>
        <v/>
      </c>
      <c r="J1548" s="2">
        <f>IF(I1548="", "", IF(OR(AND(A1548="Listed Equity Shares", I1548&gt;12), AND(A1548="Unlisted Equity Shares", I1548&gt;24)), "Long Term", "Short Term"))</f>
        <v/>
      </c>
      <c r="K1548" s="5">
        <f>IF(J1548="", "", IF(J1548="Long Term", 12.5%,"as per slab"))</f>
        <v/>
      </c>
      <c r="L1548" s="3">
        <f>+IFERROR(IF(J1548="","",H1548*K1548),"as per slab")</f>
        <v/>
      </c>
    </row>
    <row r="1549">
      <c r="A1549" s="7" t="n"/>
      <c r="B1549" s="7" t="n"/>
      <c r="C1549" s="8" t="n"/>
      <c r="D1549" s="9" t="n"/>
      <c r="E1549" s="8" t="n"/>
      <c r="F1549" s="9" t="n"/>
      <c r="G1549" s="9" t="n"/>
      <c r="H1549" s="3">
        <f>IF(AND(D1549&lt;&gt;"",F1549&lt;&gt;""),F1549-D1549-G1549,"")</f>
        <v/>
      </c>
      <c r="I1549" s="14">
        <f>IF(E1549&lt;&gt;"", YEARFRAC(C1549, E1549) * 12, "")</f>
        <v/>
      </c>
      <c r="J1549" s="2">
        <f>IF(I1549="", "", IF(OR(AND(A1549="Listed Equity Shares", I1549&gt;12), AND(A1549="Unlisted Equity Shares", I1549&gt;24)), "Long Term", "Short Term"))</f>
        <v/>
      </c>
      <c r="K1549" s="5">
        <f>IF(J1549="", "", IF(J1549="Long Term", 12.5%,"as per slab"))</f>
        <v/>
      </c>
      <c r="L1549" s="3">
        <f>+IFERROR(IF(J1549="","",H1549*K1549),"as per slab")</f>
        <v/>
      </c>
    </row>
    <row r="1550">
      <c r="A1550" s="7" t="n"/>
      <c r="B1550" s="7" t="n"/>
      <c r="C1550" s="8" t="n"/>
      <c r="D1550" s="9" t="n"/>
      <c r="E1550" s="8" t="n"/>
      <c r="F1550" s="9" t="n"/>
      <c r="G1550" s="9" t="n"/>
      <c r="H1550" s="3">
        <f>IF(AND(D1550&lt;&gt;"",F1550&lt;&gt;""),F1550-D1550-G1550,"")</f>
        <v/>
      </c>
      <c r="I1550" s="14">
        <f>IF(E1550&lt;&gt;"", YEARFRAC(C1550, E1550) * 12, "")</f>
        <v/>
      </c>
      <c r="J1550" s="2">
        <f>IF(I1550="", "", IF(OR(AND(A1550="Listed Equity Shares", I1550&gt;12), AND(A1550="Unlisted Equity Shares", I1550&gt;24)), "Long Term", "Short Term"))</f>
        <v/>
      </c>
      <c r="K1550" s="5">
        <f>IF(J1550="", "", IF(J1550="Long Term", 12.5%,"as per slab"))</f>
        <v/>
      </c>
      <c r="L1550" s="3">
        <f>+IFERROR(IF(J1550="","",H1550*K1550),"as per slab")</f>
        <v/>
      </c>
    </row>
    <row r="1551">
      <c r="A1551" s="7" t="n"/>
      <c r="B1551" s="7" t="n"/>
      <c r="C1551" s="8" t="n"/>
      <c r="D1551" s="9" t="n"/>
      <c r="E1551" s="8" t="n"/>
      <c r="F1551" s="9" t="n"/>
      <c r="G1551" s="9" t="n"/>
      <c r="H1551" s="3">
        <f>IF(AND(D1551&lt;&gt;"",F1551&lt;&gt;""),F1551-D1551-G1551,"")</f>
        <v/>
      </c>
      <c r="I1551" s="14">
        <f>IF(E1551&lt;&gt;"", YEARFRAC(C1551, E1551) * 12, "")</f>
        <v/>
      </c>
      <c r="J1551" s="2">
        <f>IF(I1551="", "", IF(OR(AND(A1551="Listed Equity Shares", I1551&gt;12), AND(A1551="Unlisted Equity Shares", I1551&gt;24)), "Long Term", "Short Term"))</f>
        <v/>
      </c>
      <c r="K1551" s="5">
        <f>IF(J1551="", "", IF(J1551="Long Term", 12.5%,"as per slab"))</f>
        <v/>
      </c>
      <c r="L1551" s="3">
        <f>+IFERROR(IF(J1551="","",H1551*K1551),"as per slab")</f>
        <v/>
      </c>
    </row>
    <row r="1552">
      <c r="A1552" s="7" t="n"/>
      <c r="B1552" s="7" t="n"/>
      <c r="C1552" s="8" t="n"/>
      <c r="D1552" s="9" t="n"/>
      <c r="E1552" s="8" t="n"/>
      <c r="F1552" s="9" t="n"/>
      <c r="G1552" s="9" t="n"/>
      <c r="H1552" s="3">
        <f>IF(AND(D1552&lt;&gt;"",F1552&lt;&gt;""),F1552-D1552-G1552,"")</f>
        <v/>
      </c>
      <c r="I1552" s="14">
        <f>IF(E1552&lt;&gt;"", YEARFRAC(C1552, E1552) * 12, "")</f>
        <v/>
      </c>
      <c r="J1552" s="2">
        <f>IF(I1552="", "", IF(OR(AND(A1552="Listed Equity Shares", I1552&gt;12), AND(A1552="Unlisted Equity Shares", I1552&gt;24)), "Long Term", "Short Term"))</f>
        <v/>
      </c>
      <c r="K1552" s="5">
        <f>IF(J1552="", "", IF(J1552="Long Term", 12.5%,"as per slab"))</f>
        <v/>
      </c>
      <c r="L1552" s="3">
        <f>+IFERROR(IF(J1552="","",H1552*K1552),"as per slab")</f>
        <v/>
      </c>
    </row>
    <row r="1553">
      <c r="A1553" s="7" t="n"/>
      <c r="B1553" s="7" t="n"/>
      <c r="C1553" s="8" t="n"/>
      <c r="D1553" s="9" t="n"/>
      <c r="E1553" s="8" t="n"/>
      <c r="F1553" s="9" t="n"/>
      <c r="G1553" s="9" t="n"/>
      <c r="H1553" s="3">
        <f>IF(AND(D1553&lt;&gt;"",F1553&lt;&gt;""),F1553-D1553-G1553,"")</f>
        <v/>
      </c>
      <c r="I1553" s="14">
        <f>IF(E1553&lt;&gt;"", YEARFRAC(C1553, E1553) * 12, "")</f>
        <v/>
      </c>
      <c r="J1553" s="2">
        <f>IF(I1553="", "", IF(OR(AND(A1553="Listed Equity Shares", I1553&gt;12), AND(A1553="Unlisted Equity Shares", I1553&gt;24)), "Long Term", "Short Term"))</f>
        <v/>
      </c>
      <c r="K1553" s="5">
        <f>IF(J1553="", "", IF(J1553="Long Term", 12.5%,"as per slab"))</f>
        <v/>
      </c>
      <c r="L1553" s="3">
        <f>+IFERROR(IF(J1553="","",H1553*K1553),"as per slab")</f>
        <v/>
      </c>
    </row>
    <row r="1554">
      <c r="A1554" s="7" t="n"/>
      <c r="B1554" s="7" t="n"/>
      <c r="C1554" s="8" t="n"/>
      <c r="D1554" s="9" t="n"/>
      <c r="E1554" s="8" t="n"/>
      <c r="F1554" s="9" t="n"/>
      <c r="G1554" s="9" t="n"/>
      <c r="H1554" s="3">
        <f>IF(AND(D1554&lt;&gt;"",F1554&lt;&gt;""),F1554-D1554-G1554,"")</f>
        <v/>
      </c>
      <c r="I1554" s="14">
        <f>IF(E1554&lt;&gt;"", YEARFRAC(C1554, E1554) * 12, "")</f>
        <v/>
      </c>
      <c r="J1554" s="2">
        <f>IF(I1554="", "", IF(OR(AND(A1554="Listed Equity Shares", I1554&gt;12), AND(A1554="Unlisted Equity Shares", I1554&gt;24)), "Long Term", "Short Term"))</f>
        <v/>
      </c>
      <c r="K1554" s="5">
        <f>IF(J1554="", "", IF(J1554="Long Term", 12.5%,"as per slab"))</f>
        <v/>
      </c>
      <c r="L1554" s="3">
        <f>+IFERROR(IF(J1554="","",H1554*K1554),"as per slab")</f>
        <v/>
      </c>
    </row>
    <row r="1555">
      <c r="A1555" s="7" t="n"/>
      <c r="B1555" s="7" t="n"/>
      <c r="C1555" s="8" t="n"/>
      <c r="D1555" s="9" t="n"/>
      <c r="E1555" s="8" t="n"/>
      <c r="F1555" s="9" t="n"/>
      <c r="G1555" s="9" t="n"/>
      <c r="H1555" s="3">
        <f>IF(AND(D1555&lt;&gt;"",F1555&lt;&gt;""),F1555-D1555-G1555,"")</f>
        <v/>
      </c>
      <c r="I1555" s="14">
        <f>IF(E1555&lt;&gt;"", YEARFRAC(C1555, E1555) * 12, "")</f>
        <v/>
      </c>
      <c r="J1555" s="2">
        <f>IF(I1555="", "", IF(OR(AND(A1555="Listed Equity Shares", I1555&gt;12), AND(A1555="Unlisted Equity Shares", I1555&gt;24)), "Long Term", "Short Term"))</f>
        <v/>
      </c>
      <c r="K1555" s="5">
        <f>IF(J1555="", "", IF(J1555="Long Term", 12.5%,"as per slab"))</f>
        <v/>
      </c>
      <c r="L1555" s="3">
        <f>+IFERROR(IF(J1555="","",H1555*K1555),"as per slab")</f>
        <v/>
      </c>
    </row>
    <row r="1556">
      <c r="A1556" s="7" t="n"/>
      <c r="B1556" s="7" t="n"/>
      <c r="C1556" s="8" t="n"/>
      <c r="D1556" s="9" t="n"/>
      <c r="E1556" s="8" t="n"/>
      <c r="F1556" s="9" t="n"/>
      <c r="G1556" s="9" t="n"/>
      <c r="H1556" s="3">
        <f>IF(AND(D1556&lt;&gt;"",F1556&lt;&gt;""),F1556-D1556-G1556,"")</f>
        <v/>
      </c>
      <c r="I1556" s="14">
        <f>IF(E1556&lt;&gt;"", YEARFRAC(C1556, E1556) * 12, "")</f>
        <v/>
      </c>
      <c r="J1556" s="2">
        <f>IF(I1556="", "", IF(OR(AND(A1556="Listed Equity Shares", I1556&gt;12), AND(A1556="Unlisted Equity Shares", I1556&gt;24)), "Long Term", "Short Term"))</f>
        <v/>
      </c>
      <c r="K1556" s="5">
        <f>IF(J1556="", "", IF(J1556="Long Term", 12.5%,"as per slab"))</f>
        <v/>
      </c>
      <c r="L1556" s="3">
        <f>+IFERROR(IF(J1556="","",H1556*K1556),"as per slab")</f>
        <v/>
      </c>
    </row>
    <row r="1557">
      <c r="A1557" s="7" t="n"/>
      <c r="B1557" s="7" t="n"/>
      <c r="C1557" s="8" t="n"/>
      <c r="D1557" s="9" t="n"/>
      <c r="E1557" s="8" t="n"/>
      <c r="F1557" s="9" t="n"/>
      <c r="G1557" s="9" t="n"/>
      <c r="H1557" s="3">
        <f>IF(AND(D1557&lt;&gt;"",F1557&lt;&gt;""),F1557-D1557-G1557,"")</f>
        <v/>
      </c>
      <c r="I1557" s="14">
        <f>IF(E1557&lt;&gt;"", YEARFRAC(C1557, E1557) * 12, "")</f>
        <v/>
      </c>
      <c r="J1557" s="2">
        <f>IF(I1557="", "", IF(OR(AND(A1557="Listed Equity Shares", I1557&gt;12), AND(A1557="Unlisted Equity Shares", I1557&gt;24)), "Long Term", "Short Term"))</f>
        <v/>
      </c>
      <c r="K1557" s="5">
        <f>IF(J1557="", "", IF(J1557="Long Term", 12.5%,"as per slab"))</f>
        <v/>
      </c>
      <c r="L1557" s="3">
        <f>+IFERROR(IF(J1557="","",H1557*K1557),"as per slab")</f>
        <v/>
      </c>
    </row>
    <row r="1558">
      <c r="A1558" s="7" t="n"/>
      <c r="B1558" s="7" t="n"/>
      <c r="C1558" s="8" t="n"/>
      <c r="D1558" s="9" t="n"/>
      <c r="E1558" s="8" t="n"/>
      <c r="F1558" s="9" t="n"/>
      <c r="G1558" s="9" t="n"/>
      <c r="H1558" s="3">
        <f>IF(AND(D1558&lt;&gt;"",F1558&lt;&gt;""),F1558-D1558-G1558,"")</f>
        <v/>
      </c>
      <c r="I1558" s="14">
        <f>IF(E1558&lt;&gt;"", YEARFRAC(C1558, E1558) * 12, "")</f>
        <v/>
      </c>
      <c r="J1558" s="2">
        <f>IF(I1558="", "", IF(OR(AND(A1558="Listed Equity Shares", I1558&gt;12), AND(A1558="Unlisted Equity Shares", I1558&gt;24)), "Long Term", "Short Term"))</f>
        <v/>
      </c>
      <c r="K1558" s="5">
        <f>IF(J1558="", "", IF(J1558="Long Term", 12.5%,"as per slab"))</f>
        <v/>
      </c>
      <c r="L1558" s="3">
        <f>+IFERROR(IF(J1558="","",H1558*K1558),"as per slab")</f>
        <v/>
      </c>
    </row>
    <row r="1559">
      <c r="A1559" s="7" t="n"/>
      <c r="B1559" s="7" t="n"/>
      <c r="C1559" s="8" t="n"/>
      <c r="D1559" s="9" t="n"/>
      <c r="E1559" s="8" t="n"/>
      <c r="F1559" s="9" t="n"/>
      <c r="G1559" s="9" t="n"/>
      <c r="H1559" s="3">
        <f>IF(AND(D1559&lt;&gt;"",F1559&lt;&gt;""),F1559-D1559-G1559,"")</f>
        <v/>
      </c>
      <c r="I1559" s="14">
        <f>IF(E1559&lt;&gt;"", YEARFRAC(C1559, E1559) * 12, "")</f>
        <v/>
      </c>
      <c r="J1559" s="2">
        <f>IF(I1559="", "", IF(OR(AND(A1559="Listed Equity Shares", I1559&gt;12), AND(A1559="Unlisted Equity Shares", I1559&gt;24)), "Long Term", "Short Term"))</f>
        <v/>
      </c>
      <c r="K1559" s="5">
        <f>IF(J1559="", "", IF(J1559="Long Term", 12.5%,"as per slab"))</f>
        <v/>
      </c>
      <c r="L1559" s="3">
        <f>+IFERROR(IF(J1559="","",H1559*K1559),"as per slab")</f>
        <v/>
      </c>
    </row>
    <row r="1560">
      <c r="A1560" s="7" t="n"/>
      <c r="B1560" s="7" t="n"/>
      <c r="C1560" s="8" t="n"/>
      <c r="D1560" s="9" t="n"/>
      <c r="E1560" s="8" t="n"/>
      <c r="F1560" s="9" t="n"/>
      <c r="G1560" s="9" t="n"/>
      <c r="H1560" s="3">
        <f>IF(AND(D1560&lt;&gt;"",F1560&lt;&gt;""),F1560-D1560-G1560,"")</f>
        <v/>
      </c>
      <c r="I1560" s="14">
        <f>IF(E1560&lt;&gt;"", YEARFRAC(C1560, E1560) * 12, "")</f>
        <v/>
      </c>
      <c r="J1560" s="2">
        <f>IF(I1560="", "", IF(OR(AND(A1560="Listed Equity Shares", I1560&gt;12), AND(A1560="Unlisted Equity Shares", I1560&gt;24)), "Long Term", "Short Term"))</f>
        <v/>
      </c>
      <c r="K1560" s="5">
        <f>IF(J1560="", "", IF(J1560="Long Term", 12.5%,"as per slab"))</f>
        <v/>
      </c>
      <c r="L1560" s="3">
        <f>+IFERROR(IF(J1560="","",H1560*K1560),"as per slab")</f>
        <v/>
      </c>
    </row>
    <row r="1561">
      <c r="A1561" s="7" t="n"/>
      <c r="B1561" s="7" t="n"/>
      <c r="C1561" s="8" t="n"/>
      <c r="D1561" s="9" t="n"/>
      <c r="E1561" s="8" t="n"/>
      <c r="F1561" s="9" t="n"/>
      <c r="G1561" s="9" t="n"/>
      <c r="H1561" s="3">
        <f>IF(AND(D1561&lt;&gt;"",F1561&lt;&gt;""),F1561-D1561-G1561,"")</f>
        <v/>
      </c>
      <c r="I1561" s="14">
        <f>IF(E1561&lt;&gt;"", YEARFRAC(C1561, E1561) * 12, "")</f>
        <v/>
      </c>
      <c r="J1561" s="2">
        <f>IF(I1561="", "", IF(OR(AND(A1561="Listed Equity Shares", I1561&gt;12), AND(A1561="Unlisted Equity Shares", I1561&gt;24)), "Long Term", "Short Term"))</f>
        <v/>
      </c>
      <c r="K1561" s="5">
        <f>IF(J1561="", "", IF(J1561="Long Term", 12.5%,"as per slab"))</f>
        <v/>
      </c>
      <c r="L1561" s="3">
        <f>+IFERROR(IF(J1561="","",H1561*K1561),"as per slab")</f>
        <v/>
      </c>
    </row>
    <row r="1562">
      <c r="A1562" s="7" t="n"/>
      <c r="B1562" s="7" t="n"/>
      <c r="C1562" s="8" t="n"/>
      <c r="D1562" s="9" t="n"/>
      <c r="E1562" s="8" t="n"/>
      <c r="F1562" s="9" t="n"/>
      <c r="G1562" s="9" t="n"/>
      <c r="H1562" s="3">
        <f>IF(AND(D1562&lt;&gt;"",F1562&lt;&gt;""),F1562-D1562-G1562,"")</f>
        <v/>
      </c>
      <c r="I1562" s="14">
        <f>IF(E1562&lt;&gt;"", YEARFRAC(C1562, E1562) * 12, "")</f>
        <v/>
      </c>
      <c r="J1562" s="2">
        <f>IF(I1562="", "", IF(OR(AND(A1562="Listed Equity Shares", I1562&gt;12), AND(A1562="Unlisted Equity Shares", I1562&gt;24)), "Long Term", "Short Term"))</f>
        <v/>
      </c>
      <c r="K1562" s="5">
        <f>IF(J1562="", "", IF(J1562="Long Term", 12.5%,"as per slab"))</f>
        <v/>
      </c>
      <c r="L1562" s="3">
        <f>+IFERROR(IF(J1562="","",H1562*K1562),"as per slab")</f>
        <v/>
      </c>
    </row>
    <row r="1563">
      <c r="A1563" s="7" t="n"/>
      <c r="B1563" s="7" t="n"/>
      <c r="C1563" s="8" t="n"/>
      <c r="D1563" s="9" t="n"/>
      <c r="E1563" s="8" t="n"/>
      <c r="F1563" s="9" t="n"/>
      <c r="G1563" s="9" t="n"/>
      <c r="H1563" s="3">
        <f>IF(AND(D1563&lt;&gt;"",F1563&lt;&gt;""),F1563-D1563-G1563,"")</f>
        <v/>
      </c>
      <c r="I1563" s="14">
        <f>IF(E1563&lt;&gt;"", YEARFRAC(C1563, E1563) * 12, "")</f>
        <v/>
      </c>
      <c r="J1563" s="2">
        <f>IF(I1563="", "", IF(OR(AND(A1563="Listed Equity Shares", I1563&gt;12), AND(A1563="Unlisted Equity Shares", I1563&gt;24)), "Long Term", "Short Term"))</f>
        <v/>
      </c>
      <c r="K1563" s="5">
        <f>IF(J1563="", "", IF(J1563="Long Term", 12.5%,"as per slab"))</f>
        <v/>
      </c>
      <c r="L1563" s="3">
        <f>+IFERROR(IF(J1563="","",H1563*K1563),"as per slab")</f>
        <v/>
      </c>
    </row>
    <row r="1564">
      <c r="A1564" s="7" t="n"/>
      <c r="B1564" s="7" t="n"/>
      <c r="C1564" s="8" t="n"/>
      <c r="D1564" s="9" t="n"/>
      <c r="E1564" s="8" t="n"/>
      <c r="F1564" s="9" t="n"/>
      <c r="G1564" s="9" t="n"/>
      <c r="H1564" s="3">
        <f>IF(AND(D1564&lt;&gt;"",F1564&lt;&gt;""),F1564-D1564-G1564,"")</f>
        <v/>
      </c>
      <c r="I1564" s="14">
        <f>IF(E1564&lt;&gt;"", YEARFRAC(C1564, E1564) * 12, "")</f>
        <v/>
      </c>
      <c r="J1564" s="2">
        <f>IF(I1564="", "", IF(OR(AND(A1564="Listed Equity Shares", I1564&gt;12), AND(A1564="Unlisted Equity Shares", I1564&gt;24)), "Long Term", "Short Term"))</f>
        <v/>
      </c>
      <c r="K1564" s="5">
        <f>IF(J1564="", "", IF(J1564="Long Term", 12.5%,"as per slab"))</f>
        <v/>
      </c>
      <c r="L1564" s="3">
        <f>+IFERROR(IF(J1564="","",H1564*K1564),"as per slab")</f>
        <v/>
      </c>
    </row>
    <row r="1565">
      <c r="A1565" s="7" t="n"/>
      <c r="B1565" s="7" t="n"/>
      <c r="C1565" s="8" t="n"/>
      <c r="D1565" s="9" t="n"/>
      <c r="E1565" s="8" t="n"/>
      <c r="F1565" s="9" t="n"/>
      <c r="G1565" s="9" t="n"/>
      <c r="H1565" s="3">
        <f>IF(AND(D1565&lt;&gt;"",F1565&lt;&gt;""),F1565-D1565-G1565,"")</f>
        <v/>
      </c>
      <c r="I1565" s="14">
        <f>IF(E1565&lt;&gt;"", YEARFRAC(C1565, E1565) * 12, "")</f>
        <v/>
      </c>
      <c r="J1565" s="2">
        <f>IF(I1565="", "", IF(OR(AND(A1565="Listed Equity Shares", I1565&gt;12), AND(A1565="Unlisted Equity Shares", I1565&gt;24)), "Long Term", "Short Term"))</f>
        <v/>
      </c>
      <c r="K1565" s="5">
        <f>IF(J1565="", "", IF(J1565="Long Term", 12.5%,"as per slab"))</f>
        <v/>
      </c>
      <c r="L1565" s="3">
        <f>+IFERROR(IF(J1565="","",H1565*K1565),"as per slab")</f>
        <v/>
      </c>
    </row>
    <row r="1566">
      <c r="A1566" s="7" t="n"/>
      <c r="B1566" s="7" t="n"/>
      <c r="C1566" s="8" t="n"/>
      <c r="D1566" s="9" t="n"/>
      <c r="E1566" s="8" t="n"/>
      <c r="F1566" s="9" t="n"/>
      <c r="G1566" s="9" t="n"/>
      <c r="H1566" s="3">
        <f>IF(AND(D1566&lt;&gt;"",F1566&lt;&gt;""),F1566-D1566-G1566,"")</f>
        <v/>
      </c>
      <c r="I1566" s="14">
        <f>IF(E1566&lt;&gt;"", YEARFRAC(C1566, E1566) * 12, "")</f>
        <v/>
      </c>
      <c r="J1566" s="2">
        <f>IF(I1566="", "", IF(OR(AND(A1566="Listed Equity Shares", I1566&gt;12), AND(A1566="Unlisted Equity Shares", I1566&gt;24)), "Long Term", "Short Term"))</f>
        <v/>
      </c>
      <c r="K1566" s="5">
        <f>IF(J1566="", "", IF(J1566="Long Term", 12.5%,"as per slab"))</f>
        <v/>
      </c>
      <c r="L1566" s="3">
        <f>+IFERROR(IF(J1566="","",H1566*K1566),"as per slab")</f>
        <v/>
      </c>
    </row>
    <row r="1567">
      <c r="A1567" s="7" t="n"/>
      <c r="B1567" s="7" t="n"/>
      <c r="C1567" s="8" t="n"/>
      <c r="D1567" s="9" t="n"/>
      <c r="E1567" s="8" t="n"/>
      <c r="F1567" s="9" t="n"/>
      <c r="G1567" s="9" t="n"/>
      <c r="H1567" s="3">
        <f>IF(AND(D1567&lt;&gt;"",F1567&lt;&gt;""),F1567-D1567-G1567,"")</f>
        <v/>
      </c>
      <c r="I1567" s="14">
        <f>IF(E1567&lt;&gt;"", YEARFRAC(C1567, E1567) * 12, "")</f>
        <v/>
      </c>
      <c r="J1567" s="2">
        <f>IF(I1567="", "", IF(OR(AND(A1567="Listed Equity Shares", I1567&gt;12), AND(A1567="Unlisted Equity Shares", I1567&gt;24)), "Long Term", "Short Term"))</f>
        <v/>
      </c>
      <c r="K1567" s="5">
        <f>IF(J1567="", "", IF(J1567="Long Term", 12.5%,"as per slab"))</f>
        <v/>
      </c>
      <c r="L1567" s="3">
        <f>+IFERROR(IF(J1567="","",H1567*K1567),"as per slab")</f>
        <v/>
      </c>
    </row>
    <row r="1568">
      <c r="A1568" s="7" t="n"/>
      <c r="B1568" s="7" t="n"/>
      <c r="C1568" s="8" t="n"/>
      <c r="D1568" s="9" t="n"/>
      <c r="E1568" s="8" t="n"/>
      <c r="F1568" s="9" t="n"/>
      <c r="G1568" s="9" t="n"/>
      <c r="H1568" s="3">
        <f>IF(AND(D1568&lt;&gt;"",F1568&lt;&gt;""),F1568-D1568-G1568,"")</f>
        <v/>
      </c>
      <c r="I1568" s="14">
        <f>IF(E1568&lt;&gt;"", YEARFRAC(C1568, E1568) * 12, "")</f>
        <v/>
      </c>
      <c r="J1568" s="2">
        <f>IF(I1568="", "", IF(OR(AND(A1568="Listed Equity Shares", I1568&gt;12), AND(A1568="Unlisted Equity Shares", I1568&gt;24)), "Long Term", "Short Term"))</f>
        <v/>
      </c>
      <c r="K1568" s="5">
        <f>IF(J1568="", "", IF(J1568="Long Term", 12.5%,"as per slab"))</f>
        <v/>
      </c>
      <c r="L1568" s="3">
        <f>+IFERROR(IF(J1568="","",H1568*K1568),"as per slab")</f>
        <v/>
      </c>
    </row>
    <row r="1569">
      <c r="A1569" s="7" t="n"/>
      <c r="B1569" s="7" t="n"/>
      <c r="C1569" s="8" t="n"/>
      <c r="D1569" s="9" t="n"/>
      <c r="E1569" s="8" t="n"/>
      <c r="F1569" s="9" t="n"/>
      <c r="G1569" s="9" t="n"/>
      <c r="H1569" s="3">
        <f>IF(AND(D1569&lt;&gt;"",F1569&lt;&gt;""),F1569-D1569-G1569,"")</f>
        <v/>
      </c>
      <c r="I1569" s="14">
        <f>IF(E1569&lt;&gt;"", YEARFRAC(C1569, E1569) * 12, "")</f>
        <v/>
      </c>
      <c r="J1569" s="2">
        <f>IF(I1569="", "", IF(OR(AND(A1569="Listed Equity Shares", I1569&gt;12), AND(A1569="Unlisted Equity Shares", I1569&gt;24)), "Long Term", "Short Term"))</f>
        <v/>
      </c>
      <c r="K1569" s="5">
        <f>IF(J1569="", "", IF(J1569="Long Term", 12.5%,"as per slab"))</f>
        <v/>
      </c>
      <c r="L1569" s="3">
        <f>+IFERROR(IF(J1569="","",H1569*K1569),"as per slab")</f>
        <v/>
      </c>
    </row>
    <row r="1570">
      <c r="A1570" s="7" t="n"/>
      <c r="B1570" s="7" t="n"/>
      <c r="C1570" s="8" t="n"/>
      <c r="D1570" s="9" t="n"/>
      <c r="E1570" s="8" t="n"/>
      <c r="F1570" s="9" t="n"/>
      <c r="G1570" s="9" t="n"/>
      <c r="H1570" s="3">
        <f>IF(AND(D1570&lt;&gt;"",F1570&lt;&gt;""),F1570-D1570-G1570,"")</f>
        <v/>
      </c>
      <c r="I1570" s="14">
        <f>IF(E1570&lt;&gt;"", YEARFRAC(C1570, E1570) * 12, "")</f>
        <v/>
      </c>
      <c r="J1570" s="2">
        <f>IF(I1570="", "", IF(OR(AND(A1570="Listed Equity Shares", I1570&gt;12), AND(A1570="Unlisted Equity Shares", I1570&gt;24)), "Long Term", "Short Term"))</f>
        <v/>
      </c>
      <c r="K1570" s="5">
        <f>IF(J1570="", "", IF(J1570="Long Term", 12.5%,"as per slab"))</f>
        <v/>
      </c>
      <c r="L1570" s="3">
        <f>+IFERROR(IF(J1570="","",H1570*K1570),"as per slab")</f>
        <v/>
      </c>
    </row>
    <row r="1571">
      <c r="A1571" s="7" t="n"/>
      <c r="B1571" s="7" t="n"/>
      <c r="C1571" s="8" t="n"/>
      <c r="D1571" s="9" t="n"/>
      <c r="E1571" s="8" t="n"/>
      <c r="F1571" s="9" t="n"/>
      <c r="G1571" s="9" t="n"/>
      <c r="H1571" s="3">
        <f>IF(AND(D1571&lt;&gt;"",F1571&lt;&gt;""),F1571-D1571-G1571,"")</f>
        <v/>
      </c>
      <c r="I1571" s="14">
        <f>IF(E1571&lt;&gt;"", YEARFRAC(C1571, E1571) * 12, "")</f>
        <v/>
      </c>
      <c r="J1571" s="2">
        <f>IF(I1571="", "", IF(OR(AND(A1571="Listed Equity Shares", I1571&gt;12), AND(A1571="Unlisted Equity Shares", I1571&gt;24)), "Long Term", "Short Term"))</f>
        <v/>
      </c>
      <c r="K1571" s="5">
        <f>IF(J1571="", "", IF(J1571="Long Term", 12.5%,"as per slab"))</f>
        <v/>
      </c>
      <c r="L1571" s="3">
        <f>+IFERROR(IF(J1571="","",H1571*K1571),"as per slab")</f>
        <v/>
      </c>
    </row>
    <row r="1572">
      <c r="A1572" s="7" t="n"/>
      <c r="B1572" s="7" t="n"/>
      <c r="C1572" s="8" t="n"/>
      <c r="D1572" s="9" t="n"/>
      <c r="E1572" s="8" t="n"/>
      <c r="F1572" s="9" t="n"/>
      <c r="G1572" s="9" t="n"/>
      <c r="H1572" s="3">
        <f>IF(AND(D1572&lt;&gt;"",F1572&lt;&gt;""),F1572-D1572-G1572,"")</f>
        <v/>
      </c>
      <c r="I1572" s="14">
        <f>IF(E1572&lt;&gt;"", YEARFRAC(C1572, E1572) * 12, "")</f>
        <v/>
      </c>
      <c r="J1572" s="2">
        <f>IF(I1572="", "", IF(OR(AND(A1572="Listed Equity Shares", I1572&gt;12), AND(A1572="Unlisted Equity Shares", I1572&gt;24)), "Long Term", "Short Term"))</f>
        <v/>
      </c>
      <c r="K1572" s="5">
        <f>IF(J1572="", "", IF(J1572="Long Term", 12.5%,"as per slab"))</f>
        <v/>
      </c>
      <c r="L1572" s="3">
        <f>+IFERROR(IF(J1572="","",H1572*K1572),"as per slab")</f>
        <v/>
      </c>
    </row>
    <row r="1573">
      <c r="A1573" s="7" t="n"/>
      <c r="B1573" s="7" t="n"/>
      <c r="C1573" s="8" t="n"/>
      <c r="D1573" s="9" t="n"/>
      <c r="E1573" s="8" t="n"/>
      <c r="F1573" s="9" t="n"/>
      <c r="G1573" s="9" t="n"/>
      <c r="H1573" s="3">
        <f>IF(AND(D1573&lt;&gt;"",F1573&lt;&gt;""),F1573-D1573-G1573,"")</f>
        <v/>
      </c>
      <c r="I1573" s="14">
        <f>IF(E1573&lt;&gt;"", YEARFRAC(C1573, E1573) * 12, "")</f>
        <v/>
      </c>
      <c r="J1573" s="2">
        <f>IF(I1573="", "", IF(OR(AND(A1573="Listed Equity Shares", I1573&gt;12), AND(A1573="Unlisted Equity Shares", I1573&gt;24)), "Long Term", "Short Term"))</f>
        <v/>
      </c>
      <c r="K1573" s="5">
        <f>IF(J1573="", "", IF(J1573="Long Term", 12.5%,"as per slab"))</f>
        <v/>
      </c>
      <c r="L1573" s="3">
        <f>+IFERROR(IF(J1573="","",H1573*K1573),"as per slab")</f>
        <v/>
      </c>
    </row>
    <row r="1574">
      <c r="A1574" s="7" t="n"/>
      <c r="B1574" s="7" t="n"/>
      <c r="C1574" s="8" t="n"/>
      <c r="D1574" s="9" t="n"/>
      <c r="E1574" s="8" t="n"/>
      <c r="F1574" s="9" t="n"/>
      <c r="G1574" s="9" t="n"/>
      <c r="H1574" s="3">
        <f>IF(AND(D1574&lt;&gt;"",F1574&lt;&gt;""),F1574-D1574-G1574,"")</f>
        <v/>
      </c>
      <c r="I1574" s="14">
        <f>IF(E1574&lt;&gt;"", YEARFRAC(C1574, E1574) * 12, "")</f>
        <v/>
      </c>
      <c r="J1574" s="2">
        <f>IF(I1574="", "", IF(OR(AND(A1574="Listed Equity Shares", I1574&gt;12), AND(A1574="Unlisted Equity Shares", I1574&gt;24)), "Long Term", "Short Term"))</f>
        <v/>
      </c>
      <c r="K1574" s="5">
        <f>IF(J1574="", "", IF(J1574="Long Term", 12.5%,"as per slab"))</f>
        <v/>
      </c>
      <c r="L1574" s="3">
        <f>+IFERROR(IF(J1574="","",H1574*K1574),"as per slab")</f>
        <v/>
      </c>
    </row>
    <row r="1575">
      <c r="A1575" s="7" t="n"/>
      <c r="B1575" s="7" t="n"/>
      <c r="C1575" s="8" t="n"/>
      <c r="D1575" s="9" t="n"/>
      <c r="E1575" s="8" t="n"/>
      <c r="F1575" s="9" t="n"/>
      <c r="G1575" s="9" t="n"/>
      <c r="H1575" s="3">
        <f>IF(AND(D1575&lt;&gt;"",F1575&lt;&gt;""),F1575-D1575-G1575,"")</f>
        <v/>
      </c>
      <c r="I1575" s="14">
        <f>IF(E1575&lt;&gt;"", YEARFRAC(C1575, E1575) * 12, "")</f>
        <v/>
      </c>
      <c r="J1575" s="2">
        <f>IF(I1575="", "", IF(OR(AND(A1575="Listed Equity Shares", I1575&gt;12), AND(A1575="Unlisted Equity Shares", I1575&gt;24)), "Long Term", "Short Term"))</f>
        <v/>
      </c>
      <c r="K1575" s="5">
        <f>IF(J1575="", "", IF(J1575="Long Term", 12.5%,"as per slab"))</f>
        <v/>
      </c>
      <c r="L1575" s="3">
        <f>+IFERROR(IF(J1575="","",H1575*K1575),"as per slab")</f>
        <v/>
      </c>
    </row>
    <row r="1576">
      <c r="A1576" s="7" t="n"/>
      <c r="B1576" s="7" t="n"/>
      <c r="C1576" s="8" t="n"/>
      <c r="D1576" s="9" t="n"/>
      <c r="E1576" s="8" t="n"/>
      <c r="F1576" s="9" t="n"/>
      <c r="G1576" s="9" t="n"/>
      <c r="H1576" s="3">
        <f>IF(AND(D1576&lt;&gt;"",F1576&lt;&gt;""),F1576-D1576-G1576,"")</f>
        <v/>
      </c>
      <c r="I1576" s="14">
        <f>IF(E1576&lt;&gt;"", YEARFRAC(C1576, E1576) * 12, "")</f>
        <v/>
      </c>
      <c r="J1576" s="2">
        <f>IF(I1576="", "", IF(OR(AND(A1576="Listed Equity Shares", I1576&gt;12), AND(A1576="Unlisted Equity Shares", I1576&gt;24)), "Long Term", "Short Term"))</f>
        <v/>
      </c>
      <c r="K1576" s="5">
        <f>IF(J1576="", "", IF(J1576="Long Term", 12.5%,"as per slab"))</f>
        <v/>
      </c>
      <c r="L1576" s="3">
        <f>+IFERROR(IF(J1576="","",H1576*K1576),"as per slab")</f>
        <v/>
      </c>
    </row>
    <row r="1577">
      <c r="A1577" s="7" t="n"/>
      <c r="B1577" s="7" t="n"/>
      <c r="C1577" s="8" t="n"/>
      <c r="D1577" s="9" t="n"/>
      <c r="E1577" s="8" t="n"/>
      <c r="F1577" s="9" t="n"/>
      <c r="G1577" s="9" t="n"/>
      <c r="H1577" s="3">
        <f>IF(AND(D1577&lt;&gt;"",F1577&lt;&gt;""),F1577-D1577-G1577,"")</f>
        <v/>
      </c>
      <c r="I1577" s="14">
        <f>IF(E1577&lt;&gt;"", YEARFRAC(C1577, E1577) * 12, "")</f>
        <v/>
      </c>
      <c r="J1577" s="2">
        <f>IF(I1577="", "", IF(OR(AND(A1577="Listed Equity Shares", I1577&gt;12), AND(A1577="Unlisted Equity Shares", I1577&gt;24)), "Long Term", "Short Term"))</f>
        <v/>
      </c>
      <c r="K1577" s="5">
        <f>IF(J1577="", "", IF(J1577="Long Term", 12.5%,"as per slab"))</f>
        <v/>
      </c>
      <c r="L1577" s="3">
        <f>+IFERROR(IF(J1577="","",H1577*K1577),"as per slab")</f>
        <v/>
      </c>
    </row>
    <row r="1578">
      <c r="A1578" s="7" t="n"/>
      <c r="B1578" s="7" t="n"/>
      <c r="C1578" s="8" t="n"/>
      <c r="D1578" s="9" t="n"/>
      <c r="E1578" s="8" t="n"/>
      <c r="F1578" s="9" t="n"/>
      <c r="G1578" s="9" t="n"/>
      <c r="H1578" s="3">
        <f>IF(AND(D1578&lt;&gt;"",F1578&lt;&gt;""),F1578-D1578-G1578,"")</f>
        <v/>
      </c>
      <c r="I1578" s="14">
        <f>IF(E1578&lt;&gt;"", YEARFRAC(C1578, E1578) * 12, "")</f>
        <v/>
      </c>
      <c r="J1578" s="2">
        <f>IF(I1578="", "", IF(OR(AND(A1578="Listed Equity Shares", I1578&gt;12), AND(A1578="Unlisted Equity Shares", I1578&gt;24)), "Long Term", "Short Term"))</f>
        <v/>
      </c>
      <c r="K1578" s="5">
        <f>IF(J1578="", "", IF(J1578="Long Term", 12.5%,"as per slab"))</f>
        <v/>
      </c>
      <c r="L1578" s="3">
        <f>+IFERROR(IF(J1578="","",H1578*K1578),"as per slab")</f>
        <v/>
      </c>
    </row>
    <row r="1579">
      <c r="A1579" s="7" t="n"/>
      <c r="B1579" s="7" t="n"/>
      <c r="C1579" s="8" t="n"/>
      <c r="D1579" s="9" t="n"/>
      <c r="E1579" s="8" t="n"/>
      <c r="F1579" s="9" t="n"/>
      <c r="G1579" s="9" t="n"/>
      <c r="H1579" s="3">
        <f>IF(AND(D1579&lt;&gt;"",F1579&lt;&gt;""),F1579-D1579-G1579,"")</f>
        <v/>
      </c>
      <c r="I1579" s="14">
        <f>IF(E1579&lt;&gt;"", YEARFRAC(C1579, E1579) * 12, "")</f>
        <v/>
      </c>
      <c r="J1579" s="2">
        <f>IF(I1579="", "", IF(OR(AND(A1579="Listed Equity Shares", I1579&gt;12), AND(A1579="Unlisted Equity Shares", I1579&gt;24)), "Long Term", "Short Term"))</f>
        <v/>
      </c>
      <c r="K1579" s="5">
        <f>IF(J1579="", "", IF(J1579="Long Term", 12.5%,"as per slab"))</f>
        <v/>
      </c>
      <c r="L1579" s="3">
        <f>+IFERROR(IF(J1579="","",H1579*K1579),"as per slab")</f>
        <v/>
      </c>
    </row>
    <row r="1580">
      <c r="A1580" s="7" t="n"/>
      <c r="B1580" s="7" t="n"/>
      <c r="C1580" s="8" t="n"/>
      <c r="D1580" s="9" t="n"/>
      <c r="E1580" s="8" t="n"/>
      <c r="F1580" s="9" t="n"/>
      <c r="G1580" s="9" t="n"/>
      <c r="H1580" s="3">
        <f>IF(AND(D1580&lt;&gt;"",F1580&lt;&gt;""),F1580-D1580-G1580,"")</f>
        <v/>
      </c>
      <c r="I1580" s="14">
        <f>IF(E1580&lt;&gt;"", YEARFRAC(C1580, E1580) * 12, "")</f>
        <v/>
      </c>
      <c r="J1580" s="2">
        <f>IF(I1580="", "", IF(OR(AND(A1580="Listed Equity Shares", I1580&gt;12), AND(A1580="Unlisted Equity Shares", I1580&gt;24)), "Long Term", "Short Term"))</f>
        <v/>
      </c>
      <c r="K1580" s="5">
        <f>IF(J1580="", "", IF(J1580="Long Term", 12.5%,"as per slab"))</f>
        <v/>
      </c>
      <c r="L1580" s="3">
        <f>+IFERROR(IF(J1580="","",H1580*K1580),"as per slab")</f>
        <v/>
      </c>
    </row>
    <row r="1581">
      <c r="A1581" s="7" t="n"/>
      <c r="B1581" s="7" t="n"/>
      <c r="C1581" s="8" t="n"/>
      <c r="D1581" s="9" t="n"/>
      <c r="E1581" s="8" t="n"/>
      <c r="F1581" s="9" t="n"/>
      <c r="G1581" s="9" t="n"/>
      <c r="H1581" s="3">
        <f>IF(AND(D1581&lt;&gt;"",F1581&lt;&gt;""),F1581-D1581-G1581,"")</f>
        <v/>
      </c>
      <c r="I1581" s="14">
        <f>IF(E1581&lt;&gt;"", YEARFRAC(C1581, E1581) * 12, "")</f>
        <v/>
      </c>
      <c r="J1581" s="2">
        <f>IF(I1581="", "", IF(OR(AND(A1581="Listed Equity Shares", I1581&gt;12), AND(A1581="Unlisted Equity Shares", I1581&gt;24)), "Long Term", "Short Term"))</f>
        <v/>
      </c>
      <c r="K1581" s="5">
        <f>IF(J1581="", "", IF(J1581="Long Term", 12.5%,"as per slab"))</f>
        <v/>
      </c>
      <c r="L1581" s="3">
        <f>+IFERROR(IF(J1581="","",H1581*K1581),"as per slab")</f>
        <v/>
      </c>
    </row>
    <row r="1582">
      <c r="A1582" s="7" t="n"/>
      <c r="B1582" s="7" t="n"/>
      <c r="C1582" s="8" t="n"/>
      <c r="D1582" s="9" t="n"/>
      <c r="E1582" s="8" t="n"/>
      <c r="F1582" s="9" t="n"/>
      <c r="G1582" s="9" t="n"/>
      <c r="H1582" s="3">
        <f>IF(AND(D1582&lt;&gt;"",F1582&lt;&gt;""),F1582-D1582-G1582,"")</f>
        <v/>
      </c>
      <c r="I1582" s="14">
        <f>IF(E1582&lt;&gt;"", YEARFRAC(C1582, E1582) * 12, "")</f>
        <v/>
      </c>
      <c r="J1582" s="2">
        <f>IF(I1582="", "", IF(OR(AND(A1582="Listed Equity Shares", I1582&gt;12), AND(A1582="Unlisted Equity Shares", I1582&gt;24)), "Long Term", "Short Term"))</f>
        <v/>
      </c>
      <c r="K1582" s="5">
        <f>IF(J1582="", "", IF(J1582="Long Term", 12.5%,"as per slab"))</f>
        <v/>
      </c>
      <c r="L1582" s="3">
        <f>+IFERROR(IF(J1582="","",H1582*K1582),"as per slab")</f>
        <v/>
      </c>
    </row>
    <row r="1583">
      <c r="A1583" s="7" t="n"/>
      <c r="B1583" s="7" t="n"/>
      <c r="C1583" s="8" t="n"/>
      <c r="D1583" s="9" t="n"/>
      <c r="E1583" s="8" t="n"/>
      <c r="F1583" s="9" t="n"/>
      <c r="G1583" s="9" t="n"/>
      <c r="H1583" s="3">
        <f>IF(AND(D1583&lt;&gt;"",F1583&lt;&gt;""),F1583-D1583-G1583,"")</f>
        <v/>
      </c>
      <c r="I1583" s="14">
        <f>IF(E1583&lt;&gt;"", YEARFRAC(C1583, E1583) * 12, "")</f>
        <v/>
      </c>
      <c r="J1583" s="2">
        <f>IF(I1583="", "", IF(OR(AND(A1583="Listed Equity Shares", I1583&gt;12), AND(A1583="Unlisted Equity Shares", I1583&gt;24)), "Long Term", "Short Term"))</f>
        <v/>
      </c>
      <c r="K1583" s="5">
        <f>IF(J1583="", "", IF(J1583="Long Term", 12.5%,"as per slab"))</f>
        <v/>
      </c>
      <c r="L1583" s="3">
        <f>+IFERROR(IF(J1583="","",H1583*K1583),"as per slab")</f>
        <v/>
      </c>
    </row>
    <row r="1584">
      <c r="A1584" s="7" t="n"/>
      <c r="B1584" s="7" t="n"/>
      <c r="C1584" s="8" t="n"/>
      <c r="D1584" s="9" t="n"/>
      <c r="E1584" s="8" t="n"/>
      <c r="F1584" s="9" t="n"/>
      <c r="G1584" s="9" t="n"/>
      <c r="H1584" s="3">
        <f>IF(AND(D1584&lt;&gt;"",F1584&lt;&gt;""),F1584-D1584-G1584,"")</f>
        <v/>
      </c>
      <c r="I1584" s="14">
        <f>IF(E1584&lt;&gt;"", YEARFRAC(C1584, E1584) * 12, "")</f>
        <v/>
      </c>
      <c r="J1584" s="2">
        <f>IF(I1584="", "", IF(OR(AND(A1584="Listed Equity Shares", I1584&gt;12), AND(A1584="Unlisted Equity Shares", I1584&gt;24)), "Long Term", "Short Term"))</f>
        <v/>
      </c>
      <c r="K1584" s="5">
        <f>IF(J1584="", "", IF(J1584="Long Term", 12.5%,"as per slab"))</f>
        <v/>
      </c>
      <c r="L1584" s="3">
        <f>+IFERROR(IF(J1584="","",H1584*K1584),"as per slab")</f>
        <v/>
      </c>
    </row>
    <row r="1585">
      <c r="A1585" s="7" t="n"/>
      <c r="B1585" s="7" t="n"/>
      <c r="C1585" s="8" t="n"/>
      <c r="D1585" s="9" t="n"/>
      <c r="E1585" s="8" t="n"/>
      <c r="F1585" s="9" t="n"/>
      <c r="G1585" s="9" t="n"/>
      <c r="H1585" s="3">
        <f>IF(AND(D1585&lt;&gt;"",F1585&lt;&gt;""),F1585-D1585-G1585,"")</f>
        <v/>
      </c>
      <c r="I1585" s="14">
        <f>IF(E1585&lt;&gt;"", YEARFRAC(C1585, E1585) * 12, "")</f>
        <v/>
      </c>
      <c r="J1585" s="2">
        <f>IF(I1585="", "", IF(OR(AND(A1585="Listed Equity Shares", I1585&gt;12), AND(A1585="Unlisted Equity Shares", I1585&gt;24)), "Long Term", "Short Term"))</f>
        <v/>
      </c>
      <c r="K1585" s="5">
        <f>IF(J1585="", "", IF(J1585="Long Term", 12.5%,"as per slab"))</f>
        <v/>
      </c>
      <c r="L1585" s="3">
        <f>+IFERROR(IF(J1585="","",H1585*K1585),"as per slab")</f>
        <v/>
      </c>
    </row>
    <row r="1586">
      <c r="A1586" s="7" t="n"/>
      <c r="B1586" s="7" t="n"/>
      <c r="C1586" s="8" t="n"/>
      <c r="D1586" s="9" t="n"/>
      <c r="E1586" s="8" t="n"/>
      <c r="F1586" s="9" t="n"/>
      <c r="G1586" s="9" t="n"/>
      <c r="H1586" s="3">
        <f>IF(AND(D1586&lt;&gt;"",F1586&lt;&gt;""),F1586-D1586-G1586,"")</f>
        <v/>
      </c>
      <c r="I1586" s="14">
        <f>IF(E1586&lt;&gt;"", YEARFRAC(C1586, E1586) * 12, "")</f>
        <v/>
      </c>
      <c r="J1586" s="2">
        <f>IF(I1586="", "", IF(OR(AND(A1586="Listed Equity Shares", I1586&gt;12), AND(A1586="Unlisted Equity Shares", I1586&gt;24)), "Long Term", "Short Term"))</f>
        <v/>
      </c>
      <c r="K1586" s="5">
        <f>IF(J1586="", "", IF(J1586="Long Term", 12.5%,"as per slab"))</f>
        <v/>
      </c>
      <c r="L1586" s="3">
        <f>+IFERROR(IF(J1586="","",H1586*K1586),"as per slab")</f>
        <v/>
      </c>
    </row>
    <row r="1587">
      <c r="A1587" s="7" t="n"/>
      <c r="B1587" s="7" t="n"/>
      <c r="C1587" s="8" t="n"/>
      <c r="D1587" s="9" t="n"/>
      <c r="E1587" s="8" t="n"/>
      <c r="F1587" s="9" t="n"/>
      <c r="G1587" s="9" t="n"/>
      <c r="H1587" s="3">
        <f>IF(AND(D1587&lt;&gt;"",F1587&lt;&gt;""),F1587-D1587-G1587,"")</f>
        <v/>
      </c>
      <c r="I1587" s="14">
        <f>IF(E1587&lt;&gt;"", YEARFRAC(C1587, E1587) * 12, "")</f>
        <v/>
      </c>
      <c r="J1587" s="2">
        <f>IF(I1587="", "", IF(OR(AND(A1587="Listed Equity Shares", I1587&gt;12), AND(A1587="Unlisted Equity Shares", I1587&gt;24)), "Long Term", "Short Term"))</f>
        <v/>
      </c>
      <c r="K1587" s="5">
        <f>IF(J1587="", "", IF(J1587="Long Term", 12.5%,"as per slab"))</f>
        <v/>
      </c>
      <c r="L1587" s="3">
        <f>+IFERROR(IF(J1587="","",H1587*K1587),"as per slab")</f>
        <v/>
      </c>
    </row>
    <row r="1588">
      <c r="A1588" s="7" t="n"/>
      <c r="B1588" s="7" t="n"/>
      <c r="C1588" s="8" t="n"/>
      <c r="D1588" s="9" t="n"/>
      <c r="E1588" s="8" t="n"/>
      <c r="F1588" s="9" t="n"/>
      <c r="G1588" s="9" t="n"/>
      <c r="H1588" s="3">
        <f>IF(AND(D1588&lt;&gt;"",F1588&lt;&gt;""),F1588-D1588-G1588,"")</f>
        <v/>
      </c>
      <c r="I1588" s="14">
        <f>IF(E1588&lt;&gt;"", YEARFRAC(C1588, E1588) * 12, "")</f>
        <v/>
      </c>
      <c r="J1588" s="2">
        <f>IF(I1588="", "", IF(OR(AND(A1588="Listed Equity Shares", I1588&gt;12), AND(A1588="Unlisted Equity Shares", I1588&gt;24)), "Long Term", "Short Term"))</f>
        <v/>
      </c>
      <c r="K1588" s="5">
        <f>IF(J1588="", "", IF(J1588="Long Term", 12.5%,"as per slab"))</f>
        <v/>
      </c>
      <c r="L1588" s="3">
        <f>+IFERROR(IF(J1588="","",H1588*K1588),"as per slab")</f>
        <v/>
      </c>
    </row>
    <row r="1589">
      <c r="A1589" s="7" t="n"/>
      <c r="B1589" s="7" t="n"/>
      <c r="C1589" s="8" t="n"/>
      <c r="D1589" s="9" t="n"/>
      <c r="E1589" s="8" t="n"/>
      <c r="F1589" s="9" t="n"/>
      <c r="G1589" s="9" t="n"/>
      <c r="H1589" s="3">
        <f>IF(AND(D1589&lt;&gt;"",F1589&lt;&gt;""),F1589-D1589-G1589,"")</f>
        <v/>
      </c>
      <c r="I1589" s="14">
        <f>IF(E1589&lt;&gt;"", YEARFRAC(C1589, E1589) * 12, "")</f>
        <v/>
      </c>
      <c r="J1589" s="2">
        <f>IF(I1589="", "", IF(OR(AND(A1589="Listed Equity Shares", I1589&gt;12), AND(A1589="Unlisted Equity Shares", I1589&gt;24)), "Long Term", "Short Term"))</f>
        <v/>
      </c>
      <c r="K1589" s="5">
        <f>IF(J1589="", "", IF(J1589="Long Term", 12.5%,"as per slab"))</f>
        <v/>
      </c>
      <c r="L1589" s="3">
        <f>+IFERROR(IF(J1589="","",H1589*K1589),"as per slab")</f>
        <v/>
      </c>
    </row>
    <row r="1590">
      <c r="A1590" s="7" t="n"/>
      <c r="B1590" s="7" t="n"/>
      <c r="C1590" s="8" t="n"/>
      <c r="D1590" s="9" t="n"/>
      <c r="E1590" s="8" t="n"/>
      <c r="F1590" s="9" t="n"/>
      <c r="G1590" s="9" t="n"/>
      <c r="H1590" s="3">
        <f>IF(AND(D1590&lt;&gt;"",F1590&lt;&gt;""),F1590-D1590-G1590,"")</f>
        <v/>
      </c>
      <c r="I1590" s="14">
        <f>IF(E1590&lt;&gt;"", YEARFRAC(C1590, E1590) * 12, "")</f>
        <v/>
      </c>
      <c r="J1590" s="2">
        <f>IF(I1590="", "", IF(OR(AND(A1590="Listed Equity Shares", I1590&gt;12), AND(A1590="Unlisted Equity Shares", I1590&gt;24)), "Long Term", "Short Term"))</f>
        <v/>
      </c>
      <c r="K1590" s="5">
        <f>IF(J1590="", "", IF(J1590="Long Term", 12.5%,"as per slab"))</f>
        <v/>
      </c>
      <c r="L1590" s="3">
        <f>+IFERROR(IF(J1590="","",H1590*K1590),"as per slab")</f>
        <v/>
      </c>
    </row>
    <row r="1591">
      <c r="A1591" s="7" t="n"/>
      <c r="B1591" s="7" t="n"/>
      <c r="C1591" s="8" t="n"/>
      <c r="D1591" s="9" t="n"/>
      <c r="E1591" s="8" t="n"/>
      <c r="F1591" s="9" t="n"/>
      <c r="G1591" s="9" t="n"/>
      <c r="H1591" s="3">
        <f>IF(AND(D1591&lt;&gt;"",F1591&lt;&gt;""),F1591-D1591-G1591,"")</f>
        <v/>
      </c>
      <c r="I1591" s="14">
        <f>IF(E1591&lt;&gt;"", YEARFRAC(C1591, E1591) * 12, "")</f>
        <v/>
      </c>
      <c r="J1591" s="2">
        <f>IF(I1591="", "", IF(OR(AND(A1591="Listed Equity Shares", I1591&gt;12), AND(A1591="Unlisted Equity Shares", I1591&gt;24)), "Long Term", "Short Term"))</f>
        <v/>
      </c>
      <c r="K1591" s="5">
        <f>IF(J1591="", "", IF(J1591="Long Term", 12.5%,"as per slab"))</f>
        <v/>
      </c>
      <c r="L1591" s="3">
        <f>+IFERROR(IF(J1591="","",H1591*K1591),"as per slab")</f>
        <v/>
      </c>
    </row>
    <row r="1592">
      <c r="A1592" s="7" t="n"/>
      <c r="B1592" s="7" t="n"/>
      <c r="C1592" s="8" t="n"/>
      <c r="D1592" s="9" t="n"/>
      <c r="E1592" s="8" t="n"/>
      <c r="F1592" s="9" t="n"/>
      <c r="G1592" s="9" t="n"/>
      <c r="H1592" s="3">
        <f>IF(AND(D1592&lt;&gt;"",F1592&lt;&gt;""),F1592-D1592-G1592,"")</f>
        <v/>
      </c>
      <c r="I1592" s="14">
        <f>IF(E1592&lt;&gt;"", YEARFRAC(C1592, E1592) * 12, "")</f>
        <v/>
      </c>
      <c r="J1592" s="2">
        <f>IF(I1592="", "", IF(OR(AND(A1592="Listed Equity Shares", I1592&gt;12), AND(A1592="Unlisted Equity Shares", I1592&gt;24)), "Long Term", "Short Term"))</f>
        <v/>
      </c>
      <c r="K1592" s="5">
        <f>IF(J1592="", "", IF(J1592="Long Term", 12.5%,"as per slab"))</f>
        <v/>
      </c>
      <c r="L1592" s="3">
        <f>+IFERROR(IF(J1592="","",H1592*K1592),"as per slab")</f>
        <v/>
      </c>
    </row>
    <row r="1593">
      <c r="A1593" s="7" t="n"/>
      <c r="B1593" s="7" t="n"/>
      <c r="C1593" s="8" t="n"/>
      <c r="D1593" s="9" t="n"/>
      <c r="E1593" s="8" t="n"/>
      <c r="F1593" s="9" t="n"/>
      <c r="G1593" s="9" t="n"/>
      <c r="H1593" s="3">
        <f>IF(AND(D1593&lt;&gt;"",F1593&lt;&gt;""),F1593-D1593-G1593,"")</f>
        <v/>
      </c>
      <c r="I1593" s="14">
        <f>IF(E1593&lt;&gt;"", YEARFRAC(C1593, E1593) * 12, "")</f>
        <v/>
      </c>
      <c r="J1593" s="2">
        <f>IF(I1593="", "", IF(OR(AND(A1593="Listed Equity Shares", I1593&gt;12), AND(A1593="Unlisted Equity Shares", I1593&gt;24)), "Long Term", "Short Term"))</f>
        <v/>
      </c>
      <c r="K1593" s="5">
        <f>IF(J1593="", "", IF(J1593="Long Term", 12.5%,"as per slab"))</f>
        <v/>
      </c>
      <c r="L1593" s="3">
        <f>+IFERROR(IF(J1593="","",H1593*K1593),"as per slab")</f>
        <v/>
      </c>
    </row>
    <row r="1594">
      <c r="A1594" s="7" t="n"/>
      <c r="B1594" s="7" t="n"/>
      <c r="C1594" s="8" t="n"/>
      <c r="D1594" s="9" t="n"/>
      <c r="E1594" s="8" t="n"/>
      <c r="F1594" s="9" t="n"/>
      <c r="G1594" s="9" t="n"/>
      <c r="H1594" s="3">
        <f>IF(AND(D1594&lt;&gt;"",F1594&lt;&gt;""),F1594-D1594-G1594,"")</f>
        <v/>
      </c>
      <c r="I1594" s="14">
        <f>IF(E1594&lt;&gt;"", YEARFRAC(C1594, E1594) * 12, "")</f>
        <v/>
      </c>
      <c r="J1594" s="2">
        <f>IF(I1594="", "", IF(OR(AND(A1594="Listed Equity Shares", I1594&gt;12), AND(A1594="Unlisted Equity Shares", I1594&gt;24)), "Long Term", "Short Term"))</f>
        <v/>
      </c>
      <c r="K1594" s="5">
        <f>IF(J1594="", "", IF(J1594="Long Term", 12.5%,"as per slab"))</f>
        <v/>
      </c>
      <c r="L1594" s="3">
        <f>+IFERROR(IF(J1594="","",H1594*K1594),"as per slab")</f>
        <v/>
      </c>
    </row>
    <row r="1595">
      <c r="A1595" s="7" t="n"/>
      <c r="B1595" s="7" t="n"/>
      <c r="C1595" s="8" t="n"/>
      <c r="D1595" s="9" t="n"/>
      <c r="E1595" s="8" t="n"/>
      <c r="F1595" s="9" t="n"/>
      <c r="G1595" s="9" t="n"/>
      <c r="H1595" s="3">
        <f>IF(AND(D1595&lt;&gt;"",F1595&lt;&gt;""),F1595-D1595-G1595,"")</f>
        <v/>
      </c>
      <c r="I1595" s="14">
        <f>IF(E1595&lt;&gt;"", YEARFRAC(C1595, E1595) * 12, "")</f>
        <v/>
      </c>
      <c r="J1595" s="2">
        <f>IF(I1595="", "", IF(OR(AND(A1595="Listed Equity Shares", I1595&gt;12), AND(A1595="Unlisted Equity Shares", I1595&gt;24)), "Long Term", "Short Term"))</f>
        <v/>
      </c>
      <c r="K1595" s="5">
        <f>IF(J1595="", "", IF(J1595="Long Term", 12.5%,"as per slab"))</f>
        <v/>
      </c>
      <c r="L1595" s="3">
        <f>+IFERROR(IF(J1595="","",H1595*K1595),"as per slab")</f>
        <v/>
      </c>
    </row>
    <row r="1596">
      <c r="A1596" s="7" t="n"/>
      <c r="B1596" s="7" t="n"/>
      <c r="C1596" s="8" t="n"/>
      <c r="D1596" s="9" t="n"/>
      <c r="E1596" s="8" t="n"/>
      <c r="F1596" s="9" t="n"/>
      <c r="G1596" s="9" t="n"/>
      <c r="H1596" s="3">
        <f>IF(AND(D1596&lt;&gt;"",F1596&lt;&gt;""),F1596-D1596-G1596,"")</f>
        <v/>
      </c>
      <c r="I1596" s="14">
        <f>IF(E1596&lt;&gt;"", YEARFRAC(C1596, E1596) * 12, "")</f>
        <v/>
      </c>
      <c r="J1596" s="2">
        <f>IF(I1596="", "", IF(OR(AND(A1596="Listed Equity Shares", I1596&gt;12), AND(A1596="Unlisted Equity Shares", I1596&gt;24)), "Long Term", "Short Term"))</f>
        <v/>
      </c>
      <c r="K1596" s="5">
        <f>IF(J1596="", "", IF(J1596="Long Term", 12.5%,"as per slab"))</f>
        <v/>
      </c>
      <c r="L1596" s="3">
        <f>+IFERROR(IF(J1596="","",H1596*K1596),"as per slab")</f>
        <v/>
      </c>
    </row>
    <row r="1597">
      <c r="A1597" s="7" t="n"/>
      <c r="B1597" s="7" t="n"/>
      <c r="C1597" s="8" t="n"/>
      <c r="D1597" s="9" t="n"/>
      <c r="E1597" s="8" t="n"/>
      <c r="F1597" s="9" t="n"/>
      <c r="G1597" s="9" t="n"/>
      <c r="H1597" s="3">
        <f>IF(AND(D1597&lt;&gt;"",F1597&lt;&gt;""),F1597-D1597-G1597,"")</f>
        <v/>
      </c>
      <c r="I1597" s="14">
        <f>IF(E1597&lt;&gt;"", YEARFRAC(C1597, E1597) * 12, "")</f>
        <v/>
      </c>
      <c r="J1597" s="2">
        <f>IF(I1597="", "", IF(OR(AND(A1597="Listed Equity Shares", I1597&gt;12), AND(A1597="Unlisted Equity Shares", I1597&gt;24)), "Long Term", "Short Term"))</f>
        <v/>
      </c>
      <c r="K1597" s="5">
        <f>IF(J1597="", "", IF(J1597="Long Term", 12.5%,"as per slab"))</f>
        <v/>
      </c>
      <c r="L1597" s="3">
        <f>+IFERROR(IF(J1597="","",H1597*K1597),"as per slab")</f>
        <v/>
      </c>
    </row>
    <row r="1598">
      <c r="A1598" s="7" t="n"/>
      <c r="B1598" s="7" t="n"/>
      <c r="C1598" s="8" t="n"/>
      <c r="D1598" s="9" t="n"/>
      <c r="E1598" s="8" t="n"/>
      <c r="F1598" s="9" t="n"/>
      <c r="G1598" s="9" t="n"/>
      <c r="H1598" s="3">
        <f>IF(AND(D1598&lt;&gt;"",F1598&lt;&gt;""),F1598-D1598-G1598,"")</f>
        <v/>
      </c>
      <c r="I1598" s="14">
        <f>IF(E1598&lt;&gt;"", YEARFRAC(C1598, E1598) * 12, "")</f>
        <v/>
      </c>
      <c r="J1598" s="2">
        <f>IF(I1598="", "", IF(OR(AND(A1598="Listed Equity Shares", I1598&gt;12), AND(A1598="Unlisted Equity Shares", I1598&gt;24)), "Long Term", "Short Term"))</f>
        <v/>
      </c>
      <c r="K1598" s="5">
        <f>IF(J1598="", "", IF(J1598="Long Term", 12.5%,"as per slab"))</f>
        <v/>
      </c>
      <c r="L1598" s="3">
        <f>+IFERROR(IF(J1598="","",H1598*K1598),"as per slab")</f>
        <v/>
      </c>
    </row>
    <row r="1599">
      <c r="A1599" s="7" t="n"/>
      <c r="B1599" s="7" t="n"/>
      <c r="C1599" s="8" t="n"/>
      <c r="D1599" s="9" t="n"/>
      <c r="E1599" s="8" t="n"/>
      <c r="F1599" s="9" t="n"/>
      <c r="G1599" s="9" t="n"/>
      <c r="H1599" s="3">
        <f>IF(AND(D1599&lt;&gt;"",F1599&lt;&gt;""),F1599-D1599-G1599,"")</f>
        <v/>
      </c>
      <c r="I1599" s="14">
        <f>IF(E1599&lt;&gt;"", YEARFRAC(C1599, E1599) * 12, "")</f>
        <v/>
      </c>
      <c r="J1599" s="2">
        <f>IF(I1599="", "", IF(OR(AND(A1599="Listed Equity Shares", I1599&gt;12), AND(A1599="Unlisted Equity Shares", I1599&gt;24)), "Long Term", "Short Term"))</f>
        <v/>
      </c>
      <c r="K1599" s="5">
        <f>IF(J1599="", "", IF(J1599="Long Term", 12.5%,"as per slab"))</f>
        <v/>
      </c>
      <c r="L1599" s="3">
        <f>+IFERROR(IF(J1599="","",H1599*K1599),"as per slab")</f>
        <v/>
      </c>
    </row>
    <row r="1600">
      <c r="A1600" s="7" t="n"/>
      <c r="B1600" s="7" t="n"/>
      <c r="C1600" s="8" t="n"/>
      <c r="D1600" s="9" t="n"/>
      <c r="E1600" s="8" t="n"/>
      <c r="F1600" s="9" t="n"/>
      <c r="G1600" s="9" t="n"/>
      <c r="H1600" s="3">
        <f>IF(AND(D1600&lt;&gt;"",F1600&lt;&gt;""),F1600-D1600-G1600,"")</f>
        <v/>
      </c>
      <c r="I1600" s="14">
        <f>IF(E1600&lt;&gt;"", YEARFRAC(C1600, E1600) * 12, "")</f>
        <v/>
      </c>
      <c r="J1600" s="2">
        <f>IF(I1600="", "", IF(OR(AND(A1600="Listed Equity Shares", I1600&gt;12), AND(A1600="Unlisted Equity Shares", I1600&gt;24)), "Long Term", "Short Term"))</f>
        <v/>
      </c>
      <c r="K1600" s="5">
        <f>IF(J1600="", "", IF(J1600="Long Term", 12.5%,"as per slab"))</f>
        <v/>
      </c>
      <c r="L1600" s="3">
        <f>+IFERROR(IF(J1600="","",H1600*K1600),"as per slab")</f>
        <v/>
      </c>
    </row>
    <row r="1601">
      <c r="A1601" s="7" t="n"/>
      <c r="B1601" s="7" t="n"/>
      <c r="C1601" s="8" t="n"/>
      <c r="D1601" s="9" t="n"/>
      <c r="E1601" s="8" t="n"/>
      <c r="F1601" s="9" t="n"/>
      <c r="G1601" s="9" t="n"/>
      <c r="H1601" s="3">
        <f>IF(AND(D1601&lt;&gt;"",F1601&lt;&gt;""),F1601-D1601-G1601,"")</f>
        <v/>
      </c>
      <c r="I1601" s="14">
        <f>IF(E1601&lt;&gt;"", YEARFRAC(C1601, E1601) * 12, "")</f>
        <v/>
      </c>
      <c r="J1601" s="2">
        <f>IF(I1601="", "", IF(OR(AND(A1601="Listed Equity Shares", I1601&gt;12), AND(A1601="Unlisted Equity Shares", I1601&gt;24)), "Long Term", "Short Term"))</f>
        <v/>
      </c>
      <c r="K1601" s="5">
        <f>IF(J1601="", "", IF(J1601="Long Term", 12.5%,"as per slab"))</f>
        <v/>
      </c>
      <c r="L1601" s="3">
        <f>+IFERROR(IF(J1601="","",H1601*K1601),"as per slab")</f>
        <v/>
      </c>
    </row>
    <row r="1602">
      <c r="A1602" s="7" t="n"/>
      <c r="B1602" s="7" t="n"/>
      <c r="C1602" s="8" t="n"/>
      <c r="D1602" s="9" t="n"/>
      <c r="E1602" s="8" t="n"/>
      <c r="F1602" s="9" t="n"/>
      <c r="G1602" s="9" t="n"/>
      <c r="H1602" s="3">
        <f>IF(AND(D1602&lt;&gt;"",F1602&lt;&gt;""),F1602-D1602-G1602,"")</f>
        <v/>
      </c>
      <c r="I1602" s="14">
        <f>IF(E1602&lt;&gt;"", YEARFRAC(C1602, E1602) * 12, "")</f>
        <v/>
      </c>
      <c r="J1602" s="2">
        <f>IF(I1602="", "", IF(OR(AND(A1602="Listed Equity Shares", I1602&gt;12), AND(A1602="Unlisted Equity Shares", I1602&gt;24)), "Long Term", "Short Term"))</f>
        <v/>
      </c>
      <c r="K1602" s="5">
        <f>IF(J1602="", "", IF(J1602="Long Term", 12.5%,"as per slab"))</f>
        <v/>
      </c>
      <c r="L1602" s="3">
        <f>+IFERROR(IF(J1602="","",H1602*K1602),"as per slab")</f>
        <v/>
      </c>
    </row>
    <row r="1603">
      <c r="A1603" s="7" t="n"/>
      <c r="B1603" s="7" t="n"/>
      <c r="C1603" s="8" t="n"/>
      <c r="D1603" s="9" t="n"/>
      <c r="E1603" s="8" t="n"/>
      <c r="F1603" s="9" t="n"/>
      <c r="G1603" s="9" t="n"/>
      <c r="H1603" s="3">
        <f>IF(AND(D1603&lt;&gt;"",F1603&lt;&gt;""),F1603-D1603-G1603,"")</f>
        <v/>
      </c>
      <c r="I1603" s="14">
        <f>IF(E1603&lt;&gt;"", YEARFRAC(C1603, E1603) * 12, "")</f>
        <v/>
      </c>
      <c r="J1603" s="2">
        <f>IF(I1603="", "", IF(OR(AND(A1603="Listed Equity Shares", I1603&gt;12), AND(A1603="Unlisted Equity Shares", I1603&gt;24)), "Long Term", "Short Term"))</f>
        <v/>
      </c>
      <c r="K1603" s="5">
        <f>IF(J1603="", "", IF(J1603="Long Term", 12.5%,"as per slab"))</f>
        <v/>
      </c>
      <c r="L1603" s="3">
        <f>+IFERROR(IF(J1603="","",H1603*K1603),"as per slab")</f>
        <v/>
      </c>
    </row>
    <row r="1604">
      <c r="A1604" s="7" t="n"/>
      <c r="B1604" s="7" t="n"/>
      <c r="C1604" s="8" t="n"/>
      <c r="D1604" s="9" t="n"/>
      <c r="E1604" s="8" t="n"/>
      <c r="F1604" s="9" t="n"/>
      <c r="G1604" s="9" t="n"/>
      <c r="H1604" s="3">
        <f>IF(AND(D1604&lt;&gt;"",F1604&lt;&gt;""),F1604-D1604-G1604,"")</f>
        <v/>
      </c>
      <c r="I1604" s="14">
        <f>IF(E1604&lt;&gt;"", YEARFRAC(C1604, E1604) * 12, "")</f>
        <v/>
      </c>
      <c r="J1604" s="2">
        <f>IF(I1604="", "", IF(OR(AND(A1604="Listed Equity Shares", I1604&gt;12), AND(A1604="Unlisted Equity Shares", I1604&gt;24)), "Long Term", "Short Term"))</f>
        <v/>
      </c>
      <c r="K1604" s="5">
        <f>IF(J1604="", "", IF(J1604="Long Term", 12.5%,"as per slab"))</f>
        <v/>
      </c>
      <c r="L1604" s="3">
        <f>+IFERROR(IF(J1604="","",H1604*K1604),"as per slab")</f>
        <v/>
      </c>
    </row>
    <row r="1605">
      <c r="A1605" s="7" t="n"/>
      <c r="B1605" s="7" t="n"/>
      <c r="C1605" s="8" t="n"/>
      <c r="D1605" s="9" t="n"/>
      <c r="E1605" s="8" t="n"/>
      <c r="F1605" s="9" t="n"/>
      <c r="G1605" s="9" t="n"/>
      <c r="H1605" s="3">
        <f>IF(AND(D1605&lt;&gt;"",F1605&lt;&gt;""),F1605-D1605-G1605,"")</f>
        <v/>
      </c>
      <c r="I1605" s="14">
        <f>IF(E1605&lt;&gt;"", YEARFRAC(C1605, E1605) * 12, "")</f>
        <v/>
      </c>
      <c r="J1605" s="2">
        <f>IF(I1605="", "", IF(OR(AND(A1605="Listed Equity Shares", I1605&gt;12), AND(A1605="Unlisted Equity Shares", I1605&gt;24)), "Long Term", "Short Term"))</f>
        <v/>
      </c>
      <c r="K1605" s="5">
        <f>IF(J1605="", "", IF(J1605="Long Term", 12.5%,"as per slab"))</f>
        <v/>
      </c>
      <c r="L1605" s="3">
        <f>+IFERROR(IF(J1605="","",H1605*K1605),"as per slab")</f>
        <v/>
      </c>
    </row>
    <row r="1606">
      <c r="A1606" s="7" t="n"/>
      <c r="B1606" s="7" t="n"/>
      <c r="C1606" s="8" t="n"/>
      <c r="D1606" s="9" t="n"/>
      <c r="E1606" s="8" t="n"/>
      <c r="F1606" s="9" t="n"/>
      <c r="G1606" s="9" t="n"/>
      <c r="H1606" s="3">
        <f>IF(AND(D1606&lt;&gt;"",F1606&lt;&gt;""),F1606-D1606-G1606,"")</f>
        <v/>
      </c>
      <c r="I1606" s="14">
        <f>IF(E1606&lt;&gt;"", YEARFRAC(C1606, E1606) * 12, "")</f>
        <v/>
      </c>
      <c r="J1606" s="2">
        <f>IF(I1606="", "", IF(OR(AND(A1606="Listed Equity Shares", I1606&gt;12), AND(A1606="Unlisted Equity Shares", I1606&gt;24)), "Long Term", "Short Term"))</f>
        <v/>
      </c>
      <c r="K1606" s="5">
        <f>IF(J1606="", "", IF(J1606="Long Term", 12.5%,"as per slab"))</f>
        <v/>
      </c>
      <c r="L1606" s="3">
        <f>+IFERROR(IF(J1606="","",H1606*K1606),"as per slab")</f>
        <v/>
      </c>
    </row>
    <row r="1607">
      <c r="A1607" s="7" t="n"/>
      <c r="B1607" s="7" t="n"/>
      <c r="C1607" s="8" t="n"/>
      <c r="D1607" s="9" t="n"/>
      <c r="E1607" s="8" t="n"/>
      <c r="F1607" s="9" t="n"/>
      <c r="G1607" s="9" t="n"/>
      <c r="H1607" s="3">
        <f>IF(AND(D1607&lt;&gt;"",F1607&lt;&gt;""),F1607-D1607-G1607,"")</f>
        <v/>
      </c>
      <c r="I1607" s="14">
        <f>IF(E1607&lt;&gt;"", YEARFRAC(C1607, E1607) * 12, "")</f>
        <v/>
      </c>
      <c r="J1607" s="2">
        <f>IF(I1607="", "", IF(OR(AND(A1607="Listed Equity Shares", I1607&gt;12), AND(A1607="Unlisted Equity Shares", I1607&gt;24)), "Long Term", "Short Term"))</f>
        <v/>
      </c>
      <c r="K1607" s="5">
        <f>IF(J1607="", "", IF(J1607="Long Term", 12.5%,"as per slab"))</f>
        <v/>
      </c>
      <c r="L1607" s="3">
        <f>+IFERROR(IF(J1607="","",H1607*K1607),"as per slab")</f>
        <v/>
      </c>
    </row>
    <row r="1608">
      <c r="A1608" s="7" t="n"/>
      <c r="B1608" s="7" t="n"/>
      <c r="C1608" s="8" t="n"/>
      <c r="D1608" s="9" t="n"/>
      <c r="E1608" s="8" t="n"/>
      <c r="F1608" s="9" t="n"/>
      <c r="G1608" s="9" t="n"/>
      <c r="H1608" s="3">
        <f>IF(AND(D1608&lt;&gt;"",F1608&lt;&gt;""),F1608-D1608-G1608,"")</f>
        <v/>
      </c>
      <c r="I1608" s="14">
        <f>IF(E1608&lt;&gt;"", YEARFRAC(C1608, E1608) * 12, "")</f>
        <v/>
      </c>
      <c r="J1608" s="2">
        <f>IF(I1608="", "", IF(OR(AND(A1608="Listed Equity Shares", I1608&gt;12), AND(A1608="Unlisted Equity Shares", I1608&gt;24)), "Long Term", "Short Term"))</f>
        <v/>
      </c>
      <c r="K1608" s="5">
        <f>IF(J1608="", "", IF(J1608="Long Term", 12.5%,"as per slab"))</f>
        <v/>
      </c>
      <c r="L1608" s="3">
        <f>+IFERROR(IF(J1608="","",H1608*K1608),"as per slab")</f>
        <v/>
      </c>
    </row>
    <row r="1609">
      <c r="A1609" s="7" t="n"/>
      <c r="B1609" s="7" t="n"/>
      <c r="C1609" s="8" t="n"/>
      <c r="D1609" s="9" t="n"/>
      <c r="E1609" s="8" t="n"/>
      <c r="F1609" s="9" t="n"/>
      <c r="G1609" s="9" t="n"/>
      <c r="H1609" s="3">
        <f>IF(AND(D1609&lt;&gt;"",F1609&lt;&gt;""),F1609-D1609-G1609,"")</f>
        <v/>
      </c>
      <c r="I1609" s="14">
        <f>IF(E1609&lt;&gt;"", YEARFRAC(C1609, E1609) * 12, "")</f>
        <v/>
      </c>
      <c r="J1609" s="2">
        <f>IF(I1609="", "", IF(OR(AND(A1609="Listed Equity Shares", I1609&gt;12), AND(A1609="Unlisted Equity Shares", I1609&gt;24)), "Long Term", "Short Term"))</f>
        <v/>
      </c>
      <c r="K1609" s="5">
        <f>IF(J1609="", "", IF(J1609="Long Term", 12.5%,"as per slab"))</f>
        <v/>
      </c>
      <c r="L1609" s="3">
        <f>+IFERROR(IF(J1609="","",H1609*K1609),"as per slab")</f>
        <v/>
      </c>
    </row>
    <row r="1610">
      <c r="A1610" s="7" t="n"/>
      <c r="B1610" s="7" t="n"/>
      <c r="C1610" s="8" t="n"/>
      <c r="D1610" s="9" t="n"/>
      <c r="E1610" s="8" t="n"/>
      <c r="F1610" s="9" t="n"/>
      <c r="G1610" s="9" t="n"/>
      <c r="H1610" s="3">
        <f>IF(AND(D1610&lt;&gt;"",F1610&lt;&gt;""),F1610-D1610-G1610,"")</f>
        <v/>
      </c>
      <c r="I1610" s="14">
        <f>IF(E1610&lt;&gt;"", YEARFRAC(C1610, E1610) * 12, "")</f>
        <v/>
      </c>
      <c r="J1610" s="2">
        <f>IF(I1610="", "", IF(OR(AND(A1610="Listed Equity Shares", I1610&gt;12), AND(A1610="Unlisted Equity Shares", I1610&gt;24)), "Long Term", "Short Term"))</f>
        <v/>
      </c>
      <c r="K1610" s="5">
        <f>IF(J1610="", "", IF(J1610="Long Term", 12.5%,"as per slab"))</f>
        <v/>
      </c>
      <c r="L1610" s="3">
        <f>+IFERROR(IF(J1610="","",H1610*K1610),"as per slab")</f>
        <v/>
      </c>
    </row>
    <row r="1611">
      <c r="A1611" s="7" t="n"/>
      <c r="B1611" s="7" t="n"/>
      <c r="C1611" s="8" t="n"/>
      <c r="D1611" s="9" t="n"/>
      <c r="E1611" s="8" t="n"/>
      <c r="F1611" s="9" t="n"/>
      <c r="G1611" s="9" t="n"/>
      <c r="H1611" s="3">
        <f>IF(AND(D1611&lt;&gt;"",F1611&lt;&gt;""),F1611-D1611-G1611,"")</f>
        <v/>
      </c>
      <c r="I1611" s="14">
        <f>IF(E1611&lt;&gt;"", YEARFRAC(C1611, E1611) * 12, "")</f>
        <v/>
      </c>
      <c r="J1611" s="2">
        <f>IF(I1611="", "", IF(OR(AND(A1611="Listed Equity Shares", I1611&gt;12), AND(A1611="Unlisted Equity Shares", I1611&gt;24)), "Long Term", "Short Term"))</f>
        <v/>
      </c>
      <c r="K1611" s="5">
        <f>IF(J1611="", "", IF(J1611="Long Term", 12.5%,"as per slab"))</f>
        <v/>
      </c>
      <c r="L1611" s="3">
        <f>+IFERROR(IF(J1611="","",H1611*K1611),"as per slab")</f>
        <v/>
      </c>
    </row>
    <row r="1612">
      <c r="A1612" s="7" t="n"/>
      <c r="B1612" s="7" t="n"/>
      <c r="C1612" s="8" t="n"/>
      <c r="D1612" s="9" t="n"/>
      <c r="E1612" s="8" t="n"/>
      <c r="F1612" s="9" t="n"/>
      <c r="G1612" s="9" t="n"/>
      <c r="H1612" s="3">
        <f>IF(AND(D1612&lt;&gt;"",F1612&lt;&gt;""),F1612-D1612-G1612,"")</f>
        <v/>
      </c>
      <c r="I1612" s="14">
        <f>IF(E1612&lt;&gt;"", YEARFRAC(C1612, E1612) * 12, "")</f>
        <v/>
      </c>
      <c r="J1612" s="2">
        <f>IF(I1612="", "", IF(OR(AND(A1612="Listed Equity Shares", I1612&gt;12), AND(A1612="Unlisted Equity Shares", I1612&gt;24)), "Long Term", "Short Term"))</f>
        <v/>
      </c>
      <c r="K1612" s="5">
        <f>IF(J1612="", "", IF(J1612="Long Term", 12.5%,"as per slab"))</f>
        <v/>
      </c>
      <c r="L1612" s="3">
        <f>+IFERROR(IF(J1612="","",H1612*K1612),"as per slab")</f>
        <v/>
      </c>
    </row>
    <row r="1613">
      <c r="A1613" s="7" t="n"/>
      <c r="B1613" s="7" t="n"/>
      <c r="C1613" s="8" t="n"/>
      <c r="D1613" s="9" t="n"/>
      <c r="E1613" s="8" t="n"/>
      <c r="F1613" s="9" t="n"/>
      <c r="G1613" s="9" t="n"/>
      <c r="H1613" s="3">
        <f>IF(AND(D1613&lt;&gt;"",F1613&lt;&gt;""),F1613-D1613-G1613,"")</f>
        <v/>
      </c>
      <c r="I1613" s="14">
        <f>IF(E1613&lt;&gt;"", YEARFRAC(C1613, E1613) * 12, "")</f>
        <v/>
      </c>
      <c r="J1613" s="2">
        <f>IF(I1613="", "", IF(OR(AND(A1613="Listed Equity Shares", I1613&gt;12), AND(A1613="Unlisted Equity Shares", I1613&gt;24)), "Long Term", "Short Term"))</f>
        <v/>
      </c>
      <c r="K1613" s="5">
        <f>IF(J1613="", "", IF(J1613="Long Term", 12.5%,"as per slab"))</f>
        <v/>
      </c>
      <c r="L1613" s="3">
        <f>+IFERROR(IF(J1613="","",H1613*K1613),"as per slab")</f>
        <v/>
      </c>
    </row>
    <row r="1614">
      <c r="A1614" s="7" t="n"/>
      <c r="B1614" s="7" t="n"/>
      <c r="C1614" s="8" t="n"/>
      <c r="D1614" s="9" t="n"/>
      <c r="E1614" s="8" t="n"/>
      <c r="F1614" s="9" t="n"/>
      <c r="G1614" s="9" t="n"/>
      <c r="H1614" s="3">
        <f>IF(AND(D1614&lt;&gt;"",F1614&lt;&gt;""),F1614-D1614-G1614,"")</f>
        <v/>
      </c>
      <c r="I1614" s="14">
        <f>IF(E1614&lt;&gt;"", YEARFRAC(C1614, E1614) * 12, "")</f>
        <v/>
      </c>
      <c r="J1614" s="2">
        <f>IF(I1614="", "", IF(OR(AND(A1614="Listed Equity Shares", I1614&gt;12), AND(A1614="Unlisted Equity Shares", I1614&gt;24)), "Long Term", "Short Term"))</f>
        <v/>
      </c>
      <c r="K1614" s="5">
        <f>IF(J1614="", "", IF(J1614="Long Term", 12.5%,"as per slab"))</f>
        <v/>
      </c>
      <c r="L1614" s="3">
        <f>+IFERROR(IF(J1614="","",H1614*K1614),"as per slab")</f>
        <v/>
      </c>
    </row>
    <row r="1615">
      <c r="A1615" s="7" t="n"/>
      <c r="B1615" s="7" t="n"/>
      <c r="C1615" s="8" t="n"/>
      <c r="D1615" s="9" t="n"/>
      <c r="E1615" s="8" t="n"/>
      <c r="F1615" s="9" t="n"/>
      <c r="G1615" s="9" t="n"/>
      <c r="H1615" s="3">
        <f>IF(AND(D1615&lt;&gt;"",F1615&lt;&gt;""),F1615-D1615-G1615,"")</f>
        <v/>
      </c>
      <c r="I1615" s="14">
        <f>IF(E1615&lt;&gt;"", YEARFRAC(C1615, E1615) * 12, "")</f>
        <v/>
      </c>
      <c r="J1615" s="2">
        <f>IF(I1615="", "", IF(OR(AND(A1615="Listed Equity Shares", I1615&gt;12), AND(A1615="Unlisted Equity Shares", I1615&gt;24)), "Long Term", "Short Term"))</f>
        <v/>
      </c>
      <c r="K1615" s="5">
        <f>IF(J1615="", "", IF(J1615="Long Term", 12.5%,"as per slab"))</f>
        <v/>
      </c>
      <c r="L1615" s="3">
        <f>+IFERROR(IF(J1615="","",H1615*K1615),"as per slab")</f>
        <v/>
      </c>
    </row>
    <row r="1616">
      <c r="A1616" s="7" t="n"/>
      <c r="B1616" s="7" t="n"/>
      <c r="C1616" s="8" t="n"/>
      <c r="D1616" s="9" t="n"/>
      <c r="E1616" s="8" t="n"/>
      <c r="F1616" s="9" t="n"/>
      <c r="G1616" s="9" t="n"/>
      <c r="H1616" s="3">
        <f>IF(AND(D1616&lt;&gt;"",F1616&lt;&gt;""),F1616-D1616-G1616,"")</f>
        <v/>
      </c>
      <c r="I1616" s="14">
        <f>IF(E1616&lt;&gt;"", YEARFRAC(C1616, E1616) * 12, "")</f>
        <v/>
      </c>
      <c r="J1616" s="2">
        <f>IF(I1616="", "", IF(OR(AND(A1616="Listed Equity Shares", I1616&gt;12), AND(A1616="Unlisted Equity Shares", I1616&gt;24)), "Long Term", "Short Term"))</f>
        <v/>
      </c>
      <c r="K1616" s="5">
        <f>IF(J1616="", "", IF(J1616="Long Term", 12.5%,"as per slab"))</f>
        <v/>
      </c>
      <c r="L1616" s="3">
        <f>+IFERROR(IF(J1616="","",H1616*K1616),"as per slab")</f>
        <v/>
      </c>
    </row>
    <row r="1617">
      <c r="A1617" s="7" t="n"/>
      <c r="B1617" s="7" t="n"/>
      <c r="C1617" s="8" t="n"/>
      <c r="D1617" s="9" t="n"/>
      <c r="E1617" s="8" t="n"/>
      <c r="F1617" s="9" t="n"/>
      <c r="G1617" s="9" t="n"/>
      <c r="H1617" s="3">
        <f>IF(AND(D1617&lt;&gt;"",F1617&lt;&gt;""),F1617-D1617-G1617,"")</f>
        <v/>
      </c>
      <c r="I1617" s="14">
        <f>IF(E1617&lt;&gt;"", YEARFRAC(C1617, E1617) * 12, "")</f>
        <v/>
      </c>
      <c r="J1617" s="2">
        <f>IF(I1617="", "", IF(OR(AND(A1617="Listed Equity Shares", I1617&gt;12), AND(A1617="Unlisted Equity Shares", I1617&gt;24)), "Long Term", "Short Term"))</f>
        <v/>
      </c>
      <c r="K1617" s="5">
        <f>IF(J1617="", "", IF(J1617="Long Term", 12.5%,"as per slab"))</f>
        <v/>
      </c>
      <c r="L1617" s="3">
        <f>+IFERROR(IF(J1617="","",H1617*K1617),"as per slab")</f>
        <v/>
      </c>
    </row>
    <row r="1618">
      <c r="A1618" s="7" t="n"/>
      <c r="B1618" s="7" t="n"/>
      <c r="C1618" s="8" t="n"/>
      <c r="D1618" s="9" t="n"/>
      <c r="E1618" s="8" t="n"/>
      <c r="F1618" s="9" t="n"/>
      <c r="G1618" s="9" t="n"/>
      <c r="H1618" s="3">
        <f>IF(AND(D1618&lt;&gt;"",F1618&lt;&gt;""),F1618-D1618-G1618,"")</f>
        <v/>
      </c>
      <c r="I1618" s="14">
        <f>IF(E1618&lt;&gt;"", YEARFRAC(C1618, E1618) * 12, "")</f>
        <v/>
      </c>
      <c r="J1618" s="2">
        <f>IF(I1618="", "", IF(OR(AND(A1618="Listed Equity Shares", I1618&gt;12), AND(A1618="Unlisted Equity Shares", I1618&gt;24)), "Long Term", "Short Term"))</f>
        <v/>
      </c>
      <c r="K1618" s="5">
        <f>IF(J1618="", "", IF(J1618="Long Term", 12.5%,"as per slab"))</f>
        <v/>
      </c>
      <c r="L1618" s="3">
        <f>+IFERROR(IF(J1618="","",H1618*K1618),"as per slab")</f>
        <v/>
      </c>
    </row>
    <row r="1619">
      <c r="A1619" s="7" t="n"/>
      <c r="B1619" s="7" t="n"/>
      <c r="C1619" s="8" t="n"/>
      <c r="D1619" s="9" t="n"/>
      <c r="E1619" s="8" t="n"/>
      <c r="F1619" s="9" t="n"/>
      <c r="G1619" s="9" t="n"/>
      <c r="H1619" s="3">
        <f>IF(AND(D1619&lt;&gt;"",F1619&lt;&gt;""),F1619-D1619-G1619,"")</f>
        <v/>
      </c>
      <c r="I1619" s="14">
        <f>IF(E1619&lt;&gt;"", YEARFRAC(C1619, E1619) * 12, "")</f>
        <v/>
      </c>
      <c r="J1619" s="2">
        <f>IF(I1619="", "", IF(OR(AND(A1619="Listed Equity Shares", I1619&gt;12), AND(A1619="Unlisted Equity Shares", I1619&gt;24)), "Long Term", "Short Term"))</f>
        <v/>
      </c>
      <c r="K1619" s="5">
        <f>IF(J1619="", "", IF(J1619="Long Term", 12.5%,"as per slab"))</f>
        <v/>
      </c>
      <c r="L1619" s="3">
        <f>+IFERROR(IF(J1619="","",H1619*K1619),"as per slab")</f>
        <v/>
      </c>
    </row>
    <row r="1620">
      <c r="A1620" s="7" t="n"/>
      <c r="B1620" s="7" t="n"/>
      <c r="C1620" s="8" t="n"/>
      <c r="D1620" s="9" t="n"/>
      <c r="E1620" s="8" t="n"/>
      <c r="F1620" s="9" t="n"/>
      <c r="G1620" s="9" t="n"/>
      <c r="H1620" s="3">
        <f>IF(AND(D1620&lt;&gt;"",F1620&lt;&gt;""),F1620-D1620-G1620,"")</f>
        <v/>
      </c>
      <c r="I1620" s="14">
        <f>IF(E1620&lt;&gt;"", YEARFRAC(C1620, E1620) * 12, "")</f>
        <v/>
      </c>
      <c r="J1620" s="2">
        <f>IF(I1620="", "", IF(OR(AND(A1620="Listed Equity Shares", I1620&gt;12), AND(A1620="Unlisted Equity Shares", I1620&gt;24)), "Long Term", "Short Term"))</f>
        <v/>
      </c>
      <c r="K1620" s="5">
        <f>IF(J1620="", "", IF(J1620="Long Term", 12.5%,"as per slab"))</f>
        <v/>
      </c>
      <c r="L1620" s="3">
        <f>+IFERROR(IF(J1620="","",H1620*K1620),"as per slab")</f>
        <v/>
      </c>
    </row>
    <row r="1621">
      <c r="A1621" s="7" t="n"/>
      <c r="B1621" s="7" t="n"/>
      <c r="C1621" s="8" t="n"/>
      <c r="D1621" s="9" t="n"/>
      <c r="E1621" s="8" t="n"/>
      <c r="F1621" s="9" t="n"/>
      <c r="G1621" s="9" t="n"/>
      <c r="H1621" s="3">
        <f>IF(AND(D1621&lt;&gt;"",F1621&lt;&gt;""),F1621-D1621-G1621,"")</f>
        <v/>
      </c>
      <c r="I1621" s="14">
        <f>IF(E1621&lt;&gt;"", YEARFRAC(C1621, E1621) * 12, "")</f>
        <v/>
      </c>
      <c r="J1621" s="2">
        <f>IF(I1621="", "", IF(OR(AND(A1621="Listed Equity Shares", I1621&gt;12), AND(A1621="Unlisted Equity Shares", I1621&gt;24)), "Long Term", "Short Term"))</f>
        <v/>
      </c>
      <c r="K1621" s="5">
        <f>IF(J1621="", "", IF(J1621="Long Term", 12.5%,"as per slab"))</f>
        <v/>
      </c>
      <c r="L1621" s="3">
        <f>+IFERROR(IF(J1621="","",H1621*K1621),"as per slab")</f>
        <v/>
      </c>
    </row>
    <row r="1622">
      <c r="A1622" s="7" t="n"/>
      <c r="B1622" s="7" t="n"/>
      <c r="C1622" s="8" t="n"/>
      <c r="D1622" s="9" t="n"/>
      <c r="E1622" s="8" t="n"/>
      <c r="F1622" s="9" t="n"/>
      <c r="G1622" s="9" t="n"/>
      <c r="H1622" s="3">
        <f>IF(AND(D1622&lt;&gt;"",F1622&lt;&gt;""),F1622-D1622-G1622,"")</f>
        <v/>
      </c>
      <c r="I1622" s="14">
        <f>IF(E1622&lt;&gt;"", YEARFRAC(C1622, E1622) * 12, "")</f>
        <v/>
      </c>
      <c r="J1622" s="2">
        <f>IF(I1622="", "", IF(OR(AND(A1622="Listed Equity Shares", I1622&gt;12), AND(A1622="Unlisted Equity Shares", I1622&gt;24)), "Long Term", "Short Term"))</f>
        <v/>
      </c>
      <c r="K1622" s="5">
        <f>IF(J1622="", "", IF(J1622="Long Term", 12.5%,"as per slab"))</f>
        <v/>
      </c>
      <c r="L1622" s="3">
        <f>+IFERROR(IF(J1622="","",H1622*K1622),"as per slab")</f>
        <v/>
      </c>
    </row>
    <row r="1623">
      <c r="A1623" s="7" t="n"/>
      <c r="B1623" s="7" t="n"/>
      <c r="C1623" s="8" t="n"/>
      <c r="D1623" s="9" t="n"/>
      <c r="E1623" s="8" t="n"/>
      <c r="F1623" s="9" t="n"/>
      <c r="G1623" s="9" t="n"/>
      <c r="H1623" s="3">
        <f>IF(AND(D1623&lt;&gt;"",F1623&lt;&gt;""),F1623-D1623-G1623,"")</f>
        <v/>
      </c>
      <c r="I1623" s="14">
        <f>IF(E1623&lt;&gt;"", YEARFRAC(C1623, E1623) * 12, "")</f>
        <v/>
      </c>
      <c r="J1623" s="2">
        <f>IF(I1623="", "", IF(OR(AND(A1623="Listed Equity Shares", I1623&gt;12), AND(A1623="Unlisted Equity Shares", I1623&gt;24)), "Long Term", "Short Term"))</f>
        <v/>
      </c>
      <c r="K1623" s="5">
        <f>IF(J1623="", "", IF(J1623="Long Term", 12.5%,"as per slab"))</f>
        <v/>
      </c>
      <c r="L1623" s="3">
        <f>+IFERROR(IF(J1623="","",H1623*K1623),"as per slab")</f>
        <v/>
      </c>
    </row>
    <row r="1624">
      <c r="A1624" s="7" t="n"/>
      <c r="B1624" s="7" t="n"/>
      <c r="C1624" s="8" t="n"/>
      <c r="D1624" s="9" t="n"/>
      <c r="E1624" s="8" t="n"/>
      <c r="F1624" s="9" t="n"/>
      <c r="G1624" s="9" t="n"/>
      <c r="H1624" s="3">
        <f>IF(AND(D1624&lt;&gt;"",F1624&lt;&gt;""),F1624-D1624-G1624,"")</f>
        <v/>
      </c>
      <c r="I1624" s="14">
        <f>IF(E1624&lt;&gt;"", YEARFRAC(C1624, E1624) * 12, "")</f>
        <v/>
      </c>
      <c r="J1624" s="2">
        <f>IF(I1624="", "", IF(OR(AND(A1624="Listed Equity Shares", I1624&gt;12), AND(A1624="Unlisted Equity Shares", I1624&gt;24)), "Long Term", "Short Term"))</f>
        <v/>
      </c>
      <c r="K1624" s="5">
        <f>IF(J1624="", "", IF(J1624="Long Term", 12.5%,"as per slab"))</f>
        <v/>
      </c>
      <c r="L1624" s="3">
        <f>+IFERROR(IF(J1624="","",H1624*K1624),"as per slab")</f>
        <v/>
      </c>
    </row>
    <row r="1625">
      <c r="A1625" s="7" t="n"/>
      <c r="B1625" s="7" t="n"/>
      <c r="C1625" s="8" t="n"/>
      <c r="D1625" s="9" t="n"/>
      <c r="E1625" s="8" t="n"/>
      <c r="F1625" s="9" t="n"/>
      <c r="G1625" s="9" t="n"/>
      <c r="H1625" s="3">
        <f>IF(AND(D1625&lt;&gt;"",F1625&lt;&gt;""),F1625-D1625-G1625,"")</f>
        <v/>
      </c>
      <c r="I1625" s="14">
        <f>IF(E1625&lt;&gt;"", YEARFRAC(C1625, E1625) * 12, "")</f>
        <v/>
      </c>
      <c r="J1625" s="2">
        <f>IF(I1625="", "", IF(OR(AND(A1625="Listed Equity Shares", I1625&gt;12), AND(A1625="Unlisted Equity Shares", I1625&gt;24)), "Long Term", "Short Term"))</f>
        <v/>
      </c>
      <c r="K1625" s="5">
        <f>IF(J1625="", "", IF(J1625="Long Term", 12.5%,"as per slab"))</f>
        <v/>
      </c>
      <c r="L1625" s="3">
        <f>+IFERROR(IF(J1625="","",H1625*K1625),"as per slab")</f>
        <v/>
      </c>
    </row>
    <row r="1626">
      <c r="A1626" s="7" t="n"/>
      <c r="B1626" s="7" t="n"/>
      <c r="C1626" s="8" t="n"/>
      <c r="D1626" s="9" t="n"/>
      <c r="E1626" s="8" t="n"/>
      <c r="F1626" s="9" t="n"/>
      <c r="G1626" s="9" t="n"/>
      <c r="H1626" s="3">
        <f>IF(AND(D1626&lt;&gt;"",F1626&lt;&gt;""),F1626-D1626-G1626,"")</f>
        <v/>
      </c>
      <c r="I1626" s="14">
        <f>IF(E1626&lt;&gt;"", YEARFRAC(C1626, E1626) * 12, "")</f>
        <v/>
      </c>
      <c r="J1626" s="2">
        <f>IF(I1626="", "", IF(OR(AND(A1626="Listed Equity Shares", I1626&gt;12), AND(A1626="Unlisted Equity Shares", I1626&gt;24)), "Long Term", "Short Term"))</f>
        <v/>
      </c>
      <c r="K1626" s="5">
        <f>IF(J1626="", "", IF(J1626="Long Term", 12.5%,"as per slab"))</f>
        <v/>
      </c>
      <c r="L1626" s="3">
        <f>+IFERROR(IF(J1626="","",H1626*K1626),"as per slab")</f>
        <v/>
      </c>
    </row>
    <row r="1627">
      <c r="A1627" s="7" t="n"/>
      <c r="B1627" s="7" t="n"/>
      <c r="C1627" s="8" t="n"/>
      <c r="D1627" s="9" t="n"/>
      <c r="E1627" s="8" t="n"/>
      <c r="F1627" s="9" t="n"/>
      <c r="G1627" s="9" t="n"/>
      <c r="H1627" s="3">
        <f>IF(AND(D1627&lt;&gt;"",F1627&lt;&gt;""),F1627-D1627-G1627,"")</f>
        <v/>
      </c>
      <c r="I1627" s="14">
        <f>IF(E1627&lt;&gt;"", YEARFRAC(C1627, E1627) * 12, "")</f>
        <v/>
      </c>
      <c r="J1627" s="2">
        <f>IF(I1627="", "", IF(OR(AND(A1627="Listed Equity Shares", I1627&gt;12), AND(A1627="Unlisted Equity Shares", I1627&gt;24)), "Long Term", "Short Term"))</f>
        <v/>
      </c>
      <c r="K1627" s="5">
        <f>IF(J1627="", "", IF(J1627="Long Term", 12.5%,"as per slab"))</f>
        <v/>
      </c>
      <c r="L1627" s="3">
        <f>+IFERROR(IF(J1627="","",H1627*K1627),"as per slab")</f>
        <v/>
      </c>
    </row>
    <row r="1628">
      <c r="A1628" s="7" t="n"/>
      <c r="B1628" s="7" t="n"/>
      <c r="C1628" s="8" t="n"/>
      <c r="D1628" s="9" t="n"/>
      <c r="E1628" s="8" t="n"/>
      <c r="F1628" s="9" t="n"/>
      <c r="G1628" s="9" t="n"/>
      <c r="H1628" s="3">
        <f>IF(AND(D1628&lt;&gt;"",F1628&lt;&gt;""),F1628-D1628-G1628,"")</f>
        <v/>
      </c>
      <c r="I1628" s="14">
        <f>IF(E1628&lt;&gt;"", YEARFRAC(C1628, E1628) * 12, "")</f>
        <v/>
      </c>
      <c r="J1628" s="2">
        <f>IF(I1628="", "", IF(OR(AND(A1628="Listed Equity Shares", I1628&gt;12), AND(A1628="Unlisted Equity Shares", I1628&gt;24)), "Long Term", "Short Term"))</f>
        <v/>
      </c>
      <c r="K1628" s="5">
        <f>IF(J1628="", "", IF(J1628="Long Term", 12.5%,"as per slab"))</f>
        <v/>
      </c>
      <c r="L1628" s="3">
        <f>+IFERROR(IF(J1628="","",H1628*K1628),"as per slab")</f>
        <v/>
      </c>
    </row>
    <row r="1629">
      <c r="A1629" s="7" t="n"/>
      <c r="B1629" s="7" t="n"/>
      <c r="C1629" s="8" t="n"/>
      <c r="D1629" s="9" t="n"/>
      <c r="E1629" s="8" t="n"/>
      <c r="F1629" s="9" t="n"/>
      <c r="G1629" s="9" t="n"/>
      <c r="H1629" s="3">
        <f>IF(AND(D1629&lt;&gt;"",F1629&lt;&gt;""),F1629-D1629-G1629,"")</f>
        <v/>
      </c>
      <c r="I1629" s="14">
        <f>IF(E1629&lt;&gt;"", YEARFRAC(C1629, E1629) * 12, "")</f>
        <v/>
      </c>
      <c r="J1629" s="2">
        <f>IF(I1629="", "", IF(OR(AND(A1629="Listed Equity Shares", I1629&gt;12), AND(A1629="Unlisted Equity Shares", I1629&gt;24)), "Long Term", "Short Term"))</f>
        <v/>
      </c>
      <c r="K1629" s="5">
        <f>IF(J1629="", "", IF(J1629="Long Term", 12.5%,"as per slab"))</f>
        <v/>
      </c>
      <c r="L1629" s="3">
        <f>+IFERROR(IF(J1629="","",H1629*K1629),"as per slab")</f>
        <v/>
      </c>
    </row>
    <row r="1630">
      <c r="A1630" s="7" t="n"/>
      <c r="B1630" s="7" t="n"/>
      <c r="C1630" s="8" t="n"/>
      <c r="D1630" s="9" t="n"/>
      <c r="E1630" s="8" t="n"/>
      <c r="F1630" s="9" t="n"/>
      <c r="G1630" s="9" t="n"/>
      <c r="H1630" s="3">
        <f>IF(AND(D1630&lt;&gt;"",F1630&lt;&gt;""),F1630-D1630-G1630,"")</f>
        <v/>
      </c>
      <c r="I1630" s="14">
        <f>IF(E1630&lt;&gt;"", YEARFRAC(C1630, E1630) * 12, "")</f>
        <v/>
      </c>
      <c r="J1630" s="2">
        <f>IF(I1630="", "", IF(OR(AND(A1630="Listed Equity Shares", I1630&gt;12), AND(A1630="Unlisted Equity Shares", I1630&gt;24)), "Long Term", "Short Term"))</f>
        <v/>
      </c>
      <c r="K1630" s="5">
        <f>IF(J1630="", "", IF(J1630="Long Term", 12.5%,"as per slab"))</f>
        <v/>
      </c>
      <c r="L1630" s="3">
        <f>+IFERROR(IF(J1630="","",H1630*K1630),"as per slab")</f>
        <v/>
      </c>
    </row>
    <row r="1631">
      <c r="A1631" s="7" t="n"/>
      <c r="B1631" s="7" t="n"/>
      <c r="C1631" s="8" t="n"/>
      <c r="D1631" s="9" t="n"/>
      <c r="E1631" s="8" t="n"/>
      <c r="F1631" s="9" t="n"/>
      <c r="G1631" s="9" t="n"/>
      <c r="H1631" s="3">
        <f>IF(AND(D1631&lt;&gt;"",F1631&lt;&gt;""),F1631-D1631-G1631,"")</f>
        <v/>
      </c>
      <c r="I1631" s="14">
        <f>IF(E1631&lt;&gt;"", YEARFRAC(C1631, E1631) * 12, "")</f>
        <v/>
      </c>
      <c r="J1631" s="2">
        <f>IF(I1631="", "", IF(OR(AND(A1631="Listed Equity Shares", I1631&gt;12), AND(A1631="Unlisted Equity Shares", I1631&gt;24)), "Long Term", "Short Term"))</f>
        <v/>
      </c>
      <c r="K1631" s="5">
        <f>IF(J1631="", "", IF(J1631="Long Term", 12.5%,"as per slab"))</f>
        <v/>
      </c>
      <c r="L1631" s="3">
        <f>+IFERROR(IF(J1631="","",H1631*K1631),"as per slab")</f>
        <v/>
      </c>
    </row>
    <row r="1632">
      <c r="A1632" s="7" t="n"/>
      <c r="B1632" s="7" t="n"/>
      <c r="C1632" s="8" t="n"/>
      <c r="D1632" s="9" t="n"/>
      <c r="E1632" s="8" t="n"/>
      <c r="F1632" s="9" t="n"/>
      <c r="G1632" s="9" t="n"/>
      <c r="H1632" s="3">
        <f>IF(AND(D1632&lt;&gt;"",F1632&lt;&gt;""),F1632-D1632-G1632,"")</f>
        <v/>
      </c>
      <c r="I1632" s="14">
        <f>IF(E1632&lt;&gt;"", YEARFRAC(C1632, E1632) * 12, "")</f>
        <v/>
      </c>
      <c r="J1632" s="2">
        <f>IF(I1632="", "", IF(OR(AND(A1632="Listed Equity Shares", I1632&gt;12), AND(A1632="Unlisted Equity Shares", I1632&gt;24)), "Long Term", "Short Term"))</f>
        <v/>
      </c>
      <c r="K1632" s="5">
        <f>IF(J1632="", "", IF(J1632="Long Term", 12.5%,"as per slab"))</f>
        <v/>
      </c>
      <c r="L1632" s="3">
        <f>+IFERROR(IF(J1632="","",H1632*K1632),"as per slab")</f>
        <v/>
      </c>
    </row>
    <row r="1633">
      <c r="A1633" s="7" t="n"/>
      <c r="B1633" s="7" t="n"/>
      <c r="C1633" s="8" t="n"/>
      <c r="D1633" s="9" t="n"/>
      <c r="E1633" s="8" t="n"/>
      <c r="F1633" s="9" t="n"/>
      <c r="G1633" s="9" t="n"/>
      <c r="H1633" s="3">
        <f>IF(AND(D1633&lt;&gt;"",F1633&lt;&gt;""),F1633-D1633-G1633,"")</f>
        <v/>
      </c>
      <c r="I1633" s="14">
        <f>IF(E1633&lt;&gt;"", YEARFRAC(C1633, E1633) * 12, "")</f>
        <v/>
      </c>
      <c r="J1633" s="2">
        <f>IF(I1633="", "", IF(OR(AND(A1633="Listed Equity Shares", I1633&gt;12), AND(A1633="Unlisted Equity Shares", I1633&gt;24)), "Long Term", "Short Term"))</f>
        <v/>
      </c>
      <c r="K1633" s="5">
        <f>IF(J1633="", "", IF(J1633="Long Term", 12.5%,"as per slab"))</f>
        <v/>
      </c>
      <c r="L1633" s="3">
        <f>+IFERROR(IF(J1633="","",H1633*K1633),"as per slab")</f>
        <v/>
      </c>
    </row>
    <row r="1634">
      <c r="A1634" s="7" t="n"/>
      <c r="B1634" s="7" t="n"/>
      <c r="C1634" s="8" t="n"/>
      <c r="D1634" s="9" t="n"/>
      <c r="E1634" s="8" t="n"/>
      <c r="F1634" s="9" t="n"/>
      <c r="G1634" s="9" t="n"/>
      <c r="H1634" s="3">
        <f>IF(AND(D1634&lt;&gt;"",F1634&lt;&gt;""),F1634-D1634-G1634,"")</f>
        <v/>
      </c>
      <c r="I1634" s="14">
        <f>IF(E1634&lt;&gt;"", YEARFRAC(C1634, E1634) * 12, "")</f>
        <v/>
      </c>
      <c r="J1634" s="2">
        <f>IF(I1634="", "", IF(OR(AND(A1634="Listed Equity Shares", I1634&gt;12), AND(A1634="Unlisted Equity Shares", I1634&gt;24)), "Long Term", "Short Term"))</f>
        <v/>
      </c>
      <c r="K1634" s="5">
        <f>IF(J1634="", "", IF(J1634="Long Term", 12.5%,"as per slab"))</f>
        <v/>
      </c>
      <c r="L1634" s="3">
        <f>+IFERROR(IF(J1634="","",H1634*K1634),"as per slab")</f>
        <v/>
      </c>
    </row>
    <row r="1635">
      <c r="A1635" s="7" t="n"/>
      <c r="B1635" s="7" t="n"/>
      <c r="C1635" s="8" t="n"/>
      <c r="D1635" s="9" t="n"/>
      <c r="E1635" s="8" t="n"/>
      <c r="F1635" s="9" t="n"/>
      <c r="G1635" s="9" t="n"/>
      <c r="H1635" s="3">
        <f>IF(AND(D1635&lt;&gt;"",F1635&lt;&gt;""),F1635-D1635-G1635,"")</f>
        <v/>
      </c>
      <c r="I1635" s="14">
        <f>IF(E1635&lt;&gt;"", YEARFRAC(C1635, E1635) * 12, "")</f>
        <v/>
      </c>
      <c r="J1635" s="2">
        <f>IF(I1635="", "", IF(OR(AND(A1635="Listed Equity Shares", I1635&gt;12), AND(A1635="Unlisted Equity Shares", I1635&gt;24)), "Long Term", "Short Term"))</f>
        <v/>
      </c>
      <c r="K1635" s="5">
        <f>IF(J1635="", "", IF(J1635="Long Term", 12.5%,"as per slab"))</f>
        <v/>
      </c>
      <c r="L1635" s="3">
        <f>+IFERROR(IF(J1635="","",H1635*K1635),"as per slab")</f>
        <v/>
      </c>
    </row>
    <row r="1636">
      <c r="A1636" s="7" t="n"/>
      <c r="B1636" s="7" t="n"/>
      <c r="C1636" s="8" t="n"/>
      <c r="D1636" s="9" t="n"/>
      <c r="E1636" s="8" t="n"/>
      <c r="F1636" s="9" t="n"/>
      <c r="G1636" s="9" t="n"/>
      <c r="H1636" s="3">
        <f>IF(AND(D1636&lt;&gt;"",F1636&lt;&gt;""),F1636-D1636-G1636,"")</f>
        <v/>
      </c>
      <c r="I1636" s="14">
        <f>IF(E1636&lt;&gt;"", YEARFRAC(C1636, E1636) * 12, "")</f>
        <v/>
      </c>
      <c r="J1636" s="2">
        <f>IF(I1636="", "", IF(OR(AND(A1636="Listed Equity Shares", I1636&gt;12), AND(A1636="Unlisted Equity Shares", I1636&gt;24)), "Long Term", "Short Term"))</f>
        <v/>
      </c>
      <c r="K1636" s="5">
        <f>IF(J1636="", "", IF(J1636="Long Term", 12.5%,"as per slab"))</f>
        <v/>
      </c>
      <c r="L1636" s="3">
        <f>+IFERROR(IF(J1636="","",H1636*K1636),"as per slab")</f>
        <v/>
      </c>
    </row>
    <row r="1637">
      <c r="A1637" s="7" t="n"/>
      <c r="B1637" s="7" t="n"/>
      <c r="C1637" s="8" t="n"/>
      <c r="D1637" s="9" t="n"/>
      <c r="E1637" s="8" t="n"/>
      <c r="F1637" s="9" t="n"/>
      <c r="G1637" s="9" t="n"/>
      <c r="H1637" s="3">
        <f>IF(AND(D1637&lt;&gt;"",F1637&lt;&gt;""),F1637-D1637-G1637,"")</f>
        <v/>
      </c>
      <c r="I1637" s="14">
        <f>IF(E1637&lt;&gt;"", YEARFRAC(C1637, E1637) * 12, "")</f>
        <v/>
      </c>
      <c r="J1637" s="2">
        <f>IF(I1637="", "", IF(OR(AND(A1637="Listed Equity Shares", I1637&gt;12), AND(A1637="Unlisted Equity Shares", I1637&gt;24)), "Long Term", "Short Term"))</f>
        <v/>
      </c>
      <c r="K1637" s="5">
        <f>IF(J1637="", "", IF(J1637="Long Term", 12.5%,"as per slab"))</f>
        <v/>
      </c>
      <c r="L1637" s="3">
        <f>+IFERROR(IF(J1637="","",H1637*K1637),"as per slab")</f>
        <v/>
      </c>
    </row>
    <row r="1638">
      <c r="A1638" s="7" t="n"/>
      <c r="B1638" s="7" t="n"/>
      <c r="C1638" s="8" t="n"/>
      <c r="D1638" s="9" t="n"/>
      <c r="E1638" s="8" t="n"/>
      <c r="F1638" s="9" t="n"/>
      <c r="G1638" s="9" t="n"/>
      <c r="H1638" s="3">
        <f>IF(AND(D1638&lt;&gt;"",F1638&lt;&gt;""),F1638-D1638-G1638,"")</f>
        <v/>
      </c>
      <c r="I1638" s="14">
        <f>IF(E1638&lt;&gt;"", YEARFRAC(C1638, E1638) * 12, "")</f>
        <v/>
      </c>
      <c r="J1638" s="2">
        <f>IF(I1638="", "", IF(OR(AND(A1638="Listed Equity Shares", I1638&gt;12), AND(A1638="Unlisted Equity Shares", I1638&gt;24)), "Long Term", "Short Term"))</f>
        <v/>
      </c>
      <c r="K1638" s="5">
        <f>IF(J1638="", "", IF(J1638="Long Term", 12.5%,"as per slab"))</f>
        <v/>
      </c>
      <c r="L1638" s="3">
        <f>+IFERROR(IF(J1638="","",H1638*K1638),"as per slab")</f>
        <v/>
      </c>
    </row>
    <row r="1639">
      <c r="A1639" s="7" t="n"/>
      <c r="B1639" s="7" t="n"/>
      <c r="C1639" s="8" t="n"/>
      <c r="D1639" s="9" t="n"/>
      <c r="E1639" s="8" t="n"/>
      <c r="F1639" s="9" t="n"/>
      <c r="G1639" s="9" t="n"/>
      <c r="H1639" s="3">
        <f>IF(AND(D1639&lt;&gt;"",F1639&lt;&gt;""),F1639-D1639-G1639,"")</f>
        <v/>
      </c>
      <c r="I1639" s="14">
        <f>IF(E1639&lt;&gt;"", YEARFRAC(C1639, E1639) * 12, "")</f>
        <v/>
      </c>
      <c r="J1639" s="2">
        <f>IF(I1639="", "", IF(OR(AND(A1639="Listed Equity Shares", I1639&gt;12), AND(A1639="Unlisted Equity Shares", I1639&gt;24)), "Long Term", "Short Term"))</f>
        <v/>
      </c>
      <c r="K1639" s="5">
        <f>IF(J1639="", "", IF(J1639="Long Term", 12.5%,"as per slab"))</f>
        <v/>
      </c>
      <c r="L1639" s="3">
        <f>+IFERROR(IF(J1639="","",H1639*K1639),"as per slab")</f>
        <v/>
      </c>
    </row>
    <row r="1640">
      <c r="A1640" s="7" t="n"/>
      <c r="B1640" s="7" t="n"/>
      <c r="C1640" s="8" t="n"/>
      <c r="D1640" s="9" t="n"/>
      <c r="E1640" s="8" t="n"/>
      <c r="F1640" s="9" t="n"/>
      <c r="G1640" s="9" t="n"/>
      <c r="H1640" s="3">
        <f>IF(AND(D1640&lt;&gt;"",F1640&lt;&gt;""),F1640-D1640-G1640,"")</f>
        <v/>
      </c>
      <c r="I1640" s="14">
        <f>IF(E1640&lt;&gt;"", YEARFRAC(C1640, E1640) * 12, "")</f>
        <v/>
      </c>
      <c r="J1640" s="2">
        <f>IF(I1640="", "", IF(OR(AND(A1640="Listed Equity Shares", I1640&gt;12), AND(A1640="Unlisted Equity Shares", I1640&gt;24)), "Long Term", "Short Term"))</f>
        <v/>
      </c>
      <c r="K1640" s="5">
        <f>IF(J1640="", "", IF(J1640="Long Term", 12.5%,"as per slab"))</f>
        <v/>
      </c>
      <c r="L1640" s="3">
        <f>+IFERROR(IF(J1640="","",H1640*K1640),"as per slab")</f>
        <v/>
      </c>
    </row>
    <row r="1641">
      <c r="A1641" s="7" t="n"/>
      <c r="B1641" s="7" t="n"/>
      <c r="C1641" s="8" t="n"/>
      <c r="D1641" s="9" t="n"/>
      <c r="E1641" s="8" t="n"/>
      <c r="F1641" s="9" t="n"/>
      <c r="G1641" s="9" t="n"/>
      <c r="H1641" s="3">
        <f>IF(AND(D1641&lt;&gt;"",F1641&lt;&gt;""),F1641-D1641-G1641,"")</f>
        <v/>
      </c>
      <c r="I1641" s="14">
        <f>IF(E1641&lt;&gt;"", YEARFRAC(C1641, E1641) * 12, "")</f>
        <v/>
      </c>
      <c r="J1641" s="2">
        <f>IF(I1641="", "", IF(OR(AND(A1641="Listed Equity Shares", I1641&gt;12), AND(A1641="Unlisted Equity Shares", I1641&gt;24)), "Long Term", "Short Term"))</f>
        <v/>
      </c>
      <c r="K1641" s="5">
        <f>IF(J1641="", "", IF(J1641="Long Term", 12.5%,"as per slab"))</f>
        <v/>
      </c>
      <c r="L1641" s="3">
        <f>+IFERROR(IF(J1641="","",H1641*K1641),"as per slab")</f>
        <v/>
      </c>
    </row>
    <row r="1642">
      <c r="A1642" s="7" t="n"/>
      <c r="B1642" s="7" t="n"/>
      <c r="C1642" s="8" t="n"/>
      <c r="D1642" s="9" t="n"/>
      <c r="E1642" s="8" t="n"/>
      <c r="F1642" s="9" t="n"/>
      <c r="G1642" s="9" t="n"/>
      <c r="H1642" s="3">
        <f>IF(AND(D1642&lt;&gt;"",F1642&lt;&gt;""),F1642-D1642-G1642,"")</f>
        <v/>
      </c>
      <c r="I1642" s="14">
        <f>IF(E1642&lt;&gt;"", YEARFRAC(C1642, E1642) * 12, "")</f>
        <v/>
      </c>
      <c r="J1642" s="2">
        <f>IF(I1642="", "", IF(OR(AND(A1642="Listed Equity Shares", I1642&gt;12), AND(A1642="Unlisted Equity Shares", I1642&gt;24)), "Long Term", "Short Term"))</f>
        <v/>
      </c>
      <c r="K1642" s="5">
        <f>IF(J1642="", "", IF(J1642="Long Term", 12.5%,"as per slab"))</f>
        <v/>
      </c>
      <c r="L1642" s="3">
        <f>+IFERROR(IF(J1642="","",H1642*K1642),"as per slab")</f>
        <v/>
      </c>
    </row>
    <row r="1643">
      <c r="A1643" s="7" t="n"/>
      <c r="B1643" s="7" t="n"/>
      <c r="C1643" s="8" t="n"/>
      <c r="D1643" s="9" t="n"/>
      <c r="E1643" s="8" t="n"/>
      <c r="F1643" s="9" t="n"/>
      <c r="G1643" s="9" t="n"/>
      <c r="H1643" s="3">
        <f>IF(AND(D1643&lt;&gt;"",F1643&lt;&gt;""),F1643-D1643-G1643,"")</f>
        <v/>
      </c>
      <c r="I1643" s="14">
        <f>IF(E1643&lt;&gt;"", YEARFRAC(C1643, E1643) * 12, "")</f>
        <v/>
      </c>
      <c r="J1643" s="2">
        <f>IF(I1643="", "", IF(OR(AND(A1643="Listed Equity Shares", I1643&gt;12), AND(A1643="Unlisted Equity Shares", I1643&gt;24)), "Long Term", "Short Term"))</f>
        <v/>
      </c>
      <c r="K1643" s="5">
        <f>IF(J1643="", "", IF(J1643="Long Term", 12.5%,"as per slab"))</f>
        <v/>
      </c>
      <c r="L1643" s="3">
        <f>+IFERROR(IF(J1643="","",H1643*K1643),"as per slab")</f>
        <v/>
      </c>
    </row>
    <row r="1644">
      <c r="A1644" s="7" t="n"/>
      <c r="B1644" s="7" t="n"/>
      <c r="C1644" s="8" t="n"/>
      <c r="D1644" s="9" t="n"/>
      <c r="E1644" s="8" t="n"/>
      <c r="F1644" s="9" t="n"/>
      <c r="G1644" s="9" t="n"/>
      <c r="H1644" s="3">
        <f>IF(AND(D1644&lt;&gt;"",F1644&lt;&gt;""),F1644-D1644-G1644,"")</f>
        <v/>
      </c>
      <c r="I1644" s="14">
        <f>IF(E1644&lt;&gt;"", YEARFRAC(C1644, E1644) * 12, "")</f>
        <v/>
      </c>
      <c r="J1644" s="2">
        <f>IF(I1644="", "", IF(OR(AND(A1644="Listed Equity Shares", I1644&gt;12), AND(A1644="Unlisted Equity Shares", I1644&gt;24)), "Long Term", "Short Term"))</f>
        <v/>
      </c>
      <c r="K1644" s="5">
        <f>IF(J1644="", "", IF(J1644="Long Term", 12.5%,"as per slab"))</f>
        <v/>
      </c>
      <c r="L1644" s="3">
        <f>+IFERROR(IF(J1644="","",H1644*K1644),"as per slab")</f>
        <v/>
      </c>
    </row>
    <row r="1645">
      <c r="A1645" s="7" t="n"/>
      <c r="B1645" s="7" t="n"/>
      <c r="C1645" s="8" t="n"/>
      <c r="D1645" s="9" t="n"/>
      <c r="E1645" s="8" t="n"/>
      <c r="F1645" s="9" t="n"/>
      <c r="G1645" s="9" t="n"/>
      <c r="H1645" s="3">
        <f>IF(AND(D1645&lt;&gt;"",F1645&lt;&gt;""),F1645-D1645-G1645,"")</f>
        <v/>
      </c>
      <c r="I1645" s="14">
        <f>IF(E1645&lt;&gt;"", YEARFRAC(C1645, E1645) * 12, "")</f>
        <v/>
      </c>
      <c r="J1645" s="2">
        <f>IF(I1645="", "", IF(OR(AND(A1645="Listed Equity Shares", I1645&gt;12), AND(A1645="Unlisted Equity Shares", I1645&gt;24)), "Long Term", "Short Term"))</f>
        <v/>
      </c>
      <c r="K1645" s="5">
        <f>IF(J1645="", "", IF(J1645="Long Term", 12.5%,"as per slab"))</f>
        <v/>
      </c>
      <c r="L1645" s="3">
        <f>+IFERROR(IF(J1645="","",H1645*K1645),"as per slab")</f>
        <v/>
      </c>
    </row>
    <row r="1646">
      <c r="A1646" s="7" t="n"/>
      <c r="B1646" s="7" t="n"/>
      <c r="C1646" s="8" t="n"/>
      <c r="D1646" s="9" t="n"/>
      <c r="E1646" s="8" t="n"/>
      <c r="F1646" s="9" t="n"/>
      <c r="G1646" s="9" t="n"/>
      <c r="H1646" s="3">
        <f>IF(AND(D1646&lt;&gt;"",F1646&lt;&gt;""),F1646-D1646-G1646,"")</f>
        <v/>
      </c>
      <c r="I1646" s="14">
        <f>IF(E1646&lt;&gt;"", YEARFRAC(C1646, E1646) * 12, "")</f>
        <v/>
      </c>
      <c r="J1646" s="2">
        <f>IF(I1646="", "", IF(OR(AND(A1646="Listed Equity Shares", I1646&gt;12), AND(A1646="Unlisted Equity Shares", I1646&gt;24)), "Long Term", "Short Term"))</f>
        <v/>
      </c>
      <c r="K1646" s="5">
        <f>IF(J1646="", "", IF(J1646="Long Term", 12.5%,"as per slab"))</f>
        <v/>
      </c>
      <c r="L1646" s="3">
        <f>+IFERROR(IF(J1646="","",H1646*K1646),"as per slab")</f>
        <v/>
      </c>
    </row>
    <row r="1647">
      <c r="A1647" s="7" t="n"/>
      <c r="B1647" s="7" t="n"/>
      <c r="C1647" s="8" t="n"/>
      <c r="D1647" s="9" t="n"/>
      <c r="E1647" s="8" t="n"/>
      <c r="F1647" s="9" t="n"/>
      <c r="G1647" s="9" t="n"/>
      <c r="H1647" s="3">
        <f>IF(AND(D1647&lt;&gt;"",F1647&lt;&gt;""),F1647-D1647-G1647,"")</f>
        <v/>
      </c>
      <c r="I1647" s="14">
        <f>IF(E1647&lt;&gt;"", YEARFRAC(C1647, E1647) * 12, "")</f>
        <v/>
      </c>
      <c r="J1647" s="2">
        <f>IF(I1647="", "", IF(OR(AND(A1647="Listed Equity Shares", I1647&gt;12), AND(A1647="Unlisted Equity Shares", I1647&gt;24)), "Long Term", "Short Term"))</f>
        <v/>
      </c>
      <c r="K1647" s="5">
        <f>IF(J1647="", "", IF(J1647="Long Term", 12.5%,"as per slab"))</f>
        <v/>
      </c>
      <c r="L1647" s="3">
        <f>+IFERROR(IF(J1647="","",H1647*K1647),"as per slab")</f>
        <v/>
      </c>
    </row>
    <row r="1648">
      <c r="A1648" s="7" t="n"/>
      <c r="B1648" s="7" t="n"/>
      <c r="C1648" s="8" t="n"/>
      <c r="D1648" s="9" t="n"/>
      <c r="E1648" s="8" t="n"/>
      <c r="F1648" s="9" t="n"/>
      <c r="G1648" s="9" t="n"/>
      <c r="H1648" s="3">
        <f>IF(AND(D1648&lt;&gt;"",F1648&lt;&gt;""),F1648-D1648-G1648,"")</f>
        <v/>
      </c>
      <c r="I1648" s="14">
        <f>IF(E1648&lt;&gt;"", YEARFRAC(C1648, E1648) * 12, "")</f>
        <v/>
      </c>
      <c r="J1648" s="2">
        <f>IF(I1648="", "", IF(OR(AND(A1648="Listed Equity Shares", I1648&gt;12), AND(A1648="Unlisted Equity Shares", I1648&gt;24)), "Long Term", "Short Term"))</f>
        <v/>
      </c>
      <c r="K1648" s="5">
        <f>IF(J1648="", "", IF(J1648="Long Term", 12.5%,"as per slab"))</f>
        <v/>
      </c>
      <c r="L1648" s="3">
        <f>+IFERROR(IF(J1648="","",H1648*K1648),"as per slab")</f>
        <v/>
      </c>
    </row>
    <row r="1649">
      <c r="A1649" s="7" t="n"/>
      <c r="B1649" s="7" t="n"/>
      <c r="C1649" s="8" t="n"/>
      <c r="D1649" s="9" t="n"/>
      <c r="E1649" s="8" t="n"/>
      <c r="F1649" s="9" t="n"/>
      <c r="G1649" s="9" t="n"/>
      <c r="H1649" s="3">
        <f>IF(AND(D1649&lt;&gt;"",F1649&lt;&gt;""),F1649-D1649-G1649,"")</f>
        <v/>
      </c>
      <c r="I1649" s="14">
        <f>IF(E1649&lt;&gt;"", YEARFRAC(C1649, E1649) * 12, "")</f>
        <v/>
      </c>
      <c r="J1649" s="2">
        <f>IF(I1649="", "", IF(OR(AND(A1649="Listed Equity Shares", I1649&gt;12), AND(A1649="Unlisted Equity Shares", I1649&gt;24)), "Long Term", "Short Term"))</f>
        <v/>
      </c>
      <c r="K1649" s="5">
        <f>IF(J1649="", "", IF(J1649="Long Term", 12.5%,"as per slab"))</f>
        <v/>
      </c>
      <c r="L1649" s="3">
        <f>+IFERROR(IF(J1649="","",H1649*K1649),"as per slab")</f>
        <v/>
      </c>
    </row>
    <row r="1650">
      <c r="A1650" s="7" t="n"/>
      <c r="B1650" s="7" t="n"/>
      <c r="C1650" s="8" t="n"/>
      <c r="D1650" s="9" t="n"/>
      <c r="E1650" s="8" t="n"/>
      <c r="F1650" s="9" t="n"/>
      <c r="G1650" s="9" t="n"/>
      <c r="H1650" s="3">
        <f>IF(AND(D1650&lt;&gt;"",F1650&lt;&gt;""),F1650-D1650-G1650,"")</f>
        <v/>
      </c>
      <c r="I1650" s="14">
        <f>IF(E1650&lt;&gt;"", YEARFRAC(C1650, E1650) * 12, "")</f>
        <v/>
      </c>
      <c r="J1650" s="2">
        <f>IF(I1650="", "", IF(OR(AND(A1650="Listed Equity Shares", I1650&gt;12), AND(A1650="Unlisted Equity Shares", I1650&gt;24)), "Long Term", "Short Term"))</f>
        <v/>
      </c>
      <c r="K1650" s="5">
        <f>IF(J1650="", "", IF(J1650="Long Term", 12.5%,"as per slab"))</f>
        <v/>
      </c>
      <c r="L1650" s="3">
        <f>+IFERROR(IF(J1650="","",H1650*K1650),"as per slab")</f>
        <v/>
      </c>
    </row>
    <row r="1651">
      <c r="A1651" s="7" t="n"/>
      <c r="B1651" s="7" t="n"/>
      <c r="C1651" s="8" t="n"/>
      <c r="D1651" s="9" t="n"/>
      <c r="E1651" s="8" t="n"/>
      <c r="F1651" s="9" t="n"/>
      <c r="G1651" s="9" t="n"/>
      <c r="H1651" s="3">
        <f>IF(AND(D1651&lt;&gt;"",F1651&lt;&gt;""),F1651-D1651-G1651,"")</f>
        <v/>
      </c>
      <c r="I1651" s="14">
        <f>IF(E1651&lt;&gt;"", YEARFRAC(C1651, E1651) * 12, "")</f>
        <v/>
      </c>
      <c r="J1651" s="2">
        <f>IF(I1651="", "", IF(OR(AND(A1651="Listed Equity Shares", I1651&gt;12), AND(A1651="Unlisted Equity Shares", I1651&gt;24)), "Long Term", "Short Term"))</f>
        <v/>
      </c>
      <c r="K1651" s="5">
        <f>IF(J1651="", "", IF(J1651="Long Term", 12.5%,"as per slab"))</f>
        <v/>
      </c>
      <c r="L1651" s="3">
        <f>+IFERROR(IF(J1651="","",H1651*K1651),"as per slab")</f>
        <v/>
      </c>
    </row>
    <row r="1652">
      <c r="A1652" s="7" t="n"/>
      <c r="B1652" s="7" t="n"/>
      <c r="C1652" s="8" t="n"/>
      <c r="D1652" s="9" t="n"/>
      <c r="E1652" s="8" t="n"/>
      <c r="F1652" s="9" t="n"/>
      <c r="G1652" s="9" t="n"/>
      <c r="H1652" s="3">
        <f>IF(AND(D1652&lt;&gt;"",F1652&lt;&gt;""),F1652-D1652-G1652,"")</f>
        <v/>
      </c>
      <c r="I1652" s="14">
        <f>IF(E1652&lt;&gt;"", YEARFRAC(C1652, E1652) * 12, "")</f>
        <v/>
      </c>
      <c r="J1652" s="2">
        <f>IF(I1652="", "", IF(OR(AND(A1652="Listed Equity Shares", I1652&gt;12), AND(A1652="Unlisted Equity Shares", I1652&gt;24)), "Long Term", "Short Term"))</f>
        <v/>
      </c>
      <c r="K1652" s="5">
        <f>IF(J1652="", "", IF(J1652="Long Term", 12.5%,"as per slab"))</f>
        <v/>
      </c>
      <c r="L1652" s="3">
        <f>+IFERROR(IF(J1652="","",H1652*K1652),"as per slab")</f>
        <v/>
      </c>
    </row>
    <row r="1653">
      <c r="A1653" s="7" t="n"/>
      <c r="B1653" s="7" t="n"/>
      <c r="C1653" s="8" t="n"/>
      <c r="D1653" s="9" t="n"/>
      <c r="E1653" s="8" t="n"/>
      <c r="F1653" s="9" t="n"/>
      <c r="G1653" s="9" t="n"/>
      <c r="H1653" s="3">
        <f>IF(AND(D1653&lt;&gt;"",F1653&lt;&gt;""),F1653-D1653-G1653,"")</f>
        <v/>
      </c>
      <c r="I1653" s="14">
        <f>IF(E1653&lt;&gt;"", YEARFRAC(C1653, E1653) * 12, "")</f>
        <v/>
      </c>
      <c r="J1653" s="2">
        <f>IF(I1653="", "", IF(OR(AND(A1653="Listed Equity Shares", I1653&gt;12), AND(A1653="Unlisted Equity Shares", I1653&gt;24)), "Long Term", "Short Term"))</f>
        <v/>
      </c>
      <c r="K1653" s="5">
        <f>IF(J1653="", "", IF(J1653="Long Term", 12.5%,"as per slab"))</f>
        <v/>
      </c>
      <c r="L1653" s="3">
        <f>+IFERROR(IF(J1653="","",H1653*K1653),"as per slab")</f>
        <v/>
      </c>
    </row>
    <row r="1654">
      <c r="A1654" s="7" t="n"/>
      <c r="B1654" s="7" t="n"/>
      <c r="C1654" s="8" t="n"/>
      <c r="D1654" s="9" t="n"/>
      <c r="E1654" s="8" t="n"/>
      <c r="F1654" s="9" t="n"/>
      <c r="G1654" s="9" t="n"/>
      <c r="H1654" s="3">
        <f>IF(AND(D1654&lt;&gt;"",F1654&lt;&gt;""),F1654-D1654-G1654,"")</f>
        <v/>
      </c>
      <c r="I1654" s="14">
        <f>IF(E1654&lt;&gt;"", YEARFRAC(C1654, E1654) * 12, "")</f>
        <v/>
      </c>
      <c r="J1654" s="2">
        <f>IF(I1654="", "", IF(OR(AND(A1654="Listed Equity Shares", I1654&gt;12), AND(A1654="Unlisted Equity Shares", I1654&gt;24)), "Long Term", "Short Term"))</f>
        <v/>
      </c>
      <c r="K1654" s="5">
        <f>IF(J1654="", "", IF(J1654="Long Term", 12.5%,"as per slab"))</f>
        <v/>
      </c>
      <c r="L1654" s="3">
        <f>+IFERROR(IF(J1654="","",H1654*K1654),"as per slab")</f>
        <v/>
      </c>
    </row>
    <row r="1655">
      <c r="A1655" s="7" t="n"/>
      <c r="B1655" s="7" t="n"/>
      <c r="C1655" s="8" t="n"/>
      <c r="D1655" s="9" t="n"/>
      <c r="E1655" s="8" t="n"/>
      <c r="F1655" s="9" t="n"/>
      <c r="G1655" s="9" t="n"/>
      <c r="H1655" s="3">
        <f>IF(AND(D1655&lt;&gt;"",F1655&lt;&gt;""),F1655-D1655-G1655,"")</f>
        <v/>
      </c>
      <c r="I1655" s="14">
        <f>IF(E1655&lt;&gt;"", YEARFRAC(C1655, E1655) * 12, "")</f>
        <v/>
      </c>
      <c r="J1655" s="2">
        <f>IF(I1655="", "", IF(OR(AND(A1655="Listed Equity Shares", I1655&gt;12), AND(A1655="Unlisted Equity Shares", I1655&gt;24)), "Long Term", "Short Term"))</f>
        <v/>
      </c>
      <c r="K1655" s="5">
        <f>IF(J1655="", "", IF(J1655="Long Term", 12.5%,"as per slab"))</f>
        <v/>
      </c>
      <c r="L1655" s="3">
        <f>+IFERROR(IF(J1655="","",H1655*K1655),"as per slab")</f>
        <v/>
      </c>
    </row>
    <row r="1656">
      <c r="A1656" s="7" t="n"/>
      <c r="B1656" s="7" t="n"/>
      <c r="C1656" s="8" t="n"/>
      <c r="D1656" s="9" t="n"/>
      <c r="E1656" s="8" t="n"/>
      <c r="F1656" s="9" t="n"/>
      <c r="G1656" s="9" t="n"/>
      <c r="H1656" s="3">
        <f>IF(AND(D1656&lt;&gt;"",F1656&lt;&gt;""),F1656-D1656-G1656,"")</f>
        <v/>
      </c>
      <c r="I1656" s="14">
        <f>IF(E1656&lt;&gt;"", YEARFRAC(C1656, E1656) * 12, "")</f>
        <v/>
      </c>
      <c r="J1656" s="2">
        <f>IF(I1656="", "", IF(OR(AND(A1656="Listed Equity Shares", I1656&gt;12), AND(A1656="Unlisted Equity Shares", I1656&gt;24)), "Long Term", "Short Term"))</f>
        <v/>
      </c>
      <c r="K1656" s="5">
        <f>IF(J1656="", "", IF(J1656="Long Term", 12.5%,"as per slab"))</f>
        <v/>
      </c>
      <c r="L1656" s="3">
        <f>+IFERROR(IF(J1656="","",H1656*K1656),"as per slab")</f>
        <v/>
      </c>
    </row>
    <row r="1657">
      <c r="A1657" s="7" t="n"/>
      <c r="B1657" s="7" t="n"/>
      <c r="C1657" s="8" t="n"/>
      <c r="D1657" s="9" t="n"/>
      <c r="E1657" s="8" t="n"/>
      <c r="F1657" s="9" t="n"/>
      <c r="G1657" s="9" t="n"/>
      <c r="H1657" s="3">
        <f>IF(AND(D1657&lt;&gt;"",F1657&lt;&gt;""),F1657-D1657-G1657,"")</f>
        <v/>
      </c>
      <c r="I1657" s="14">
        <f>IF(E1657&lt;&gt;"", YEARFRAC(C1657, E1657) * 12, "")</f>
        <v/>
      </c>
      <c r="J1657" s="2">
        <f>IF(I1657="", "", IF(OR(AND(A1657="Listed Equity Shares", I1657&gt;12), AND(A1657="Unlisted Equity Shares", I1657&gt;24)), "Long Term", "Short Term"))</f>
        <v/>
      </c>
      <c r="K1657" s="5">
        <f>IF(J1657="", "", IF(J1657="Long Term", 12.5%,"as per slab"))</f>
        <v/>
      </c>
      <c r="L1657" s="3">
        <f>+IFERROR(IF(J1657="","",H1657*K1657),"as per slab")</f>
        <v/>
      </c>
    </row>
    <row r="1658">
      <c r="A1658" s="7" t="n"/>
      <c r="B1658" s="7" t="n"/>
      <c r="C1658" s="8" t="n"/>
      <c r="D1658" s="9" t="n"/>
      <c r="E1658" s="8" t="n"/>
      <c r="F1658" s="9" t="n"/>
      <c r="G1658" s="9" t="n"/>
      <c r="H1658" s="3">
        <f>IF(AND(D1658&lt;&gt;"",F1658&lt;&gt;""),F1658-D1658-G1658,"")</f>
        <v/>
      </c>
      <c r="I1658" s="14">
        <f>IF(E1658&lt;&gt;"", YEARFRAC(C1658, E1658) * 12, "")</f>
        <v/>
      </c>
      <c r="J1658" s="2">
        <f>IF(I1658="", "", IF(OR(AND(A1658="Listed Equity Shares", I1658&gt;12), AND(A1658="Unlisted Equity Shares", I1658&gt;24)), "Long Term", "Short Term"))</f>
        <v/>
      </c>
      <c r="K1658" s="5">
        <f>IF(J1658="", "", IF(J1658="Long Term", 12.5%,"as per slab"))</f>
        <v/>
      </c>
      <c r="L1658" s="3">
        <f>+IFERROR(IF(J1658="","",H1658*K1658),"as per slab")</f>
        <v/>
      </c>
    </row>
    <row r="1659">
      <c r="A1659" s="7" t="n"/>
      <c r="B1659" s="7" t="n"/>
      <c r="C1659" s="8" t="n"/>
      <c r="D1659" s="9" t="n"/>
      <c r="E1659" s="8" t="n"/>
      <c r="F1659" s="9" t="n"/>
      <c r="G1659" s="9" t="n"/>
      <c r="H1659" s="3">
        <f>IF(AND(D1659&lt;&gt;"",F1659&lt;&gt;""),F1659-D1659-G1659,"")</f>
        <v/>
      </c>
      <c r="I1659" s="14">
        <f>IF(E1659&lt;&gt;"", YEARFRAC(C1659, E1659) * 12, "")</f>
        <v/>
      </c>
      <c r="J1659" s="2">
        <f>IF(I1659="", "", IF(OR(AND(A1659="Listed Equity Shares", I1659&gt;12), AND(A1659="Unlisted Equity Shares", I1659&gt;24)), "Long Term", "Short Term"))</f>
        <v/>
      </c>
      <c r="K1659" s="5">
        <f>IF(J1659="", "", IF(J1659="Long Term", 12.5%,"as per slab"))</f>
        <v/>
      </c>
      <c r="L1659" s="3">
        <f>+IFERROR(IF(J1659="","",H1659*K1659),"as per slab")</f>
        <v/>
      </c>
    </row>
    <row r="1660">
      <c r="A1660" s="7" t="n"/>
      <c r="B1660" s="7" t="n"/>
      <c r="C1660" s="8" t="n"/>
      <c r="D1660" s="9" t="n"/>
      <c r="E1660" s="8" t="n"/>
      <c r="F1660" s="9" t="n"/>
      <c r="G1660" s="9" t="n"/>
      <c r="H1660" s="3">
        <f>IF(AND(D1660&lt;&gt;"",F1660&lt;&gt;""),F1660-D1660-G1660,"")</f>
        <v/>
      </c>
      <c r="I1660" s="14">
        <f>IF(E1660&lt;&gt;"", YEARFRAC(C1660, E1660) * 12, "")</f>
        <v/>
      </c>
      <c r="J1660" s="2">
        <f>IF(I1660="", "", IF(OR(AND(A1660="Listed Equity Shares", I1660&gt;12), AND(A1660="Unlisted Equity Shares", I1660&gt;24)), "Long Term", "Short Term"))</f>
        <v/>
      </c>
      <c r="K1660" s="5">
        <f>IF(J1660="", "", IF(J1660="Long Term", 12.5%,"as per slab"))</f>
        <v/>
      </c>
      <c r="L1660" s="3">
        <f>+IFERROR(IF(J1660="","",H1660*K1660),"as per slab")</f>
        <v/>
      </c>
    </row>
    <row r="1661">
      <c r="A1661" s="7" t="n"/>
      <c r="B1661" s="7" t="n"/>
      <c r="C1661" s="8" t="n"/>
      <c r="D1661" s="9" t="n"/>
      <c r="E1661" s="8" t="n"/>
      <c r="F1661" s="9" t="n"/>
      <c r="G1661" s="9" t="n"/>
      <c r="H1661" s="3">
        <f>IF(AND(D1661&lt;&gt;"",F1661&lt;&gt;""),F1661-D1661-G1661,"")</f>
        <v/>
      </c>
      <c r="I1661" s="14">
        <f>IF(E1661&lt;&gt;"", YEARFRAC(C1661, E1661) * 12, "")</f>
        <v/>
      </c>
      <c r="J1661" s="2">
        <f>IF(I1661="", "", IF(OR(AND(A1661="Listed Equity Shares", I1661&gt;12), AND(A1661="Unlisted Equity Shares", I1661&gt;24)), "Long Term", "Short Term"))</f>
        <v/>
      </c>
      <c r="K1661" s="5">
        <f>IF(J1661="", "", IF(J1661="Long Term", 12.5%,"as per slab"))</f>
        <v/>
      </c>
      <c r="L1661" s="3">
        <f>+IFERROR(IF(J1661="","",H1661*K1661),"as per slab")</f>
        <v/>
      </c>
    </row>
    <row r="1662">
      <c r="A1662" s="7" t="n"/>
      <c r="B1662" s="7" t="n"/>
      <c r="C1662" s="8" t="n"/>
      <c r="D1662" s="9" t="n"/>
      <c r="E1662" s="8" t="n"/>
      <c r="F1662" s="9" t="n"/>
      <c r="G1662" s="9" t="n"/>
      <c r="H1662" s="3">
        <f>IF(AND(D1662&lt;&gt;"",F1662&lt;&gt;""),F1662-D1662-G1662,"")</f>
        <v/>
      </c>
      <c r="I1662" s="14">
        <f>IF(E1662&lt;&gt;"", YEARFRAC(C1662, E1662) * 12, "")</f>
        <v/>
      </c>
      <c r="J1662" s="2">
        <f>IF(I1662="", "", IF(OR(AND(A1662="Listed Equity Shares", I1662&gt;12), AND(A1662="Unlisted Equity Shares", I1662&gt;24)), "Long Term", "Short Term"))</f>
        <v/>
      </c>
      <c r="K1662" s="5">
        <f>IF(J1662="", "", IF(J1662="Long Term", 12.5%,"as per slab"))</f>
        <v/>
      </c>
      <c r="L1662" s="3">
        <f>+IFERROR(IF(J1662="","",H1662*K1662),"as per slab")</f>
        <v/>
      </c>
    </row>
    <row r="1663">
      <c r="A1663" s="7" t="n"/>
      <c r="B1663" s="7" t="n"/>
      <c r="C1663" s="8" t="n"/>
      <c r="D1663" s="9" t="n"/>
      <c r="E1663" s="8" t="n"/>
      <c r="F1663" s="9" t="n"/>
      <c r="G1663" s="9" t="n"/>
      <c r="H1663" s="3">
        <f>IF(AND(D1663&lt;&gt;"",F1663&lt;&gt;""),F1663-D1663-G1663,"")</f>
        <v/>
      </c>
      <c r="I1663" s="14">
        <f>IF(E1663&lt;&gt;"", YEARFRAC(C1663, E1663) * 12, "")</f>
        <v/>
      </c>
      <c r="J1663" s="2">
        <f>IF(I1663="", "", IF(OR(AND(A1663="Listed Equity Shares", I1663&gt;12), AND(A1663="Unlisted Equity Shares", I1663&gt;24)), "Long Term", "Short Term"))</f>
        <v/>
      </c>
      <c r="K1663" s="5">
        <f>IF(J1663="", "", IF(J1663="Long Term", 12.5%,"as per slab"))</f>
        <v/>
      </c>
      <c r="L1663" s="3">
        <f>+IFERROR(IF(J1663="","",H1663*K1663),"as per slab")</f>
        <v/>
      </c>
    </row>
    <row r="1664">
      <c r="A1664" s="7" t="n"/>
      <c r="B1664" s="7" t="n"/>
      <c r="C1664" s="8" t="n"/>
      <c r="D1664" s="9" t="n"/>
      <c r="E1664" s="8" t="n"/>
      <c r="F1664" s="9" t="n"/>
      <c r="G1664" s="9" t="n"/>
      <c r="H1664" s="3">
        <f>IF(AND(D1664&lt;&gt;"",F1664&lt;&gt;""),F1664-D1664-G1664,"")</f>
        <v/>
      </c>
      <c r="I1664" s="14">
        <f>IF(E1664&lt;&gt;"", YEARFRAC(C1664, E1664) * 12, "")</f>
        <v/>
      </c>
      <c r="J1664" s="2">
        <f>IF(I1664="", "", IF(OR(AND(A1664="Listed Equity Shares", I1664&gt;12), AND(A1664="Unlisted Equity Shares", I1664&gt;24)), "Long Term", "Short Term"))</f>
        <v/>
      </c>
      <c r="K1664" s="5">
        <f>IF(J1664="", "", IF(J1664="Long Term", 12.5%,"as per slab"))</f>
        <v/>
      </c>
      <c r="L1664" s="3">
        <f>+IFERROR(IF(J1664="","",H1664*K1664),"as per slab")</f>
        <v/>
      </c>
    </row>
    <row r="1665">
      <c r="A1665" s="7" t="n"/>
      <c r="B1665" s="7" t="n"/>
      <c r="C1665" s="8" t="n"/>
      <c r="D1665" s="9" t="n"/>
      <c r="E1665" s="8" t="n"/>
      <c r="F1665" s="9" t="n"/>
      <c r="G1665" s="9" t="n"/>
      <c r="H1665" s="3">
        <f>IF(AND(D1665&lt;&gt;"",F1665&lt;&gt;""),F1665-D1665-G1665,"")</f>
        <v/>
      </c>
      <c r="I1665" s="14">
        <f>IF(E1665&lt;&gt;"", YEARFRAC(C1665, E1665) * 12, "")</f>
        <v/>
      </c>
      <c r="J1665" s="2">
        <f>IF(I1665="", "", IF(OR(AND(A1665="Listed Equity Shares", I1665&gt;12), AND(A1665="Unlisted Equity Shares", I1665&gt;24)), "Long Term", "Short Term"))</f>
        <v/>
      </c>
      <c r="K1665" s="5">
        <f>IF(J1665="", "", IF(J1665="Long Term", 12.5%,"as per slab"))</f>
        <v/>
      </c>
      <c r="L1665" s="3">
        <f>+IFERROR(IF(J1665="","",H1665*K1665),"as per slab")</f>
        <v/>
      </c>
    </row>
    <row r="1666">
      <c r="A1666" s="7" t="n"/>
      <c r="B1666" s="7" t="n"/>
      <c r="C1666" s="8" t="n"/>
      <c r="D1666" s="9" t="n"/>
      <c r="E1666" s="8" t="n"/>
      <c r="F1666" s="9" t="n"/>
      <c r="G1666" s="9" t="n"/>
      <c r="H1666" s="3">
        <f>IF(AND(D1666&lt;&gt;"",F1666&lt;&gt;""),F1666-D1666-G1666,"")</f>
        <v/>
      </c>
      <c r="I1666" s="14">
        <f>IF(E1666&lt;&gt;"", YEARFRAC(C1666, E1666) * 12, "")</f>
        <v/>
      </c>
      <c r="J1666" s="2">
        <f>IF(I1666="", "", IF(OR(AND(A1666="Listed Equity Shares", I1666&gt;12), AND(A1666="Unlisted Equity Shares", I1666&gt;24)), "Long Term", "Short Term"))</f>
        <v/>
      </c>
      <c r="K1666" s="5">
        <f>IF(J1666="", "", IF(J1666="Long Term", 12.5%,"as per slab"))</f>
        <v/>
      </c>
      <c r="L1666" s="3">
        <f>+IFERROR(IF(J1666="","",H1666*K1666),"as per slab")</f>
        <v/>
      </c>
    </row>
    <row r="1667">
      <c r="A1667" s="7" t="n"/>
      <c r="B1667" s="7" t="n"/>
      <c r="C1667" s="8" t="n"/>
      <c r="D1667" s="9" t="n"/>
      <c r="E1667" s="8" t="n"/>
      <c r="F1667" s="9" t="n"/>
      <c r="G1667" s="9" t="n"/>
      <c r="H1667" s="3">
        <f>IF(AND(D1667&lt;&gt;"",F1667&lt;&gt;""),F1667-D1667-G1667,"")</f>
        <v/>
      </c>
      <c r="I1667" s="14">
        <f>IF(E1667&lt;&gt;"", YEARFRAC(C1667, E1667) * 12, "")</f>
        <v/>
      </c>
      <c r="J1667" s="2">
        <f>IF(I1667="", "", IF(OR(AND(A1667="Listed Equity Shares", I1667&gt;12), AND(A1667="Unlisted Equity Shares", I1667&gt;24)), "Long Term", "Short Term"))</f>
        <v/>
      </c>
      <c r="K1667" s="5">
        <f>IF(J1667="", "", IF(J1667="Long Term", 12.5%,"as per slab"))</f>
        <v/>
      </c>
      <c r="L1667" s="3">
        <f>+IFERROR(IF(J1667="","",H1667*K1667),"as per slab")</f>
        <v/>
      </c>
    </row>
    <row r="1668">
      <c r="A1668" s="7" t="n"/>
      <c r="B1668" s="7" t="n"/>
      <c r="C1668" s="8" t="n"/>
      <c r="D1668" s="9" t="n"/>
      <c r="E1668" s="8" t="n"/>
      <c r="F1668" s="9" t="n"/>
      <c r="G1668" s="9" t="n"/>
      <c r="H1668" s="3">
        <f>IF(AND(D1668&lt;&gt;"",F1668&lt;&gt;""),F1668-D1668-G1668,"")</f>
        <v/>
      </c>
      <c r="I1668" s="14">
        <f>IF(E1668&lt;&gt;"", YEARFRAC(C1668, E1668) * 12, "")</f>
        <v/>
      </c>
      <c r="J1668" s="2">
        <f>IF(I1668="", "", IF(OR(AND(A1668="Listed Equity Shares", I1668&gt;12), AND(A1668="Unlisted Equity Shares", I1668&gt;24)), "Long Term", "Short Term"))</f>
        <v/>
      </c>
      <c r="K1668" s="5">
        <f>IF(J1668="", "", IF(J1668="Long Term", 12.5%,"as per slab"))</f>
        <v/>
      </c>
      <c r="L1668" s="3">
        <f>+IFERROR(IF(J1668="","",H1668*K1668),"as per slab")</f>
        <v/>
      </c>
    </row>
    <row r="1669">
      <c r="A1669" s="7" t="n"/>
      <c r="B1669" s="7" t="n"/>
      <c r="C1669" s="8" t="n"/>
      <c r="D1669" s="9" t="n"/>
      <c r="E1669" s="8" t="n"/>
      <c r="F1669" s="9" t="n"/>
      <c r="G1669" s="9" t="n"/>
      <c r="H1669" s="3">
        <f>IF(AND(D1669&lt;&gt;"",F1669&lt;&gt;""),F1669-D1669-G1669,"")</f>
        <v/>
      </c>
      <c r="I1669" s="14">
        <f>IF(E1669&lt;&gt;"", YEARFRAC(C1669, E1669) * 12, "")</f>
        <v/>
      </c>
      <c r="J1669" s="2">
        <f>IF(I1669="", "", IF(OR(AND(A1669="Listed Equity Shares", I1669&gt;12), AND(A1669="Unlisted Equity Shares", I1669&gt;24)), "Long Term", "Short Term"))</f>
        <v/>
      </c>
      <c r="K1669" s="5">
        <f>IF(J1669="", "", IF(J1669="Long Term", 12.5%,"as per slab"))</f>
        <v/>
      </c>
      <c r="L1669" s="3">
        <f>+IFERROR(IF(J1669="","",H1669*K1669),"as per slab")</f>
        <v/>
      </c>
    </row>
    <row r="1670">
      <c r="A1670" s="7" t="n"/>
      <c r="B1670" s="7" t="n"/>
      <c r="C1670" s="8" t="n"/>
      <c r="D1670" s="9" t="n"/>
      <c r="E1670" s="8" t="n"/>
      <c r="F1670" s="9" t="n"/>
      <c r="G1670" s="9" t="n"/>
      <c r="H1670" s="3">
        <f>IF(AND(D1670&lt;&gt;"",F1670&lt;&gt;""),F1670-D1670-G1670,"")</f>
        <v/>
      </c>
      <c r="I1670" s="14">
        <f>IF(E1670&lt;&gt;"", YEARFRAC(C1670, E1670) * 12, "")</f>
        <v/>
      </c>
      <c r="J1670" s="2">
        <f>IF(I1670="", "", IF(OR(AND(A1670="Listed Equity Shares", I1670&gt;12), AND(A1670="Unlisted Equity Shares", I1670&gt;24)), "Long Term", "Short Term"))</f>
        <v/>
      </c>
      <c r="K1670" s="5">
        <f>IF(J1670="", "", IF(J1670="Long Term", 12.5%,"as per slab"))</f>
        <v/>
      </c>
      <c r="L1670" s="3">
        <f>+IFERROR(IF(J1670="","",H1670*K1670),"as per slab")</f>
        <v/>
      </c>
    </row>
    <row r="1671">
      <c r="A1671" s="7" t="n"/>
      <c r="B1671" s="7" t="n"/>
      <c r="C1671" s="8" t="n"/>
      <c r="D1671" s="9" t="n"/>
      <c r="E1671" s="8" t="n"/>
      <c r="F1671" s="9" t="n"/>
      <c r="G1671" s="9" t="n"/>
      <c r="H1671" s="3">
        <f>IF(AND(D1671&lt;&gt;"",F1671&lt;&gt;""),F1671-D1671-G1671,"")</f>
        <v/>
      </c>
      <c r="I1671" s="14">
        <f>IF(E1671&lt;&gt;"", YEARFRAC(C1671, E1671) * 12, "")</f>
        <v/>
      </c>
      <c r="J1671" s="2">
        <f>IF(I1671="", "", IF(OR(AND(A1671="Listed Equity Shares", I1671&gt;12), AND(A1671="Unlisted Equity Shares", I1671&gt;24)), "Long Term", "Short Term"))</f>
        <v/>
      </c>
      <c r="K1671" s="5">
        <f>IF(J1671="", "", IF(J1671="Long Term", 12.5%,"as per slab"))</f>
        <v/>
      </c>
      <c r="L1671" s="3">
        <f>+IFERROR(IF(J1671="","",H1671*K1671),"as per slab")</f>
        <v/>
      </c>
    </row>
    <row r="1672">
      <c r="A1672" s="7" t="n"/>
      <c r="B1672" s="7" t="n"/>
      <c r="C1672" s="8" t="n"/>
      <c r="D1672" s="9" t="n"/>
      <c r="E1672" s="8" t="n"/>
      <c r="F1672" s="9" t="n"/>
      <c r="G1672" s="9" t="n"/>
      <c r="H1672" s="3">
        <f>IF(AND(D1672&lt;&gt;"",F1672&lt;&gt;""),F1672-D1672-G1672,"")</f>
        <v/>
      </c>
      <c r="I1672" s="14">
        <f>IF(E1672&lt;&gt;"", YEARFRAC(C1672, E1672) * 12, "")</f>
        <v/>
      </c>
      <c r="J1672" s="2">
        <f>IF(I1672="", "", IF(OR(AND(A1672="Listed Equity Shares", I1672&gt;12), AND(A1672="Unlisted Equity Shares", I1672&gt;24)), "Long Term", "Short Term"))</f>
        <v/>
      </c>
      <c r="K1672" s="5">
        <f>IF(J1672="", "", IF(J1672="Long Term", 12.5%,"as per slab"))</f>
        <v/>
      </c>
      <c r="L1672" s="3">
        <f>+IFERROR(IF(J1672="","",H1672*K1672),"as per slab")</f>
        <v/>
      </c>
    </row>
    <row r="1673">
      <c r="A1673" s="7" t="n"/>
      <c r="B1673" s="7" t="n"/>
      <c r="C1673" s="8" t="n"/>
      <c r="D1673" s="9" t="n"/>
      <c r="E1673" s="8" t="n"/>
      <c r="F1673" s="9" t="n"/>
      <c r="G1673" s="9" t="n"/>
      <c r="H1673" s="3">
        <f>IF(AND(D1673&lt;&gt;"",F1673&lt;&gt;""),F1673-D1673-G1673,"")</f>
        <v/>
      </c>
      <c r="I1673" s="14">
        <f>IF(E1673&lt;&gt;"", YEARFRAC(C1673, E1673) * 12, "")</f>
        <v/>
      </c>
      <c r="J1673" s="2">
        <f>IF(I1673="", "", IF(OR(AND(A1673="Listed Equity Shares", I1673&gt;12), AND(A1673="Unlisted Equity Shares", I1673&gt;24)), "Long Term", "Short Term"))</f>
        <v/>
      </c>
      <c r="K1673" s="5">
        <f>IF(J1673="", "", IF(J1673="Long Term", 12.5%,"as per slab"))</f>
        <v/>
      </c>
      <c r="L1673" s="3">
        <f>+IFERROR(IF(J1673="","",H1673*K1673),"as per slab")</f>
        <v/>
      </c>
    </row>
    <row r="1674">
      <c r="A1674" s="7" t="n"/>
      <c r="B1674" s="7" t="n"/>
      <c r="C1674" s="8" t="n"/>
      <c r="D1674" s="9" t="n"/>
      <c r="E1674" s="8" t="n"/>
      <c r="F1674" s="9" t="n"/>
      <c r="G1674" s="9" t="n"/>
      <c r="H1674" s="3">
        <f>IF(AND(D1674&lt;&gt;"",F1674&lt;&gt;""),F1674-D1674-G1674,"")</f>
        <v/>
      </c>
      <c r="I1674" s="14">
        <f>IF(E1674&lt;&gt;"", YEARFRAC(C1674, E1674) * 12, "")</f>
        <v/>
      </c>
      <c r="J1674" s="2">
        <f>IF(I1674="", "", IF(OR(AND(A1674="Listed Equity Shares", I1674&gt;12), AND(A1674="Unlisted Equity Shares", I1674&gt;24)), "Long Term", "Short Term"))</f>
        <v/>
      </c>
      <c r="K1674" s="5">
        <f>IF(J1674="", "", IF(J1674="Long Term", 12.5%,"as per slab"))</f>
        <v/>
      </c>
      <c r="L1674" s="3">
        <f>+IFERROR(IF(J1674="","",H1674*K1674),"as per slab")</f>
        <v/>
      </c>
    </row>
    <row r="1675">
      <c r="A1675" s="7" t="n"/>
      <c r="B1675" s="7" t="n"/>
      <c r="C1675" s="8" t="n"/>
      <c r="D1675" s="9" t="n"/>
      <c r="E1675" s="8" t="n"/>
      <c r="F1675" s="9" t="n"/>
      <c r="G1675" s="9" t="n"/>
      <c r="H1675" s="3">
        <f>IF(AND(D1675&lt;&gt;"",F1675&lt;&gt;""),F1675-D1675-G1675,"")</f>
        <v/>
      </c>
      <c r="I1675" s="14">
        <f>IF(E1675&lt;&gt;"", YEARFRAC(C1675, E1675) * 12, "")</f>
        <v/>
      </c>
      <c r="J1675" s="2">
        <f>IF(I1675="", "", IF(OR(AND(A1675="Listed Equity Shares", I1675&gt;12), AND(A1675="Unlisted Equity Shares", I1675&gt;24)), "Long Term", "Short Term"))</f>
        <v/>
      </c>
      <c r="K1675" s="5">
        <f>IF(J1675="", "", IF(J1675="Long Term", 12.5%,"as per slab"))</f>
        <v/>
      </c>
      <c r="L1675" s="3">
        <f>+IFERROR(IF(J1675="","",H1675*K1675),"as per slab")</f>
        <v/>
      </c>
    </row>
    <row r="1676">
      <c r="A1676" s="7" t="n"/>
      <c r="B1676" s="7" t="n"/>
      <c r="C1676" s="8" t="n"/>
      <c r="D1676" s="9" t="n"/>
      <c r="E1676" s="8" t="n"/>
      <c r="F1676" s="9" t="n"/>
      <c r="G1676" s="9" t="n"/>
      <c r="H1676" s="3">
        <f>IF(AND(D1676&lt;&gt;"",F1676&lt;&gt;""),F1676-D1676-G1676,"")</f>
        <v/>
      </c>
      <c r="I1676" s="14">
        <f>IF(E1676&lt;&gt;"", YEARFRAC(C1676, E1676) * 12, "")</f>
        <v/>
      </c>
      <c r="J1676" s="2">
        <f>IF(I1676="", "", IF(OR(AND(A1676="Listed Equity Shares", I1676&gt;12), AND(A1676="Unlisted Equity Shares", I1676&gt;24)), "Long Term", "Short Term"))</f>
        <v/>
      </c>
      <c r="K1676" s="5">
        <f>IF(J1676="", "", IF(J1676="Long Term", 12.5%,"as per slab"))</f>
        <v/>
      </c>
      <c r="L1676" s="3">
        <f>+IFERROR(IF(J1676="","",H1676*K1676),"as per slab")</f>
        <v/>
      </c>
    </row>
    <row r="1677">
      <c r="A1677" s="7" t="n"/>
      <c r="B1677" s="7" t="n"/>
      <c r="C1677" s="8" t="n"/>
      <c r="D1677" s="9" t="n"/>
      <c r="E1677" s="8" t="n"/>
      <c r="F1677" s="9" t="n"/>
      <c r="G1677" s="9" t="n"/>
      <c r="H1677" s="3">
        <f>IF(AND(D1677&lt;&gt;"",F1677&lt;&gt;""),F1677-D1677-G1677,"")</f>
        <v/>
      </c>
      <c r="I1677" s="14">
        <f>IF(E1677&lt;&gt;"", YEARFRAC(C1677, E1677) * 12, "")</f>
        <v/>
      </c>
      <c r="J1677" s="2">
        <f>IF(I1677="", "", IF(OR(AND(A1677="Listed Equity Shares", I1677&gt;12), AND(A1677="Unlisted Equity Shares", I1677&gt;24)), "Long Term", "Short Term"))</f>
        <v/>
      </c>
      <c r="K1677" s="5">
        <f>IF(J1677="", "", IF(J1677="Long Term", 12.5%,"as per slab"))</f>
        <v/>
      </c>
      <c r="L1677" s="3">
        <f>+IFERROR(IF(J1677="","",H1677*K1677),"as per slab")</f>
        <v/>
      </c>
    </row>
    <row r="1678">
      <c r="A1678" s="7" t="n"/>
      <c r="B1678" s="7" t="n"/>
      <c r="C1678" s="8" t="n"/>
      <c r="D1678" s="9" t="n"/>
      <c r="E1678" s="8" t="n"/>
      <c r="F1678" s="9" t="n"/>
      <c r="G1678" s="9" t="n"/>
      <c r="H1678" s="3">
        <f>IF(AND(D1678&lt;&gt;"",F1678&lt;&gt;""),F1678-D1678-G1678,"")</f>
        <v/>
      </c>
      <c r="I1678" s="14">
        <f>IF(E1678&lt;&gt;"", YEARFRAC(C1678, E1678) * 12, "")</f>
        <v/>
      </c>
      <c r="J1678" s="2">
        <f>IF(I1678="", "", IF(OR(AND(A1678="Listed Equity Shares", I1678&gt;12), AND(A1678="Unlisted Equity Shares", I1678&gt;24)), "Long Term", "Short Term"))</f>
        <v/>
      </c>
      <c r="K1678" s="5">
        <f>IF(J1678="", "", IF(J1678="Long Term", 12.5%,"as per slab"))</f>
        <v/>
      </c>
      <c r="L1678" s="3">
        <f>+IFERROR(IF(J1678="","",H1678*K1678),"as per slab")</f>
        <v/>
      </c>
    </row>
    <row r="1679">
      <c r="A1679" s="7" t="n"/>
      <c r="B1679" s="7" t="n"/>
      <c r="C1679" s="8" t="n"/>
      <c r="D1679" s="9" t="n"/>
      <c r="E1679" s="8" t="n"/>
      <c r="F1679" s="9" t="n"/>
      <c r="G1679" s="9" t="n"/>
      <c r="H1679" s="3">
        <f>IF(AND(D1679&lt;&gt;"",F1679&lt;&gt;""),F1679-D1679-G1679,"")</f>
        <v/>
      </c>
      <c r="I1679" s="14">
        <f>IF(E1679&lt;&gt;"", YEARFRAC(C1679, E1679) * 12, "")</f>
        <v/>
      </c>
      <c r="J1679" s="2">
        <f>IF(I1679="", "", IF(OR(AND(A1679="Listed Equity Shares", I1679&gt;12), AND(A1679="Unlisted Equity Shares", I1679&gt;24)), "Long Term", "Short Term"))</f>
        <v/>
      </c>
      <c r="K1679" s="5">
        <f>IF(J1679="", "", IF(J1679="Long Term", 12.5%,"as per slab"))</f>
        <v/>
      </c>
      <c r="L1679" s="3">
        <f>+IFERROR(IF(J1679="","",H1679*K1679),"as per slab")</f>
        <v/>
      </c>
    </row>
    <row r="1680">
      <c r="A1680" s="7" t="n"/>
      <c r="B1680" s="7" t="n"/>
      <c r="C1680" s="8" t="n"/>
      <c r="D1680" s="9" t="n"/>
      <c r="E1680" s="8" t="n"/>
      <c r="F1680" s="9" t="n"/>
      <c r="G1680" s="9" t="n"/>
      <c r="H1680" s="3">
        <f>IF(AND(D1680&lt;&gt;"",F1680&lt;&gt;""),F1680-D1680-G1680,"")</f>
        <v/>
      </c>
      <c r="I1680" s="14">
        <f>IF(E1680&lt;&gt;"", YEARFRAC(C1680, E1680) * 12, "")</f>
        <v/>
      </c>
      <c r="J1680" s="2">
        <f>IF(I1680="", "", IF(OR(AND(A1680="Listed Equity Shares", I1680&gt;12), AND(A1680="Unlisted Equity Shares", I1680&gt;24)), "Long Term", "Short Term"))</f>
        <v/>
      </c>
      <c r="K1680" s="5">
        <f>IF(J1680="", "", IF(J1680="Long Term", 12.5%,"as per slab"))</f>
        <v/>
      </c>
      <c r="L1680" s="3">
        <f>+IFERROR(IF(J1680="","",H1680*K1680),"as per slab")</f>
        <v/>
      </c>
    </row>
    <row r="1681">
      <c r="A1681" s="7" t="n"/>
      <c r="B1681" s="7" t="n"/>
      <c r="C1681" s="8" t="n"/>
      <c r="D1681" s="9" t="n"/>
      <c r="E1681" s="8" t="n"/>
      <c r="F1681" s="9" t="n"/>
      <c r="G1681" s="9" t="n"/>
      <c r="H1681" s="3">
        <f>IF(AND(D1681&lt;&gt;"",F1681&lt;&gt;""),F1681-D1681-G1681,"")</f>
        <v/>
      </c>
      <c r="I1681" s="14">
        <f>IF(E1681&lt;&gt;"", YEARFRAC(C1681, E1681) * 12, "")</f>
        <v/>
      </c>
      <c r="J1681" s="2">
        <f>IF(I1681="", "", IF(OR(AND(A1681="Listed Equity Shares", I1681&gt;12), AND(A1681="Unlisted Equity Shares", I1681&gt;24)), "Long Term", "Short Term"))</f>
        <v/>
      </c>
      <c r="K1681" s="5">
        <f>IF(J1681="", "", IF(J1681="Long Term", 12.5%,"as per slab"))</f>
        <v/>
      </c>
      <c r="L1681" s="3">
        <f>+IFERROR(IF(J1681="","",H1681*K1681),"as per slab")</f>
        <v/>
      </c>
    </row>
    <row r="1682">
      <c r="A1682" s="7" t="n"/>
      <c r="B1682" s="7" t="n"/>
      <c r="C1682" s="8" t="n"/>
      <c r="D1682" s="9" t="n"/>
      <c r="E1682" s="8" t="n"/>
      <c r="F1682" s="9" t="n"/>
      <c r="G1682" s="9" t="n"/>
      <c r="H1682" s="3">
        <f>IF(AND(D1682&lt;&gt;"",F1682&lt;&gt;""),F1682-D1682-G1682,"")</f>
        <v/>
      </c>
      <c r="I1682" s="14">
        <f>IF(E1682&lt;&gt;"", YEARFRAC(C1682, E1682) * 12, "")</f>
        <v/>
      </c>
      <c r="J1682" s="2">
        <f>IF(I1682="", "", IF(OR(AND(A1682="Listed Equity Shares", I1682&gt;12), AND(A1682="Unlisted Equity Shares", I1682&gt;24)), "Long Term", "Short Term"))</f>
        <v/>
      </c>
      <c r="K1682" s="5">
        <f>IF(J1682="", "", IF(J1682="Long Term", 12.5%,"as per slab"))</f>
        <v/>
      </c>
      <c r="L1682" s="3">
        <f>+IFERROR(IF(J1682="","",H1682*K1682),"as per slab")</f>
        <v/>
      </c>
    </row>
    <row r="1683">
      <c r="A1683" s="7" t="n"/>
      <c r="B1683" s="7" t="n"/>
      <c r="C1683" s="8" t="n"/>
      <c r="D1683" s="9" t="n"/>
      <c r="E1683" s="8" t="n"/>
      <c r="F1683" s="9" t="n"/>
      <c r="G1683" s="9" t="n"/>
      <c r="H1683" s="3">
        <f>IF(AND(D1683&lt;&gt;"",F1683&lt;&gt;""),F1683-D1683-G1683,"")</f>
        <v/>
      </c>
      <c r="I1683" s="14">
        <f>IF(E1683&lt;&gt;"", YEARFRAC(C1683, E1683) * 12, "")</f>
        <v/>
      </c>
      <c r="J1683" s="2">
        <f>IF(I1683="", "", IF(OR(AND(A1683="Listed Equity Shares", I1683&gt;12), AND(A1683="Unlisted Equity Shares", I1683&gt;24)), "Long Term", "Short Term"))</f>
        <v/>
      </c>
      <c r="K1683" s="5">
        <f>IF(J1683="", "", IF(J1683="Long Term", 12.5%,"as per slab"))</f>
        <v/>
      </c>
      <c r="L1683" s="3">
        <f>+IFERROR(IF(J1683="","",H1683*K1683),"as per slab")</f>
        <v/>
      </c>
    </row>
    <row r="1684">
      <c r="A1684" s="7" t="n"/>
      <c r="B1684" s="7" t="n"/>
      <c r="C1684" s="8" t="n"/>
      <c r="D1684" s="9" t="n"/>
      <c r="E1684" s="8" t="n"/>
      <c r="F1684" s="9" t="n"/>
      <c r="G1684" s="9" t="n"/>
      <c r="H1684" s="3">
        <f>IF(AND(D1684&lt;&gt;"",F1684&lt;&gt;""),F1684-D1684-G1684,"")</f>
        <v/>
      </c>
      <c r="I1684" s="14">
        <f>IF(E1684&lt;&gt;"", YEARFRAC(C1684, E1684) * 12, "")</f>
        <v/>
      </c>
      <c r="J1684" s="2">
        <f>IF(I1684="", "", IF(OR(AND(A1684="Listed Equity Shares", I1684&gt;12), AND(A1684="Unlisted Equity Shares", I1684&gt;24)), "Long Term", "Short Term"))</f>
        <v/>
      </c>
      <c r="K1684" s="5">
        <f>IF(J1684="", "", IF(J1684="Long Term", 12.5%,"as per slab"))</f>
        <v/>
      </c>
      <c r="L1684" s="3">
        <f>+IFERROR(IF(J1684="","",H1684*K1684),"as per slab")</f>
        <v/>
      </c>
    </row>
    <row r="1685">
      <c r="A1685" s="7" t="n"/>
      <c r="B1685" s="7" t="n"/>
      <c r="C1685" s="8" t="n"/>
      <c r="D1685" s="9" t="n"/>
      <c r="E1685" s="8" t="n"/>
      <c r="F1685" s="9" t="n"/>
      <c r="G1685" s="9" t="n"/>
      <c r="H1685" s="3">
        <f>IF(AND(D1685&lt;&gt;"",F1685&lt;&gt;""),F1685-D1685-G1685,"")</f>
        <v/>
      </c>
      <c r="I1685" s="14">
        <f>IF(E1685&lt;&gt;"", YEARFRAC(C1685, E1685) * 12, "")</f>
        <v/>
      </c>
      <c r="J1685" s="2">
        <f>IF(I1685="", "", IF(OR(AND(A1685="Listed Equity Shares", I1685&gt;12), AND(A1685="Unlisted Equity Shares", I1685&gt;24)), "Long Term", "Short Term"))</f>
        <v/>
      </c>
      <c r="K1685" s="5">
        <f>IF(J1685="", "", IF(J1685="Long Term", 12.5%,"as per slab"))</f>
        <v/>
      </c>
      <c r="L1685" s="3">
        <f>+IFERROR(IF(J1685="","",H1685*K1685),"as per slab")</f>
        <v/>
      </c>
    </row>
    <row r="1686">
      <c r="A1686" s="7" t="n"/>
      <c r="B1686" s="7" t="n"/>
      <c r="C1686" s="8" t="n"/>
      <c r="D1686" s="9" t="n"/>
      <c r="E1686" s="8" t="n"/>
      <c r="F1686" s="9" t="n"/>
      <c r="G1686" s="9" t="n"/>
      <c r="H1686" s="3">
        <f>IF(AND(D1686&lt;&gt;"",F1686&lt;&gt;""),F1686-D1686-G1686,"")</f>
        <v/>
      </c>
      <c r="I1686" s="14">
        <f>IF(E1686&lt;&gt;"", YEARFRAC(C1686, E1686) * 12, "")</f>
        <v/>
      </c>
      <c r="J1686" s="2">
        <f>IF(I1686="", "", IF(OR(AND(A1686="Listed Equity Shares", I1686&gt;12), AND(A1686="Unlisted Equity Shares", I1686&gt;24)), "Long Term", "Short Term"))</f>
        <v/>
      </c>
      <c r="K1686" s="5">
        <f>IF(J1686="", "", IF(J1686="Long Term", 12.5%,"as per slab"))</f>
        <v/>
      </c>
      <c r="L1686" s="3">
        <f>+IFERROR(IF(J1686="","",H1686*K1686),"as per slab")</f>
        <v/>
      </c>
    </row>
    <row r="1687">
      <c r="A1687" s="7" t="n"/>
      <c r="B1687" s="7" t="n"/>
      <c r="C1687" s="8" t="n"/>
      <c r="D1687" s="9" t="n"/>
      <c r="E1687" s="8" t="n"/>
      <c r="F1687" s="9" t="n"/>
      <c r="G1687" s="9" t="n"/>
      <c r="H1687" s="3">
        <f>IF(AND(D1687&lt;&gt;"",F1687&lt;&gt;""),F1687-D1687-G1687,"")</f>
        <v/>
      </c>
      <c r="I1687" s="14">
        <f>IF(E1687&lt;&gt;"", YEARFRAC(C1687, E1687) * 12, "")</f>
        <v/>
      </c>
      <c r="J1687" s="2">
        <f>IF(I1687="", "", IF(OR(AND(A1687="Listed Equity Shares", I1687&gt;12), AND(A1687="Unlisted Equity Shares", I1687&gt;24)), "Long Term", "Short Term"))</f>
        <v/>
      </c>
      <c r="K1687" s="5">
        <f>IF(J1687="", "", IF(J1687="Long Term", 12.5%,"as per slab"))</f>
        <v/>
      </c>
      <c r="L1687" s="3">
        <f>+IFERROR(IF(J1687="","",H1687*K1687),"as per slab")</f>
        <v/>
      </c>
    </row>
    <row r="1688">
      <c r="A1688" s="7" t="n"/>
      <c r="B1688" s="7" t="n"/>
      <c r="C1688" s="8" t="n"/>
      <c r="D1688" s="9" t="n"/>
      <c r="E1688" s="8" t="n"/>
      <c r="F1688" s="9" t="n"/>
      <c r="G1688" s="9" t="n"/>
      <c r="H1688" s="3">
        <f>IF(AND(D1688&lt;&gt;"",F1688&lt;&gt;""),F1688-D1688-G1688,"")</f>
        <v/>
      </c>
      <c r="I1688" s="14">
        <f>IF(E1688&lt;&gt;"", YEARFRAC(C1688, E1688) * 12, "")</f>
        <v/>
      </c>
      <c r="J1688" s="2">
        <f>IF(I1688="", "", IF(OR(AND(A1688="Listed Equity Shares", I1688&gt;12), AND(A1688="Unlisted Equity Shares", I1688&gt;24)), "Long Term", "Short Term"))</f>
        <v/>
      </c>
      <c r="K1688" s="5">
        <f>IF(J1688="", "", IF(J1688="Long Term", 12.5%,"as per slab"))</f>
        <v/>
      </c>
      <c r="L1688" s="3">
        <f>+IFERROR(IF(J1688="","",H1688*K1688),"as per slab")</f>
        <v/>
      </c>
    </row>
    <row r="1689">
      <c r="A1689" s="7" t="n"/>
      <c r="B1689" s="7" t="n"/>
      <c r="C1689" s="8" t="n"/>
      <c r="D1689" s="9" t="n"/>
      <c r="E1689" s="8" t="n"/>
      <c r="F1689" s="9" t="n"/>
      <c r="G1689" s="9" t="n"/>
      <c r="H1689" s="3">
        <f>IF(AND(D1689&lt;&gt;"",F1689&lt;&gt;""),F1689-D1689-G1689,"")</f>
        <v/>
      </c>
      <c r="I1689" s="14">
        <f>IF(E1689&lt;&gt;"", YEARFRAC(C1689, E1689) * 12, "")</f>
        <v/>
      </c>
      <c r="J1689" s="2">
        <f>IF(I1689="", "", IF(OR(AND(A1689="Listed Equity Shares", I1689&gt;12), AND(A1689="Unlisted Equity Shares", I1689&gt;24)), "Long Term", "Short Term"))</f>
        <v/>
      </c>
      <c r="K1689" s="5">
        <f>IF(J1689="", "", IF(J1689="Long Term", 12.5%,"as per slab"))</f>
        <v/>
      </c>
      <c r="L1689" s="3">
        <f>+IFERROR(IF(J1689="","",H1689*K1689),"as per slab")</f>
        <v/>
      </c>
    </row>
    <row r="1690">
      <c r="A1690" s="7" t="n"/>
      <c r="B1690" s="7" t="n"/>
      <c r="C1690" s="8" t="n"/>
      <c r="D1690" s="9" t="n"/>
      <c r="E1690" s="8" t="n"/>
      <c r="F1690" s="9" t="n"/>
      <c r="G1690" s="9" t="n"/>
      <c r="H1690" s="3">
        <f>IF(AND(D1690&lt;&gt;"",F1690&lt;&gt;""),F1690-D1690-G1690,"")</f>
        <v/>
      </c>
      <c r="I1690" s="14">
        <f>IF(E1690&lt;&gt;"", YEARFRAC(C1690, E1690) * 12, "")</f>
        <v/>
      </c>
      <c r="J1690" s="2">
        <f>IF(I1690="", "", IF(OR(AND(A1690="Listed Equity Shares", I1690&gt;12), AND(A1690="Unlisted Equity Shares", I1690&gt;24)), "Long Term", "Short Term"))</f>
        <v/>
      </c>
      <c r="K1690" s="5">
        <f>IF(J1690="", "", IF(J1690="Long Term", 12.5%,"as per slab"))</f>
        <v/>
      </c>
      <c r="L1690" s="3">
        <f>+IFERROR(IF(J1690="","",H1690*K1690),"as per slab")</f>
        <v/>
      </c>
    </row>
    <row r="1691">
      <c r="A1691" s="7" t="n"/>
      <c r="B1691" s="7" t="n"/>
      <c r="C1691" s="8" t="n"/>
      <c r="D1691" s="9" t="n"/>
      <c r="E1691" s="8" t="n"/>
      <c r="F1691" s="9" t="n"/>
      <c r="G1691" s="9" t="n"/>
      <c r="H1691" s="3">
        <f>IF(AND(D1691&lt;&gt;"",F1691&lt;&gt;""),F1691-D1691-G1691,"")</f>
        <v/>
      </c>
      <c r="I1691" s="14">
        <f>IF(E1691&lt;&gt;"", YEARFRAC(C1691, E1691) * 12, "")</f>
        <v/>
      </c>
      <c r="J1691" s="2">
        <f>IF(I1691="", "", IF(OR(AND(A1691="Listed Equity Shares", I1691&gt;12), AND(A1691="Unlisted Equity Shares", I1691&gt;24)), "Long Term", "Short Term"))</f>
        <v/>
      </c>
      <c r="K1691" s="5">
        <f>IF(J1691="", "", IF(J1691="Long Term", 12.5%,"as per slab"))</f>
        <v/>
      </c>
      <c r="L1691" s="3">
        <f>+IFERROR(IF(J1691="","",H1691*K1691),"as per slab")</f>
        <v/>
      </c>
    </row>
    <row r="1692">
      <c r="A1692" s="7" t="n"/>
      <c r="B1692" s="7" t="n"/>
      <c r="C1692" s="8" t="n"/>
      <c r="D1692" s="9" t="n"/>
      <c r="E1692" s="8" t="n"/>
      <c r="F1692" s="9" t="n"/>
      <c r="G1692" s="9" t="n"/>
      <c r="H1692" s="3">
        <f>IF(AND(D1692&lt;&gt;"",F1692&lt;&gt;""),F1692-D1692-G1692,"")</f>
        <v/>
      </c>
      <c r="I1692" s="14">
        <f>IF(E1692&lt;&gt;"", YEARFRAC(C1692, E1692) * 12, "")</f>
        <v/>
      </c>
      <c r="J1692" s="2">
        <f>IF(I1692="", "", IF(OR(AND(A1692="Listed Equity Shares", I1692&gt;12), AND(A1692="Unlisted Equity Shares", I1692&gt;24)), "Long Term", "Short Term"))</f>
        <v/>
      </c>
      <c r="K1692" s="5">
        <f>IF(J1692="", "", IF(J1692="Long Term", 12.5%,"as per slab"))</f>
        <v/>
      </c>
      <c r="L1692" s="3">
        <f>+IFERROR(IF(J1692="","",H1692*K1692),"as per slab")</f>
        <v/>
      </c>
    </row>
    <row r="1693">
      <c r="A1693" s="7" t="n"/>
      <c r="B1693" s="7" t="n"/>
      <c r="C1693" s="8" t="n"/>
      <c r="D1693" s="9" t="n"/>
      <c r="E1693" s="8" t="n"/>
      <c r="F1693" s="9" t="n"/>
      <c r="G1693" s="9" t="n"/>
      <c r="H1693" s="3">
        <f>IF(AND(D1693&lt;&gt;"",F1693&lt;&gt;""),F1693-D1693-G1693,"")</f>
        <v/>
      </c>
      <c r="I1693" s="14">
        <f>IF(E1693&lt;&gt;"", YEARFRAC(C1693, E1693) * 12, "")</f>
        <v/>
      </c>
      <c r="J1693" s="2">
        <f>IF(I1693="", "", IF(OR(AND(A1693="Listed Equity Shares", I1693&gt;12), AND(A1693="Unlisted Equity Shares", I1693&gt;24)), "Long Term", "Short Term"))</f>
        <v/>
      </c>
      <c r="K1693" s="5">
        <f>IF(J1693="", "", IF(J1693="Long Term", 12.5%,"as per slab"))</f>
        <v/>
      </c>
      <c r="L1693" s="3">
        <f>+IFERROR(IF(J1693="","",H1693*K1693),"as per slab")</f>
        <v/>
      </c>
    </row>
    <row r="1694">
      <c r="A1694" s="7" t="n"/>
      <c r="B1694" s="7" t="n"/>
      <c r="C1694" s="8" t="n"/>
      <c r="D1694" s="9" t="n"/>
      <c r="E1694" s="8" t="n"/>
      <c r="F1694" s="9" t="n"/>
      <c r="G1694" s="9" t="n"/>
      <c r="H1694" s="3">
        <f>IF(AND(D1694&lt;&gt;"",F1694&lt;&gt;""),F1694-D1694-G1694,"")</f>
        <v/>
      </c>
      <c r="I1694" s="14">
        <f>IF(E1694&lt;&gt;"", YEARFRAC(C1694, E1694) * 12, "")</f>
        <v/>
      </c>
      <c r="J1694" s="2">
        <f>IF(I1694="", "", IF(OR(AND(A1694="Listed Equity Shares", I1694&gt;12), AND(A1694="Unlisted Equity Shares", I1694&gt;24)), "Long Term", "Short Term"))</f>
        <v/>
      </c>
      <c r="K1694" s="5">
        <f>IF(J1694="", "", IF(J1694="Long Term", 12.5%,"as per slab"))</f>
        <v/>
      </c>
      <c r="L1694" s="3">
        <f>+IFERROR(IF(J1694="","",H1694*K1694),"as per slab")</f>
        <v/>
      </c>
    </row>
    <row r="1695">
      <c r="A1695" s="7" t="n"/>
      <c r="B1695" s="7" t="n"/>
      <c r="C1695" s="8" t="n"/>
      <c r="D1695" s="9" t="n"/>
      <c r="E1695" s="8" t="n"/>
      <c r="F1695" s="9" t="n"/>
      <c r="G1695" s="9" t="n"/>
      <c r="H1695" s="3">
        <f>IF(AND(D1695&lt;&gt;"",F1695&lt;&gt;""),F1695-D1695-G1695,"")</f>
        <v/>
      </c>
      <c r="I1695" s="14">
        <f>IF(E1695&lt;&gt;"", YEARFRAC(C1695, E1695) * 12, "")</f>
        <v/>
      </c>
      <c r="J1695" s="2">
        <f>IF(I1695="", "", IF(OR(AND(A1695="Listed Equity Shares", I1695&gt;12), AND(A1695="Unlisted Equity Shares", I1695&gt;24)), "Long Term", "Short Term"))</f>
        <v/>
      </c>
      <c r="K1695" s="5">
        <f>IF(J1695="", "", IF(J1695="Long Term", 12.5%,"as per slab"))</f>
        <v/>
      </c>
      <c r="L1695" s="3">
        <f>+IFERROR(IF(J1695="","",H1695*K1695),"as per slab")</f>
        <v/>
      </c>
    </row>
    <row r="1696">
      <c r="A1696" s="7" t="n"/>
      <c r="B1696" s="7" t="n"/>
      <c r="C1696" s="8" t="n"/>
      <c r="D1696" s="9" t="n"/>
      <c r="E1696" s="8" t="n"/>
      <c r="F1696" s="9" t="n"/>
      <c r="G1696" s="9" t="n"/>
      <c r="H1696" s="3">
        <f>IF(AND(D1696&lt;&gt;"",F1696&lt;&gt;""),F1696-D1696-G1696,"")</f>
        <v/>
      </c>
      <c r="I1696" s="14">
        <f>IF(E1696&lt;&gt;"", YEARFRAC(C1696, E1696) * 12, "")</f>
        <v/>
      </c>
      <c r="J1696" s="2">
        <f>IF(I1696="", "", IF(OR(AND(A1696="Listed Equity Shares", I1696&gt;12), AND(A1696="Unlisted Equity Shares", I1696&gt;24)), "Long Term", "Short Term"))</f>
        <v/>
      </c>
      <c r="K1696" s="5">
        <f>IF(J1696="", "", IF(J1696="Long Term", 12.5%,"as per slab"))</f>
        <v/>
      </c>
      <c r="L1696" s="3">
        <f>+IFERROR(IF(J1696="","",H1696*K1696),"as per slab")</f>
        <v/>
      </c>
    </row>
    <row r="1697">
      <c r="A1697" s="7" t="n"/>
      <c r="B1697" s="7" t="n"/>
      <c r="C1697" s="8" t="n"/>
      <c r="D1697" s="9" t="n"/>
      <c r="E1697" s="8" t="n"/>
      <c r="F1697" s="9" t="n"/>
      <c r="G1697" s="9" t="n"/>
      <c r="H1697" s="3">
        <f>IF(AND(D1697&lt;&gt;"",F1697&lt;&gt;""),F1697-D1697-G1697,"")</f>
        <v/>
      </c>
      <c r="I1697" s="14">
        <f>IF(E1697&lt;&gt;"", YEARFRAC(C1697, E1697) * 12, "")</f>
        <v/>
      </c>
      <c r="J1697" s="2">
        <f>IF(I1697="", "", IF(OR(AND(A1697="Listed Equity Shares", I1697&gt;12), AND(A1697="Unlisted Equity Shares", I1697&gt;24)), "Long Term", "Short Term"))</f>
        <v/>
      </c>
      <c r="K1697" s="5">
        <f>IF(J1697="", "", IF(J1697="Long Term", 12.5%,"as per slab"))</f>
        <v/>
      </c>
      <c r="L1697" s="3">
        <f>+IFERROR(IF(J1697="","",H1697*K1697),"as per slab")</f>
        <v/>
      </c>
    </row>
    <row r="1698">
      <c r="A1698" s="7" t="n"/>
      <c r="B1698" s="7" t="n"/>
      <c r="C1698" s="8" t="n"/>
      <c r="D1698" s="9" t="n"/>
      <c r="E1698" s="8" t="n"/>
      <c r="F1698" s="9" t="n"/>
      <c r="G1698" s="9" t="n"/>
      <c r="H1698" s="3">
        <f>IF(AND(D1698&lt;&gt;"",F1698&lt;&gt;""),F1698-D1698-G1698,"")</f>
        <v/>
      </c>
      <c r="I1698" s="14">
        <f>IF(E1698&lt;&gt;"", YEARFRAC(C1698, E1698) * 12, "")</f>
        <v/>
      </c>
      <c r="J1698" s="2">
        <f>IF(I1698="", "", IF(OR(AND(A1698="Listed Equity Shares", I1698&gt;12), AND(A1698="Unlisted Equity Shares", I1698&gt;24)), "Long Term", "Short Term"))</f>
        <v/>
      </c>
      <c r="K1698" s="5">
        <f>IF(J1698="", "", IF(J1698="Long Term", 12.5%,"as per slab"))</f>
        <v/>
      </c>
      <c r="L1698" s="3">
        <f>+IFERROR(IF(J1698="","",H1698*K1698),"as per slab")</f>
        <v/>
      </c>
    </row>
    <row r="1699">
      <c r="A1699" s="7" t="n"/>
      <c r="B1699" s="7" t="n"/>
      <c r="C1699" s="8" t="n"/>
      <c r="D1699" s="9" t="n"/>
      <c r="E1699" s="8" t="n"/>
      <c r="F1699" s="9" t="n"/>
      <c r="G1699" s="9" t="n"/>
      <c r="H1699" s="3">
        <f>IF(AND(D1699&lt;&gt;"",F1699&lt;&gt;""),F1699-D1699-G1699,"")</f>
        <v/>
      </c>
      <c r="I1699" s="14">
        <f>IF(E1699&lt;&gt;"", YEARFRAC(C1699, E1699) * 12, "")</f>
        <v/>
      </c>
      <c r="J1699" s="2">
        <f>IF(I1699="", "", IF(OR(AND(A1699="Listed Equity Shares", I1699&gt;12), AND(A1699="Unlisted Equity Shares", I1699&gt;24)), "Long Term", "Short Term"))</f>
        <v/>
      </c>
      <c r="K1699" s="5">
        <f>IF(J1699="", "", IF(J1699="Long Term", 12.5%,"as per slab"))</f>
        <v/>
      </c>
      <c r="L1699" s="3">
        <f>+IFERROR(IF(J1699="","",H1699*K1699),"as per slab")</f>
        <v/>
      </c>
    </row>
    <row r="1700">
      <c r="A1700" s="7" t="n"/>
      <c r="B1700" s="7" t="n"/>
      <c r="C1700" s="8" t="n"/>
      <c r="D1700" s="9" t="n"/>
      <c r="E1700" s="8" t="n"/>
      <c r="F1700" s="9" t="n"/>
      <c r="G1700" s="9" t="n"/>
      <c r="H1700" s="3">
        <f>IF(AND(D1700&lt;&gt;"",F1700&lt;&gt;""),F1700-D1700-G1700,"")</f>
        <v/>
      </c>
      <c r="I1700" s="14">
        <f>IF(E1700&lt;&gt;"", YEARFRAC(C1700, E1700) * 12, "")</f>
        <v/>
      </c>
      <c r="J1700" s="2">
        <f>IF(I1700="", "", IF(OR(AND(A1700="Listed Equity Shares", I1700&gt;12), AND(A1700="Unlisted Equity Shares", I1700&gt;24)), "Long Term", "Short Term"))</f>
        <v/>
      </c>
      <c r="K1700" s="5">
        <f>IF(J1700="", "", IF(J1700="Long Term", 12.5%,"as per slab"))</f>
        <v/>
      </c>
      <c r="L1700" s="3">
        <f>+IFERROR(IF(J1700="","",H1700*K1700),"as per slab")</f>
        <v/>
      </c>
    </row>
    <row r="1701">
      <c r="A1701" s="7" t="n"/>
      <c r="B1701" s="7" t="n"/>
      <c r="C1701" s="8" t="n"/>
      <c r="D1701" s="9" t="n"/>
      <c r="E1701" s="8" t="n"/>
      <c r="F1701" s="9" t="n"/>
      <c r="G1701" s="9" t="n"/>
      <c r="H1701" s="3">
        <f>IF(AND(D1701&lt;&gt;"",F1701&lt;&gt;""),F1701-D1701-G1701,"")</f>
        <v/>
      </c>
      <c r="I1701" s="14">
        <f>IF(E1701&lt;&gt;"", YEARFRAC(C1701, E1701) * 12, "")</f>
        <v/>
      </c>
      <c r="J1701" s="2">
        <f>IF(I1701="", "", IF(OR(AND(A1701="Listed Equity Shares", I1701&gt;12), AND(A1701="Unlisted Equity Shares", I1701&gt;24)), "Long Term", "Short Term"))</f>
        <v/>
      </c>
      <c r="K1701" s="5">
        <f>IF(J1701="", "", IF(J1701="Long Term", 12.5%,"as per slab"))</f>
        <v/>
      </c>
      <c r="L1701" s="3">
        <f>+IFERROR(IF(J1701="","",H1701*K1701),"as per slab")</f>
        <v/>
      </c>
    </row>
    <row r="1702">
      <c r="A1702" s="7" t="n"/>
      <c r="B1702" s="7" t="n"/>
      <c r="C1702" s="8" t="n"/>
      <c r="D1702" s="9" t="n"/>
      <c r="E1702" s="8" t="n"/>
      <c r="F1702" s="9" t="n"/>
      <c r="G1702" s="9" t="n"/>
      <c r="H1702" s="3">
        <f>IF(AND(D1702&lt;&gt;"",F1702&lt;&gt;""),F1702-D1702-G1702,"")</f>
        <v/>
      </c>
      <c r="I1702" s="14">
        <f>IF(E1702&lt;&gt;"", YEARFRAC(C1702, E1702) * 12, "")</f>
        <v/>
      </c>
      <c r="J1702" s="2">
        <f>IF(I1702="", "", IF(OR(AND(A1702="Listed Equity Shares", I1702&gt;12), AND(A1702="Unlisted Equity Shares", I1702&gt;24)), "Long Term", "Short Term"))</f>
        <v/>
      </c>
      <c r="K1702" s="5">
        <f>IF(J1702="", "", IF(J1702="Long Term", 12.5%,"as per slab"))</f>
        <v/>
      </c>
      <c r="L1702" s="3">
        <f>+IFERROR(IF(J1702="","",H1702*K1702),"as per slab")</f>
        <v/>
      </c>
    </row>
    <row r="1703">
      <c r="A1703" s="7" t="n"/>
      <c r="B1703" s="7" t="n"/>
      <c r="C1703" s="8" t="n"/>
      <c r="D1703" s="9" t="n"/>
      <c r="E1703" s="8" t="n"/>
      <c r="F1703" s="9" t="n"/>
      <c r="G1703" s="9" t="n"/>
      <c r="H1703" s="3">
        <f>IF(AND(D1703&lt;&gt;"",F1703&lt;&gt;""),F1703-D1703-G1703,"")</f>
        <v/>
      </c>
      <c r="I1703" s="14">
        <f>IF(E1703&lt;&gt;"", YEARFRAC(C1703, E1703) * 12, "")</f>
        <v/>
      </c>
      <c r="J1703" s="2">
        <f>IF(I1703="", "", IF(OR(AND(A1703="Listed Equity Shares", I1703&gt;12), AND(A1703="Unlisted Equity Shares", I1703&gt;24)), "Long Term", "Short Term"))</f>
        <v/>
      </c>
      <c r="K1703" s="5">
        <f>IF(J1703="", "", IF(J1703="Long Term", 12.5%,"as per slab"))</f>
        <v/>
      </c>
      <c r="L1703" s="3">
        <f>+IFERROR(IF(J1703="","",H1703*K1703),"as per slab")</f>
        <v/>
      </c>
    </row>
    <row r="1704">
      <c r="A1704" s="7" t="n"/>
      <c r="B1704" s="7" t="n"/>
      <c r="C1704" s="8" t="n"/>
      <c r="D1704" s="9" t="n"/>
      <c r="E1704" s="8" t="n"/>
      <c r="F1704" s="9" t="n"/>
      <c r="G1704" s="9" t="n"/>
      <c r="H1704" s="3">
        <f>IF(AND(D1704&lt;&gt;"",F1704&lt;&gt;""),F1704-D1704-G1704,"")</f>
        <v/>
      </c>
      <c r="I1704" s="14">
        <f>IF(E1704&lt;&gt;"", YEARFRAC(C1704, E1704) * 12, "")</f>
        <v/>
      </c>
      <c r="J1704" s="2">
        <f>IF(I1704="", "", IF(OR(AND(A1704="Listed Equity Shares", I1704&gt;12), AND(A1704="Unlisted Equity Shares", I1704&gt;24)), "Long Term", "Short Term"))</f>
        <v/>
      </c>
      <c r="K1704" s="5">
        <f>IF(J1704="", "", IF(J1704="Long Term", 12.5%,"as per slab"))</f>
        <v/>
      </c>
      <c r="L1704" s="3">
        <f>+IFERROR(IF(J1704="","",H1704*K1704),"as per slab")</f>
        <v/>
      </c>
    </row>
    <row r="1705">
      <c r="A1705" s="7" t="n"/>
      <c r="B1705" s="7" t="n"/>
      <c r="C1705" s="8" t="n"/>
      <c r="D1705" s="9" t="n"/>
      <c r="E1705" s="8" t="n"/>
      <c r="F1705" s="9" t="n"/>
      <c r="G1705" s="9" t="n"/>
      <c r="H1705" s="3">
        <f>IF(AND(D1705&lt;&gt;"",F1705&lt;&gt;""),F1705-D1705-G1705,"")</f>
        <v/>
      </c>
      <c r="I1705" s="14">
        <f>IF(E1705&lt;&gt;"", YEARFRAC(C1705, E1705) * 12, "")</f>
        <v/>
      </c>
      <c r="J1705" s="2">
        <f>IF(I1705="", "", IF(OR(AND(A1705="Listed Equity Shares", I1705&gt;12), AND(A1705="Unlisted Equity Shares", I1705&gt;24)), "Long Term", "Short Term"))</f>
        <v/>
      </c>
      <c r="K1705" s="5">
        <f>IF(J1705="", "", IF(J1705="Long Term", 12.5%,"as per slab"))</f>
        <v/>
      </c>
      <c r="L1705" s="3">
        <f>+IFERROR(IF(J1705="","",H1705*K1705),"as per slab")</f>
        <v/>
      </c>
    </row>
    <row r="1706">
      <c r="A1706" s="7" t="n"/>
      <c r="B1706" s="7" t="n"/>
      <c r="C1706" s="8" t="n"/>
      <c r="D1706" s="9" t="n"/>
      <c r="E1706" s="8" t="n"/>
      <c r="F1706" s="9" t="n"/>
      <c r="G1706" s="9" t="n"/>
      <c r="H1706" s="3">
        <f>IF(AND(D1706&lt;&gt;"",F1706&lt;&gt;""),F1706-D1706-G1706,"")</f>
        <v/>
      </c>
      <c r="I1706" s="14">
        <f>IF(E1706&lt;&gt;"", YEARFRAC(C1706, E1706) * 12, "")</f>
        <v/>
      </c>
      <c r="J1706" s="2">
        <f>IF(I1706="", "", IF(OR(AND(A1706="Listed Equity Shares", I1706&gt;12), AND(A1706="Unlisted Equity Shares", I1706&gt;24)), "Long Term", "Short Term"))</f>
        <v/>
      </c>
      <c r="K1706" s="5">
        <f>IF(J1706="", "", IF(J1706="Long Term", 12.5%,"as per slab"))</f>
        <v/>
      </c>
      <c r="L1706" s="3">
        <f>+IFERROR(IF(J1706="","",H1706*K1706),"as per slab")</f>
        <v/>
      </c>
    </row>
    <row r="1707">
      <c r="A1707" s="7" t="n"/>
      <c r="B1707" s="7" t="n"/>
      <c r="C1707" s="8" t="n"/>
      <c r="D1707" s="9" t="n"/>
      <c r="E1707" s="8" t="n"/>
      <c r="F1707" s="9" t="n"/>
      <c r="G1707" s="9" t="n"/>
      <c r="H1707" s="3">
        <f>IF(AND(D1707&lt;&gt;"",F1707&lt;&gt;""),F1707-D1707-G1707,"")</f>
        <v/>
      </c>
      <c r="I1707" s="14">
        <f>IF(E1707&lt;&gt;"", YEARFRAC(C1707, E1707) * 12, "")</f>
        <v/>
      </c>
      <c r="J1707" s="2">
        <f>IF(I1707="", "", IF(OR(AND(A1707="Listed Equity Shares", I1707&gt;12), AND(A1707="Unlisted Equity Shares", I1707&gt;24)), "Long Term", "Short Term"))</f>
        <v/>
      </c>
      <c r="K1707" s="5">
        <f>IF(J1707="", "", IF(J1707="Long Term", 12.5%,"as per slab"))</f>
        <v/>
      </c>
      <c r="L1707" s="3">
        <f>+IFERROR(IF(J1707="","",H1707*K1707),"as per slab")</f>
        <v/>
      </c>
    </row>
    <row r="1708">
      <c r="A1708" s="7" t="n"/>
      <c r="B1708" s="7" t="n"/>
      <c r="C1708" s="8" t="n"/>
      <c r="D1708" s="9" t="n"/>
      <c r="E1708" s="8" t="n"/>
      <c r="F1708" s="9" t="n"/>
      <c r="G1708" s="9" t="n"/>
      <c r="H1708" s="3">
        <f>IF(AND(D1708&lt;&gt;"",F1708&lt;&gt;""),F1708-D1708-G1708,"")</f>
        <v/>
      </c>
      <c r="I1708" s="14">
        <f>IF(E1708&lt;&gt;"", YEARFRAC(C1708, E1708) * 12, "")</f>
        <v/>
      </c>
      <c r="J1708" s="2">
        <f>IF(I1708="", "", IF(OR(AND(A1708="Listed Equity Shares", I1708&gt;12), AND(A1708="Unlisted Equity Shares", I1708&gt;24)), "Long Term", "Short Term"))</f>
        <v/>
      </c>
      <c r="K1708" s="5">
        <f>IF(J1708="", "", IF(J1708="Long Term", 12.5%,"as per slab"))</f>
        <v/>
      </c>
      <c r="L1708" s="3">
        <f>+IFERROR(IF(J1708="","",H1708*K1708),"as per slab")</f>
        <v/>
      </c>
    </row>
    <row r="1709">
      <c r="A1709" s="7" t="n"/>
      <c r="B1709" s="7" t="n"/>
      <c r="C1709" s="8" t="n"/>
      <c r="D1709" s="9" t="n"/>
      <c r="E1709" s="8" t="n"/>
      <c r="F1709" s="9" t="n"/>
      <c r="G1709" s="9" t="n"/>
      <c r="H1709" s="3">
        <f>IF(AND(D1709&lt;&gt;"",F1709&lt;&gt;""),F1709-D1709-G1709,"")</f>
        <v/>
      </c>
      <c r="I1709" s="14">
        <f>IF(E1709&lt;&gt;"", YEARFRAC(C1709, E1709) * 12, "")</f>
        <v/>
      </c>
      <c r="J1709" s="2">
        <f>IF(I1709="", "", IF(OR(AND(A1709="Listed Equity Shares", I1709&gt;12), AND(A1709="Unlisted Equity Shares", I1709&gt;24)), "Long Term", "Short Term"))</f>
        <v/>
      </c>
      <c r="K1709" s="5">
        <f>IF(J1709="", "", IF(J1709="Long Term", 12.5%,"as per slab"))</f>
        <v/>
      </c>
      <c r="L1709" s="3">
        <f>+IFERROR(IF(J1709="","",H1709*K1709),"as per slab")</f>
        <v/>
      </c>
    </row>
    <row r="1710">
      <c r="A1710" s="7" t="n"/>
      <c r="B1710" s="7" t="n"/>
      <c r="C1710" s="8" t="n"/>
      <c r="D1710" s="9" t="n"/>
      <c r="E1710" s="8" t="n"/>
      <c r="F1710" s="9" t="n"/>
      <c r="G1710" s="9" t="n"/>
      <c r="H1710" s="3">
        <f>IF(AND(D1710&lt;&gt;"",F1710&lt;&gt;""),F1710-D1710-G1710,"")</f>
        <v/>
      </c>
      <c r="I1710" s="14">
        <f>IF(E1710&lt;&gt;"", YEARFRAC(C1710, E1710) * 12, "")</f>
        <v/>
      </c>
      <c r="J1710" s="2">
        <f>IF(I1710="", "", IF(OR(AND(A1710="Listed Equity Shares", I1710&gt;12), AND(A1710="Unlisted Equity Shares", I1710&gt;24)), "Long Term", "Short Term"))</f>
        <v/>
      </c>
      <c r="K1710" s="5">
        <f>IF(J1710="", "", IF(J1710="Long Term", 12.5%,"as per slab"))</f>
        <v/>
      </c>
      <c r="L1710" s="3">
        <f>+IFERROR(IF(J1710="","",H1710*K1710),"as per slab")</f>
        <v/>
      </c>
    </row>
    <row r="1711">
      <c r="A1711" s="7" t="n"/>
      <c r="B1711" s="7" t="n"/>
      <c r="C1711" s="8" t="n"/>
      <c r="D1711" s="9" t="n"/>
      <c r="E1711" s="8" t="n"/>
      <c r="F1711" s="9" t="n"/>
      <c r="G1711" s="9" t="n"/>
      <c r="H1711" s="3">
        <f>IF(AND(D1711&lt;&gt;"",F1711&lt;&gt;""),F1711-D1711-G1711,"")</f>
        <v/>
      </c>
      <c r="I1711" s="14">
        <f>IF(E1711&lt;&gt;"", YEARFRAC(C1711, E1711) * 12, "")</f>
        <v/>
      </c>
      <c r="J1711" s="2">
        <f>IF(I1711="", "", IF(OR(AND(A1711="Listed Equity Shares", I1711&gt;12), AND(A1711="Unlisted Equity Shares", I1711&gt;24)), "Long Term", "Short Term"))</f>
        <v/>
      </c>
      <c r="K1711" s="5">
        <f>IF(J1711="", "", IF(J1711="Long Term", 12.5%,"as per slab"))</f>
        <v/>
      </c>
      <c r="L1711" s="3">
        <f>+IFERROR(IF(J1711="","",H1711*K1711),"as per slab")</f>
        <v/>
      </c>
    </row>
    <row r="1712">
      <c r="A1712" s="7" t="n"/>
      <c r="B1712" s="7" t="n"/>
      <c r="C1712" s="8" t="n"/>
      <c r="D1712" s="9" t="n"/>
      <c r="E1712" s="8" t="n"/>
      <c r="F1712" s="9" t="n"/>
      <c r="G1712" s="9" t="n"/>
      <c r="H1712" s="3">
        <f>IF(AND(D1712&lt;&gt;"",F1712&lt;&gt;""),F1712-D1712-G1712,"")</f>
        <v/>
      </c>
      <c r="I1712" s="14">
        <f>IF(E1712&lt;&gt;"", YEARFRAC(C1712, E1712) * 12, "")</f>
        <v/>
      </c>
      <c r="J1712" s="2">
        <f>IF(I1712="", "", IF(OR(AND(A1712="Listed Equity Shares", I1712&gt;12), AND(A1712="Unlisted Equity Shares", I1712&gt;24)), "Long Term", "Short Term"))</f>
        <v/>
      </c>
      <c r="K1712" s="5">
        <f>IF(J1712="", "", IF(J1712="Long Term", 12.5%,"as per slab"))</f>
        <v/>
      </c>
      <c r="L1712" s="3">
        <f>+IFERROR(IF(J1712="","",H1712*K1712),"as per slab")</f>
        <v/>
      </c>
    </row>
    <row r="1713">
      <c r="A1713" s="7" t="n"/>
      <c r="B1713" s="7" t="n"/>
      <c r="C1713" s="8" t="n"/>
      <c r="D1713" s="9" t="n"/>
      <c r="E1713" s="8" t="n"/>
      <c r="F1713" s="9" t="n"/>
      <c r="G1713" s="9" t="n"/>
      <c r="H1713" s="3">
        <f>IF(AND(D1713&lt;&gt;"",F1713&lt;&gt;""),F1713-D1713-G1713,"")</f>
        <v/>
      </c>
      <c r="I1713" s="14">
        <f>IF(E1713&lt;&gt;"", YEARFRAC(C1713, E1713) * 12, "")</f>
        <v/>
      </c>
      <c r="J1713" s="2">
        <f>IF(I1713="", "", IF(OR(AND(A1713="Listed Equity Shares", I1713&gt;12), AND(A1713="Unlisted Equity Shares", I1713&gt;24)), "Long Term", "Short Term"))</f>
        <v/>
      </c>
      <c r="K1713" s="5">
        <f>IF(J1713="", "", IF(J1713="Long Term", 12.5%,"as per slab"))</f>
        <v/>
      </c>
      <c r="L1713" s="3">
        <f>+IFERROR(IF(J1713="","",H1713*K1713),"as per slab")</f>
        <v/>
      </c>
    </row>
    <row r="1714">
      <c r="A1714" s="7" t="n"/>
      <c r="B1714" s="7" t="n"/>
      <c r="C1714" s="8" t="n"/>
      <c r="D1714" s="9" t="n"/>
      <c r="E1714" s="8" t="n"/>
      <c r="F1714" s="9" t="n"/>
      <c r="G1714" s="9" t="n"/>
      <c r="H1714" s="3">
        <f>IF(AND(D1714&lt;&gt;"",F1714&lt;&gt;""),F1714-D1714-G1714,"")</f>
        <v/>
      </c>
      <c r="I1714" s="14">
        <f>IF(E1714&lt;&gt;"", YEARFRAC(C1714, E1714) * 12, "")</f>
        <v/>
      </c>
      <c r="J1714" s="2">
        <f>IF(I1714="", "", IF(OR(AND(A1714="Listed Equity Shares", I1714&gt;12), AND(A1714="Unlisted Equity Shares", I1714&gt;24)), "Long Term", "Short Term"))</f>
        <v/>
      </c>
      <c r="K1714" s="5">
        <f>IF(J1714="", "", IF(J1714="Long Term", 12.5%,"as per slab"))</f>
        <v/>
      </c>
      <c r="L1714" s="3">
        <f>+IFERROR(IF(J1714="","",H1714*K1714),"as per slab")</f>
        <v/>
      </c>
    </row>
    <row r="1715">
      <c r="A1715" s="7" t="n"/>
      <c r="B1715" s="7" t="n"/>
      <c r="C1715" s="8" t="n"/>
      <c r="D1715" s="9" t="n"/>
      <c r="E1715" s="8" t="n"/>
      <c r="F1715" s="9" t="n"/>
      <c r="G1715" s="9" t="n"/>
      <c r="H1715" s="3">
        <f>IF(AND(D1715&lt;&gt;"",F1715&lt;&gt;""),F1715-D1715-G1715,"")</f>
        <v/>
      </c>
      <c r="I1715" s="14">
        <f>IF(E1715&lt;&gt;"", YEARFRAC(C1715, E1715) * 12, "")</f>
        <v/>
      </c>
      <c r="J1715" s="2">
        <f>IF(I1715="", "", IF(OR(AND(A1715="Listed Equity Shares", I1715&gt;12), AND(A1715="Unlisted Equity Shares", I1715&gt;24)), "Long Term", "Short Term"))</f>
        <v/>
      </c>
      <c r="K1715" s="5">
        <f>IF(J1715="", "", IF(J1715="Long Term", 12.5%,"as per slab"))</f>
        <v/>
      </c>
      <c r="L1715" s="3">
        <f>+IFERROR(IF(J1715="","",H1715*K1715),"as per slab")</f>
        <v/>
      </c>
    </row>
    <row r="1716">
      <c r="A1716" s="7" t="n"/>
      <c r="B1716" s="7" t="n"/>
      <c r="C1716" s="8" t="n"/>
      <c r="D1716" s="9" t="n"/>
      <c r="E1716" s="8" t="n"/>
      <c r="F1716" s="9" t="n"/>
      <c r="G1716" s="9" t="n"/>
      <c r="H1716" s="3">
        <f>IF(AND(D1716&lt;&gt;"",F1716&lt;&gt;""),F1716-D1716-G1716,"")</f>
        <v/>
      </c>
      <c r="I1716" s="14">
        <f>IF(E1716&lt;&gt;"", YEARFRAC(C1716, E1716) * 12, "")</f>
        <v/>
      </c>
      <c r="J1716" s="2">
        <f>IF(I1716="", "", IF(OR(AND(A1716="Listed Equity Shares", I1716&gt;12), AND(A1716="Unlisted Equity Shares", I1716&gt;24)), "Long Term", "Short Term"))</f>
        <v/>
      </c>
      <c r="K1716" s="5">
        <f>IF(J1716="", "", IF(J1716="Long Term", 12.5%,"as per slab"))</f>
        <v/>
      </c>
      <c r="L1716" s="3">
        <f>+IFERROR(IF(J1716="","",H1716*K1716),"as per slab")</f>
        <v/>
      </c>
    </row>
    <row r="1717">
      <c r="A1717" s="7" t="n"/>
      <c r="B1717" s="7" t="n"/>
      <c r="C1717" s="8" t="n"/>
      <c r="D1717" s="9" t="n"/>
      <c r="E1717" s="8" t="n"/>
      <c r="F1717" s="9" t="n"/>
      <c r="G1717" s="9" t="n"/>
      <c r="H1717" s="3">
        <f>IF(AND(D1717&lt;&gt;"",F1717&lt;&gt;""),F1717-D1717-G1717,"")</f>
        <v/>
      </c>
      <c r="I1717" s="14">
        <f>IF(E1717&lt;&gt;"", YEARFRAC(C1717, E1717) * 12, "")</f>
        <v/>
      </c>
      <c r="J1717" s="2">
        <f>IF(I1717="", "", IF(OR(AND(A1717="Listed Equity Shares", I1717&gt;12), AND(A1717="Unlisted Equity Shares", I1717&gt;24)), "Long Term", "Short Term"))</f>
        <v/>
      </c>
      <c r="K1717" s="5">
        <f>IF(J1717="", "", IF(J1717="Long Term", 12.5%,"as per slab"))</f>
        <v/>
      </c>
      <c r="L1717" s="3">
        <f>+IFERROR(IF(J1717="","",H1717*K1717),"as per slab")</f>
        <v/>
      </c>
    </row>
    <row r="1718">
      <c r="A1718" s="7" t="n"/>
      <c r="B1718" s="7" t="n"/>
      <c r="C1718" s="8" t="n"/>
      <c r="D1718" s="9" t="n"/>
      <c r="E1718" s="8" t="n"/>
      <c r="F1718" s="9" t="n"/>
      <c r="G1718" s="9" t="n"/>
      <c r="H1718" s="3">
        <f>IF(AND(D1718&lt;&gt;"",F1718&lt;&gt;""),F1718-D1718-G1718,"")</f>
        <v/>
      </c>
      <c r="I1718" s="14">
        <f>IF(E1718&lt;&gt;"", YEARFRAC(C1718, E1718) * 12, "")</f>
        <v/>
      </c>
      <c r="J1718" s="2">
        <f>IF(I1718="", "", IF(OR(AND(A1718="Listed Equity Shares", I1718&gt;12), AND(A1718="Unlisted Equity Shares", I1718&gt;24)), "Long Term", "Short Term"))</f>
        <v/>
      </c>
      <c r="K1718" s="5">
        <f>IF(J1718="", "", IF(J1718="Long Term", 12.5%,"as per slab"))</f>
        <v/>
      </c>
      <c r="L1718" s="3">
        <f>+IFERROR(IF(J1718="","",H1718*K1718),"as per slab")</f>
        <v/>
      </c>
    </row>
    <row r="1719">
      <c r="A1719" s="7" t="n"/>
      <c r="B1719" s="7" t="n"/>
      <c r="C1719" s="8" t="n"/>
      <c r="D1719" s="9" t="n"/>
      <c r="E1719" s="8" t="n"/>
      <c r="F1719" s="9" t="n"/>
      <c r="G1719" s="9" t="n"/>
      <c r="H1719" s="3">
        <f>IF(AND(D1719&lt;&gt;"",F1719&lt;&gt;""),F1719-D1719-G1719,"")</f>
        <v/>
      </c>
      <c r="I1719" s="14">
        <f>IF(E1719&lt;&gt;"", YEARFRAC(C1719, E1719) * 12, "")</f>
        <v/>
      </c>
      <c r="J1719" s="2">
        <f>IF(I1719="", "", IF(OR(AND(A1719="Listed Equity Shares", I1719&gt;12), AND(A1719="Unlisted Equity Shares", I1719&gt;24)), "Long Term", "Short Term"))</f>
        <v/>
      </c>
      <c r="K1719" s="5">
        <f>IF(J1719="", "", IF(J1719="Long Term", 12.5%,"as per slab"))</f>
        <v/>
      </c>
      <c r="L1719" s="3">
        <f>+IFERROR(IF(J1719="","",H1719*K1719),"as per slab")</f>
        <v/>
      </c>
    </row>
    <row r="1720">
      <c r="A1720" s="7" t="n"/>
      <c r="B1720" s="7" t="n"/>
      <c r="C1720" s="8" t="n"/>
      <c r="D1720" s="9" t="n"/>
      <c r="E1720" s="8" t="n"/>
      <c r="F1720" s="9" t="n"/>
      <c r="G1720" s="9" t="n"/>
      <c r="H1720" s="3">
        <f>IF(AND(D1720&lt;&gt;"",F1720&lt;&gt;""),F1720-D1720-G1720,"")</f>
        <v/>
      </c>
      <c r="I1720" s="14">
        <f>IF(E1720&lt;&gt;"", YEARFRAC(C1720, E1720) * 12, "")</f>
        <v/>
      </c>
      <c r="J1720" s="2">
        <f>IF(I1720="", "", IF(OR(AND(A1720="Listed Equity Shares", I1720&gt;12), AND(A1720="Unlisted Equity Shares", I1720&gt;24)), "Long Term", "Short Term"))</f>
        <v/>
      </c>
      <c r="K1720" s="5">
        <f>IF(J1720="", "", IF(J1720="Long Term", 12.5%,"as per slab"))</f>
        <v/>
      </c>
      <c r="L1720" s="3">
        <f>+IFERROR(IF(J1720="","",H1720*K1720),"as per slab")</f>
        <v/>
      </c>
    </row>
    <row r="1721">
      <c r="A1721" s="7" t="n"/>
      <c r="B1721" s="7" t="n"/>
      <c r="C1721" s="8" t="n"/>
      <c r="D1721" s="9" t="n"/>
      <c r="E1721" s="8" t="n"/>
      <c r="F1721" s="9" t="n"/>
      <c r="G1721" s="9" t="n"/>
      <c r="H1721" s="3">
        <f>IF(AND(D1721&lt;&gt;"",F1721&lt;&gt;""),F1721-D1721-G1721,"")</f>
        <v/>
      </c>
      <c r="I1721" s="14">
        <f>IF(E1721&lt;&gt;"", YEARFRAC(C1721, E1721) * 12, "")</f>
        <v/>
      </c>
      <c r="J1721" s="2">
        <f>IF(I1721="", "", IF(OR(AND(A1721="Listed Equity Shares", I1721&gt;12), AND(A1721="Unlisted Equity Shares", I1721&gt;24)), "Long Term", "Short Term"))</f>
        <v/>
      </c>
      <c r="K1721" s="5">
        <f>IF(J1721="", "", IF(J1721="Long Term", 12.5%,"as per slab"))</f>
        <v/>
      </c>
      <c r="L1721" s="3">
        <f>+IFERROR(IF(J1721="","",H1721*K1721),"as per slab")</f>
        <v/>
      </c>
    </row>
    <row r="1722">
      <c r="A1722" s="7" t="n"/>
      <c r="B1722" s="7" t="n"/>
      <c r="C1722" s="8" t="n"/>
      <c r="D1722" s="9" t="n"/>
      <c r="E1722" s="8" t="n"/>
      <c r="F1722" s="9" t="n"/>
      <c r="G1722" s="9" t="n"/>
      <c r="H1722" s="3">
        <f>IF(AND(D1722&lt;&gt;"",F1722&lt;&gt;""),F1722-D1722-G1722,"")</f>
        <v/>
      </c>
      <c r="I1722" s="14">
        <f>IF(E1722&lt;&gt;"", YEARFRAC(C1722, E1722) * 12, "")</f>
        <v/>
      </c>
      <c r="J1722" s="2">
        <f>IF(I1722="", "", IF(OR(AND(A1722="Listed Equity Shares", I1722&gt;12), AND(A1722="Unlisted Equity Shares", I1722&gt;24)), "Long Term", "Short Term"))</f>
        <v/>
      </c>
      <c r="K1722" s="5">
        <f>IF(J1722="", "", IF(J1722="Long Term", 12.5%,"as per slab"))</f>
        <v/>
      </c>
      <c r="L1722" s="3">
        <f>+IFERROR(IF(J1722="","",H1722*K1722),"as per slab")</f>
        <v/>
      </c>
    </row>
    <row r="1723">
      <c r="A1723" s="7" t="n"/>
      <c r="B1723" s="7" t="n"/>
      <c r="C1723" s="8" t="n"/>
      <c r="D1723" s="9" t="n"/>
      <c r="E1723" s="8" t="n"/>
      <c r="F1723" s="9" t="n"/>
      <c r="G1723" s="9" t="n"/>
      <c r="H1723" s="3">
        <f>IF(AND(D1723&lt;&gt;"",F1723&lt;&gt;""),F1723-D1723-G1723,"")</f>
        <v/>
      </c>
      <c r="I1723" s="14">
        <f>IF(E1723&lt;&gt;"", YEARFRAC(C1723, E1723) * 12, "")</f>
        <v/>
      </c>
      <c r="J1723" s="2">
        <f>IF(I1723="", "", IF(OR(AND(A1723="Listed Equity Shares", I1723&gt;12), AND(A1723="Unlisted Equity Shares", I1723&gt;24)), "Long Term", "Short Term"))</f>
        <v/>
      </c>
      <c r="K1723" s="5">
        <f>IF(J1723="", "", IF(J1723="Long Term", 12.5%,"as per slab"))</f>
        <v/>
      </c>
      <c r="L1723" s="3">
        <f>+IFERROR(IF(J1723="","",H1723*K1723),"as per slab")</f>
        <v/>
      </c>
    </row>
    <row r="1724">
      <c r="A1724" s="7" t="n"/>
      <c r="B1724" s="7" t="n"/>
      <c r="C1724" s="8" t="n"/>
      <c r="D1724" s="9" t="n"/>
      <c r="E1724" s="8" t="n"/>
      <c r="F1724" s="9" t="n"/>
      <c r="G1724" s="9" t="n"/>
      <c r="H1724" s="3">
        <f>IF(AND(D1724&lt;&gt;"",F1724&lt;&gt;""),F1724-D1724-G1724,"")</f>
        <v/>
      </c>
      <c r="I1724" s="14">
        <f>IF(E1724&lt;&gt;"", YEARFRAC(C1724, E1724) * 12, "")</f>
        <v/>
      </c>
      <c r="J1724" s="2">
        <f>IF(I1724="", "", IF(OR(AND(A1724="Listed Equity Shares", I1724&gt;12), AND(A1724="Unlisted Equity Shares", I1724&gt;24)), "Long Term", "Short Term"))</f>
        <v/>
      </c>
      <c r="K1724" s="5">
        <f>IF(J1724="", "", IF(J1724="Long Term", 12.5%,"as per slab"))</f>
        <v/>
      </c>
      <c r="L1724" s="3">
        <f>+IFERROR(IF(J1724="","",H1724*K1724),"as per slab")</f>
        <v/>
      </c>
    </row>
    <row r="1725">
      <c r="A1725" s="7" t="n"/>
      <c r="B1725" s="7" t="n"/>
      <c r="C1725" s="8" t="n"/>
      <c r="D1725" s="9" t="n"/>
      <c r="E1725" s="8" t="n"/>
      <c r="F1725" s="9" t="n"/>
      <c r="G1725" s="9" t="n"/>
      <c r="H1725" s="3">
        <f>IF(AND(D1725&lt;&gt;"",F1725&lt;&gt;""),F1725-D1725-G1725,"")</f>
        <v/>
      </c>
      <c r="I1725" s="14">
        <f>IF(E1725&lt;&gt;"", YEARFRAC(C1725, E1725) * 12, "")</f>
        <v/>
      </c>
      <c r="J1725" s="2">
        <f>IF(I1725="", "", IF(OR(AND(A1725="Listed Equity Shares", I1725&gt;12), AND(A1725="Unlisted Equity Shares", I1725&gt;24)), "Long Term", "Short Term"))</f>
        <v/>
      </c>
      <c r="K1725" s="5">
        <f>IF(J1725="", "", IF(J1725="Long Term", 12.5%,"as per slab"))</f>
        <v/>
      </c>
      <c r="L1725" s="3">
        <f>+IFERROR(IF(J1725="","",H1725*K1725),"as per slab")</f>
        <v/>
      </c>
    </row>
    <row r="1726">
      <c r="A1726" s="7" t="n"/>
      <c r="B1726" s="7" t="n"/>
      <c r="C1726" s="8" t="n"/>
      <c r="D1726" s="9" t="n"/>
      <c r="E1726" s="8" t="n"/>
      <c r="F1726" s="9" t="n"/>
      <c r="G1726" s="9" t="n"/>
      <c r="H1726" s="3">
        <f>IF(AND(D1726&lt;&gt;"",F1726&lt;&gt;""),F1726-D1726-G1726,"")</f>
        <v/>
      </c>
      <c r="I1726" s="14">
        <f>IF(E1726&lt;&gt;"", YEARFRAC(C1726, E1726) * 12, "")</f>
        <v/>
      </c>
      <c r="J1726" s="2">
        <f>IF(I1726="", "", IF(OR(AND(A1726="Listed Equity Shares", I1726&gt;12), AND(A1726="Unlisted Equity Shares", I1726&gt;24)), "Long Term", "Short Term"))</f>
        <v/>
      </c>
      <c r="K1726" s="5">
        <f>IF(J1726="", "", IF(J1726="Long Term", 12.5%,"as per slab"))</f>
        <v/>
      </c>
      <c r="L1726" s="3">
        <f>+IFERROR(IF(J1726="","",H1726*K1726),"as per slab")</f>
        <v/>
      </c>
    </row>
    <row r="1727">
      <c r="A1727" s="7" t="n"/>
      <c r="B1727" s="7" t="n"/>
      <c r="C1727" s="8" t="n"/>
      <c r="D1727" s="9" t="n"/>
      <c r="E1727" s="8" t="n"/>
      <c r="F1727" s="9" t="n"/>
      <c r="G1727" s="9" t="n"/>
      <c r="H1727" s="3">
        <f>IF(AND(D1727&lt;&gt;"",F1727&lt;&gt;""),F1727-D1727-G1727,"")</f>
        <v/>
      </c>
      <c r="I1727" s="14">
        <f>IF(E1727&lt;&gt;"", YEARFRAC(C1727, E1727) * 12, "")</f>
        <v/>
      </c>
      <c r="J1727" s="2">
        <f>IF(I1727="", "", IF(OR(AND(A1727="Listed Equity Shares", I1727&gt;12), AND(A1727="Unlisted Equity Shares", I1727&gt;24)), "Long Term", "Short Term"))</f>
        <v/>
      </c>
      <c r="K1727" s="5">
        <f>IF(J1727="", "", IF(J1727="Long Term", 12.5%,"as per slab"))</f>
        <v/>
      </c>
      <c r="L1727" s="3">
        <f>+IFERROR(IF(J1727="","",H1727*K1727),"as per slab")</f>
        <v/>
      </c>
    </row>
    <row r="1728">
      <c r="A1728" s="7" t="n"/>
      <c r="B1728" s="7" t="n"/>
      <c r="C1728" s="8" t="n"/>
      <c r="D1728" s="9" t="n"/>
      <c r="E1728" s="8" t="n"/>
      <c r="F1728" s="9" t="n"/>
      <c r="G1728" s="9" t="n"/>
      <c r="H1728" s="3">
        <f>IF(AND(D1728&lt;&gt;"",F1728&lt;&gt;""),F1728-D1728-G1728,"")</f>
        <v/>
      </c>
      <c r="I1728" s="14">
        <f>IF(E1728&lt;&gt;"", YEARFRAC(C1728, E1728) * 12, "")</f>
        <v/>
      </c>
      <c r="J1728" s="2">
        <f>IF(I1728="", "", IF(OR(AND(A1728="Listed Equity Shares", I1728&gt;12), AND(A1728="Unlisted Equity Shares", I1728&gt;24)), "Long Term", "Short Term"))</f>
        <v/>
      </c>
      <c r="K1728" s="5">
        <f>IF(J1728="", "", IF(J1728="Long Term", 12.5%,"as per slab"))</f>
        <v/>
      </c>
      <c r="L1728" s="3">
        <f>+IFERROR(IF(J1728="","",H1728*K1728),"as per slab")</f>
        <v/>
      </c>
    </row>
    <row r="1729">
      <c r="A1729" s="7" t="n"/>
      <c r="B1729" s="7" t="n"/>
      <c r="C1729" s="8" t="n"/>
      <c r="D1729" s="9" t="n"/>
      <c r="E1729" s="8" t="n"/>
      <c r="F1729" s="9" t="n"/>
      <c r="G1729" s="9" t="n"/>
      <c r="H1729" s="3">
        <f>IF(AND(D1729&lt;&gt;"",F1729&lt;&gt;""),F1729-D1729-G1729,"")</f>
        <v/>
      </c>
      <c r="I1729" s="14">
        <f>IF(E1729&lt;&gt;"", YEARFRAC(C1729, E1729) * 12, "")</f>
        <v/>
      </c>
      <c r="J1729" s="2">
        <f>IF(I1729="", "", IF(OR(AND(A1729="Listed Equity Shares", I1729&gt;12), AND(A1729="Unlisted Equity Shares", I1729&gt;24)), "Long Term", "Short Term"))</f>
        <v/>
      </c>
      <c r="K1729" s="5">
        <f>IF(J1729="", "", IF(J1729="Long Term", 12.5%,"as per slab"))</f>
        <v/>
      </c>
      <c r="L1729" s="3">
        <f>+IFERROR(IF(J1729="","",H1729*K1729),"as per slab")</f>
        <v/>
      </c>
    </row>
    <row r="1730">
      <c r="A1730" s="7" t="n"/>
      <c r="B1730" s="7" t="n"/>
      <c r="C1730" s="8" t="n"/>
      <c r="D1730" s="9" t="n"/>
      <c r="E1730" s="8" t="n"/>
      <c r="F1730" s="9" t="n"/>
      <c r="G1730" s="9" t="n"/>
      <c r="H1730" s="3">
        <f>IF(AND(D1730&lt;&gt;"",F1730&lt;&gt;""),F1730-D1730-G1730,"")</f>
        <v/>
      </c>
      <c r="I1730" s="14">
        <f>IF(E1730&lt;&gt;"", YEARFRAC(C1730, E1730) * 12, "")</f>
        <v/>
      </c>
      <c r="J1730" s="2">
        <f>IF(I1730="", "", IF(OR(AND(A1730="Listed Equity Shares", I1730&gt;12), AND(A1730="Unlisted Equity Shares", I1730&gt;24)), "Long Term", "Short Term"))</f>
        <v/>
      </c>
      <c r="K1730" s="5">
        <f>IF(J1730="", "", IF(J1730="Long Term", 12.5%,"as per slab"))</f>
        <v/>
      </c>
      <c r="L1730" s="3">
        <f>+IFERROR(IF(J1730="","",H1730*K1730),"as per slab")</f>
        <v/>
      </c>
    </row>
    <row r="1731">
      <c r="A1731" s="7" t="n"/>
      <c r="B1731" s="7" t="n"/>
      <c r="C1731" s="8" t="n"/>
      <c r="D1731" s="9" t="n"/>
      <c r="E1731" s="8" t="n"/>
      <c r="F1731" s="9" t="n"/>
      <c r="G1731" s="9" t="n"/>
      <c r="H1731" s="3">
        <f>IF(AND(D1731&lt;&gt;"",F1731&lt;&gt;""),F1731-D1731-G1731,"")</f>
        <v/>
      </c>
      <c r="I1731" s="14">
        <f>IF(E1731&lt;&gt;"", YEARFRAC(C1731, E1731) * 12, "")</f>
        <v/>
      </c>
      <c r="J1731" s="2">
        <f>IF(I1731="", "", IF(OR(AND(A1731="Listed Equity Shares", I1731&gt;12), AND(A1731="Unlisted Equity Shares", I1731&gt;24)), "Long Term", "Short Term"))</f>
        <v/>
      </c>
      <c r="K1731" s="5">
        <f>IF(J1731="", "", IF(J1731="Long Term", 12.5%,"as per slab"))</f>
        <v/>
      </c>
      <c r="L1731" s="3">
        <f>+IFERROR(IF(J1731="","",H1731*K1731),"as per slab")</f>
        <v/>
      </c>
    </row>
    <row r="1732">
      <c r="A1732" s="7" t="n"/>
      <c r="B1732" s="7" t="n"/>
      <c r="C1732" s="8" t="n"/>
      <c r="D1732" s="9" t="n"/>
      <c r="E1732" s="8" t="n"/>
      <c r="F1732" s="9" t="n"/>
      <c r="G1732" s="9" t="n"/>
      <c r="H1732" s="3">
        <f>IF(AND(D1732&lt;&gt;"",F1732&lt;&gt;""),F1732-D1732-G1732,"")</f>
        <v/>
      </c>
      <c r="I1732" s="14">
        <f>IF(E1732&lt;&gt;"", YEARFRAC(C1732, E1732) * 12, "")</f>
        <v/>
      </c>
      <c r="J1732" s="2">
        <f>IF(I1732="", "", IF(OR(AND(A1732="Listed Equity Shares", I1732&gt;12), AND(A1732="Unlisted Equity Shares", I1732&gt;24)), "Long Term", "Short Term"))</f>
        <v/>
      </c>
      <c r="K1732" s="5">
        <f>IF(J1732="", "", IF(J1732="Long Term", 12.5%,"as per slab"))</f>
        <v/>
      </c>
      <c r="L1732" s="3">
        <f>+IFERROR(IF(J1732="","",H1732*K1732),"as per slab")</f>
        <v/>
      </c>
    </row>
    <row r="1733">
      <c r="A1733" s="7" t="n"/>
      <c r="B1733" s="7" t="n"/>
      <c r="C1733" s="8" t="n"/>
      <c r="D1733" s="9" t="n"/>
      <c r="E1733" s="8" t="n"/>
      <c r="F1733" s="9" t="n"/>
      <c r="G1733" s="9" t="n"/>
      <c r="H1733" s="3">
        <f>IF(AND(D1733&lt;&gt;"",F1733&lt;&gt;""),F1733-D1733-G1733,"")</f>
        <v/>
      </c>
      <c r="I1733" s="14">
        <f>IF(E1733&lt;&gt;"", YEARFRAC(C1733, E1733) * 12, "")</f>
        <v/>
      </c>
      <c r="J1733" s="2">
        <f>IF(I1733="", "", IF(OR(AND(A1733="Listed Equity Shares", I1733&gt;12), AND(A1733="Unlisted Equity Shares", I1733&gt;24)), "Long Term", "Short Term"))</f>
        <v/>
      </c>
      <c r="K1733" s="5">
        <f>IF(J1733="", "", IF(J1733="Long Term", 12.5%,"as per slab"))</f>
        <v/>
      </c>
      <c r="L1733" s="3">
        <f>+IFERROR(IF(J1733="","",H1733*K1733),"as per slab")</f>
        <v/>
      </c>
    </row>
    <row r="1734">
      <c r="A1734" s="7" t="n"/>
      <c r="B1734" s="7" t="n"/>
      <c r="C1734" s="8" t="n"/>
      <c r="D1734" s="9" t="n"/>
      <c r="E1734" s="8" t="n"/>
      <c r="F1734" s="9" t="n"/>
      <c r="G1734" s="9" t="n"/>
      <c r="H1734" s="3">
        <f>IF(AND(D1734&lt;&gt;"",F1734&lt;&gt;""),F1734-D1734-G1734,"")</f>
        <v/>
      </c>
      <c r="I1734" s="14">
        <f>IF(E1734&lt;&gt;"", YEARFRAC(C1734, E1734) * 12, "")</f>
        <v/>
      </c>
      <c r="J1734" s="2">
        <f>IF(I1734="", "", IF(OR(AND(A1734="Listed Equity Shares", I1734&gt;12), AND(A1734="Unlisted Equity Shares", I1734&gt;24)), "Long Term", "Short Term"))</f>
        <v/>
      </c>
      <c r="K1734" s="5">
        <f>IF(J1734="", "", IF(J1734="Long Term", 12.5%,"as per slab"))</f>
        <v/>
      </c>
      <c r="L1734" s="3">
        <f>+IFERROR(IF(J1734="","",H1734*K1734),"as per slab")</f>
        <v/>
      </c>
    </row>
    <row r="1735">
      <c r="A1735" s="7" t="n"/>
      <c r="B1735" s="7" t="n"/>
      <c r="C1735" s="8" t="n"/>
      <c r="D1735" s="9" t="n"/>
      <c r="E1735" s="8" t="n"/>
      <c r="F1735" s="9" t="n"/>
      <c r="G1735" s="9" t="n"/>
      <c r="H1735" s="3">
        <f>IF(AND(D1735&lt;&gt;"",F1735&lt;&gt;""),F1735-D1735-G1735,"")</f>
        <v/>
      </c>
      <c r="I1735" s="14">
        <f>IF(E1735&lt;&gt;"", YEARFRAC(C1735, E1735) * 12, "")</f>
        <v/>
      </c>
      <c r="J1735" s="2">
        <f>IF(I1735="", "", IF(OR(AND(A1735="Listed Equity Shares", I1735&gt;12), AND(A1735="Unlisted Equity Shares", I1735&gt;24)), "Long Term", "Short Term"))</f>
        <v/>
      </c>
      <c r="K1735" s="5">
        <f>IF(J1735="", "", IF(J1735="Long Term", 12.5%,"as per slab"))</f>
        <v/>
      </c>
      <c r="L1735" s="3">
        <f>+IFERROR(IF(J1735="","",H1735*K1735),"as per slab")</f>
        <v/>
      </c>
    </row>
    <row r="1736">
      <c r="A1736" s="7" t="n"/>
      <c r="B1736" s="7" t="n"/>
      <c r="C1736" s="8" t="n"/>
      <c r="D1736" s="9" t="n"/>
      <c r="E1736" s="8" t="n"/>
      <c r="F1736" s="9" t="n"/>
      <c r="G1736" s="9" t="n"/>
      <c r="H1736" s="3">
        <f>IF(AND(D1736&lt;&gt;"",F1736&lt;&gt;""),F1736-D1736-G1736,"")</f>
        <v/>
      </c>
      <c r="I1736" s="14">
        <f>IF(E1736&lt;&gt;"", YEARFRAC(C1736, E1736) * 12, "")</f>
        <v/>
      </c>
      <c r="J1736" s="2">
        <f>IF(I1736="", "", IF(OR(AND(A1736="Listed Equity Shares", I1736&gt;12), AND(A1736="Unlisted Equity Shares", I1736&gt;24)), "Long Term", "Short Term"))</f>
        <v/>
      </c>
      <c r="K1736" s="5">
        <f>IF(J1736="", "", IF(J1736="Long Term", 12.5%,"as per slab"))</f>
        <v/>
      </c>
      <c r="L1736" s="3">
        <f>+IFERROR(IF(J1736="","",H1736*K1736),"as per slab")</f>
        <v/>
      </c>
    </row>
    <row r="1737">
      <c r="A1737" s="7" t="n"/>
      <c r="B1737" s="7" t="n"/>
      <c r="C1737" s="8" t="n"/>
      <c r="D1737" s="9" t="n"/>
      <c r="E1737" s="8" t="n"/>
      <c r="F1737" s="9" t="n"/>
      <c r="G1737" s="9" t="n"/>
      <c r="H1737" s="3">
        <f>IF(AND(D1737&lt;&gt;"",F1737&lt;&gt;""),F1737-D1737-G1737,"")</f>
        <v/>
      </c>
      <c r="I1737" s="14">
        <f>IF(E1737&lt;&gt;"", YEARFRAC(C1737, E1737) * 12, "")</f>
        <v/>
      </c>
      <c r="J1737" s="2">
        <f>IF(I1737="", "", IF(OR(AND(A1737="Listed Equity Shares", I1737&gt;12), AND(A1737="Unlisted Equity Shares", I1737&gt;24)), "Long Term", "Short Term"))</f>
        <v/>
      </c>
      <c r="K1737" s="5">
        <f>IF(J1737="", "", IF(J1737="Long Term", 12.5%,"as per slab"))</f>
        <v/>
      </c>
      <c r="L1737" s="3">
        <f>+IFERROR(IF(J1737="","",H1737*K1737),"as per slab")</f>
        <v/>
      </c>
    </row>
    <row r="1738">
      <c r="A1738" s="7" t="n"/>
      <c r="B1738" s="7" t="n"/>
      <c r="C1738" s="8" t="n"/>
      <c r="D1738" s="9" t="n"/>
      <c r="E1738" s="8" t="n"/>
      <c r="F1738" s="9" t="n"/>
      <c r="G1738" s="9" t="n"/>
      <c r="H1738" s="3">
        <f>IF(AND(D1738&lt;&gt;"",F1738&lt;&gt;""),F1738-D1738-G1738,"")</f>
        <v/>
      </c>
      <c r="I1738" s="14">
        <f>IF(E1738&lt;&gt;"", YEARFRAC(C1738, E1738) * 12, "")</f>
        <v/>
      </c>
      <c r="J1738" s="2">
        <f>IF(I1738="", "", IF(OR(AND(A1738="Listed Equity Shares", I1738&gt;12), AND(A1738="Unlisted Equity Shares", I1738&gt;24)), "Long Term", "Short Term"))</f>
        <v/>
      </c>
      <c r="K1738" s="5">
        <f>IF(J1738="", "", IF(J1738="Long Term", 12.5%,"as per slab"))</f>
        <v/>
      </c>
      <c r="L1738" s="3">
        <f>+IFERROR(IF(J1738="","",H1738*K1738),"as per slab")</f>
        <v/>
      </c>
    </row>
    <row r="1739">
      <c r="A1739" s="7" t="n"/>
      <c r="B1739" s="7" t="n"/>
      <c r="C1739" s="8" t="n"/>
      <c r="D1739" s="9" t="n"/>
      <c r="E1739" s="8" t="n"/>
      <c r="F1739" s="9" t="n"/>
      <c r="G1739" s="9" t="n"/>
      <c r="H1739" s="3">
        <f>IF(AND(D1739&lt;&gt;"",F1739&lt;&gt;""),F1739-D1739-G1739,"")</f>
        <v/>
      </c>
      <c r="I1739" s="14">
        <f>IF(E1739&lt;&gt;"", YEARFRAC(C1739, E1739) * 12, "")</f>
        <v/>
      </c>
      <c r="J1739" s="2">
        <f>IF(I1739="", "", IF(OR(AND(A1739="Listed Equity Shares", I1739&gt;12), AND(A1739="Unlisted Equity Shares", I1739&gt;24)), "Long Term", "Short Term"))</f>
        <v/>
      </c>
      <c r="K1739" s="5">
        <f>IF(J1739="", "", IF(J1739="Long Term", 12.5%,"as per slab"))</f>
        <v/>
      </c>
      <c r="L1739" s="3">
        <f>+IFERROR(IF(J1739="","",H1739*K1739),"as per slab")</f>
        <v/>
      </c>
    </row>
    <row r="1740">
      <c r="A1740" s="7" t="n"/>
      <c r="B1740" s="7" t="n"/>
      <c r="C1740" s="8" t="n"/>
      <c r="D1740" s="9" t="n"/>
      <c r="E1740" s="8" t="n"/>
      <c r="F1740" s="9" t="n"/>
      <c r="G1740" s="9" t="n"/>
      <c r="H1740" s="3">
        <f>IF(AND(D1740&lt;&gt;"",F1740&lt;&gt;""),F1740-D1740-G1740,"")</f>
        <v/>
      </c>
      <c r="I1740" s="14">
        <f>IF(E1740&lt;&gt;"", YEARFRAC(C1740, E1740) * 12, "")</f>
        <v/>
      </c>
      <c r="J1740" s="2">
        <f>IF(I1740="", "", IF(OR(AND(A1740="Listed Equity Shares", I1740&gt;12), AND(A1740="Unlisted Equity Shares", I1740&gt;24)), "Long Term", "Short Term"))</f>
        <v/>
      </c>
      <c r="K1740" s="5">
        <f>IF(J1740="", "", IF(J1740="Long Term", 12.5%,"as per slab"))</f>
        <v/>
      </c>
      <c r="L1740" s="3">
        <f>+IFERROR(IF(J1740="","",H1740*K1740),"as per slab")</f>
        <v/>
      </c>
    </row>
    <row r="1741">
      <c r="A1741" s="7" t="n"/>
      <c r="B1741" s="7" t="n"/>
      <c r="C1741" s="8" t="n"/>
      <c r="D1741" s="9" t="n"/>
      <c r="E1741" s="8" t="n"/>
      <c r="F1741" s="9" t="n"/>
      <c r="G1741" s="9" t="n"/>
      <c r="H1741" s="3">
        <f>IF(AND(D1741&lt;&gt;"",F1741&lt;&gt;""),F1741-D1741-G1741,"")</f>
        <v/>
      </c>
      <c r="I1741" s="14">
        <f>IF(E1741&lt;&gt;"", YEARFRAC(C1741, E1741) * 12, "")</f>
        <v/>
      </c>
      <c r="J1741" s="2">
        <f>IF(I1741="", "", IF(OR(AND(A1741="Listed Equity Shares", I1741&gt;12), AND(A1741="Unlisted Equity Shares", I1741&gt;24)), "Long Term", "Short Term"))</f>
        <v/>
      </c>
      <c r="K1741" s="5">
        <f>IF(J1741="", "", IF(J1741="Long Term", 12.5%,"as per slab"))</f>
        <v/>
      </c>
      <c r="L1741" s="3">
        <f>+IFERROR(IF(J1741="","",H1741*K1741),"as per slab")</f>
        <v/>
      </c>
    </row>
    <row r="1742">
      <c r="A1742" s="7" t="n"/>
      <c r="B1742" s="7" t="n"/>
      <c r="C1742" s="8" t="n"/>
      <c r="D1742" s="9" t="n"/>
      <c r="E1742" s="8" t="n"/>
      <c r="F1742" s="9" t="n"/>
      <c r="G1742" s="9" t="n"/>
      <c r="H1742" s="3">
        <f>IF(AND(D1742&lt;&gt;"",F1742&lt;&gt;""),F1742-D1742-G1742,"")</f>
        <v/>
      </c>
      <c r="I1742" s="14">
        <f>IF(E1742&lt;&gt;"", YEARFRAC(C1742, E1742) * 12, "")</f>
        <v/>
      </c>
      <c r="J1742" s="2">
        <f>IF(I1742="", "", IF(OR(AND(A1742="Listed Equity Shares", I1742&gt;12), AND(A1742="Unlisted Equity Shares", I1742&gt;24)), "Long Term", "Short Term"))</f>
        <v/>
      </c>
      <c r="K1742" s="5">
        <f>IF(J1742="", "", IF(J1742="Long Term", 12.5%,"as per slab"))</f>
        <v/>
      </c>
      <c r="L1742" s="3">
        <f>+IFERROR(IF(J1742="","",H1742*K1742),"as per slab")</f>
        <v/>
      </c>
    </row>
    <row r="1743">
      <c r="A1743" s="7" t="n"/>
      <c r="B1743" s="7" t="n"/>
      <c r="C1743" s="8" t="n"/>
      <c r="D1743" s="9" t="n"/>
      <c r="E1743" s="8" t="n"/>
      <c r="F1743" s="9" t="n"/>
      <c r="G1743" s="9" t="n"/>
      <c r="H1743" s="3">
        <f>IF(AND(D1743&lt;&gt;"",F1743&lt;&gt;""),F1743-D1743-G1743,"")</f>
        <v/>
      </c>
      <c r="I1743" s="14">
        <f>IF(E1743&lt;&gt;"", YEARFRAC(C1743, E1743) * 12, "")</f>
        <v/>
      </c>
      <c r="J1743" s="2">
        <f>IF(I1743="", "", IF(OR(AND(A1743="Listed Equity Shares", I1743&gt;12), AND(A1743="Unlisted Equity Shares", I1743&gt;24)), "Long Term", "Short Term"))</f>
        <v/>
      </c>
      <c r="K1743" s="5">
        <f>IF(J1743="", "", IF(J1743="Long Term", 12.5%,"as per slab"))</f>
        <v/>
      </c>
      <c r="L1743" s="3">
        <f>+IFERROR(IF(J1743="","",H1743*K1743),"as per slab")</f>
        <v/>
      </c>
    </row>
    <row r="1744">
      <c r="A1744" s="7" t="n"/>
      <c r="B1744" s="7" t="n"/>
      <c r="C1744" s="8" t="n"/>
      <c r="D1744" s="9" t="n"/>
      <c r="E1744" s="8" t="n"/>
      <c r="F1744" s="9" t="n"/>
      <c r="G1744" s="9" t="n"/>
      <c r="H1744" s="3">
        <f>IF(AND(D1744&lt;&gt;"",F1744&lt;&gt;""),F1744-D1744-G1744,"")</f>
        <v/>
      </c>
      <c r="I1744" s="14">
        <f>IF(E1744&lt;&gt;"", YEARFRAC(C1744, E1744) * 12, "")</f>
        <v/>
      </c>
      <c r="J1744" s="2">
        <f>IF(I1744="", "", IF(OR(AND(A1744="Listed Equity Shares", I1744&gt;12), AND(A1744="Unlisted Equity Shares", I1744&gt;24)), "Long Term", "Short Term"))</f>
        <v/>
      </c>
      <c r="K1744" s="5">
        <f>IF(J1744="", "", IF(J1744="Long Term", 12.5%,"as per slab"))</f>
        <v/>
      </c>
      <c r="L1744" s="3">
        <f>+IFERROR(IF(J1744="","",H1744*K1744),"as per slab")</f>
        <v/>
      </c>
    </row>
    <row r="1745">
      <c r="A1745" s="7" t="n"/>
      <c r="B1745" s="7" t="n"/>
      <c r="C1745" s="8" t="n"/>
      <c r="D1745" s="9" t="n"/>
      <c r="E1745" s="8" t="n"/>
      <c r="F1745" s="9" t="n"/>
      <c r="G1745" s="9" t="n"/>
      <c r="H1745" s="3">
        <f>IF(AND(D1745&lt;&gt;"",F1745&lt;&gt;""),F1745-D1745-G1745,"")</f>
        <v/>
      </c>
      <c r="I1745" s="14">
        <f>IF(E1745&lt;&gt;"", YEARFRAC(C1745, E1745) * 12, "")</f>
        <v/>
      </c>
      <c r="J1745" s="2">
        <f>IF(I1745="", "", IF(OR(AND(A1745="Listed Equity Shares", I1745&gt;12), AND(A1745="Unlisted Equity Shares", I1745&gt;24)), "Long Term", "Short Term"))</f>
        <v/>
      </c>
      <c r="K1745" s="5">
        <f>IF(J1745="", "", IF(J1745="Long Term", 12.5%,"as per slab"))</f>
        <v/>
      </c>
      <c r="L1745" s="3">
        <f>+IFERROR(IF(J1745="","",H1745*K1745),"as per slab")</f>
        <v/>
      </c>
    </row>
    <row r="1746">
      <c r="A1746" s="7" t="n"/>
      <c r="B1746" s="7" t="n"/>
      <c r="C1746" s="8" t="n"/>
      <c r="D1746" s="9" t="n"/>
      <c r="E1746" s="8" t="n"/>
      <c r="F1746" s="9" t="n"/>
      <c r="G1746" s="9" t="n"/>
      <c r="H1746" s="3">
        <f>IF(AND(D1746&lt;&gt;"",F1746&lt;&gt;""),F1746-D1746-G1746,"")</f>
        <v/>
      </c>
      <c r="I1746" s="14">
        <f>IF(E1746&lt;&gt;"", YEARFRAC(C1746, E1746) * 12, "")</f>
        <v/>
      </c>
      <c r="J1746" s="2">
        <f>IF(I1746="", "", IF(OR(AND(A1746="Listed Equity Shares", I1746&gt;12), AND(A1746="Unlisted Equity Shares", I1746&gt;24)), "Long Term", "Short Term"))</f>
        <v/>
      </c>
      <c r="K1746" s="5">
        <f>IF(J1746="", "", IF(J1746="Long Term", 12.5%,"as per slab"))</f>
        <v/>
      </c>
      <c r="L1746" s="3">
        <f>+IFERROR(IF(J1746="","",H1746*K1746),"as per slab")</f>
        <v/>
      </c>
    </row>
    <row r="1747">
      <c r="A1747" s="7" t="n"/>
      <c r="B1747" s="7" t="n"/>
      <c r="C1747" s="8" t="n"/>
      <c r="D1747" s="9" t="n"/>
      <c r="E1747" s="8" t="n"/>
      <c r="F1747" s="9" t="n"/>
      <c r="G1747" s="9" t="n"/>
      <c r="H1747" s="3">
        <f>IF(AND(D1747&lt;&gt;"",F1747&lt;&gt;""),F1747-D1747-G1747,"")</f>
        <v/>
      </c>
      <c r="I1747" s="14">
        <f>IF(E1747&lt;&gt;"", YEARFRAC(C1747, E1747) * 12, "")</f>
        <v/>
      </c>
      <c r="J1747" s="2">
        <f>IF(I1747="", "", IF(OR(AND(A1747="Listed Equity Shares", I1747&gt;12), AND(A1747="Unlisted Equity Shares", I1747&gt;24)), "Long Term", "Short Term"))</f>
        <v/>
      </c>
      <c r="K1747" s="5">
        <f>IF(J1747="", "", IF(J1747="Long Term", 12.5%,"as per slab"))</f>
        <v/>
      </c>
      <c r="L1747" s="3">
        <f>+IFERROR(IF(J1747="","",H1747*K1747),"as per slab")</f>
        <v/>
      </c>
    </row>
    <row r="1748">
      <c r="A1748" s="7" t="n"/>
      <c r="B1748" s="7" t="n"/>
      <c r="C1748" s="8" t="n"/>
      <c r="D1748" s="9" t="n"/>
      <c r="E1748" s="8" t="n"/>
      <c r="F1748" s="9" t="n"/>
      <c r="G1748" s="9" t="n"/>
      <c r="H1748" s="3">
        <f>IF(AND(D1748&lt;&gt;"",F1748&lt;&gt;""),F1748-D1748-G1748,"")</f>
        <v/>
      </c>
      <c r="I1748" s="14">
        <f>IF(E1748&lt;&gt;"", YEARFRAC(C1748, E1748) * 12, "")</f>
        <v/>
      </c>
      <c r="J1748" s="2">
        <f>IF(I1748="", "", IF(OR(AND(A1748="Listed Equity Shares", I1748&gt;12), AND(A1748="Unlisted Equity Shares", I1748&gt;24)), "Long Term", "Short Term"))</f>
        <v/>
      </c>
      <c r="K1748" s="5">
        <f>IF(J1748="", "", IF(J1748="Long Term", 12.5%,"as per slab"))</f>
        <v/>
      </c>
      <c r="L1748" s="3">
        <f>+IFERROR(IF(J1748="","",H1748*K1748),"as per slab")</f>
        <v/>
      </c>
    </row>
    <row r="1749">
      <c r="A1749" s="7" t="n"/>
      <c r="B1749" s="7" t="n"/>
      <c r="C1749" s="8" t="n"/>
      <c r="D1749" s="9" t="n"/>
      <c r="E1749" s="8" t="n"/>
      <c r="F1749" s="9" t="n"/>
      <c r="G1749" s="9" t="n"/>
      <c r="H1749" s="3">
        <f>IF(AND(D1749&lt;&gt;"",F1749&lt;&gt;""),F1749-D1749-G1749,"")</f>
        <v/>
      </c>
      <c r="I1749" s="14">
        <f>IF(E1749&lt;&gt;"", YEARFRAC(C1749, E1749) * 12, "")</f>
        <v/>
      </c>
      <c r="J1749" s="2">
        <f>IF(I1749="", "", IF(OR(AND(A1749="Listed Equity Shares", I1749&gt;12), AND(A1749="Unlisted Equity Shares", I1749&gt;24)), "Long Term", "Short Term"))</f>
        <v/>
      </c>
      <c r="K1749" s="5">
        <f>IF(J1749="", "", IF(J1749="Long Term", 12.5%,"as per slab"))</f>
        <v/>
      </c>
      <c r="L1749" s="3">
        <f>+IFERROR(IF(J1749="","",H1749*K1749),"as per slab")</f>
        <v/>
      </c>
    </row>
    <row r="1750">
      <c r="A1750" s="7" t="n"/>
      <c r="B1750" s="7" t="n"/>
      <c r="C1750" s="8" t="n"/>
      <c r="D1750" s="9" t="n"/>
      <c r="E1750" s="8" t="n"/>
      <c r="F1750" s="9" t="n"/>
      <c r="G1750" s="9" t="n"/>
      <c r="H1750" s="3">
        <f>IF(AND(D1750&lt;&gt;"",F1750&lt;&gt;""),F1750-D1750-G1750,"")</f>
        <v/>
      </c>
      <c r="I1750" s="14">
        <f>IF(E1750&lt;&gt;"", YEARFRAC(C1750, E1750) * 12, "")</f>
        <v/>
      </c>
      <c r="J1750" s="2">
        <f>IF(I1750="", "", IF(OR(AND(A1750="Listed Equity Shares", I1750&gt;12), AND(A1750="Unlisted Equity Shares", I1750&gt;24)), "Long Term", "Short Term"))</f>
        <v/>
      </c>
      <c r="K1750" s="5">
        <f>IF(J1750="", "", IF(J1750="Long Term", 12.5%,"as per slab"))</f>
        <v/>
      </c>
      <c r="L1750" s="3">
        <f>+IFERROR(IF(J1750="","",H1750*K1750),"as per slab")</f>
        <v/>
      </c>
    </row>
    <row r="1751">
      <c r="A1751" s="7" t="n"/>
      <c r="B1751" s="7" t="n"/>
      <c r="C1751" s="8" t="n"/>
      <c r="D1751" s="9" t="n"/>
      <c r="E1751" s="8" t="n"/>
      <c r="F1751" s="9" t="n"/>
      <c r="G1751" s="9" t="n"/>
      <c r="H1751" s="3">
        <f>IF(AND(D1751&lt;&gt;"",F1751&lt;&gt;""),F1751-D1751-G1751,"")</f>
        <v/>
      </c>
      <c r="I1751" s="14">
        <f>IF(E1751&lt;&gt;"", YEARFRAC(C1751, E1751) * 12, "")</f>
        <v/>
      </c>
      <c r="J1751" s="2">
        <f>IF(I1751="", "", IF(OR(AND(A1751="Listed Equity Shares", I1751&gt;12), AND(A1751="Unlisted Equity Shares", I1751&gt;24)), "Long Term", "Short Term"))</f>
        <v/>
      </c>
      <c r="K1751" s="5">
        <f>IF(J1751="", "", IF(J1751="Long Term", 12.5%,"as per slab"))</f>
        <v/>
      </c>
      <c r="L1751" s="3">
        <f>+IFERROR(IF(J1751="","",H1751*K1751),"as per slab")</f>
        <v/>
      </c>
    </row>
    <row r="1752">
      <c r="A1752" s="7" t="n"/>
      <c r="B1752" s="7" t="n"/>
      <c r="C1752" s="8" t="n"/>
      <c r="D1752" s="9" t="n"/>
      <c r="E1752" s="8" t="n"/>
      <c r="F1752" s="9" t="n"/>
      <c r="G1752" s="9" t="n"/>
      <c r="H1752" s="3">
        <f>IF(AND(D1752&lt;&gt;"",F1752&lt;&gt;""),F1752-D1752-G1752,"")</f>
        <v/>
      </c>
      <c r="I1752" s="14">
        <f>IF(E1752&lt;&gt;"", YEARFRAC(C1752, E1752) * 12, "")</f>
        <v/>
      </c>
      <c r="J1752" s="2">
        <f>IF(I1752="", "", IF(OR(AND(A1752="Listed Equity Shares", I1752&gt;12), AND(A1752="Unlisted Equity Shares", I1752&gt;24)), "Long Term", "Short Term"))</f>
        <v/>
      </c>
      <c r="K1752" s="5">
        <f>IF(J1752="", "", IF(J1752="Long Term", 12.5%,"as per slab"))</f>
        <v/>
      </c>
      <c r="L1752" s="3">
        <f>+IFERROR(IF(J1752="","",H1752*K1752),"as per slab")</f>
        <v/>
      </c>
    </row>
    <row r="1753">
      <c r="A1753" s="7" t="n"/>
      <c r="B1753" s="7" t="n"/>
      <c r="C1753" s="8" t="n"/>
      <c r="D1753" s="9" t="n"/>
      <c r="E1753" s="8" t="n"/>
      <c r="F1753" s="9" t="n"/>
      <c r="G1753" s="9" t="n"/>
      <c r="H1753" s="3">
        <f>IF(AND(D1753&lt;&gt;"",F1753&lt;&gt;""),F1753-D1753-G1753,"")</f>
        <v/>
      </c>
      <c r="I1753" s="14">
        <f>IF(E1753&lt;&gt;"", YEARFRAC(C1753, E1753) * 12, "")</f>
        <v/>
      </c>
      <c r="J1753" s="2">
        <f>IF(I1753="", "", IF(OR(AND(A1753="Listed Equity Shares", I1753&gt;12), AND(A1753="Unlisted Equity Shares", I1753&gt;24)), "Long Term", "Short Term"))</f>
        <v/>
      </c>
      <c r="K1753" s="5">
        <f>IF(J1753="", "", IF(J1753="Long Term", 12.5%,"as per slab"))</f>
        <v/>
      </c>
      <c r="L1753" s="3">
        <f>+IFERROR(IF(J1753="","",H1753*K1753),"as per slab")</f>
        <v/>
      </c>
    </row>
    <row r="1754">
      <c r="A1754" s="7" t="n"/>
      <c r="B1754" s="7" t="n"/>
      <c r="C1754" s="8" t="n"/>
      <c r="D1754" s="9" t="n"/>
      <c r="E1754" s="8" t="n"/>
      <c r="F1754" s="9" t="n"/>
      <c r="G1754" s="9" t="n"/>
      <c r="H1754" s="3">
        <f>IF(AND(D1754&lt;&gt;"",F1754&lt;&gt;""),F1754-D1754-G1754,"")</f>
        <v/>
      </c>
      <c r="I1754" s="14">
        <f>IF(E1754&lt;&gt;"", YEARFRAC(C1754, E1754) * 12, "")</f>
        <v/>
      </c>
      <c r="J1754" s="2">
        <f>IF(I1754="", "", IF(OR(AND(A1754="Listed Equity Shares", I1754&gt;12), AND(A1754="Unlisted Equity Shares", I1754&gt;24)), "Long Term", "Short Term"))</f>
        <v/>
      </c>
      <c r="K1754" s="5">
        <f>IF(J1754="", "", IF(J1754="Long Term", 12.5%,"as per slab"))</f>
        <v/>
      </c>
      <c r="L1754" s="3">
        <f>+IFERROR(IF(J1754="","",H1754*K1754),"as per slab")</f>
        <v/>
      </c>
    </row>
    <row r="1755">
      <c r="A1755" s="7" t="n"/>
      <c r="B1755" s="7" t="n"/>
      <c r="C1755" s="8" t="n"/>
      <c r="D1755" s="9" t="n"/>
      <c r="E1755" s="8" t="n"/>
      <c r="F1755" s="9" t="n"/>
      <c r="G1755" s="9" t="n"/>
      <c r="H1755" s="3">
        <f>IF(AND(D1755&lt;&gt;"",F1755&lt;&gt;""),F1755-D1755-G1755,"")</f>
        <v/>
      </c>
      <c r="I1755" s="14">
        <f>IF(E1755&lt;&gt;"", YEARFRAC(C1755, E1755) * 12, "")</f>
        <v/>
      </c>
      <c r="J1755" s="2">
        <f>IF(I1755="", "", IF(OR(AND(A1755="Listed Equity Shares", I1755&gt;12), AND(A1755="Unlisted Equity Shares", I1755&gt;24)), "Long Term", "Short Term"))</f>
        <v/>
      </c>
      <c r="K1755" s="5">
        <f>IF(J1755="", "", IF(J1755="Long Term", 12.5%,"as per slab"))</f>
        <v/>
      </c>
      <c r="L1755" s="3">
        <f>+IFERROR(IF(J1755="","",H1755*K1755),"as per slab")</f>
        <v/>
      </c>
    </row>
    <row r="1756">
      <c r="A1756" s="7" t="n"/>
      <c r="B1756" s="7" t="n"/>
      <c r="C1756" s="8" t="n"/>
      <c r="D1756" s="9" t="n"/>
      <c r="E1756" s="8" t="n"/>
      <c r="F1756" s="9" t="n"/>
      <c r="G1756" s="9" t="n"/>
      <c r="H1756" s="3">
        <f>IF(AND(D1756&lt;&gt;"",F1756&lt;&gt;""),F1756-D1756-G1756,"")</f>
        <v/>
      </c>
      <c r="I1756" s="14">
        <f>IF(E1756&lt;&gt;"", YEARFRAC(C1756, E1756) * 12, "")</f>
        <v/>
      </c>
      <c r="J1756" s="2">
        <f>IF(I1756="", "", IF(OR(AND(A1756="Listed Equity Shares", I1756&gt;12), AND(A1756="Unlisted Equity Shares", I1756&gt;24)), "Long Term", "Short Term"))</f>
        <v/>
      </c>
      <c r="K1756" s="5">
        <f>IF(J1756="", "", IF(J1756="Long Term", 12.5%,"as per slab"))</f>
        <v/>
      </c>
      <c r="L1756" s="3">
        <f>+IFERROR(IF(J1756="","",H1756*K1756),"as per slab")</f>
        <v/>
      </c>
    </row>
    <row r="1757">
      <c r="A1757" s="7" t="n"/>
      <c r="B1757" s="7" t="n"/>
      <c r="C1757" s="8" t="n"/>
      <c r="D1757" s="9" t="n"/>
      <c r="E1757" s="8" t="n"/>
      <c r="F1757" s="9" t="n"/>
      <c r="G1757" s="9" t="n"/>
      <c r="H1757" s="3">
        <f>IF(AND(D1757&lt;&gt;"",F1757&lt;&gt;""),F1757-D1757-G1757,"")</f>
        <v/>
      </c>
      <c r="I1757" s="14">
        <f>IF(E1757&lt;&gt;"", YEARFRAC(C1757, E1757) * 12, "")</f>
        <v/>
      </c>
      <c r="J1757" s="2">
        <f>IF(I1757="", "", IF(OR(AND(A1757="Listed Equity Shares", I1757&gt;12), AND(A1757="Unlisted Equity Shares", I1757&gt;24)), "Long Term", "Short Term"))</f>
        <v/>
      </c>
      <c r="K1757" s="5">
        <f>IF(J1757="", "", IF(J1757="Long Term", 12.5%,"as per slab"))</f>
        <v/>
      </c>
      <c r="L1757" s="3">
        <f>+IFERROR(IF(J1757="","",H1757*K1757),"as per slab")</f>
        <v/>
      </c>
    </row>
    <row r="1758">
      <c r="A1758" s="7" t="n"/>
      <c r="B1758" s="7" t="n"/>
      <c r="C1758" s="8" t="n"/>
      <c r="D1758" s="9" t="n"/>
      <c r="E1758" s="8" t="n"/>
      <c r="F1758" s="9" t="n"/>
      <c r="G1758" s="9" t="n"/>
      <c r="H1758" s="3">
        <f>IF(AND(D1758&lt;&gt;"",F1758&lt;&gt;""),F1758-D1758-G1758,"")</f>
        <v/>
      </c>
      <c r="I1758" s="14">
        <f>IF(E1758&lt;&gt;"", YEARFRAC(C1758, E1758) * 12, "")</f>
        <v/>
      </c>
      <c r="J1758" s="2">
        <f>IF(I1758="", "", IF(OR(AND(A1758="Listed Equity Shares", I1758&gt;12), AND(A1758="Unlisted Equity Shares", I1758&gt;24)), "Long Term", "Short Term"))</f>
        <v/>
      </c>
      <c r="K1758" s="5">
        <f>IF(J1758="", "", IF(J1758="Long Term", 12.5%,"as per slab"))</f>
        <v/>
      </c>
      <c r="L1758" s="3">
        <f>+IFERROR(IF(J1758="","",H1758*K1758),"as per slab")</f>
        <v/>
      </c>
    </row>
    <row r="1759">
      <c r="A1759" s="7" t="n"/>
      <c r="B1759" s="7" t="n"/>
      <c r="C1759" s="8" t="n"/>
      <c r="D1759" s="9" t="n"/>
      <c r="E1759" s="8" t="n"/>
      <c r="F1759" s="9" t="n"/>
      <c r="G1759" s="9" t="n"/>
      <c r="H1759" s="3">
        <f>IF(AND(D1759&lt;&gt;"",F1759&lt;&gt;""),F1759-D1759-G1759,"")</f>
        <v/>
      </c>
      <c r="I1759" s="14">
        <f>IF(E1759&lt;&gt;"", YEARFRAC(C1759, E1759) * 12, "")</f>
        <v/>
      </c>
      <c r="J1759" s="2">
        <f>IF(I1759="", "", IF(OR(AND(A1759="Listed Equity Shares", I1759&gt;12), AND(A1759="Unlisted Equity Shares", I1759&gt;24)), "Long Term", "Short Term"))</f>
        <v/>
      </c>
      <c r="K1759" s="5">
        <f>IF(J1759="", "", IF(J1759="Long Term", 12.5%,"as per slab"))</f>
        <v/>
      </c>
      <c r="L1759" s="3">
        <f>+IFERROR(IF(J1759="","",H1759*K1759),"as per slab")</f>
        <v/>
      </c>
    </row>
    <row r="1760">
      <c r="A1760" s="7" t="n"/>
      <c r="B1760" s="7" t="n"/>
      <c r="C1760" s="8" t="n"/>
      <c r="D1760" s="9" t="n"/>
      <c r="E1760" s="8" t="n"/>
      <c r="F1760" s="9" t="n"/>
      <c r="G1760" s="9" t="n"/>
      <c r="H1760" s="3">
        <f>IF(AND(D1760&lt;&gt;"",F1760&lt;&gt;""),F1760-D1760-G1760,"")</f>
        <v/>
      </c>
      <c r="I1760" s="14">
        <f>IF(E1760&lt;&gt;"", YEARFRAC(C1760, E1760) * 12, "")</f>
        <v/>
      </c>
      <c r="J1760" s="2">
        <f>IF(I1760="", "", IF(OR(AND(A1760="Listed Equity Shares", I1760&gt;12), AND(A1760="Unlisted Equity Shares", I1760&gt;24)), "Long Term", "Short Term"))</f>
        <v/>
      </c>
      <c r="K1760" s="5">
        <f>IF(J1760="", "", IF(J1760="Long Term", 12.5%,"as per slab"))</f>
        <v/>
      </c>
      <c r="L1760" s="3">
        <f>+IFERROR(IF(J1760="","",H1760*K1760),"as per slab")</f>
        <v/>
      </c>
    </row>
    <row r="1761">
      <c r="A1761" s="7" t="n"/>
      <c r="B1761" s="7" t="n"/>
      <c r="C1761" s="8" t="n"/>
      <c r="D1761" s="9" t="n"/>
      <c r="E1761" s="8" t="n"/>
      <c r="F1761" s="9" t="n"/>
      <c r="G1761" s="9" t="n"/>
      <c r="H1761" s="3">
        <f>IF(AND(D1761&lt;&gt;"",F1761&lt;&gt;""),F1761-D1761-G1761,"")</f>
        <v/>
      </c>
      <c r="I1761" s="14">
        <f>IF(E1761&lt;&gt;"", YEARFRAC(C1761, E1761) * 12, "")</f>
        <v/>
      </c>
      <c r="J1761" s="2">
        <f>IF(I1761="", "", IF(OR(AND(A1761="Listed Equity Shares", I1761&gt;12), AND(A1761="Unlisted Equity Shares", I1761&gt;24)), "Long Term", "Short Term"))</f>
        <v/>
      </c>
      <c r="K1761" s="5">
        <f>IF(J1761="", "", IF(J1761="Long Term", 12.5%,"as per slab"))</f>
        <v/>
      </c>
      <c r="L1761" s="3">
        <f>+IFERROR(IF(J1761="","",H1761*K1761),"as per slab")</f>
        <v/>
      </c>
    </row>
    <row r="1762">
      <c r="A1762" s="7" t="n"/>
      <c r="B1762" s="7" t="n"/>
      <c r="C1762" s="8" t="n"/>
      <c r="D1762" s="9" t="n"/>
      <c r="E1762" s="8" t="n"/>
      <c r="F1762" s="9" t="n"/>
      <c r="G1762" s="9" t="n"/>
      <c r="H1762" s="3">
        <f>IF(AND(D1762&lt;&gt;"",F1762&lt;&gt;""),F1762-D1762-G1762,"")</f>
        <v/>
      </c>
      <c r="I1762" s="14">
        <f>IF(E1762&lt;&gt;"", YEARFRAC(C1762, E1762) * 12, "")</f>
        <v/>
      </c>
      <c r="J1762" s="2">
        <f>IF(I1762="", "", IF(OR(AND(A1762="Listed Equity Shares", I1762&gt;12), AND(A1762="Unlisted Equity Shares", I1762&gt;24)), "Long Term", "Short Term"))</f>
        <v/>
      </c>
      <c r="K1762" s="5">
        <f>IF(J1762="", "", IF(J1762="Long Term", 12.5%,"as per slab"))</f>
        <v/>
      </c>
      <c r="L1762" s="3">
        <f>+IFERROR(IF(J1762="","",H1762*K1762),"as per slab")</f>
        <v/>
      </c>
    </row>
    <row r="1763">
      <c r="A1763" s="7" t="n"/>
      <c r="B1763" s="7" t="n"/>
      <c r="C1763" s="8" t="n"/>
      <c r="D1763" s="9" t="n"/>
      <c r="E1763" s="8" t="n"/>
      <c r="F1763" s="9" t="n"/>
      <c r="G1763" s="9" t="n"/>
      <c r="H1763" s="3">
        <f>IF(AND(D1763&lt;&gt;"",F1763&lt;&gt;""),F1763-D1763-G1763,"")</f>
        <v/>
      </c>
      <c r="I1763" s="14">
        <f>IF(E1763&lt;&gt;"", YEARFRAC(C1763, E1763) * 12, "")</f>
        <v/>
      </c>
      <c r="J1763" s="2">
        <f>IF(I1763="", "", IF(OR(AND(A1763="Listed Equity Shares", I1763&gt;12), AND(A1763="Unlisted Equity Shares", I1763&gt;24)), "Long Term", "Short Term"))</f>
        <v/>
      </c>
      <c r="K1763" s="5">
        <f>IF(J1763="", "", IF(J1763="Long Term", 12.5%,"as per slab"))</f>
        <v/>
      </c>
      <c r="L1763" s="3">
        <f>+IFERROR(IF(J1763="","",H1763*K1763),"as per slab")</f>
        <v/>
      </c>
    </row>
    <row r="1764">
      <c r="A1764" s="7" t="n"/>
      <c r="B1764" s="7" t="n"/>
      <c r="C1764" s="8" t="n"/>
      <c r="D1764" s="9" t="n"/>
      <c r="E1764" s="8" t="n"/>
      <c r="F1764" s="9" t="n"/>
      <c r="G1764" s="9" t="n"/>
      <c r="H1764" s="3">
        <f>IF(AND(D1764&lt;&gt;"",F1764&lt;&gt;""),F1764-D1764-G1764,"")</f>
        <v/>
      </c>
      <c r="I1764" s="14">
        <f>IF(E1764&lt;&gt;"", YEARFRAC(C1764, E1764) * 12, "")</f>
        <v/>
      </c>
      <c r="J1764" s="2">
        <f>IF(I1764="", "", IF(OR(AND(A1764="Listed Equity Shares", I1764&gt;12), AND(A1764="Unlisted Equity Shares", I1764&gt;24)), "Long Term", "Short Term"))</f>
        <v/>
      </c>
      <c r="K1764" s="5">
        <f>IF(J1764="", "", IF(J1764="Long Term", 12.5%,"as per slab"))</f>
        <v/>
      </c>
      <c r="L1764" s="3">
        <f>+IFERROR(IF(J1764="","",H1764*K1764),"as per slab")</f>
        <v/>
      </c>
    </row>
    <row r="1765">
      <c r="A1765" s="7" t="n"/>
      <c r="B1765" s="7" t="n"/>
      <c r="C1765" s="8" t="n"/>
      <c r="D1765" s="9" t="n"/>
      <c r="E1765" s="8" t="n"/>
      <c r="F1765" s="9" t="n"/>
      <c r="G1765" s="9" t="n"/>
      <c r="H1765" s="3">
        <f>IF(AND(D1765&lt;&gt;"",F1765&lt;&gt;""),F1765-D1765-G1765,"")</f>
        <v/>
      </c>
      <c r="I1765" s="14">
        <f>IF(E1765&lt;&gt;"", YEARFRAC(C1765, E1765) * 12, "")</f>
        <v/>
      </c>
      <c r="J1765" s="2">
        <f>IF(I1765="", "", IF(OR(AND(A1765="Listed Equity Shares", I1765&gt;12), AND(A1765="Unlisted Equity Shares", I1765&gt;24)), "Long Term", "Short Term"))</f>
        <v/>
      </c>
      <c r="K1765" s="5">
        <f>IF(J1765="", "", IF(J1765="Long Term", 12.5%,"as per slab"))</f>
        <v/>
      </c>
      <c r="L1765" s="3">
        <f>+IFERROR(IF(J1765="","",H1765*K1765),"as per slab")</f>
        <v/>
      </c>
    </row>
    <row r="1766">
      <c r="A1766" s="7" t="n"/>
      <c r="B1766" s="7" t="n"/>
      <c r="C1766" s="8" t="n"/>
      <c r="D1766" s="9" t="n"/>
      <c r="E1766" s="8" t="n"/>
      <c r="F1766" s="9" t="n"/>
      <c r="G1766" s="9" t="n"/>
      <c r="H1766" s="3">
        <f>IF(AND(D1766&lt;&gt;"",F1766&lt;&gt;""),F1766-D1766-G1766,"")</f>
        <v/>
      </c>
      <c r="I1766" s="14">
        <f>IF(E1766&lt;&gt;"", YEARFRAC(C1766, E1766) * 12, "")</f>
        <v/>
      </c>
      <c r="J1766" s="2">
        <f>IF(I1766="", "", IF(OR(AND(A1766="Listed Equity Shares", I1766&gt;12), AND(A1766="Unlisted Equity Shares", I1766&gt;24)), "Long Term", "Short Term"))</f>
        <v/>
      </c>
      <c r="K1766" s="5">
        <f>IF(J1766="", "", IF(J1766="Long Term", 12.5%,"as per slab"))</f>
        <v/>
      </c>
      <c r="L1766" s="3">
        <f>+IFERROR(IF(J1766="","",H1766*K1766),"as per slab")</f>
        <v/>
      </c>
    </row>
    <row r="1767">
      <c r="A1767" s="7" t="n"/>
      <c r="B1767" s="7" t="n"/>
      <c r="C1767" s="8" t="n"/>
      <c r="D1767" s="9" t="n"/>
      <c r="E1767" s="8" t="n"/>
      <c r="F1767" s="9" t="n"/>
      <c r="G1767" s="9" t="n"/>
      <c r="H1767" s="3">
        <f>IF(AND(D1767&lt;&gt;"",F1767&lt;&gt;""),F1767-D1767-G1767,"")</f>
        <v/>
      </c>
      <c r="I1767" s="14">
        <f>IF(E1767&lt;&gt;"", YEARFRAC(C1767, E1767) * 12, "")</f>
        <v/>
      </c>
      <c r="J1767" s="2">
        <f>IF(I1767="", "", IF(OR(AND(A1767="Listed Equity Shares", I1767&gt;12), AND(A1767="Unlisted Equity Shares", I1767&gt;24)), "Long Term", "Short Term"))</f>
        <v/>
      </c>
      <c r="K1767" s="5">
        <f>IF(J1767="", "", IF(J1767="Long Term", 12.5%,"as per slab"))</f>
        <v/>
      </c>
      <c r="L1767" s="3">
        <f>+IFERROR(IF(J1767="","",H1767*K1767),"as per slab")</f>
        <v/>
      </c>
    </row>
    <row r="1768">
      <c r="A1768" s="7" t="n"/>
      <c r="B1768" s="7" t="n"/>
      <c r="C1768" s="8" t="n"/>
      <c r="D1768" s="9" t="n"/>
      <c r="E1768" s="8" t="n"/>
      <c r="F1768" s="9" t="n"/>
      <c r="G1768" s="9" t="n"/>
      <c r="H1768" s="3">
        <f>IF(AND(D1768&lt;&gt;"",F1768&lt;&gt;""),F1768-D1768-G1768,"")</f>
        <v/>
      </c>
      <c r="I1768" s="14">
        <f>IF(E1768&lt;&gt;"", YEARFRAC(C1768, E1768) * 12, "")</f>
        <v/>
      </c>
      <c r="J1768" s="2">
        <f>IF(I1768="", "", IF(OR(AND(A1768="Listed Equity Shares", I1768&gt;12), AND(A1768="Unlisted Equity Shares", I1768&gt;24)), "Long Term", "Short Term"))</f>
        <v/>
      </c>
      <c r="K1768" s="5">
        <f>IF(J1768="", "", IF(J1768="Long Term", 12.5%,"as per slab"))</f>
        <v/>
      </c>
      <c r="L1768" s="3">
        <f>+IFERROR(IF(J1768="","",H1768*K1768),"as per slab")</f>
        <v/>
      </c>
    </row>
    <row r="1769">
      <c r="A1769" s="7" t="n"/>
      <c r="B1769" s="7" t="n"/>
      <c r="C1769" s="8" t="n"/>
      <c r="D1769" s="9" t="n"/>
      <c r="E1769" s="8" t="n"/>
      <c r="F1769" s="9" t="n"/>
      <c r="G1769" s="9" t="n"/>
      <c r="H1769" s="3">
        <f>IF(AND(D1769&lt;&gt;"",F1769&lt;&gt;""),F1769-D1769-G1769,"")</f>
        <v/>
      </c>
      <c r="I1769" s="14">
        <f>IF(E1769&lt;&gt;"", YEARFRAC(C1769, E1769) * 12, "")</f>
        <v/>
      </c>
      <c r="J1769" s="2">
        <f>IF(I1769="", "", IF(OR(AND(A1769="Listed Equity Shares", I1769&gt;12), AND(A1769="Unlisted Equity Shares", I1769&gt;24)), "Long Term", "Short Term"))</f>
        <v/>
      </c>
      <c r="K1769" s="5">
        <f>IF(J1769="", "", IF(J1769="Long Term", 12.5%,"as per slab"))</f>
        <v/>
      </c>
      <c r="L1769" s="3">
        <f>+IFERROR(IF(J1769="","",H1769*K1769),"as per slab")</f>
        <v/>
      </c>
    </row>
    <row r="1770">
      <c r="A1770" s="7" t="n"/>
      <c r="B1770" s="7" t="n"/>
      <c r="C1770" s="8" t="n"/>
      <c r="D1770" s="9" t="n"/>
      <c r="E1770" s="8" t="n"/>
      <c r="F1770" s="9" t="n"/>
      <c r="G1770" s="9" t="n"/>
      <c r="H1770" s="3">
        <f>IF(AND(D1770&lt;&gt;"",F1770&lt;&gt;""),F1770-D1770-G1770,"")</f>
        <v/>
      </c>
      <c r="I1770" s="14">
        <f>IF(E1770&lt;&gt;"", YEARFRAC(C1770, E1770) * 12, "")</f>
        <v/>
      </c>
      <c r="J1770" s="2">
        <f>IF(I1770="", "", IF(OR(AND(A1770="Listed Equity Shares", I1770&gt;12), AND(A1770="Unlisted Equity Shares", I1770&gt;24)), "Long Term", "Short Term"))</f>
        <v/>
      </c>
      <c r="K1770" s="5">
        <f>IF(J1770="", "", IF(J1770="Long Term", 12.5%,"as per slab"))</f>
        <v/>
      </c>
      <c r="L1770" s="3">
        <f>+IFERROR(IF(J1770="","",H1770*K1770),"as per slab")</f>
        <v/>
      </c>
    </row>
    <row r="1771">
      <c r="A1771" s="7" t="n"/>
      <c r="B1771" s="7" t="n"/>
      <c r="C1771" s="8" t="n"/>
      <c r="D1771" s="9" t="n"/>
      <c r="E1771" s="8" t="n"/>
      <c r="F1771" s="9" t="n"/>
      <c r="G1771" s="9" t="n"/>
      <c r="H1771" s="3">
        <f>IF(AND(D1771&lt;&gt;"",F1771&lt;&gt;""),F1771-D1771-G1771,"")</f>
        <v/>
      </c>
      <c r="I1771" s="14">
        <f>IF(E1771&lt;&gt;"", YEARFRAC(C1771, E1771) * 12, "")</f>
        <v/>
      </c>
      <c r="J1771" s="2">
        <f>IF(I1771="", "", IF(OR(AND(A1771="Listed Equity Shares", I1771&gt;12), AND(A1771="Unlisted Equity Shares", I1771&gt;24)), "Long Term", "Short Term"))</f>
        <v/>
      </c>
      <c r="K1771" s="5">
        <f>IF(J1771="", "", IF(J1771="Long Term", 12.5%,"as per slab"))</f>
        <v/>
      </c>
      <c r="L1771" s="3">
        <f>+IFERROR(IF(J1771="","",H1771*K1771),"as per slab")</f>
        <v/>
      </c>
    </row>
    <row r="1772">
      <c r="A1772" s="7" t="n"/>
      <c r="B1772" s="7" t="n"/>
      <c r="C1772" s="8" t="n"/>
      <c r="D1772" s="9" t="n"/>
      <c r="E1772" s="8" t="n"/>
      <c r="F1772" s="9" t="n"/>
      <c r="G1772" s="9" t="n"/>
      <c r="H1772" s="3">
        <f>IF(AND(D1772&lt;&gt;"",F1772&lt;&gt;""),F1772-D1772-G1772,"")</f>
        <v/>
      </c>
      <c r="I1772" s="14">
        <f>IF(E1772&lt;&gt;"", YEARFRAC(C1772, E1772) * 12, "")</f>
        <v/>
      </c>
      <c r="J1772" s="2">
        <f>IF(I1772="", "", IF(OR(AND(A1772="Listed Equity Shares", I1772&gt;12), AND(A1772="Unlisted Equity Shares", I1772&gt;24)), "Long Term", "Short Term"))</f>
        <v/>
      </c>
      <c r="K1772" s="5">
        <f>IF(J1772="", "", IF(J1772="Long Term", 12.5%,"as per slab"))</f>
        <v/>
      </c>
      <c r="L1772" s="3">
        <f>+IFERROR(IF(J1772="","",H1772*K1772),"as per slab")</f>
        <v/>
      </c>
    </row>
    <row r="1773">
      <c r="A1773" s="7" t="n"/>
      <c r="B1773" s="7" t="n"/>
      <c r="C1773" s="8" t="n"/>
      <c r="D1773" s="9" t="n"/>
      <c r="E1773" s="8" t="n"/>
      <c r="F1773" s="9" t="n"/>
      <c r="G1773" s="9" t="n"/>
      <c r="H1773" s="3">
        <f>IF(AND(D1773&lt;&gt;"",F1773&lt;&gt;""),F1773-D1773-G1773,"")</f>
        <v/>
      </c>
      <c r="I1773" s="14">
        <f>IF(E1773&lt;&gt;"", YEARFRAC(C1773, E1773) * 12, "")</f>
        <v/>
      </c>
      <c r="J1773" s="2">
        <f>IF(I1773="", "", IF(OR(AND(A1773="Listed Equity Shares", I1773&gt;12), AND(A1773="Unlisted Equity Shares", I1773&gt;24)), "Long Term", "Short Term"))</f>
        <v/>
      </c>
      <c r="K1773" s="5">
        <f>IF(J1773="", "", IF(J1773="Long Term", 12.5%,"as per slab"))</f>
        <v/>
      </c>
      <c r="L1773" s="3">
        <f>+IFERROR(IF(J1773="","",H1773*K1773),"as per slab")</f>
        <v/>
      </c>
    </row>
    <row r="1774">
      <c r="A1774" s="7" t="n"/>
      <c r="B1774" s="7" t="n"/>
      <c r="C1774" s="8" t="n"/>
      <c r="D1774" s="9" t="n"/>
      <c r="E1774" s="8" t="n"/>
      <c r="F1774" s="9" t="n"/>
      <c r="G1774" s="9" t="n"/>
      <c r="H1774" s="3">
        <f>IF(AND(D1774&lt;&gt;"",F1774&lt;&gt;""),F1774-D1774-G1774,"")</f>
        <v/>
      </c>
      <c r="I1774" s="14">
        <f>IF(E1774&lt;&gt;"", YEARFRAC(C1774, E1774) * 12, "")</f>
        <v/>
      </c>
      <c r="J1774" s="2">
        <f>IF(I1774="", "", IF(OR(AND(A1774="Listed Equity Shares", I1774&gt;12), AND(A1774="Unlisted Equity Shares", I1774&gt;24)), "Long Term", "Short Term"))</f>
        <v/>
      </c>
      <c r="K1774" s="5">
        <f>IF(J1774="", "", IF(J1774="Long Term", 12.5%,"as per slab"))</f>
        <v/>
      </c>
      <c r="L1774" s="3">
        <f>+IFERROR(IF(J1774="","",H1774*K1774),"as per slab")</f>
        <v/>
      </c>
    </row>
    <row r="1775">
      <c r="A1775" s="7" t="n"/>
      <c r="B1775" s="7" t="n"/>
      <c r="C1775" s="8" t="n"/>
      <c r="D1775" s="9" t="n"/>
      <c r="E1775" s="8" t="n"/>
      <c r="F1775" s="9" t="n"/>
      <c r="G1775" s="9" t="n"/>
      <c r="H1775" s="3">
        <f>IF(AND(D1775&lt;&gt;"",F1775&lt;&gt;""),F1775-D1775-G1775,"")</f>
        <v/>
      </c>
      <c r="I1775" s="14">
        <f>IF(E1775&lt;&gt;"", YEARFRAC(C1775, E1775) * 12, "")</f>
        <v/>
      </c>
      <c r="J1775" s="2">
        <f>IF(I1775="", "", IF(OR(AND(A1775="Listed Equity Shares", I1775&gt;12), AND(A1775="Unlisted Equity Shares", I1775&gt;24)), "Long Term", "Short Term"))</f>
        <v/>
      </c>
      <c r="K1775" s="5">
        <f>IF(J1775="", "", IF(J1775="Long Term", 12.5%,"as per slab"))</f>
        <v/>
      </c>
      <c r="L1775" s="3">
        <f>+IFERROR(IF(J1775="","",H1775*K1775),"as per slab")</f>
        <v/>
      </c>
    </row>
    <row r="1776">
      <c r="A1776" s="7" t="n"/>
      <c r="B1776" s="7" t="n"/>
      <c r="C1776" s="8" t="n"/>
      <c r="D1776" s="9" t="n"/>
      <c r="E1776" s="8" t="n"/>
      <c r="F1776" s="9" t="n"/>
      <c r="G1776" s="9" t="n"/>
      <c r="H1776" s="3">
        <f>IF(AND(D1776&lt;&gt;"",F1776&lt;&gt;""),F1776-D1776-G1776,"")</f>
        <v/>
      </c>
      <c r="I1776" s="14">
        <f>IF(E1776&lt;&gt;"", YEARFRAC(C1776, E1776) * 12, "")</f>
        <v/>
      </c>
      <c r="J1776" s="2">
        <f>IF(I1776="", "", IF(OR(AND(A1776="Listed Equity Shares", I1776&gt;12), AND(A1776="Unlisted Equity Shares", I1776&gt;24)), "Long Term", "Short Term"))</f>
        <v/>
      </c>
      <c r="K1776" s="5">
        <f>IF(J1776="", "", IF(J1776="Long Term", 12.5%,"as per slab"))</f>
        <v/>
      </c>
      <c r="L1776" s="3">
        <f>+IFERROR(IF(J1776="","",H1776*K1776),"as per slab")</f>
        <v/>
      </c>
    </row>
    <row r="1777">
      <c r="A1777" s="7" t="n"/>
      <c r="B1777" s="7" t="n"/>
      <c r="C1777" s="8" t="n"/>
      <c r="D1777" s="9" t="n"/>
      <c r="E1777" s="8" t="n"/>
      <c r="F1777" s="9" t="n"/>
      <c r="G1777" s="9" t="n"/>
      <c r="H1777" s="3">
        <f>IF(AND(D1777&lt;&gt;"",F1777&lt;&gt;""),F1777-D1777-G1777,"")</f>
        <v/>
      </c>
      <c r="I1777" s="14">
        <f>IF(E1777&lt;&gt;"", YEARFRAC(C1777, E1777) * 12, "")</f>
        <v/>
      </c>
      <c r="J1777" s="2">
        <f>IF(I1777="", "", IF(OR(AND(A1777="Listed Equity Shares", I1777&gt;12), AND(A1777="Unlisted Equity Shares", I1777&gt;24)), "Long Term", "Short Term"))</f>
        <v/>
      </c>
      <c r="K1777" s="5">
        <f>IF(J1777="", "", IF(J1777="Long Term", 12.5%,"as per slab"))</f>
        <v/>
      </c>
      <c r="L1777" s="3">
        <f>+IFERROR(IF(J1777="","",H1777*K1777),"as per slab")</f>
        <v/>
      </c>
    </row>
    <row r="1778">
      <c r="A1778" s="7" t="n"/>
      <c r="B1778" s="7" t="n"/>
      <c r="C1778" s="8" t="n"/>
      <c r="D1778" s="9" t="n"/>
      <c r="E1778" s="8" t="n"/>
      <c r="F1778" s="9" t="n"/>
      <c r="G1778" s="9" t="n"/>
      <c r="H1778" s="3">
        <f>IF(AND(D1778&lt;&gt;"",F1778&lt;&gt;""),F1778-D1778-G1778,"")</f>
        <v/>
      </c>
      <c r="I1778" s="14">
        <f>IF(E1778&lt;&gt;"", YEARFRAC(C1778, E1778) * 12, "")</f>
        <v/>
      </c>
      <c r="J1778" s="2">
        <f>IF(I1778="", "", IF(OR(AND(A1778="Listed Equity Shares", I1778&gt;12), AND(A1778="Unlisted Equity Shares", I1778&gt;24)), "Long Term", "Short Term"))</f>
        <v/>
      </c>
      <c r="K1778" s="5">
        <f>IF(J1778="", "", IF(J1778="Long Term", 12.5%,"as per slab"))</f>
        <v/>
      </c>
      <c r="L1778" s="3">
        <f>+IFERROR(IF(J1778="","",H1778*K1778),"as per slab")</f>
        <v/>
      </c>
    </row>
    <row r="1779">
      <c r="A1779" s="7" t="n"/>
      <c r="B1779" s="7" t="n"/>
      <c r="C1779" s="8" t="n"/>
      <c r="D1779" s="9" t="n"/>
      <c r="E1779" s="8" t="n"/>
      <c r="F1779" s="9" t="n"/>
      <c r="G1779" s="9" t="n"/>
      <c r="H1779" s="3">
        <f>IF(AND(D1779&lt;&gt;"",F1779&lt;&gt;""),F1779-D1779-G1779,"")</f>
        <v/>
      </c>
      <c r="I1779" s="14">
        <f>IF(E1779&lt;&gt;"", YEARFRAC(C1779, E1779) * 12, "")</f>
        <v/>
      </c>
      <c r="J1779" s="2">
        <f>IF(I1779="", "", IF(OR(AND(A1779="Listed Equity Shares", I1779&gt;12), AND(A1779="Unlisted Equity Shares", I1779&gt;24)), "Long Term", "Short Term"))</f>
        <v/>
      </c>
      <c r="K1779" s="5">
        <f>IF(J1779="", "", IF(J1779="Long Term", 12.5%,"as per slab"))</f>
        <v/>
      </c>
      <c r="L1779" s="3">
        <f>+IFERROR(IF(J1779="","",H1779*K1779),"as per slab")</f>
        <v/>
      </c>
    </row>
    <row r="1780">
      <c r="A1780" s="7" t="n"/>
      <c r="B1780" s="7" t="n"/>
      <c r="C1780" s="8" t="n"/>
      <c r="D1780" s="9" t="n"/>
      <c r="E1780" s="8" t="n"/>
      <c r="F1780" s="9" t="n"/>
      <c r="G1780" s="9" t="n"/>
      <c r="H1780" s="3">
        <f>IF(AND(D1780&lt;&gt;"",F1780&lt;&gt;""),F1780-D1780-G1780,"")</f>
        <v/>
      </c>
      <c r="I1780" s="14">
        <f>IF(E1780&lt;&gt;"", YEARFRAC(C1780, E1780) * 12, "")</f>
        <v/>
      </c>
      <c r="J1780" s="2">
        <f>IF(I1780="", "", IF(OR(AND(A1780="Listed Equity Shares", I1780&gt;12), AND(A1780="Unlisted Equity Shares", I1780&gt;24)), "Long Term", "Short Term"))</f>
        <v/>
      </c>
      <c r="K1780" s="5">
        <f>IF(J1780="", "", IF(J1780="Long Term", 12.5%,"as per slab"))</f>
        <v/>
      </c>
      <c r="L1780" s="3">
        <f>+IFERROR(IF(J1780="","",H1780*K1780),"as per slab")</f>
        <v/>
      </c>
    </row>
    <row r="1781">
      <c r="A1781" s="7" t="n"/>
      <c r="B1781" s="7" t="n"/>
      <c r="C1781" s="8" t="n"/>
      <c r="D1781" s="9" t="n"/>
      <c r="E1781" s="8" t="n"/>
      <c r="F1781" s="9" t="n"/>
      <c r="G1781" s="9" t="n"/>
      <c r="H1781" s="3">
        <f>IF(AND(D1781&lt;&gt;"",F1781&lt;&gt;""),F1781-D1781-G1781,"")</f>
        <v/>
      </c>
      <c r="I1781" s="14">
        <f>IF(E1781&lt;&gt;"", YEARFRAC(C1781, E1781) * 12, "")</f>
        <v/>
      </c>
      <c r="J1781" s="2">
        <f>IF(I1781="", "", IF(OR(AND(A1781="Listed Equity Shares", I1781&gt;12), AND(A1781="Unlisted Equity Shares", I1781&gt;24)), "Long Term", "Short Term"))</f>
        <v/>
      </c>
      <c r="K1781" s="5">
        <f>IF(J1781="", "", IF(J1781="Long Term", 12.5%,"as per slab"))</f>
        <v/>
      </c>
      <c r="L1781" s="3">
        <f>+IFERROR(IF(J1781="","",H1781*K1781),"as per slab")</f>
        <v/>
      </c>
    </row>
    <row r="1782">
      <c r="A1782" s="7" t="n"/>
      <c r="B1782" s="7" t="n"/>
      <c r="C1782" s="8" t="n"/>
      <c r="D1782" s="9" t="n"/>
      <c r="E1782" s="8" t="n"/>
      <c r="F1782" s="9" t="n"/>
      <c r="G1782" s="9" t="n"/>
      <c r="H1782" s="3">
        <f>IF(AND(D1782&lt;&gt;"",F1782&lt;&gt;""),F1782-D1782-G1782,"")</f>
        <v/>
      </c>
      <c r="I1782" s="14">
        <f>IF(E1782&lt;&gt;"", YEARFRAC(C1782, E1782) * 12, "")</f>
        <v/>
      </c>
      <c r="J1782" s="2">
        <f>IF(I1782="", "", IF(OR(AND(A1782="Listed Equity Shares", I1782&gt;12), AND(A1782="Unlisted Equity Shares", I1782&gt;24)), "Long Term", "Short Term"))</f>
        <v/>
      </c>
      <c r="K1782" s="5">
        <f>IF(J1782="", "", IF(J1782="Long Term", 12.5%,"as per slab"))</f>
        <v/>
      </c>
      <c r="L1782" s="3">
        <f>+IFERROR(IF(J1782="","",H1782*K1782),"as per slab")</f>
        <v/>
      </c>
    </row>
    <row r="1783">
      <c r="A1783" s="7" t="n"/>
      <c r="B1783" s="7" t="n"/>
      <c r="C1783" s="8" t="n"/>
      <c r="D1783" s="9" t="n"/>
      <c r="E1783" s="8" t="n"/>
      <c r="F1783" s="9" t="n"/>
      <c r="G1783" s="9" t="n"/>
      <c r="H1783" s="3">
        <f>IF(AND(D1783&lt;&gt;"",F1783&lt;&gt;""),F1783-D1783-G1783,"")</f>
        <v/>
      </c>
      <c r="I1783" s="14">
        <f>IF(E1783&lt;&gt;"", YEARFRAC(C1783, E1783) * 12, "")</f>
        <v/>
      </c>
      <c r="J1783" s="2">
        <f>IF(I1783="", "", IF(OR(AND(A1783="Listed Equity Shares", I1783&gt;12), AND(A1783="Unlisted Equity Shares", I1783&gt;24)), "Long Term", "Short Term"))</f>
        <v/>
      </c>
      <c r="K1783" s="5">
        <f>IF(J1783="", "", IF(J1783="Long Term", 12.5%,"as per slab"))</f>
        <v/>
      </c>
      <c r="L1783" s="3">
        <f>+IFERROR(IF(J1783="","",H1783*K1783),"as per slab")</f>
        <v/>
      </c>
    </row>
    <row r="1784">
      <c r="A1784" s="7" t="n"/>
      <c r="B1784" s="7" t="n"/>
      <c r="C1784" s="8" t="n"/>
      <c r="D1784" s="9" t="n"/>
      <c r="E1784" s="8" t="n"/>
      <c r="F1784" s="9" t="n"/>
      <c r="G1784" s="9" t="n"/>
      <c r="H1784" s="3">
        <f>IF(AND(D1784&lt;&gt;"",F1784&lt;&gt;""),F1784-D1784-G1784,"")</f>
        <v/>
      </c>
      <c r="I1784" s="14">
        <f>IF(E1784&lt;&gt;"", YEARFRAC(C1784, E1784) * 12, "")</f>
        <v/>
      </c>
      <c r="J1784" s="2">
        <f>IF(I1784="", "", IF(OR(AND(A1784="Listed Equity Shares", I1784&gt;12), AND(A1784="Unlisted Equity Shares", I1784&gt;24)), "Long Term", "Short Term"))</f>
        <v/>
      </c>
      <c r="K1784" s="5">
        <f>IF(J1784="", "", IF(J1784="Long Term", 12.5%,"as per slab"))</f>
        <v/>
      </c>
      <c r="L1784" s="3">
        <f>+IFERROR(IF(J1784="","",H1784*K1784),"as per slab")</f>
        <v/>
      </c>
    </row>
    <row r="1785">
      <c r="A1785" s="7" t="n"/>
      <c r="B1785" s="7" t="n"/>
      <c r="C1785" s="8" t="n"/>
      <c r="D1785" s="9" t="n"/>
      <c r="E1785" s="8" t="n"/>
      <c r="F1785" s="9" t="n"/>
      <c r="G1785" s="9" t="n"/>
      <c r="H1785" s="3">
        <f>IF(AND(D1785&lt;&gt;"",F1785&lt;&gt;""),F1785-D1785-G1785,"")</f>
        <v/>
      </c>
      <c r="I1785" s="14">
        <f>IF(E1785&lt;&gt;"", YEARFRAC(C1785, E1785) * 12, "")</f>
        <v/>
      </c>
      <c r="J1785" s="2">
        <f>IF(I1785="", "", IF(OR(AND(A1785="Listed Equity Shares", I1785&gt;12), AND(A1785="Unlisted Equity Shares", I1785&gt;24)), "Long Term", "Short Term"))</f>
        <v/>
      </c>
      <c r="K1785" s="5">
        <f>IF(J1785="", "", IF(J1785="Long Term", 12.5%,"as per slab"))</f>
        <v/>
      </c>
      <c r="L1785" s="3">
        <f>+IFERROR(IF(J1785="","",H1785*K1785),"as per slab")</f>
        <v/>
      </c>
    </row>
    <row r="1786">
      <c r="A1786" s="7" t="n"/>
      <c r="B1786" s="7" t="n"/>
      <c r="C1786" s="8" t="n"/>
      <c r="D1786" s="9" t="n"/>
      <c r="E1786" s="8" t="n"/>
      <c r="F1786" s="9" t="n"/>
      <c r="G1786" s="9" t="n"/>
      <c r="H1786" s="3">
        <f>IF(AND(D1786&lt;&gt;"",F1786&lt;&gt;""),F1786-D1786-G1786,"")</f>
        <v/>
      </c>
      <c r="I1786" s="14">
        <f>IF(E1786&lt;&gt;"", YEARFRAC(C1786, E1786) * 12, "")</f>
        <v/>
      </c>
      <c r="J1786" s="2">
        <f>IF(I1786="", "", IF(OR(AND(A1786="Listed Equity Shares", I1786&gt;12), AND(A1786="Unlisted Equity Shares", I1786&gt;24)), "Long Term", "Short Term"))</f>
        <v/>
      </c>
      <c r="K1786" s="5">
        <f>IF(J1786="", "", IF(J1786="Long Term", 12.5%,"as per slab"))</f>
        <v/>
      </c>
      <c r="L1786" s="3">
        <f>+IFERROR(IF(J1786="","",H1786*K1786),"as per slab")</f>
        <v/>
      </c>
    </row>
    <row r="1787">
      <c r="A1787" s="7" t="n"/>
      <c r="B1787" s="7" t="n"/>
      <c r="C1787" s="8" t="n"/>
      <c r="D1787" s="9" t="n"/>
      <c r="E1787" s="8" t="n"/>
      <c r="F1787" s="9" t="n"/>
      <c r="G1787" s="9" t="n"/>
      <c r="H1787" s="3">
        <f>IF(AND(D1787&lt;&gt;"",F1787&lt;&gt;""),F1787-D1787-G1787,"")</f>
        <v/>
      </c>
      <c r="I1787" s="14">
        <f>IF(E1787&lt;&gt;"", YEARFRAC(C1787, E1787) * 12, "")</f>
        <v/>
      </c>
      <c r="J1787" s="2">
        <f>IF(I1787="", "", IF(OR(AND(A1787="Listed Equity Shares", I1787&gt;12), AND(A1787="Unlisted Equity Shares", I1787&gt;24)), "Long Term", "Short Term"))</f>
        <v/>
      </c>
      <c r="K1787" s="5">
        <f>IF(J1787="", "", IF(J1787="Long Term", 12.5%,"as per slab"))</f>
        <v/>
      </c>
      <c r="L1787" s="3">
        <f>+IFERROR(IF(J1787="","",H1787*K1787),"as per slab")</f>
        <v/>
      </c>
    </row>
    <row r="1788">
      <c r="A1788" s="7" t="n"/>
      <c r="B1788" s="7" t="n"/>
      <c r="C1788" s="8" t="n"/>
      <c r="D1788" s="9" t="n"/>
      <c r="E1788" s="8" t="n"/>
      <c r="F1788" s="9" t="n"/>
      <c r="G1788" s="9" t="n"/>
      <c r="H1788" s="3">
        <f>IF(AND(D1788&lt;&gt;"",F1788&lt;&gt;""),F1788-D1788-G1788,"")</f>
        <v/>
      </c>
      <c r="I1788" s="14">
        <f>IF(E1788&lt;&gt;"", YEARFRAC(C1788, E1788) * 12, "")</f>
        <v/>
      </c>
      <c r="J1788" s="2">
        <f>IF(I1788="", "", IF(OR(AND(A1788="Listed Equity Shares", I1788&gt;12), AND(A1788="Unlisted Equity Shares", I1788&gt;24)), "Long Term", "Short Term"))</f>
        <v/>
      </c>
      <c r="K1788" s="5">
        <f>IF(J1788="", "", IF(J1788="Long Term", 12.5%,"as per slab"))</f>
        <v/>
      </c>
      <c r="L1788" s="3">
        <f>+IFERROR(IF(J1788="","",H1788*K1788),"as per slab")</f>
        <v/>
      </c>
    </row>
    <row r="1789">
      <c r="A1789" s="7" t="n"/>
      <c r="B1789" s="7" t="n"/>
      <c r="C1789" s="8" t="n"/>
      <c r="D1789" s="9" t="n"/>
      <c r="E1789" s="8" t="n"/>
      <c r="F1789" s="9" t="n"/>
      <c r="G1789" s="9" t="n"/>
      <c r="H1789" s="3">
        <f>IF(AND(D1789&lt;&gt;"",F1789&lt;&gt;""),F1789-D1789-G1789,"")</f>
        <v/>
      </c>
      <c r="I1789" s="14">
        <f>IF(E1789&lt;&gt;"", YEARFRAC(C1789, E1789) * 12, "")</f>
        <v/>
      </c>
      <c r="J1789" s="2">
        <f>IF(I1789="", "", IF(OR(AND(A1789="Listed Equity Shares", I1789&gt;12), AND(A1789="Unlisted Equity Shares", I1789&gt;24)), "Long Term", "Short Term"))</f>
        <v/>
      </c>
      <c r="K1789" s="5">
        <f>IF(J1789="", "", IF(J1789="Long Term", 12.5%,"as per slab"))</f>
        <v/>
      </c>
      <c r="L1789" s="3">
        <f>+IFERROR(IF(J1789="","",H1789*K1789),"as per slab")</f>
        <v/>
      </c>
    </row>
    <row r="1790">
      <c r="A1790" s="7" t="n"/>
      <c r="B1790" s="7" t="n"/>
      <c r="C1790" s="8" t="n"/>
      <c r="D1790" s="9" t="n"/>
      <c r="E1790" s="8" t="n"/>
      <c r="F1790" s="9" t="n"/>
      <c r="G1790" s="9" t="n"/>
      <c r="H1790" s="3">
        <f>IF(AND(D1790&lt;&gt;"",F1790&lt;&gt;""),F1790-D1790-G1790,"")</f>
        <v/>
      </c>
      <c r="I1790" s="14">
        <f>IF(E1790&lt;&gt;"", YEARFRAC(C1790, E1790) * 12, "")</f>
        <v/>
      </c>
      <c r="J1790" s="2">
        <f>IF(I1790="", "", IF(OR(AND(A1790="Listed Equity Shares", I1790&gt;12), AND(A1790="Unlisted Equity Shares", I1790&gt;24)), "Long Term", "Short Term"))</f>
        <v/>
      </c>
      <c r="K1790" s="5">
        <f>IF(J1790="", "", IF(J1790="Long Term", 12.5%,"as per slab"))</f>
        <v/>
      </c>
      <c r="L1790" s="3">
        <f>+IFERROR(IF(J1790="","",H1790*K1790),"as per slab")</f>
        <v/>
      </c>
    </row>
    <row r="1791">
      <c r="A1791" s="7" t="n"/>
      <c r="B1791" s="7" t="n"/>
      <c r="C1791" s="8" t="n"/>
      <c r="D1791" s="9" t="n"/>
      <c r="E1791" s="8" t="n"/>
      <c r="F1791" s="9" t="n"/>
      <c r="G1791" s="9" t="n"/>
      <c r="H1791" s="3">
        <f>IF(AND(D1791&lt;&gt;"",F1791&lt;&gt;""),F1791-D1791-G1791,"")</f>
        <v/>
      </c>
      <c r="I1791" s="14">
        <f>IF(E1791&lt;&gt;"", YEARFRAC(C1791, E1791) * 12, "")</f>
        <v/>
      </c>
      <c r="J1791" s="2">
        <f>IF(I1791="", "", IF(OR(AND(A1791="Listed Equity Shares", I1791&gt;12), AND(A1791="Unlisted Equity Shares", I1791&gt;24)), "Long Term", "Short Term"))</f>
        <v/>
      </c>
      <c r="K1791" s="5">
        <f>IF(J1791="", "", IF(J1791="Long Term", 12.5%,"as per slab"))</f>
        <v/>
      </c>
      <c r="L1791" s="3">
        <f>+IFERROR(IF(J1791="","",H1791*K1791),"as per slab")</f>
        <v/>
      </c>
    </row>
    <row r="1792">
      <c r="A1792" s="7" t="n"/>
      <c r="B1792" s="7" t="n"/>
      <c r="C1792" s="8" t="n"/>
      <c r="D1792" s="9" t="n"/>
      <c r="E1792" s="8" t="n"/>
      <c r="F1792" s="9" t="n"/>
      <c r="G1792" s="9" t="n"/>
      <c r="H1792" s="3">
        <f>IF(AND(D1792&lt;&gt;"",F1792&lt;&gt;""),F1792-D1792-G1792,"")</f>
        <v/>
      </c>
      <c r="I1792" s="14">
        <f>IF(E1792&lt;&gt;"", YEARFRAC(C1792, E1792) * 12, "")</f>
        <v/>
      </c>
      <c r="J1792" s="2">
        <f>IF(I1792="", "", IF(OR(AND(A1792="Listed Equity Shares", I1792&gt;12), AND(A1792="Unlisted Equity Shares", I1792&gt;24)), "Long Term", "Short Term"))</f>
        <v/>
      </c>
      <c r="K1792" s="5">
        <f>IF(J1792="", "", IF(J1792="Long Term", 12.5%,"as per slab"))</f>
        <v/>
      </c>
      <c r="L1792" s="3">
        <f>+IFERROR(IF(J1792="","",H1792*K1792),"as per slab")</f>
        <v/>
      </c>
    </row>
    <row r="1793">
      <c r="A1793" s="7" t="n"/>
      <c r="B1793" s="7" t="n"/>
      <c r="C1793" s="8" t="n"/>
      <c r="D1793" s="9" t="n"/>
      <c r="E1793" s="8" t="n"/>
      <c r="F1793" s="9" t="n"/>
      <c r="G1793" s="9" t="n"/>
      <c r="H1793" s="3">
        <f>IF(AND(D1793&lt;&gt;"",F1793&lt;&gt;""),F1793-D1793-G1793,"")</f>
        <v/>
      </c>
      <c r="I1793" s="14">
        <f>IF(E1793&lt;&gt;"", YEARFRAC(C1793, E1793) * 12, "")</f>
        <v/>
      </c>
      <c r="J1793" s="2">
        <f>IF(I1793="", "", IF(OR(AND(A1793="Listed Equity Shares", I1793&gt;12), AND(A1793="Unlisted Equity Shares", I1793&gt;24)), "Long Term", "Short Term"))</f>
        <v/>
      </c>
      <c r="K1793" s="5">
        <f>IF(J1793="", "", IF(J1793="Long Term", 12.5%,"as per slab"))</f>
        <v/>
      </c>
      <c r="L1793" s="3">
        <f>+IFERROR(IF(J1793="","",H1793*K1793),"as per slab")</f>
        <v/>
      </c>
    </row>
    <row r="1794">
      <c r="A1794" s="7" t="n"/>
      <c r="B1794" s="7" t="n"/>
      <c r="C1794" s="8" t="n"/>
      <c r="D1794" s="9" t="n"/>
      <c r="E1794" s="8" t="n"/>
      <c r="F1794" s="9" t="n"/>
      <c r="G1794" s="9" t="n"/>
      <c r="H1794" s="3">
        <f>IF(AND(D1794&lt;&gt;"",F1794&lt;&gt;""),F1794-D1794-G1794,"")</f>
        <v/>
      </c>
      <c r="I1794" s="14">
        <f>IF(E1794&lt;&gt;"", YEARFRAC(C1794, E1794) * 12, "")</f>
        <v/>
      </c>
      <c r="J1794" s="2">
        <f>IF(I1794="", "", IF(OR(AND(A1794="Listed Equity Shares", I1794&gt;12), AND(A1794="Unlisted Equity Shares", I1794&gt;24)), "Long Term", "Short Term"))</f>
        <v/>
      </c>
      <c r="K1794" s="5">
        <f>IF(J1794="", "", IF(J1794="Long Term", 12.5%,"as per slab"))</f>
        <v/>
      </c>
      <c r="L1794" s="3">
        <f>+IFERROR(IF(J1794="","",H1794*K1794),"as per slab")</f>
        <v/>
      </c>
    </row>
    <row r="1795">
      <c r="A1795" s="7" t="n"/>
      <c r="B1795" s="7" t="n"/>
      <c r="C1795" s="8" t="n"/>
      <c r="D1795" s="9" t="n"/>
      <c r="E1795" s="8" t="n"/>
      <c r="F1795" s="9" t="n"/>
      <c r="G1795" s="9" t="n"/>
      <c r="H1795" s="3">
        <f>IF(AND(D1795&lt;&gt;"",F1795&lt;&gt;""),F1795-D1795-G1795,"")</f>
        <v/>
      </c>
      <c r="I1795" s="14">
        <f>IF(E1795&lt;&gt;"", YEARFRAC(C1795, E1795) * 12, "")</f>
        <v/>
      </c>
      <c r="J1795" s="2">
        <f>IF(I1795="", "", IF(OR(AND(A1795="Listed Equity Shares", I1795&gt;12), AND(A1795="Unlisted Equity Shares", I1795&gt;24)), "Long Term", "Short Term"))</f>
        <v/>
      </c>
      <c r="K1795" s="5">
        <f>IF(J1795="", "", IF(J1795="Long Term", 12.5%,"as per slab"))</f>
        <v/>
      </c>
      <c r="L1795" s="3">
        <f>+IFERROR(IF(J1795="","",H1795*K1795),"as per slab")</f>
        <v/>
      </c>
    </row>
    <row r="1796">
      <c r="A1796" s="7" t="n"/>
      <c r="B1796" s="7" t="n"/>
      <c r="C1796" s="8" t="n"/>
      <c r="D1796" s="9" t="n"/>
      <c r="E1796" s="8" t="n"/>
      <c r="F1796" s="9" t="n"/>
      <c r="G1796" s="9" t="n"/>
      <c r="H1796" s="3">
        <f>IF(AND(D1796&lt;&gt;"",F1796&lt;&gt;""),F1796-D1796-G1796,"")</f>
        <v/>
      </c>
      <c r="I1796" s="14">
        <f>IF(E1796&lt;&gt;"", YEARFRAC(C1796, E1796) * 12, "")</f>
        <v/>
      </c>
      <c r="J1796" s="2">
        <f>IF(I1796="", "", IF(OR(AND(A1796="Listed Equity Shares", I1796&gt;12), AND(A1796="Unlisted Equity Shares", I1796&gt;24)), "Long Term", "Short Term"))</f>
        <v/>
      </c>
      <c r="K1796" s="5">
        <f>IF(J1796="", "", IF(J1796="Long Term", 12.5%,"as per slab"))</f>
        <v/>
      </c>
      <c r="L1796" s="3">
        <f>+IFERROR(IF(J1796="","",H1796*K1796),"as per slab")</f>
        <v/>
      </c>
    </row>
    <row r="1797">
      <c r="A1797" s="7" t="n"/>
      <c r="B1797" s="7" t="n"/>
      <c r="C1797" s="8" t="n"/>
      <c r="D1797" s="9" t="n"/>
      <c r="E1797" s="8" t="n"/>
      <c r="F1797" s="9" t="n"/>
      <c r="G1797" s="9" t="n"/>
      <c r="H1797" s="3">
        <f>IF(AND(D1797&lt;&gt;"",F1797&lt;&gt;""),F1797-D1797-G1797,"")</f>
        <v/>
      </c>
      <c r="I1797" s="14">
        <f>IF(E1797&lt;&gt;"", YEARFRAC(C1797, E1797) * 12, "")</f>
        <v/>
      </c>
      <c r="J1797" s="2">
        <f>IF(I1797="", "", IF(OR(AND(A1797="Listed Equity Shares", I1797&gt;12), AND(A1797="Unlisted Equity Shares", I1797&gt;24)), "Long Term", "Short Term"))</f>
        <v/>
      </c>
      <c r="K1797" s="5">
        <f>IF(J1797="", "", IF(J1797="Long Term", 12.5%,"as per slab"))</f>
        <v/>
      </c>
      <c r="L1797" s="3">
        <f>+IFERROR(IF(J1797="","",H1797*K1797),"as per slab")</f>
        <v/>
      </c>
    </row>
    <row r="1798">
      <c r="A1798" s="7" t="n"/>
      <c r="B1798" s="7" t="n"/>
      <c r="C1798" s="8" t="n"/>
      <c r="D1798" s="9" t="n"/>
      <c r="E1798" s="8" t="n"/>
      <c r="F1798" s="9" t="n"/>
      <c r="G1798" s="9" t="n"/>
      <c r="H1798" s="3">
        <f>IF(AND(D1798&lt;&gt;"",F1798&lt;&gt;""),F1798-D1798-G1798,"")</f>
        <v/>
      </c>
      <c r="I1798" s="14">
        <f>IF(E1798&lt;&gt;"", YEARFRAC(C1798, E1798) * 12, "")</f>
        <v/>
      </c>
      <c r="J1798" s="2">
        <f>IF(I1798="", "", IF(OR(AND(A1798="Listed Equity Shares", I1798&gt;12), AND(A1798="Unlisted Equity Shares", I1798&gt;24)), "Long Term", "Short Term"))</f>
        <v/>
      </c>
      <c r="K1798" s="5">
        <f>IF(J1798="", "", IF(J1798="Long Term", 12.5%,"as per slab"))</f>
        <v/>
      </c>
      <c r="L1798" s="3">
        <f>+IFERROR(IF(J1798="","",H1798*K1798),"as per slab")</f>
        <v/>
      </c>
    </row>
    <row r="1799">
      <c r="A1799" s="7" t="n"/>
      <c r="B1799" s="7" t="n"/>
      <c r="C1799" s="8" t="n"/>
      <c r="D1799" s="9" t="n"/>
      <c r="E1799" s="8" t="n"/>
      <c r="F1799" s="9" t="n"/>
      <c r="G1799" s="9" t="n"/>
      <c r="H1799" s="3">
        <f>IF(AND(D1799&lt;&gt;"",F1799&lt;&gt;""),F1799-D1799-G1799,"")</f>
        <v/>
      </c>
      <c r="I1799" s="14">
        <f>IF(E1799&lt;&gt;"", YEARFRAC(C1799, E1799) * 12, "")</f>
        <v/>
      </c>
      <c r="J1799" s="2">
        <f>IF(I1799="", "", IF(OR(AND(A1799="Listed Equity Shares", I1799&gt;12), AND(A1799="Unlisted Equity Shares", I1799&gt;24)), "Long Term", "Short Term"))</f>
        <v/>
      </c>
      <c r="K1799" s="5">
        <f>IF(J1799="", "", IF(J1799="Long Term", 12.5%,"as per slab"))</f>
        <v/>
      </c>
      <c r="L1799" s="3">
        <f>+IFERROR(IF(J1799="","",H1799*K1799),"as per slab")</f>
        <v/>
      </c>
    </row>
    <row r="1800">
      <c r="A1800" s="7" t="n"/>
      <c r="B1800" s="7" t="n"/>
      <c r="C1800" s="8" t="n"/>
      <c r="D1800" s="9" t="n"/>
      <c r="E1800" s="8" t="n"/>
      <c r="F1800" s="9" t="n"/>
      <c r="G1800" s="9" t="n"/>
      <c r="H1800" s="3">
        <f>IF(AND(D1800&lt;&gt;"",F1800&lt;&gt;""),F1800-D1800-G1800,"")</f>
        <v/>
      </c>
      <c r="I1800" s="14">
        <f>IF(E1800&lt;&gt;"", YEARFRAC(C1800, E1800) * 12, "")</f>
        <v/>
      </c>
      <c r="J1800" s="2">
        <f>IF(I1800="", "", IF(OR(AND(A1800="Listed Equity Shares", I1800&gt;12), AND(A1800="Unlisted Equity Shares", I1800&gt;24)), "Long Term", "Short Term"))</f>
        <v/>
      </c>
      <c r="K1800" s="5">
        <f>IF(J1800="", "", IF(J1800="Long Term", 12.5%,"as per slab"))</f>
        <v/>
      </c>
      <c r="L1800" s="3">
        <f>+IFERROR(IF(J1800="","",H1800*K1800),"as per slab")</f>
        <v/>
      </c>
    </row>
    <row r="1801">
      <c r="A1801" s="7" t="n"/>
      <c r="B1801" s="7" t="n"/>
      <c r="C1801" s="8" t="n"/>
      <c r="D1801" s="9" t="n"/>
      <c r="E1801" s="8" t="n"/>
      <c r="F1801" s="9" t="n"/>
      <c r="G1801" s="9" t="n"/>
      <c r="H1801" s="3">
        <f>IF(AND(D1801&lt;&gt;"",F1801&lt;&gt;""),F1801-D1801-G1801,"")</f>
        <v/>
      </c>
      <c r="I1801" s="14">
        <f>IF(E1801&lt;&gt;"", YEARFRAC(C1801, E1801) * 12, "")</f>
        <v/>
      </c>
      <c r="J1801" s="2">
        <f>IF(I1801="", "", IF(OR(AND(A1801="Listed Equity Shares", I1801&gt;12), AND(A1801="Unlisted Equity Shares", I1801&gt;24)), "Long Term", "Short Term"))</f>
        <v/>
      </c>
      <c r="K1801" s="5">
        <f>IF(J1801="", "", IF(J1801="Long Term", 12.5%,"as per slab"))</f>
        <v/>
      </c>
      <c r="L1801" s="3">
        <f>+IFERROR(IF(J1801="","",H1801*K1801),"as per slab")</f>
        <v/>
      </c>
    </row>
    <row r="1802">
      <c r="A1802" s="7" t="n"/>
      <c r="B1802" s="7" t="n"/>
      <c r="C1802" s="8" t="n"/>
      <c r="D1802" s="9" t="n"/>
      <c r="E1802" s="8" t="n"/>
      <c r="F1802" s="9" t="n"/>
      <c r="G1802" s="9" t="n"/>
      <c r="H1802" s="3">
        <f>IF(AND(D1802&lt;&gt;"",F1802&lt;&gt;""),F1802-D1802-G1802,"")</f>
        <v/>
      </c>
      <c r="I1802" s="14">
        <f>IF(E1802&lt;&gt;"", YEARFRAC(C1802, E1802) * 12, "")</f>
        <v/>
      </c>
      <c r="J1802" s="2">
        <f>IF(I1802="", "", IF(OR(AND(A1802="Listed Equity Shares", I1802&gt;12), AND(A1802="Unlisted Equity Shares", I1802&gt;24)), "Long Term", "Short Term"))</f>
        <v/>
      </c>
      <c r="K1802" s="5">
        <f>IF(J1802="", "", IF(J1802="Long Term", 12.5%,"as per slab"))</f>
        <v/>
      </c>
      <c r="L1802" s="3">
        <f>+IFERROR(IF(J1802="","",H1802*K1802),"as per slab")</f>
        <v/>
      </c>
    </row>
    <row r="1803">
      <c r="A1803" s="7" t="n"/>
      <c r="B1803" s="7" t="n"/>
      <c r="C1803" s="8" t="n"/>
      <c r="D1803" s="9" t="n"/>
      <c r="E1803" s="8" t="n"/>
      <c r="F1803" s="9" t="n"/>
      <c r="G1803" s="9" t="n"/>
      <c r="H1803" s="3">
        <f>IF(AND(D1803&lt;&gt;"",F1803&lt;&gt;""),F1803-D1803-G1803,"")</f>
        <v/>
      </c>
      <c r="I1803" s="14">
        <f>IF(E1803&lt;&gt;"", YEARFRAC(C1803, E1803) * 12, "")</f>
        <v/>
      </c>
      <c r="J1803" s="2">
        <f>IF(I1803="", "", IF(OR(AND(A1803="Listed Equity Shares", I1803&gt;12), AND(A1803="Unlisted Equity Shares", I1803&gt;24)), "Long Term", "Short Term"))</f>
        <v/>
      </c>
      <c r="K1803" s="5">
        <f>IF(J1803="", "", IF(J1803="Long Term", 12.5%,"as per slab"))</f>
        <v/>
      </c>
      <c r="L1803" s="3">
        <f>+IFERROR(IF(J1803="","",H1803*K1803),"as per slab")</f>
        <v/>
      </c>
    </row>
    <row r="1804">
      <c r="A1804" s="7" t="n"/>
      <c r="B1804" s="7" t="n"/>
      <c r="C1804" s="8" t="n"/>
      <c r="D1804" s="9" t="n"/>
      <c r="E1804" s="8" t="n"/>
      <c r="F1804" s="9" t="n"/>
      <c r="G1804" s="9" t="n"/>
      <c r="H1804" s="3">
        <f>IF(AND(D1804&lt;&gt;"",F1804&lt;&gt;""),F1804-D1804-G1804,"")</f>
        <v/>
      </c>
      <c r="I1804" s="14">
        <f>IF(E1804&lt;&gt;"", YEARFRAC(C1804, E1804) * 12, "")</f>
        <v/>
      </c>
      <c r="J1804" s="2">
        <f>IF(I1804="", "", IF(OR(AND(A1804="Listed Equity Shares", I1804&gt;12), AND(A1804="Unlisted Equity Shares", I1804&gt;24)), "Long Term", "Short Term"))</f>
        <v/>
      </c>
      <c r="K1804" s="5">
        <f>IF(J1804="", "", IF(J1804="Long Term", 12.5%,"as per slab"))</f>
        <v/>
      </c>
      <c r="L1804" s="3">
        <f>+IFERROR(IF(J1804="","",H1804*K1804),"as per slab")</f>
        <v/>
      </c>
    </row>
    <row r="1805">
      <c r="A1805" s="7" t="n"/>
      <c r="B1805" s="7" t="n"/>
      <c r="C1805" s="8" t="n"/>
      <c r="D1805" s="9" t="n"/>
      <c r="E1805" s="8" t="n"/>
      <c r="F1805" s="9" t="n"/>
      <c r="G1805" s="9" t="n"/>
      <c r="H1805" s="3">
        <f>IF(AND(D1805&lt;&gt;"",F1805&lt;&gt;""),F1805-D1805-G1805,"")</f>
        <v/>
      </c>
      <c r="I1805" s="14">
        <f>IF(E1805&lt;&gt;"", YEARFRAC(C1805, E1805) * 12, "")</f>
        <v/>
      </c>
      <c r="J1805" s="2">
        <f>IF(I1805="", "", IF(OR(AND(A1805="Listed Equity Shares", I1805&gt;12), AND(A1805="Unlisted Equity Shares", I1805&gt;24)), "Long Term", "Short Term"))</f>
        <v/>
      </c>
      <c r="K1805" s="5">
        <f>IF(J1805="", "", IF(J1805="Long Term", 12.5%,"as per slab"))</f>
        <v/>
      </c>
      <c r="L1805" s="3">
        <f>+IFERROR(IF(J1805="","",H1805*K1805),"as per slab")</f>
        <v/>
      </c>
    </row>
    <row r="1806">
      <c r="A1806" s="7" t="n"/>
      <c r="B1806" s="7" t="n"/>
      <c r="C1806" s="8" t="n"/>
      <c r="D1806" s="9" t="n"/>
      <c r="E1806" s="8" t="n"/>
      <c r="F1806" s="9" t="n"/>
      <c r="G1806" s="9" t="n"/>
      <c r="H1806" s="3">
        <f>IF(AND(D1806&lt;&gt;"",F1806&lt;&gt;""),F1806-D1806-G1806,"")</f>
        <v/>
      </c>
      <c r="I1806" s="14">
        <f>IF(E1806&lt;&gt;"", YEARFRAC(C1806, E1806) * 12, "")</f>
        <v/>
      </c>
      <c r="J1806" s="2">
        <f>IF(I1806="", "", IF(OR(AND(A1806="Listed Equity Shares", I1806&gt;12), AND(A1806="Unlisted Equity Shares", I1806&gt;24)), "Long Term", "Short Term"))</f>
        <v/>
      </c>
      <c r="K1806" s="5">
        <f>IF(J1806="", "", IF(J1806="Long Term", 12.5%,"as per slab"))</f>
        <v/>
      </c>
      <c r="L1806" s="3">
        <f>+IFERROR(IF(J1806="","",H1806*K1806),"as per slab")</f>
        <v/>
      </c>
    </row>
    <row r="1807">
      <c r="A1807" s="7" t="n"/>
      <c r="B1807" s="7" t="n"/>
      <c r="C1807" s="8" t="n"/>
      <c r="D1807" s="9" t="n"/>
      <c r="E1807" s="8" t="n"/>
      <c r="F1807" s="9" t="n"/>
      <c r="G1807" s="9" t="n"/>
      <c r="H1807" s="3">
        <f>IF(AND(D1807&lt;&gt;"",F1807&lt;&gt;""),F1807-D1807-G1807,"")</f>
        <v/>
      </c>
      <c r="I1807" s="14">
        <f>IF(E1807&lt;&gt;"", YEARFRAC(C1807, E1807) * 12, "")</f>
        <v/>
      </c>
      <c r="J1807" s="2">
        <f>IF(I1807="", "", IF(OR(AND(A1807="Listed Equity Shares", I1807&gt;12), AND(A1807="Unlisted Equity Shares", I1807&gt;24)), "Long Term", "Short Term"))</f>
        <v/>
      </c>
      <c r="K1807" s="5">
        <f>IF(J1807="", "", IF(J1807="Long Term", 12.5%,"as per slab"))</f>
        <v/>
      </c>
      <c r="L1807" s="3">
        <f>+IFERROR(IF(J1807="","",H1807*K1807),"as per slab")</f>
        <v/>
      </c>
    </row>
    <row r="1808">
      <c r="A1808" s="7" t="n"/>
      <c r="B1808" s="7" t="n"/>
      <c r="C1808" s="8" t="n"/>
      <c r="D1808" s="9" t="n"/>
      <c r="E1808" s="8" t="n"/>
      <c r="F1808" s="9" t="n"/>
      <c r="G1808" s="9" t="n"/>
      <c r="H1808" s="3">
        <f>IF(AND(D1808&lt;&gt;"",F1808&lt;&gt;""),F1808-D1808-G1808,"")</f>
        <v/>
      </c>
      <c r="I1808" s="14">
        <f>IF(E1808&lt;&gt;"", YEARFRAC(C1808, E1808) * 12, "")</f>
        <v/>
      </c>
      <c r="J1808" s="2">
        <f>IF(I1808="", "", IF(OR(AND(A1808="Listed Equity Shares", I1808&gt;12), AND(A1808="Unlisted Equity Shares", I1808&gt;24)), "Long Term", "Short Term"))</f>
        <v/>
      </c>
      <c r="K1808" s="5">
        <f>IF(J1808="", "", IF(J1808="Long Term", 12.5%,"as per slab"))</f>
        <v/>
      </c>
      <c r="L1808" s="3">
        <f>+IFERROR(IF(J1808="","",H1808*K1808),"as per slab")</f>
        <v/>
      </c>
    </row>
    <row r="1809">
      <c r="A1809" s="7" t="n"/>
      <c r="B1809" s="7" t="n"/>
      <c r="C1809" s="8" t="n"/>
      <c r="D1809" s="9" t="n"/>
      <c r="E1809" s="8" t="n"/>
      <c r="F1809" s="9" t="n"/>
      <c r="G1809" s="9" t="n"/>
      <c r="H1809" s="3">
        <f>IF(AND(D1809&lt;&gt;"",F1809&lt;&gt;""),F1809-D1809-G1809,"")</f>
        <v/>
      </c>
      <c r="I1809" s="14">
        <f>IF(E1809&lt;&gt;"", YEARFRAC(C1809, E1809) * 12, "")</f>
        <v/>
      </c>
      <c r="J1809" s="2">
        <f>IF(I1809="", "", IF(OR(AND(A1809="Listed Equity Shares", I1809&gt;12), AND(A1809="Unlisted Equity Shares", I1809&gt;24)), "Long Term", "Short Term"))</f>
        <v/>
      </c>
      <c r="K1809" s="5">
        <f>IF(J1809="", "", IF(J1809="Long Term", 12.5%,"as per slab"))</f>
        <v/>
      </c>
      <c r="L1809" s="3">
        <f>+IFERROR(IF(J1809="","",H1809*K1809),"as per slab")</f>
        <v/>
      </c>
    </row>
    <row r="1810">
      <c r="A1810" s="7" t="n"/>
      <c r="B1810" s="7" t="n"/>
      <c r="C1810" s="8" t="n"/>
      <c r="D1810" s="9" t="n"/>
      <c r="E1810" s="8" t="n"/>
      <c r="F1810" s="9" t="n"/>
      <c r="G1810" s="9" t="n"/>
      <c r="H1810" s="3">
        <f>IF(AND(D1810&lt;&gt;"",F1810&lt;&gt;""),F1810-D1810-G1810,"")</f>
        <v/>
      </c>
      <c r="I1810" s="14">
        <f>IF(E1810&lt;&gt;"", YEARFRAC(C1810, E1810) * 12, "")</f>
        <v/>
      </c>
      <c r="J1810" s="2">
        <f>IF(I1810="", "", IF(OR(AND(A1810="Listed Equity Shares", I1810&gt;12), AND(A1810="Unlisted Equity Shares", I1810&gt;24)), "Long Term", "Short Term"))</f>
        <v/>
      </c>
      <c r="K1810" s="5">
        <f>IF(J1810="", "", IF(J1810="Long Term", 12.5%,"as per slab"))</f>
        <v/>
      </c>
      <c r="L1810" s="3">
        <f>+IFERROR(IF(J1810="","",H1810*K1810),"as per slab")</f>
        <v/>
      </c>
    </row>
    <row r="1811">
      <c r="A1811" s="7" t="n"/>
      <c r="B1811" s="7" t="n"/>
      <c r="C1811" s="8" t="n"/>
      <c r="D1811" s="9" t="n"/>
      <c r="E1811" s="8" t="n"/>
      <c r="F1811" s="9" t="n"/>
      <c r="G1811" s="9" t="n"/>
      <c r="H1811" s="3">
        <f>IF(AND(D1811&lt;&gt;"",F1811&lt;&gt;""),F1811-D1811-G1811,"")</f>
        <v/>
      </c>
      <c r="I1811" s="14">
        <f>IF(E1811&lt;&gt;"", YEARFRAC(C1811, E1811) * 12, "")</f>
        <v/>
      </c>
      <c r="J1811" s="2">
        <f>IF(I1811="", "", IF(OR(AND(A1811="Listed Equity Shares", I1811&gt;12), AND(A1811="Unlisted Equity Shares", I1811&gt;24)), "Long Term", "Short Term"))</f>
        <v/>
      </c>
      <c r="K1811" s="5">
        <f>IF(J1811="", "", IF(J1811="Long Term", 12.5%,"as per slab"))</f>
        <v/>
      </c>
      <c r="L1811" s="3">
        <f>+IFERROR(IF(J1811="","",H1811*K1811),"as per slab")</f>
        <v/>
      </c>
    </row>
    <row r="1812">
      <c r="A1812" s="7" t="n"/>
      <c r="B1812" s="7" t="n"/>
      <c r="C1812" s="8" t="n"/>
      <c r="D1812" s="9" t="n"/>
      <c r="E1812" s="8" t="n"/>
      <c r="F1812" s="9" t="n"/>
      <c r="G1812" s="9" t="n"/>
      <c r="H1812" s="3">
        <f>IF(AND(D1812&lt;&gt;"",F1812&lt;&gt;""),F1812-D1812-G1812,"")</f>
        <v/>
      </c>
      <c r="I1812" s="14">
        <f>IF(E1812&lt;&gt;"", YEARFRAC(C1812, E1812) * 12, "")</f>
        <v/>
      </c>
      <c r="J1812" s="2">
        <f>IF(I1812="", "", IF(OR(AND(A1812="Listed Equity Shares", I1812&gt;12), AND(A1812="Unlisted Equity Shares", I1812&gt;24)), "Long Term", "Short Term"))</f>
        <v/>
      </c>
      <c r="K1812" s="5">
        <f>IF(J1812="", "", IF(J1812="Long Term", 12.5%,"as per slab"))</f>
        <v/>
      </c>
      <c r="L1812" s="3">
        <f>+IFERROR(IF(J1812="","",H1812*K1812),"as per slab")</f>
        <v/>
      </c>
    </row>
    <row r="1813">
      <c r="A1813" s="7" t="n"/>
      <c r="B1813" s="7" t="n"/>
      <c r="C1813" s="8" t="n"/>
      <c r="D1813" s="9" t="n"/>
      <c r="E1813" s="8" t="n"/>
      <c r="F1813" s="9" t="n"/>
      <c r="G1813" s="9" t="n"/>
      <c r="H1813" s="3">
        <f>IF(AND(D1813&lt;&gt;"",F1813&lt;&gt;""),F1813-D1813-G1813,"")</f>
        <v/>
      </c>
      <c r="I1813" s="14">
        <f>IF(E1813&lt;&gt;"", YEARFRAC(C1813, E1813) * 12, "")</f>
        <v/>
      </c>
      <c r="J1813" s="2">
        <f>IF(I1813="", "", IF(OR(AND(A1813="Listed Equity Shares", I1813&gt;12), AND(A1813="Unlisted Equity Shares", I1813&gt;24)), "Long Term", "Short Term"))</f>
        <v/>
      </c>
      <c r="K1813" s="5">
        <f>IF(J1813="", "", IF(J1813="Long Term", 12.5%,"as per slab"))</f>
        <v/>
      </c>
      <c r="L1813" s="3">
        <f>+IFERROR(IF(J1813="","",H1813*K1813),"as per slab")</f>
        <v/>
      </c>
    </row>
    <row r="1814">
      <c r="A1814" s="7" t="n"/>
      <c r="B1814" s="7" t="n"/>
      <c r="C1814" s="8" t="n"/>
      <c r="D1814" s="9" t="n"/>
      <c r="E1814" s="8" t="n"/>
      <c r="F1814" s="9" t="n"/>
      <c r="G1814" s="9" t="n"/>
      <c r="H1814" s="3">
        <f>IF(AND(D1814&lt;&gt;"",F1814&lt;&gt;""),F1814-D1814-G1814,"")</f>
        <v/>
      </c>
      <c r="I1814" s="14">
        <f>IF(E1814&lt;&gt;"", YEARFRAC(C1814, E1814) * 12, "")</f>
        <v/>
      </c>
      <c r="J1814" s="2">
        <f>IF(I1814="", "", IF(OR(AND(A1814="Listed Equity Shares", I1814&gt;12), AND(A1814="Unlisted Equity Shares", I1814&gt;24)), "Long Term", "Short Term"))</f>
        <v/>
      </c>
      <c r="K1814" s="5">
        <f>IF(J1814="", "", IF(J1814="Long Term", 12.5%,"as per slab"))</f>
        <v/>
      </c>
      <c r="L1814" s="3">
        <f>+IFERROR(IF(J1814="","",H1814*K1814),"as per slab")</f>
        <v/>
      </c>
    </row>
    <row r="1815">
      <c r="A1815" s="7" t="n"/>
      <c r="B1815" s="7" t="n"/>
      <c r="C1815" s="8" t="n"/>
      <c r="D1815" s="9" t="n"/>
      <c r="E1815" s="8" t="n"/>
      <c r="F1815" s="9" t="n"/>
      <c r="G1815" s="9" t="n"/>
      <c r="H1815" s="3">
        <f>IF(AND(D1815&lt;&gt;"",F1815&lt;&gt;""),F1815-D1815-G1815,"")</f>
        <v/>
      </c>
      <c r="I1815" s="14">
        <f>IF(E1815&lt;&gt;"", YEARFRAC(C1815, E1815) * 12, "")</f>
        <v/>
      </c>
      <c r="J1815" s="2">
        <f>IF(I1815="", "", IF(OR(AND(A1815="Listed Equity Shares", I1815&gt;12), AND(A1815="Unlisted Equity Shares", I1815&gt;24)), "Long Term", "Short Term"))</f>
        <v/>
      </c>
      <c r="K1815" s="5">
        <f>IF(J1815="", "", IF(J1815="Long Term", 12.5%,"as per slab"))</f>
        <v/>
      </c>
      <c r="L1815" s="3">
        <f>+IFERROR(IF(J1815="","",H1815*K1815),"as per slab")</f>
        <v/>
      </c>
    </row>
    <row r="1816">
      <c r="A1816" s="7" t="n"/>
      <c r="B1816" s="7" t="n"/>
      <c r="C1816" s="8" t="n"/>
      <c r="D1816" s="9" t="n"/>
      <c r="E1816" s="8" t="n"/>
      <c r="F1816" s="9" t="n"/>
      <c r="G1816" s="9" t="n"/>
      <c r="H1816" s="3">
        <f>IF(AND(D1816&lt;&gt;"",F1816&lt;&gt;""),F1816-D1816-G1816,"")</f>
        <v/>
      </c>
      <c r="I1816" s="14">
        <f>IF(E1816&lt;&gt;"", YEARFRAC(C1816, E1816) * 12, "")</f>
        <v/>
      </c>
      <c r="J1816" s="2">
        <f>IF(I1816="", "", IF(OR(AND(A1816="Listed Equity Shares", I1816&gt;12), AND(A1816="Unlisted Equity Shares", I1816&gt;24)), "Long Term", "Short Term"))</f>
        <v/>
      </c>
      <c r="K1816" s="5">
        <f>IF(J1816="", "", IF(J1816="Long Term", 12.5%,"as per slab"))</f>
        <v/>
      </c>
      <c r="L1816" s="3">
        <f>+IFERROR(IF(J1816="","",H1816*K1816),"as per slab")</f>
        <v/>
      </c>
    </row>
    <row r="1817">
      <c r="A1817" s="7" t="n"/>
      <c r="B1817" s="7" t="n"/>
      <c r="C1817" s="8" t="n"/>
      <c r="D1817" s="9" t="n"/>
      <c r="E1817" s="8" t="n"/>
      <c r="F1817" s="9" t="n"/>
      <c r="G1817" s="9" t="n"/>
      <c r="H1817" s="3">
        <f>IF(AND(D1817&lt;&gt;"",F1817&lt;&gt;""),F1817-D1817-G1817,"")</f>
        <v/>
      </c>
      <c r="I1817" s="14">
        <f>IF(E1817&lt;&gt;"", YEARFRAC(C1817, E1817) * 12, "")</f>
        <v/>
      </c>
      <c r="J1817" s="2">
        <f>IF(I1817="", "", IF(OR(AND(A1817="Listed Equity Shares", I1817&gt;12), AND(A1817="Unlisted Equity Shares", I1817&gt;24)), "Long Term", "Short Term"))</f>
        <v/>
      </c>
      <c r="K1817" s="5">
        <f>IF(J1817="", "", IF(J1817="Long Term", 12.5%,"as per slab"))</f>
        <v/>
      </c>
      <c r="L1817" s="3">
        <f>+IFERROR(IF(J1817="","",H1817*K1817),"as per slab")</f>
        <v/>
      </c>
    </row>
    <row r="1818">
      <c r="A1818" s="7" t="n"/>
      <c r="B1818" s="7" t="n"/>
      <c r="C1818" s="8" t="n"/>
      <c r="D1818" s="9" t="n"/>
      <c r="E1818" s="8" t="n"/>
      <c r="F1818" s="9" t="n"/>
      <c r="G1818" s="9" t="n"/>
      <c r="H1818" s="3">
        <f>IF(AND(D1818&lt;&gt;"",F1818&lt;&gt;""),F1818-D1818-G1818,"")</f>
        <v/>
      </c>
      <c r="I1818" s="14">
        <f>IF(E1818&lt;&gt;"", YEARFRAC(C1818, E1818) * 12, "")</f>
        <v/>
      </c>
      <c r="J1818" s="2">
        <f>IF(I1818="", "", IF(OR(AND(A1818="Listed Equity Shares", I1818&gt;12), AND(A1818="Unlisted Equity Shares", I1818&gt;24)), "Long Term", "Short Term"))</f>
        <v/>
      </c>
      <c r="K1818" s="5">
        <f>IF(J1818="", "", IF(J1818="Long Term", 12.5%,"as per slab"))</f>
        <v/>
      </c>
      <c r="L1818" s="3">
        <f>+IFERROR(IF(J1818="","",H1818*K1818),"as per slab")</f>
        <v/>
      </c>
    </row>
    <row r="1819">
      <c r="A1819" s="7" t="n"/>
      <c r="B1819" s="7" t="n"/>
      <c r="C1819" s="8" t="n"/>
      <c r="D1819" s="9" t="n"/>
      <c r="E1819" s="8" t="n"/>
      <c r="F1819" s="9" t="n"/>
      <c r="G1819" s="9" t="n"/>
      <c r="H1819" s="3">
        <f>IF(AND(D1819&lt;&gt;"",F1819&lt;&gt;""),F1819-D1819-G1819,"")</f>
        <v/>
      </c>
      <c r="I1819" s="14">
        <f>IF(E1819&lt;&gt;"", YEARFRAC(C1819, E1819) * 12, "")</f>
        <v/>
      </c>
      <c r="J1819" s="2">
        <f>IF(I1819="", "", IF(OR(AND(A1819="Listed Equity Shares", I1819&gt;12), AND(A1819="Unlisted Equity Shares", I1819&gt;24)), "Long Term", "Short Term"))</f>
        <v/>
      </c>
      <c r="K1819" s="5">
        <f>IF(J1819="", "", IF(J1819="Long Term", 12.5%,"as per slab"))</f>
        <v/>
      </c>
      <c r="L1819" s="3">
        <f>+IFERROR(IF(J1819="","",H1819*K1819),"as per slab")</f>
        <v/>
      </c>
    </row>
    <row r="1820">
      <c r="A1820" s="7" t="n"/>
      <c r="B1820" s="7" t="n"/>
      <c r="C1820" s="8" t="n"/>
      <c r="D1820" s="9" t="n"/>
      <c r="E1820" s="8" t="n"/>
      <c r="F1820" s="9" t="n"/>
      <c r="G1820" s="9" t="n"/>
      <c r="H1820" s="3">
        <f>IF(AND(D1820&lt;&gt;"",F1820&lt;&gt;""),F1820-D1820-G1820,"")</f>
        <v/>
      </c>
      <c r="I1820" s="14">
        <f>IF(E1820&lt;&gt;"", YEARFRAC(C1820, E1820) * 12, "")</f>
        <v/>
      </c>
      <c r="J1820" s="2">
        <f>IF(I1820="", "", IF(OR(AND(A1820="Listed Equity Shares", I1820&gt;12), AND(A1820="Unlisted Equity Shares", I1820&gt;24)), "Long Term", "Short Term"))</f>
        <v/>
      </c>
      <c r="K1820" s="5">
        <f>IF(J1820="", "", IF(J1820="Long Term", 12.5%,"as per slab"))</f>
        <v/>
      </c>
      <c r="L1820" s="3">
        <f>+IFERROR(IF(J1820="","",H1820*K1820),"as per slab")</f>
        <v/>
      </c>
    </row>
    <row r="1821">
      <c r="A1821" s="7" t="n"/>
      <c r="B1821" s="7" t="n"/>
      <c r="C1821" s="8" t="n"/>
      <c r="D1821" s="9" t="n"/>
      <c r="E1821" s="8" t="n"/>
      <c r="F1821" s="9" t="n"/>
      <c r="G1821" s="9" t="n"/>
      <c r="H1821" s="3">
        <f>IF(AND(D1821&lt;&gt;"",F1821&lt;&gt;""),F1821-D1821-G1821,"")</f>
        <v/>
      </c>
      <c r="I1821" s="14">
        <f>IF(E1821&lt;&gt;"", YEARFRAC(C1821, E1821) * 12, "")</f>
        <v/>
      </c>
      <c r="J1821" s="2">
        <f>IF(I1821="", "", IF(OR(AND(A1821="Listed Equity Shares", I1821&gt;12), AND(A1821="Unlisted Equity Shares", I1821&gt;24)), "Long Term", "Short Term"))</f>
        <v/>
      </c>
      <c r="K1821" s="5">
        <f>IF(J1821="", "", IF(J1821="Long Term", 12.5%,"as per slab"))</f>
        <v/>
      </c>
      <c r="L1821" s="3">
        <f>+IFERROR(IF(J1821="","",H1821*K1821),"as per slab")</f>
        <v/>
      </c>
    </row>
    <row r="1822">
      <c r="A1822" s="7" t="n"/>
      <c r="B1822" s="7" t="n"/>
      <c r="C1822" s="8" t="n"/>
      <c r="D1822" s="9" t="n"/>
      <c r="E1822" s="8" t="n"/>
      <c r="F1822" s="9" t="n"/>
      <c r="G1822" s="9" t="n"/>
      <c r="H1822" s="3">
        <f>IF(AND(D1822&lt;&gt;"",F1822&lt;&gt;""),F1822-D1822-G1822,"")</f>
        <v/>
      </c>
      <c r="I1822" s="14">
        <f>IF(E1822&lt;&gt;"", YEARFRAC(C1822, E1822) * 12, "")</f>
        <v/>
      </c>
      <c r="J1822" s="2">
        <f>IF(I1822="", "", IF(OR(AND(A1822="Listed Equity Shares", I1822&gt;12), AND(A1822="Unlisted Equity Shares", I1822&gt;24)), "Long Term", "Short Term"))</f>
        <v/>
      </c>
      <c r="K1822" s="5">
        <f>IF(J1822="", "", IF(J1822="Long Term", 12.5%,"as per slab"))</f>
        <v/>
      </c>
      <c r="L1822" s="3">
        <f>+IFERROR(IF(J1822="","",H1822*K1822),"as per slab")</f>
        <v/>
      </c>
    </row>
    <row r="1823">
      <c r="A1823" s="7" t="n"/>
      <c r="B1823" s="7" t="n"/>
      <c r="C1823" s="8" t="n"/>
      <c r="D1823" s="9" t="n"/>
      <c r="E1823" s="8" t="n"/>
      <c r="F1823" s="9" t="n"/>
      <c r="G1823" s="9" t="n"/>
      <c r="H1823" s="3">
        <f>IF(AND(D1823&lt;&gt;"",F1823&lt;&gt;""),F1823-D1823-G1823,"")</f>
        <v/>
      </c>
      <c r="I1823" s="14">
        <f>IF(E1823&lt;&gt;"", YEARFRAC(C1823, E1823) * 12, "")</f>
        <v/>
      </c>
      <c r="J1823" s="2">
        <f>IF(I1823="", "", IF(OR(AND(A1823="Listed Equity Shares", I1823&gt;12), AND(A1823="Unlisted Equity Shares", I1823&gt;24)), "Long Term", "Short Term"))</f>
        <v/>
      </c>
      <c r="K1823" s="5">
        <f>IF(J1823="", "", IF(J1823="Long Term", 12.5%,"as per slab"))</f>
        <v/>
      </c>
      <c r="L1823" s="3">
        <f>+IFERROR(IF(J1823="","",H1823*K1823),"as per slab")</f>
        <v/>
      </c>
    </row>
    <row r="1824">
      <c r="A1824" s="7" t="n"/>
      <c r="B1824" s="7" t="n"/>
      <c r="C1824" s="8" t="n"/>
      <c r="D1824" s="9" t="n"/>
      <c r="E1824" s="8" t="n"/>
      <c r="F1824" s="9" t="n"/>
      <c r="G1824" s="9" t="n"/>
      <c r="H1824" s="3">
        <f>IF(AND(D1824&lt;&gt;"",F1824&lt;&gt;""),F1824-D1824-G1824,"")</f>
        <v/>
      </c>
      <c r="I1824" s="14">
        <f>IF(E1824&lt;&gt;"", YEARFRAC(C1824, E1824) * 12, "")</f>
        <v/>
      </c>
      <c r="J1824" s="2">
        <f>IF(I1824="", "", IF(OR(AND(A1824="Listed Equity Shares", I1824&gt;12), AND(A1824="Unlisted Equity Shares", I1824&gt;24)), "Long Term", "Short Term"))</f>
        <v/>
      </c>
      <c r="K1824" s="5">
        <f>IF(J1824="", "", IF(J1824="Long Term", 12.5%,"as per slab"))</f>
        <v/>
      </c>
      <c r="L1824" s="3">
        <f>+IFERROR(IF(J1824="","",H1824*K1824),"as per slab")</f>
        <v/>
      </c>
    </row>
    <row r="1825">
      <c r="A1825" s="7" t="n"/>
      <c r="B1825" s="7" t="n"/>
      <c r="C1825" s="8" t="n"/>
      <c r="D1825" s="9" t="n"/>
      <c r="E1825" s="8" t="n"/>
      <c r="F1825" s="9" t="n"/>
      <c r="G1825" s="9" t="n"/>
      <c r="H1825" s="3">
        <f>IF(AND(D1825&lt;&gt;"",F1825&lt;&gt;""),F1825-D1825-G1825,"")</f>
        <v/>
      </c>
      <c r="I1825" s="14">
        <f>IF(E1825&lt;&gt;"", YEARFRAC(C1825, E1825) * 12, "")</f>
        <v/>
      </c>
      <c r="J1825" s="2">
        <f>IF(I1825="", "", IF(OR(AND(A1825="Listed Equity Shares", I1825&gt;12), AND(A1825="Unlisted Equity Shares", I1825&gt;24)), "Long Term", "Short Term"))</f>
        <v/>
      </c>
      <c r="K1825" s="5">
        <f>IF(J1825="", "", IF(J1825="Long Term", 12.5%,"as per slab"))</f>
        <v/>
      </c>
      <c r="L1825" s="3">
        <f>+IFERROR(IF(J1825="","",H1825*K1825),"as per slab")</f>
        <v/>
      </c>
    </row>
    <row r="1826">
      <c r="A1826" s="7" t="n"/>
      <c r="B1826" s="7" t="n"/>
      <c r="C1826" s="8" t="n"/>
      <c r="D1826" s="9" t="n"/>
      <c r="E1826" s="8" t="n"/>
      <c r="F1826" s="9" t="n"/>
      <c r="G1826" s="9" t="n"/>
      <c r="H1826" s="3">
        <f>IF(AND(D1826&lt;&gt;"",F1826&lt;&gt;""),F1826-D1826-G1826,"")</f>
        <v/>
      </c>
      <c r="I1826" s="14">
        <f>IF(E1826&lt;&gt;"", YEARFRAC(C1826, E1826) * 12, "")</f>
        <v/>
      </c>
      <c r="J1826" s="2">
        <f>IF(I1826="", "", IF(OR(AND(A1826="Listed Equity Shares", I1826&gt;12), AND(A1826="Unlisted Equity Shares", I1826&gt;24)), "Long Term", "Short Term"))</f>
        <v/>
      </c>
      <c r="K1826" s="5">
        <f>IF(J1826="", "", IF(J1826="Long Term", 12.5%,"as per slab"))</f>
        <v/>
      </c>
      <c r="L1826" s="3">
        <f>+IFERROR(IF(J1826="","",H1826*K1826),"as per slab")</f>
        <v/>
      </c>
    </row>
    <row r="1827">
      <c r="A1827" s="7" t="n"/>
      <c r="B1827" s="7" t="n"/>
      <c r="C1827" s="8" t="n"/>
      <c r="D1827" s="9" t="n"/>
      <c r="E1827" s="8" t="n"/>
      <c r="F1827" s="9" t="n"/>
      <c r="G1827" s="9" t="n"/>
      <c r="H1827" s="3">
        <f>IF(AND(D1827&lt;&gt;"",F1827&lt;&gt;""),F1827-D1827-G1827,"")</f>
        <v/>
      </c>
      <c r="I1827" s="14">
        <f>IF(E1827&lt;&gt;"", YEARFRAC(C1827, E1827) * 12, "")</f>
        <v/>
      </c>
      <c r="J1827" s="2">
        <f>IF(I1827="", "", IF(OR(AND(A1827="Listed Equity Shares", I1827&gt;12), AND(A1827="Unlisted Equity Shares", I1827&gt;24)), "Long Term", "Short Term"))</f>
        <v/>
      </c>
      <c r="K1827" s="5">
        <f>IF(J1827="", "", IF(J1827="Long Term", 12.5%,"as per slab"))</f>
        <v/>
      </c>
      <c r="L1827" s="3">
        <f>+IFERROR(IF(J1827="","",H1827*K1827),"as per slab")</f>
        <v/>
      </c>
    </row>
    <row r="1828">
      <c r="A1828" s="7" t="n"/>
      <c r="B1828" s="7" t="n"/>
      <c r="C1828" s="8" t="n"/>
      <c r="D1828" s="9" t="n"/>
      <c r="E1828" s="8" t="n"/>
      <c r="F1828" s="9" t="n"/>
      <c r="G1828" s="9" t="n"/>
      <c r="H1828" s="3">
        <f>IF(AND(D1828&lt;&gt;"",F1828&lt;&gt;""),F1828-D1828-G1828,"")</f>
        <v/>
      </c>
      <c r="I1828" s="14">
        <f>IF(E1828&lt;&gt;"", YEARFRAC(C1828, E1828) * 12, "")</f>
        <v/>
      </c>
      <c r="J1828" s="2">
        <f>IF(I1828="", "", IF(OR(AND(A1828="Listed Equity Shares", I1828&gt;12), AND(A1828="Unlisted Equity Shares", I1828&gt;24)), "Long Term", "Short Term"))</f>
        <v/>
      </c>
      <c r="K1828" s="5">
        <f>IF(J1828="", "", IF(J1828="Long Term", 12.5%,"as per slab"))</f>
        <v/>
      </c>
      <c r="L1828" s="3">
        <f>+IFERROR(IF(J1828="","",H1828*K1828),"as per slab")</f>
        <v/>
      </c>
    </row>
    <row r="1829">
      <c r="A1829" s="7" t="n"/>
      <c r="B1829" s="7" t="n"/>
      <c r="C1829" s="8" t="n"/>
      <c r="D1829" s="9" t="n"/>
      <c r="E1829" s="8" t="n"/>
      <c r="F1829" s="9" t="n"/>
      <c r="G1829" s="9" t="n"/>
      <c r="H1829" s="3">
        <f>IF(AND(D1829&lt;&gt;"",F1829&lt;&gt;""),F1829-D1829-G1829,"")</f>
        <v/>
      </c>
      <c r="I1829" s="14">
        <f>IF(E1829&lt;&gt;"", YEARFRAC(C1829, E1829) * 12, "")</f>
        <v/>
      </c>
      <c r="J1829" s="2">
        <f>IF(I1829="", "", IF(OR(AND(A1829="Listed Equity Shares", I1829&gt;12), AND(A1829="Unlisted Equity Shares", I1829&gt;24)), "Long Term", "Short Term"))</f>
        <v/>
      </c>
      <c r="K1829" s="5">
        <f>IF(J1829="", "", IF(J1829="Long Term", 12.5%,"as per slab"))</f>
        <v/>
      </c>
      <c r="L1829" s="3">
        <f>+IFERROR(IF(J1829="","",H1829*K1829),"as per slab")</f>
        <v/>
      </c>
    </row>
    <row r="1830">
      <c r="A1830" s="7" t="n"/>
      <c r="B1830" s="7" t="n"/>
      <c r="C1830" s="8" t="n"/>
      <c r="D1830" s="9" t="n"/>
      <c r="E1830" s="8" t="n"/>
      <c r="F1830" s="9" t="n"/>
      <c r="G1830" s="9" t="n"/>
      <c r="H1830" s="3">
        <f>IF(AND(D1830&lt;&gt;"",F1830&lt;&gt;""),F1830-D1830-G1830,"")</f>
        <v/>
      </c>
      <c r="I1830" s="14">
        <f>IF(E1830&lt;&gt;"", YEARFRAC(C1830, E1830) * 12, "")</f>
        <v/>
      </c>
      <c r="J1830" s="2">
        <f>IF(I1830="", "", IF(OR(AND(A1830="Listed Equity Shares", I1830&gt;12), AND(A1830="Unlisted Equity Shares", I1830&gt;24)), "Long Term", "Short Term"))</f>
        <v/>
      </c>
      <c r="K1830" s="5">
        <f>IF(J1830="", "", IF(J1830="Long Term", 12.5%,"as per slab"))</f>
        <v/>
      </c>
      <c r="L1830" s="3">
        <f>+IFERROR(IF(J1830="","",H1830*K1830),"as per slab")</f>
        <v/>
      </c>
    </row>
    <row r="1831">
      <c r="A1831" s="7" t="n"/>
      <c r="B1831" s="7" t="n"/>
      <c r="C1831" s="8" t="n"/>
      <c r="D1831" s="9" t="n"/>
      <c r="E1831" s="8" t="n"/>
      <c r="F1831" s="9" t="n"/>
      <c r="G1831" s="9" t="n"/>
      <c r="H1831" s="3">
        <f>IF(AND(D1831&lt;&gt;"",F1831&lt;&gt;""),F1831-D1831-G1831,"")</f>
        <v/>
      </c>
      <c r="I1831" s="14">
        <f>IF(E1831&lt;&gt;"", YEARFRAC(C1831, E1831) * 12, "")</f>
        <v/>
      </c>
      <c r="J1831" s="2">
        <f>IF(I1831="", "", IF(OR(AND(A1831="Listed Equity Shares", I1831&gt;12), AND(A1831="Unlisted Equity Shares", I1831&gt;24)), "Long Term", "Short Term"))</f>
        <v/>
      </c>
      <c r="K1831" s="5">
        <f>IF(J1831="", "", IF(J1831="Long Term", 12.5%,"as per slab"))</f>
        <v/>
      </c>
      <c r="L1831" s="3">
        <f>+IFERROR(IF(J1831="","",H1831*K1831),"as per slab")</f>
        <v/>
      </c>
    </row>
    <row r="1832">
      <c r="A1832" s="7" t="n"/>
      <c r="B1832" s="7" t="n"/>
      <c r="C1832" s="8" t="n"/>
      <c r="D1832" s="9" t="n"/>
      <c r="E1832" s="8" t="n"/>
      <c r="F1832" s="9" t="n"/>
      <c r="G1832" s="9" t="n"/>
      <c r="H1832" s="3">
        <f>IF(AND(D1832&lt;&gt;"",F1832&lt;&gt;""),F1832-D1832-G1832,"")</f>
        <v/>
      </c>
      <c r="I1832" s="14">
        <f>IF(E1832&lt;&gt;"", YEARFRAC(C1832, E1832) * 12, "")</f>
        <v/>
      </c>
      <c r="J1832" s="2">
        <f>IF(I1832="", "", IF(OR(AND(A1832="Listed Equity Shares", I1832&gt;12), AND(A1832="Unlisted Equity Shares", I1832&gt;24)), "Long Term", "Short Term"))</f>
        <v/>
      </c>
      <c r="K1832" s="5">
        <f>IF(J1832="", "", IF(J1832="Long Term", 12.5%,"as per slab"))</f>
        <v/>
      </c>
      <c r="L1832" s="3">
        <f>+IFERROR(IF(J1832="","",H1832*K1832),"as per slab")</f>
        <v/>
      </c>
    </row>
    <row r="1833">
      <c r="A1833" s="7" t="n"/>
      <c r="B1833" s="7" t="n"/>
      <c r="C1833" s="8" t="n"/>
      <c r="D1833" s="9" t="n"/>
      <c r="E1833" s="8" t="n"/>
      <c r="F1833" s="9" t="n"/>
      <c r="G1833" s="9" t="n"/>
      <c r="H1833" s="3">
        <f>IF(AND(D1833&lt;&gt;"",F1833&lt;&gt;""),F1833-D1833-G1833,"")</f>
        <v/>
      </c>
      <c r="I1833" s="14">
        <f>IF(E1833&lt;&gt;"", YEARFRAC(C1833, E1833) * 12, "")</f>
        <v/>
      </c>
      <c r="J1833" s="2">
        <f>IF(I1833="", "", IF(OR(AND(A1833="Listed Equity Shares", I1833&gt;12), AND(A1833="Unlisted Equity Shares", I1833&gt;24)), "Long Term", "Short Term"))</f>
        <v/>
      </c>
      <c r="K1833" s="5">
        <f>IF(J1833="", "", IF(J1833="Long Term", 12.5%,"as per slab"))</f>
        <v/>
      </c>
      <c r="L1833" s="3">
        <f>+IFERROR(IF(J1833="","",H1833*K1833),"as per slab")</f>
        <v/>
      </c>
    </row>
    <row r="1834">
      <c r="A1834" s="7" t="n"/>
      <c r="B1834" s="7" t="n"/>
      <c r="C1834" s="8" t="n"/>
      <c r="D1834" s="9" t="n"/>
      <c r="E1834" s="8" t="n"/>
      <c r="F1834" s="9" t="n"/>
      <c r="G1834" s="9" t="n"/>
      <c r="H1834" s="3">
        <f>IF(AND(D1834&lt;&gt;"",F1834&lt;&gt;""),F1834-D1834-G1834,"")</f>
        <v/>
      </c>
      <c r="I1834" s="14">
        <f>IF(E1834&lt;&gt;"", YEARFRAC(C1834, E1834) * 12, "")</f>
        <v/>
      </c>
      <c r="J1834" s="2">
        <f>IF(I1834="", "", IF(OR(AND(A1834="Listed Equity Shares", I1834&gt;12), AND(A1834="Unlisted Equity Shares", I1834&gt;24)), "Long Term", "Short Term"))</f>
        <v/>
      </c>
      <c r="K1834" s="5">
        <f>IF(J1834="", "", IF(J1834="Long Term", 12.5%,"as per slab"))</f>
        <v/>
      </c>
      <c r="L1834" s="3">
        <f>+IFERROR(IF(J1834="","",H1834*K1834),"as per slab")</f>
        <v/>
      </c>
    </row>
    <row r="1835">
      <c r="A1835" s="7" t="n"/>
      <c r="B1835" s="7" t="n"/>
      <c r="C1835" s="8" t="n"/>
      <c r="D1835" s="9" t="n"/>
      <c r="E1835" s="8" t="n"/>
      <c r="F1835" s="9" t="n"/>
      <c r="G1835" s="9" t="n"/>
      <c r="H1835" s="3">
        <f>IF(AND(D1835&lt;&gt;"",F1835&lt;&gt;""),F1835-D1835-G1835,"")</f>
        <v/>
      </c>
      <c r="I1835" s="14">
        <f>IF(E1835&lt;&gt;"", YEARFRAC(C1835, E1835) * 12, "")</f>
        <v/>
      </c>
      <c r="J1835" s="2">
        <f>IF(I1835="", "", IF(OR(AND(A1835="Listed Equity Shares", I1835&gt;12), AND(A1835="Unlisted Equity Shares", I1835&gt;24)), "Long Term", "Short Term"))</f>
        <v/>
      </c>
      <c r="K1835" s="5">
        <f>IF(J1835="", "", IF(J1835="Long Term", 12.5%,"as per slab"))</f>
        <v/>
      </c>
      <c r="L1835" s="3">
        <f>+IFERROR(IF(J1835="","",H1835*K1835),"as per slab")</f>
        <v/>
      </c>
    </row>
    <row r="1836">
      <c r="A1836" s="7" t="n"/>
      <c r="B1836" s="7" t="n"/>
      <c r="C1836" s="8" t="n"/>
      <c r="D1836" s="9" t="n"/>
      <c r="E1836" s="8" t="n"/>
      <c r="F1836" s="9" t="n"/>
      <c r="G1836" s="9" t="n"/>
      <c r="H1836" s="3">
        <f>IF(AND(D1836&lt;&gt;"",F1836&lt;&gt;""),F1836-D1836-G1836,"")</f>
        <v/>
      </c>
      <c r="I1836" s="14">
        <f>IF(E1836&lt;&gt;"", YEARFRAC(C1836, E1836) * 12, "")</f>
        <v/>
      </c>
      <c r="J1836" s="2">
        <f>IF(I1836="", "", IF(OR(AND(A1836="Listed Equity Shares", I1836&gt;12), AND(A1836="Unlisted Equity Shares", I1836&gt;24)), "Long Term", "Short Term"))</f>
        <v/>
      </c>
      <c r="K1836" s="5">
        <f>IF(J1836="", "", IF(J1836="Long Term", 12.5%,"as per slab"))</f>
        <v/>
      </c>
      <c r="L1836" s="3">
        <f>+IFERROR(IF(J1836="","",H1836*K1836),"as per slab")</f>
        <v/>
      </c>
    </row>
    <row r="1837">
      <c r="A1837" s="7" t="n"/>
      <c r="B1837" s="7" t="n"/>
      <c r="C1837" s="8" t="n"/>
      <c r="D1837" s="9" t="n"/>
      <c r="E1837" s="8" t="n"/>
      <c r="F1837" s="9" t="n"/>
      <c r="G1837" s="9" t="n"/>
      <c r="H1837" s="3">
        <f>IF(AND(D1837&lt;&gt;"",F1837&lt;&gt;""),F1837-D1837-G1837,"")</f>
        <v/>
      </c>
      <c r="I1837" s="14">
        <f>IF(E1837&lt;&gt;"", YEARFRAC(C1837, E1837) * 12, "")</f>
        <v/>
      </c>
      <c r="J1837" s="2">
        <f>IF(I1837="", "", IF(OR(AND(A1837="Listed Equity Shares", I1837&gt;12), AND(A1837="Unlisted Equity Shares", I1837&gt;24)), "Long Term", "Short Term"))</f>
        <v/>
      </c>
      <c r="K1837" s="5">
        <f>IF(J1837="", "", IF(J1837="Long Term", 12.5%,"as per slab"))</f>
        <v/>
      </c>
      <c r="L1837" s="3">
        <f>+IFERROR(IF(J1837="","",H1837*K1837),"as per slab")</f>
        <v/>
      </c>
    </row>
    <row r="1838">
      <c r="A1838" s="7" t="n"/>
      <c r="B1838" s="7" t="n"/>
      <c r="C1838" s="8" t="n"/>
      <c r="D1838" s="9" t="n"/>
      <c r="E1838" s="8" t="n"/>
      <c r="F1838" s="9" t="n"/>
      <c r="G1838" s="9" t="n"/>
      <c r="H1838" s="3">
        <f>IF(AND(D1838&lt;&gt;"",F1838&lt;&gt;""),F1838-D1838-G1838,"")</f>
        <v/>
      </c>
      <c r="I1838" s="14">
        <f>IF(E1838&lt;&gt;"", YEARFRAC(C1838, E1838) * 12, "")</f>
        <v/>
      </c>
      <c r="J1838" s="2">
        <f>IF(I1838="", "", IF(OR(AND(A1838="Listed Equity Shares", I1838&gt;12), AND(A1838="Unlisted Equity Shares", I1838&gt;24)), "Long Term", "Short Term"))</f>
        <v/>
      </c>
      <c r="K1838" s="5">
        <f>IF(J1838="", "", IF(J1838="Long Term", 12.5%,"as per slab"))</f>
        <v/>
      </c>
      <c r="L1838" s="3">
        <f>+IFERROR(IF(J1838="","",H1838*K1838),"as per slab")</f>
        <v/>
      </c>
    </row>
    <row r="1839">
      <c r="A1839" s="7" t="n"/>
      <c r="B1839" s="7" t="n"/>
      <c r="C1839" s="8" t="n"/>
      <c r="D1839" s="9" t="n"/>
      <c r="E1839" s="8" t="n"/>
      <c r="F1839" s="9" t="n"/>
      <c r="G1839" s="9" t="n"/>
      <c r="H1839" s="3">
        <f>IF(AND(D1839&lt;&gt;"",F1839&lt;&gt;""),F1839-D1839-G1839,"")</f>
        <v/>
      </c>
      <c r="I1839" s="14">
        <f>IF(E1839&lt;&gt;"", YEARFRAC(C1839, E1839) * 12, "")</f>
        <v/>
      </c>
      <c r="J1839" s="2">
        <f>IF(I1839="", "", IF(OR(AND(A1839="Listed Equity Shares", I1839&gt;12), AND(A1839="Unlisted Equity Shares", I1839&gt;24)), "Long Term", "Short Term"))</f>
        <v/>
      </c>
      <c r="K1839" s="5">
        <f>IF(J1839="", "", IF(J1839="Long Term", 12.5%,"as per slab"))</f>
        <v/>
      </c>
      <c r="L1839" s="3">
        <f>+IFERROR(IF(J1839="","",H1839*K1839),"as per slab")</f>
        <v/>
      </c>
    </row>
    <row r="1840">
      <c r="A1840" s="7" t="n"/>
      <c r="B1840" s="7" t="n"/>
      <c r="C1840" s="8" t="n"/>
      <c r="D1840" s="9" t="n"/>
      <c r="E1840" s="8" t="n"/>
      <c r="F1840" s="9" t="n"/>
      <c r="G1840" s="9" t="n"/>
      <c r="H1840" s="3">
        <f>IF(AND(D1840&lt;&gt;"",F1840&lt;&gt;""),F1840-D1840-G1840,"")</f>
        <v/>
      </c>
      <c r="I1840" s="14">
        <f>IF(E1840&lt;&gt;"", YEARFRAC(C1840, E1840) * 12, "")</f>
        <v/>
      </c>
      <c r="J1840" s="2">
        <f>IF(I1840="", "", IF(OR(AND(A1840="Listed Equity Shares", I1840&gt;12), AND(A1840="Unlisted Equity Shares", I1840&gt;24)), "Long Term", "Short Term"))</f>
        <v/>
      </c>
      <c r="K1840" s="5">
        <f>IF(J1840="", "", IF(J1840="Long Term", 12.5%,"as per slab"))</f>
        <v/>
      </c>
      <c r="L1840" s="3">
        <f>+IFERROR(IF(J1840="","",H1840*K1840),"as per slab")</f>
        <v/>
      </c>
    </row>
    <row r="1841">
      <c r="A1841" s="7" t="n"/>
      <c r="B1841" s="7" t="n"/>
      <c r="C1841" s="8" t="n"/>
      <c r="D1841" s="9" t="n"/>
      <c r="E1841" s="8" t="n"/>
      <c r="F1841" s="9" t="n"/>
      <c r="G1841" s="9" t="n"/>
      <c r="H1841" s="3">
        <f>IF(AND(D1841&lt;&gt;"",F1841&lt;&gt;""),F1841-D1841-G1841,"")</f>
        <v/>
      </c>
      <c r="I1841" s="14">
        <f>IF(E1841&lt;&gt;"", YEARFRAC(C1841, E1841) * 12, "")</f>
        <v/>
      </c>
      <c r="J1841" s="2">
        <f>IF(I1841="", "", IF(OR(AND(A1841="Listed Equity Shares", I1841&gt;12), AND(A1841="Unlisted Equity Shares", I1841&gt;24)), "Long Term", "Short Term"))</f>
        <v/>
      </c>
      <c r="K1841" s="5">
        <f>IF(J1841="", "", IF(J1841="Long Term", 12.5%,"as per slab"))</f>
        <v/>
      </c>
      <c r="L1841" s="3">
        <f>+IFERROR(IF(J1841="","",H1841*K1841),"as per slab")</f>
        <v/>
      </c>
    </row>
    <row r="1842">
      <c r="A1842" s="7" t="n"/>
      <c r="B1842" s="7" t="n"/>
      <c r="C1842" s="8" t="n"/>
      <c r="D1842" s="9" t="n"/>
      <c r="E1842" s="8" t="n"/>
      <c r="F1842" s="9" t="n"/>
      <c r="G1842" s="9" t="n"/>
      <c r="H1842" s="3">
        <f>IF(AND(D1842&lt;&gt;"",F1842&lt;&gt;""),F1842-D1842-G1842,"")</f>
        <v/>
      </c>
      <c r="I1842" s="14">
        <f>IF(E1842&lt;&gt;"", YEARFRAC(C1842, E1842) * 12, "")</f>
        <v/>
      </c>
      <c r="J1842" s="2">
        <f>IF(I1842="", "", IF(OR(AND(A1842="Listed Equity Shares", I1842&gt;12), AND(A1842="Unlisted Equity Shares", I1842&gt;24)), "Long Term", "Short Term"))</f>
        <v/>
      </c>
      <c r="K1842" s="5">
        <f>IF(J1842="", "", IF(J1842="Long Term", 12.5%,"as per slab"))</f>
        <v/>
      </c>
      <c r="L1842" s="3">
        <f>+IFERROR(IF(J1842="","",H1842*K1842),"as per slab")</f>
        <v/>
      </c>
    </row>
    <row r="1843">
      <c r="A1843" s="7" t="n"/>
      <c r="B1843" s="7" t="n"/>
      <c r="C1843" s="8" t="n"/>
      <c r="D1843" s="9" t="n"/>
      <c r="E1843" s="8" t="n"/>
      <c r="F1843" s="9" t="n"/>
      <c r="G1843" s="9" t="n"/>
      <c r="H1843" s="3">
        <f>IF(AND(D1843&lt;&gt;"",F1843&lt;&gt;""),F1843-D1843-G1843,"")</f>
        <v/>
      </c>
      <c r="I1843" s="14">
        <f>IF(E1843&lt;&gt;"", YEARFRAC(C1843, E1843) * 12, "")</f>
        <v/>
      </c>
      <c r="J1843" s="2">
        <f>IF(I1843="", "", IF(OR(AND(A1843="Listed Equity Shares", I1843&gt;12), AND(A1843="Unlisted Equity Shares", I1843&gt;24)), "Long Term", "Short Term"))</f>
        <v/>
      </c>
      <c r="K1843" s="5">
        <f>IF(J1843="", "", IF(J1843="Long Term", 12.5%,"as per slab"))</f>
        <v/>
      </c>
      <c r="L1843" s="3">
        <f>+IFERROR(IF(J1843="","",H1843*K1843),"as per slab")</f>
        <v/>
      </c>
    </row>
    <row r="1844">
      <c r="A1844" s="7" t="n"/>
      <c r="B1844" s="7" t="n"/>
      <c r="C1844" s="8" t="n"/>
      <c r="D1844" s="9" t="n"/>
      <c r="E1844" s="8" t="n"/>
      <c r="F1844" s="9" t="n"/>
      <c r="G1844" s="9" t="n"/>
      <c r="H1844" s="3">
        <f>IF(AND(D1844&lt;&gt;"",F1844&lt;&gt;""),F1844-D1844-G1844,"")</f>
        <v/>
      </c>
      <c r="I1844" s="14">
        <f>IF(E1844&lt;&gt;"", YEARFRAC(C1844, E1844) * 12, "")</f>
        <v/>
      </c>
      <c r="J1844" s="2">
        <f>IF(I1844="", "", IF(OR(AND(A1844="Listed Equity Shares", I1844&gt;12), AND(A1844="Unlisted Equity Shares", I1844&gt;24)), "Long Term", "Short Term"))</f>
        <v/>
      </c>
      <c r="K1844" s="5">
        <f>IF(J1844="", "", IF(J1844="Long Term", 12.5%,"as per slab"))</f>
        <v/>
      </c>
      <c r="L1844" s="3">
        <f>+IFERROR(IF(J1844="","",H1844*K1844),"as per slab")</f>
        <v/>
      </c>
    </row>
    <row r="1845">
      <c r="A1845" s="7" t="n"/>
      <c r="B1845" s="7" t="n"/>
      <c r="C1845" s="8" t="n"/>
      <c r="D1845" s="9" t="n"/>
      <c r="E1845" s="8" t="n"/>
      <c r="F1845" s="9" t="n"/>
      <c r="G1845" s="9" t="n"/>
      <c r="H1845" s="3">
        <f>IF(AND(D1845&lt;&gt;"",F1845&lt;&gt;""),F1845-D1845-G1845,"")</f>
        <v/>
      </c>
      <c r="I1845" s="14">
        <f>IF(E1845&lt;&gt;"", YEARFRAC(C1845, E1845) * 12, "")</f>
        <v/>
      </c>
      <c r="J1845" s="2">
        <f>IF(I1845="", "", IF(OR(AND(A1845="Listed Equity Shares", I1845&gt;12), AND(A1845="Unlisted Equity Shares", I1845&gt;24)), "Long Term", "Short Term"))</f>
        <v/>
      </c>
      <c r="K1845" s="5">
        <f>IF(J1845="", "", IF(J1845="Long Term", 12.5%,"as per slab"))</f>
        <v/>
      </c>
      <c r="L1845" s="3">
        <f>+IFERROR(IF(J1845="","",H1845*K1845),"as per slab")</f>
        <v/>
      </c>
    </row>
    <row r="1846">
      <c r="A1846" s="7" t="n"/>
      <c r="B1846" s="7" t="n"/>
      <c r="C1846" s="8" t="n"/>
      <c r="D1846" s="9" t="n"/>
      <c r="E1846" s="8" t="n"/>
      <c r="F1846" s="9" t="n"/>
      <c r="G1846" s="9" t="n"/>
      <c r="H1846" s="3">
        <f>IF(AND(D1846&lt;&gt;"",F1846&lt;&gt;""),F1846-D1846-G1846,"")</f>
        <v/>
      </c>
      <c r="I1846" s="14">
        <f>IF(E1846&lt;&gt;"", YEARFRAC(C1846, E1846) * 12, "")</f>
        <v/>
      </c>
      <c r="J1846" s="2">
        <f>IF(I1846="", "", IF(OR(AND(A1846="Listed Equity Shares", I1846&gt;12), AND(A1846="Unlisted Equity Shares", I1846&gt;24)), "Long Term", "Short Term"))</f>
        <v/>
      </c>
      <c r="K1846" s="5">
        <f>IF(J1846="", "", IF(J1846="Long Term", 12.5%,"as per slab"))</f>
        <v/>
      </c>
      <c r="L1846" s="3">
        <f>+IFERROR(IF(J1846="","",H1846*K1846),"as per slab")</f>
        <v/>
      </c>
    </row>
    <row r="1847">
      <c r="A1847" s="7" t="n"/>
      <c r="B1847" s="7" t="n"/>
      <c r="C1847" s="8" t="n"/>
      <c r="D1847" s="9" t="n"/>
      <c r="E1847" s="8" t="n"/>
      <c r="F1847" s="9" t="n"/>
      <c r="G1847" s="9" t="n"/>
      <c r="H1847" s="3">
        <f>IF(AND(D1847&lt;&gt;"",F1847&lt;&gt;""),F1847-D1847-G1847,"")</f>
        <v/>
      </c>
      <c r="I1847" s="14">
        <f>IF(E1847&lt;&gt;"", YEARFRAC(C1847, E1847) * 12, "")</f>
        <v/>
      </c>
      <c r="J1847" s="2">
        <f>IF(I1847="", "", IF(OR(AND(A1847="Listed Equity Shares", I1847&gt;12), AND(A1847="Unlisted Equity Shares", I1847&gt;24)), "Long Term", "Short Term"))</f>
        <v/>
      </c>
      <c r="K1847" s="5">
        <f>IF(J1847="", "", IF(J1847="Long Term", 12.5%,"as per slab"))</f>
        <v/>
      </c>
      <c r="L1847" s="3">
        <f>+IFERROR(IF(J1847="","",H1847*K1847),"as per slab")</f>
        <v/>
      </c>
    </row>
    <row r="1848">
      <c r="A1848" s="7" t="n"/>
      <c r="B1848" s="7" t="n"/>
      <c r="C1848" s="8" t="n"/>
      <c r="D1848" s="9" t="n"/>
      <c r="E1848" s="8" t="n"/>
      <c r="F1848" s="9" t="n"/>
      <c r="G1848" s="9" t="n"/>
      <c r="H1848" s="3">
        <f>IF(AND(D1848&lt;&gt;"",F1848&lt;&gt;""),F1848-D1848-G1848,"")</f>
        <v/>
      </c>
      <c r="I1848" s="14">
        <f>IF(E1848&lt;&gt;"", YEARFRAC(C1848, E1848) * 12, "")</f>
        <v/>
      </c>
      <c r="J1848" s="2">
        <f>IF(I1848="", "", IF(OR(AND(A1848="Listed Equity Shares", I1848&gt;12), AND(A1848="Unlisted Equity Shares", I1848&gt;24)), "Long Term", "Short Term"))</f>
        <v/>
      </c>
      <c r="K1848" s="5">
        <f>IF(J1848="", "", IF(J1848="Long Term", 12.5%,"as per slab"))</f>
        <v/>
      </c>
      <c r="L1848" s="3">
        <f>+IFERROR(IF(J1848="","",H1848*K1848),"as per slab")</f>
        <v/>
      </c>
    </row>
    <row r="1849">
      <c r="A1849" s="7" t="n"/>
      <c r="B1849" s="7" t="n"/>
      <c r="C1849" s="8" t="n"/>
      <c r="D1849" s="9" t="n"/>
      <c r="E1849" s="8" t="n"/>
      <c r="F1849" s="9" t="n"/>
      <c r="G1849" s="9" t="n"/>
      <c r="H1849" s="3">
        <f>IF(AND(D1849&lt;&gt;"",F1849&lt;&gt;""),F1849-D1849-G1849,"")</f>
        <v/>
      </c>
      <c r="I1849" s="14">
        <f>IF(E1849&lt;&gt;"", YEARFRAC(C1849, E1849) * 12, "")</f>
        <v/>
      </c>
      <c r="J1849" s="2">
        <f>IF(I1849="", "", IF(OR(AND(A1849="Listed Equity Shares", I1849&gt;12), AND(A1849="Unlisted Equity Shares", I1849&gt;24)), "Long Term", "Short Term"))</f>
        <v/>
      </c>
      <c r="K1849" s="5">
        <f>IF(J1849="", "", IF(J1849="Long Term", 12.5%,"as per slab"))</f>
        <v/>
      </c>
      <c r="L1849" s="3">
        <f>+IFERROR(IF(J1849="","",H1849*K1849),"as per slab")</f>
        <v/>
      </c>
    </row>
    <row r="1850">
      <c r="A1850" s="7" t="n"/>
      <c r="B1850" s="7" t="n"/>
      <c r="C1850" s="8" t="n"/>
      <c r="D1850" s="9" t="n"/>
      <c r="E1850" s="8" t="n"/>
      <c r="F1850" s="9" t="n"/>
      <c r="G1850" s="9" t="n"/>
      <c r="H1850" s="3">
        <f>IF(AND(D1850&lt;&gt;"",F1850&lt;&gt;""),F1850-D1850-G1850,"")</f>
        <v/>
      </c>
      <c r="I1850" s="14">
        <f>IF(E1850&lt;&gt;"", YEARFRAC(C1850, E1850) * 12, "")</f>
        <v/>
      </c>
      <c r="J1850" s="2">
        <f>IF(I1850="", "", IF(OR(AND(A1850="Listed Equity Shares", I1850&gt;12), AND(A1850="Unlisted Equity Shares", I1850&gt;24)), "Long Term", "Short Term"))</f>
        <v/>
      </c>
      <c r="K1850" s="5">
        <f>IF(J1850="", "", IF(J1850="Long Term", 12.5%,"as per slab"))</f>
        <v/>
      </c>
      <c r="L1850" s="3">
        <f>+IFERROR(IF(J1850="","",H1850*K1850),"as per slab")</f>
        <v/>
      </c>
    </row>
    <row r="1851">
      <c r="A1851" s="7" t="n"/>
      <c r="B1851" s="7" t="n"/>
      <c r="C1851" s="8" t="n"/>
      <c r="D1851" s="9" t="n"/>
      <c r="E1851" s="8" t="n"/>
      <c r="F1851" s="9" t="n"/>
      <c r="G1851" s="9" t="n"/>
      <c r="H1851" s="3">
        <f>IF(AND(D1851&lt;&gt;"",F1851&lt;&gt;""),F1851-D1851-G1851,"")</f>
        <v/>
      </c>
      <c r="I1851" s="14">
        <f>IF(E1851&lt;&gt;"", YEARFRAC(C1851, E1851) * 12, "")</f>
        <v/>
      </c>
      <c r="J1851" s="2">
        <f>IF(I1851="", "", IF(OR(AND(A1851="Listed Equity Shares", I1851&gt;12), AND(A1851="Unlisted Equity Shares", I1851&gt;24)), "Long Term", "Short Term"))</f>
        <v/>
      </c>
      <c r="K1851" s="5">
        <f>IF(J1851="", "", IF(J1851="Long Term", 12.5%,"as per slab"))</f>
        <v/>
      </c>
      <c r="L1851" s="3">
        <f>+IFERROR(IF(J1851="","",H1851*K1851),"as per slab")</f>
        <v/>
      </c>
    </row>
    <row r="1852">
      <c r="A1852" s="7" t="n"/>
      <c r="B1852" s="7" t="n"/>
      <c r="C1852" s="8" t="n"/>
      <c r="D1852" s="9" t="n"/>
      <c r="E1852" s="8" t="n"/>
      <c r="F1852" s="9" t="n"/>
      <c r="G1852" s="9" t="n"/>
      <c r="H1852" s="3">
        <f>IF(AND(D1852&lt;&gt;"",F1852&lt;&gt;""),F1852-D1852-G1852,"")</f>
        <v/>
      </c>
      <c r="I1852" s="14">
        <f>IF(E1852&lt;&gt;"", YEARFRAC(C1852, E1852) * 12, "")</f>
        <v/>
      </c>
      <c r="J1852" s="2">
        <f>IF(I1852="", "", IF(OR(AND(A1852="Listed Equity Shares", I1852&gt;12), AND(A1852="Unlisted Equity Shares", I1852&gt;24)), "Long Term", "Short Term"))</f>
        <v/>
      </c>
      <c r="K1852" s="5">
        <f>IF(J1852="", "", IF(J1852="Long Term", 12.5%,"as per slab"))</f>
        <v/>
      </c>
      <c r="L1852" s="3">
        <f>+IFERROR(IF(J1852="","",H1852*K1852),"as per slab")</f>
        <v/>
      </c>
    </row>
    <row r="1853">
      <c r="A1853" s="7" t="n"/>
      <c r="B1853" s="7" t="n"/>
      <c r="C1853" s="8" t="n"/>
      <c r="D1853" s="9" t="n"/>
      <c r="E1853" s="8" t="n"/>
      <c r="F1853" s="9" t="n"/>
      <c r="G1853" s="9" t="n"/>
      <c r="H1853" s="3">
        <f>IF(AND(D1853&lt;&gt;"",F1853&lt;&gt;""),F1853-D1853-G1853,"")</f>
        <v/>
      </c>
      <c r="I1853" s="14">
        <f>IF(E1853&lt;&gt;"", YEARFRAC(C1853, E1853) * 12, "")</f>
        <v/>
      </c>
      <c r="J1853" s="2">
        <f>IF(I1853="", "", IF(OR(AND(A1853="Listed Equity Shares", I1853&gt;12), AND(A1853="Unlisted Equity Shares", I1853&gt;24)), "Long Term", "Short Term"))</f>
        <v/>
      </c>
      <c r="K1853" s="5">
        <f>IF(J1853="", "", IF(J1853="Long Term", 12.5%,"as per slab"))</f>
        <v/>
      </c>
      <c r="L1853" s="3">
        <f>+IFERROR(IF(J1853="","",H1853*K1853),"as per slab")</f>
        <v/>
      </c>
    </row>
    <row r="1854">
      <c r="A1854" s="7" t="n"/>
      <c r="B1854" s="7" t="n"/>
      <c r="C1854" s="8" t="n"/>
      <c r="D1854" s="9" t="n"/>
      <c r="E1854" s="8" t="n"/>
      <c r="F1854" s="9" t="n"/>
      <c r="G1854" s="9" t="n"/>
      <c r="H1854" s="3">
        <f>IF(AND(D1854&lt;&gt;"",F1854&lt;&gt;""),F1854-D1854-G1854,"")</f>
        <v/>
      </c>
      <c r="I1854" s="14">
        <f>IF(E1854&lt;&gt;"", YEARFRAC(C1854, E1854) * 12, "")</f>
        <v/>
      </c>
      <c r="J1854" s="2">
        <f>IF(I1854="", "", IF(OR(AND(A1854="Listed Equity Shares", I1854&gt;12), AND(A1854="Unlisted Equity Shares", I1854&gt;24)), "Long Term", "Short Term"))</f>
        <v/>
      </c>
      <c r="K1854" s="5">
        <f>IF(J1854="", "", IF(J1854="Long Term", 12.5%,"as per slab"))</f>
        <v/>
      </c>
      <c r="L1854" s="3">
        <f>+IFERROR(IF(J1854="","",H1854*K1854),"as per slab")</f>
        <v/>
      </c>
    </row>
    <row r="1855">
      <c r="A1855" s="7" t="n"/>
      <c r="B1855" s="7" t="n"/>
      <c r="C1855" s="8" t="n"/>
      <c r="D1855" s="9" t="n"/>
      <c r="E1855" s="8" t="n"/>
      <c r="F1855" s="9" t="n"/>
      <c r="G1855" s="9" t="n"/>
      <c r="H1855" s="3">
        <f>IF(AND(D1855&lt;&gt;"",F1855&lt;&gt;""),F1855-D1855-G1855,"")</f>
        <v/>
      </c>
      <c r="I1855" s="14">
        <f>IF(E1855&lt;&gt;"", YEARFRAC(C1855, E1855) * 12, "")</f>
        <v/>
      </c>
      <c r="J1855" s="2">
        <f>IF(I1855="", "", IF(OR(AND(A1855="Listed Equity Shares", I1855&gt;12), AND(A1855="Unlisted Equity Shares", I1855&gt;24)), "Long Term", "Short Term"))</f>
        <v/>
      </c>
      <c r="K1855" s="5">
        <f>IF(J1855="", "", IF(J1855="Long Term", 12.5%,"as per slab"))</f>
        <v/>
      </c>
      <c r="L1855" s="3">
        <f>+IFERROR(IF(J1855="","",H1855*K1855),"as per slab")</f>
        <v/>
      </c>
    </row>
    <row r="1856">
      <c r="A1856" s="7" t="n"/>
      <c r="B1856" s="7" t="n"/>
      <c r="C1856" s="8" t="n"/>
      <c r="D1856" s="9" t="n"/>
      <c r="E1856" s="8" t="n"/>
      <c r="F1856" s="9" t="n"/>
      <c r="G1856" s="9" t="n"/>
      <c r="H1856" s="3">
        <f>IF(AND(D1856&lt;&gt;"",F1856&lt;&gt;""),F1856-D1856-G1856,"")</f>
        <v/>
      </c>
      <c r="I1856" s="14">
        <f>IF(E1856&lt;&gt;"", YEARFRAC(C1856, E1856) * 12, "")</f>
        <v/>
      </c>
      <c r="J1856" s="2">
        <f>IF(I1856="", "", IF(OR(AND(A1856="Listed Equity Shares", I1856&gt;12), AND(A1856="Unlisted Equity Shares", I1856&gt;24)), "Long Term", "Short Term"))</f>
        <v/>
      </c>
      <c r="K1856" s="5">
        <f>IF(J1856="", "", IF(J1856="Long Term", 12.5%,"as per slab"))</f>
        <v/>
      </c>
      <c r="L1856" s="3">
        <f>+IFERROR(IF(J1856="","",H1856*K1856),"as per slab")</f>
        <v/>
      </c>
    </row>
    <row r="1857">
      <c r="A1857" s="7" t="n"/>
      <c r="B1857" s="7" t="n"/>
      <c r="C1857" s="8" t="n"/>
      <c r="D1857" s="9" t="n"/>
      <c r="E1857" s="8" t="n"/>
      <c r="F1857" s="9" t="n"/>
      <c r="G1857" s="9" t="n"/>
      <c r="H1857" s="3">
        <f>IF(AND(D1857&lt;&gt;"",F1857&lt;&gt;""),F1857-D1857-G1857,"")</f>
        <v/>
      </c>
      <c r="I1857" s="14">
        <f>IF(E1857&lt;&gt;"", YEARFRAC(C1857, E1857) * 12, "")</f>
        <v/>
      </c>
      <c r="J1857" s="2">
        <f>IF(I1857="", "", IF(OR(AND(A1857="Listed Equity Shares", I1857&gt;12), AND(A1857="Unlisted Equity Shares", I1857&gt;24)), "Long Term", "Short Term"))</f>
        <v/>
      </c>
      <c r="K1857" s="5">
        <f>IF(J1857="", "", IF(J1857="Long Term", 12.5%,"as per slab"))</f>
        <v/>
      </c>
      <c r="L1857" s="3">
        <f>+IFERROR(IF(J1857="","",H1857*K1857),"as per slab")</f>
        <v/>
      </c>
    </row>
    <row r="1858">
      <c r="A1858" s="7" t="n"/>
      <c r="B1858" s="7" t="n"/>
      <c r="C1858" s="8" t="n"/>
      <c r="D1858" s="9" t="n"/>
      <c r="E1858" s="8" t="n"/>
      <c r="F1858" s="9" t="n"/>
      <c r="G1858" s="9" t="n"/>
      <c r="H1858" s="3">
        <f>IF(AND(D1858&lt;&gt;"",F1858&lt;&gt;""),F1858-D1858-G1858,"")</f>
        <v/>
      </c>
      <c r="I1858" s="14">
        <f>IF(E1858&lt;&gt;"", YEARFRAC(C1858, E1858) * 12, "")</f>
        <v/>
      </c>
      <c r="J1858" s="2">
        <f>IF(I1858="", "", IF(OR(AND(A1858="Listed Equity Shares", I1858&gt;12), AND(A1858="Unlisted Equity Shares", I1858&gt;24)), "Long Term", "Short Term"))</f>
        <v/>
      </c>
      <c r="K1858" s="5">
        <f>IF(J1858="", "", IF(J1858="Long Term", 12.5%,"as per slab"))</f>
        <v/>
      </c>
      <c r="L1858" s="3">
        <f>+IFERROR(IF(J1858="","",H1858*K1858),"as per slab")</f>
        <v/>
      </c>
    </row>
    <row r="1859">
      <c r="A1859" s="7" t="n"/>
      <c r="B1859" s="7" t="n"/>
      <c r="C1859" s="8" t="n"/>
      <c r="D1859" s="9" t="n"/>
      <c r="E1859" s="8" t="n"/>
      <c r="F1859" s="9" t="n"/>
      <c r="G1859" s="9" t="n"/>
      <c r="H1859" s="3">
        <f>IF(AND(D1859&lt;&gt;"",F1859&lt;&gt;""),F1859-D1859-G1859,"")</f>
        <v/>
      </c>
      <c r="I1859" s="14">
        <f>IF(E1859&lt;&gt;"", YEARFRAC(C1859, E1859) * 12, "")</f>
        <v/>
      </c>
      <c r="J1859" s="2">
        <f>IF(I1859="", "", IF(OR(AND(A1859="Listed Equity Shares", I1859&gt;12), AND(A1859="Unlisted Equity Shares", I1859&gt;24)), "Long Term", "Short Term"))</f>
        <v/>
      </c>
      <c r="K1859" s="5">
        <f>IF(J1859="", "", IF(J1859="Long Term", 12.5%,"as per slab"))</f>
        <v/>
      </c>
      <c r="L1859" s="3">
        <f>+IFERROR(IF(J1859="","",H1859*K1859),"as per slab")</f>
        <v/>
      </c>
    </row>
    <row r="1860">
      <c r="A1860" s="7" t="n"/>
      <c r="B1860" s="7" t="n"/>
      <c r="C1860" s="8" t="n"/>
      <c r="D1860" s="9" t="n"/>
      <c r="E1860" s="8" t="n"/>
      <c r="F1860" s="9" t="n"/>
      <c r="G1860" s="9" t="n"/>
      <c r="H1860" s="3">
        <f>IF(AND(D1860&lt;&gt;"",F1860&lt;&gt;""),F1860-D1860-G1860,"")</f>
        <v/>
      </c>
      <c r="I1860" s="14">
        <f>IF(E1860&lt;&gt;"", YEARFRAC(C1860, E1860) * 12, "")</f>
        <v/>
      </c>
      <c r="J1860" s="2">
        <f>IF(I1860="", "", IF(OR(AND(A1860="Listed Equity Shares", I1860&gt;12), AND(A1860="Unlisted Equity Shares", I1860&gt;24)), "Long Term", "Short Term"))</f>
        <v/>
      </c>
      <c r="K1860" s="5">
        <f>IF(J1860="", "", IF(J1860="Long Term", 12.5%,"as per slab"))</f>
        <v/>
      </c>
      <c r="L1860" s="3">
        <f>+IFERROR(IF(J1860="","",H1860*K1860),"as per slab")</f>
        <v/>
      </c>
    </row>
    <row r="1861">
      <c r="A1861" s="7" t="n"/>
      <c r="B1861" s="7" t="n"/>
      <c r="C1861" s="8" t="n"/>
      <c r="D1861" s="9" t="n"/>
      <c r="E1861" s="8" t="n"/>
      <c r="F1861" s="9" t="n"/>
      <c r="G1861" s="9" t="n"/>
      <c r="H1861" s="3">
        <f>IF(AND(D1861&lt;&gt;"",F1861&lt;&gt;""),F1861-D1861-G1861,"")</f>
        <v/>
      </c>
      <c r="I1861" s="14">
        <f>IF(E1861&lt;&gt;"", YEARFRAC(C1861, E1861) * 12, "")</f>
        <v/>
      </c>
      <c r="J1861" s="2">
        <f>IF(I1861="", "", IF(OR(AND(A1861="Listed Equity Shares", I1861&gt;12), AND(A1861="Unlisted Equity Shares", I1861&gt;24)), "Long Term", "Short Term"))</f>
        <v/>
      </c>
      <c r="K1861" s="5">
        <f>IF(J1861="", "", IF(J1861="Long Term", 12.5%,"as per slab"))</f>
        <v/>
      </c>
      <c r="L1861" s="3">
        <f>+IFERROR(IF(J1861="","",H1861*K1861),"as per slab")</f>
        <v/>
      </c>
    </row>
    <row r="1862">
      <c r="A1862" s="7" t="n"/>
      <c r="B1862" s="7" t="n"/>
      <c r="C1862" s="8" t="n"/>
      <c r="D1862" s="9" t="n"/>
      <c r="E1862" s="8" t="n"/>
      <c r="F1862" s="9" t="n"/>
      <c r="G1862" s="9" t="n"/>
      <c r="H1862" s="3">
        <f>IF(AND(D1862&lt;&gt;"",F1862&lt;&gt;""),F1862-D1862-G1862,"")</f>
        <v/>
      </c>
      <c r="I1862" s="14">
        <f>IF(E1862&lt;&gt;"", YEARFRAC(C1862, E1862) * 12, "")</f>
        <v/>
      </c>
      <c r="J1862" s="2">
        <f>IF(I1862="", "", IF(OR(AND(A1862="Listed Equity Shares", I1862&gt;12), AND(A1862="Unlisted Equity Shares", I1862&gt;24)), "Long Term", "Short Term"))</f>
        <v/>
      </c>
      <c r="K1862" s="5">
        <f>IF(J1862="", "", IF(J1862="Long Term", 12.5%,"as per slab"))</f>
        <v/>
      </c>
      <c r="L1862" s="3">
        <f>+IFERROR(IF(J1862="","",H1862*K1862),"as per slab")</f>
        <v/>
      </c>
    </row>
    <row r="1863">
      <c r="A1863" s="7" t="n"/>
      <c r="B1863" s="7" t="n"/>
      <c r="C1863" s="8" t="n"/>
      <c r="D1863" s="9" t="n"/>
      <c r="E1863" s="8" t="n"/>
      <c r="F1863" s="9" t="n"/>
      <c r="G1863" s="9" t="n"/>
      <c r="H1863" s="3">
        <f>IF(AND(D1863&lt;&gt;"",F1863&lt;&gt;""),F1863-D1863-G1863,"")</f>
        <v/>
      </c>
      <c r="I1863" s="14">
        <f>IF(E1863&lt;&gt;"", YEARFRAC(C1863, E1863) * 12, "")</f>
        <v/>
      </c>
      <c r="J1863" s="2">
        <f>IF(I1863="", "", IF(OR(AND(A1863="Listed Equity Shares", I1863&gt;12), AND(A1863="Unlisted Equity Shares", I1863&gt;24)), "Long Term", "Short Term"))</f>
        <v/>
      </c>
      <c r="K1863" s="5">
        <f>IF(J1863="", "", IF(J1863="Long Term", 12.5%,"as per slab"))</f>
        <v/>
      </c>
      <c r="L1863" s="3">
        <f>+IFERROR(IF(J1863="","",H1863*K1863),"as per slab")</f>
        <v/>
      </c>
    </row>
    <row r="1864">
      <c r="A1864" s="7" t="n"/>
      <c r="B1864" s="7" t="n"/>
      <c r="C1864" s="8" t="n"/>
      <c r="D1864" s="9" t="n"/>
      <c r="E1864" s="8" t="n"/>
      <c r="F1864" s="9" t="n"/>
      <c r="G1864" s="9" t="n"/>
      <c r="H1864" s="3">
        <f>IF(AND(D1864&lt;&gt;"",F1864&lt;&gt;""),F1864-D1864-G1864,"")</f>
        <v/>
      </c>
      <c r="I1864" s="14">
        <f>IF(E1864&lt;&gt;"", YEARFRAC(C1864, E1864) * 12, "")</f>
        <v/>
      </c>
      <c r="J1864" s="2">
        <f>IF(I1864="", "", IF(OR(AND(A1864="Listed Equity Shares", I1864&gt;12), AND(A1864="Unlisted Equity Shares", I1864&gt;24)), "Long Term", "Short Term"))</f>
        <v/>
      </c>
      <c r="K1864" s="5">
        <f>IF(J1864="", "", IF(J1864="Long Term", 12.5%,"as per slab"))</f>
        <v/>
      </c>
      <c r="L1864" s="3">
        <f>+IFERROR(IF(J1864="","",H1864*K1864),"as per slab")</f>
        <v/>
      </c>
    </row>
    <row r="1865">
      <c r="A1865" s="7" t="n"/>
      <c r="B1865" s="7" t="n"/>
      <c r="C1865" s="8" t="n"/>
      <c r="D1865" s="9" t="n"/>
      <c r="E1865" s="8" t="n"/>
      <c r="F1865" s="9" t="n"/>
      <c r="G1865" s="9" t="n"/>
      <c r="H1865" s="3">
        <f>IF(AND(D1865&lt;&gt;"",F1865&lt;&gt;""),F1865-D1865-G1865,"")</f>
        <v/>
      </c>
      <c r="I1865" s="14">
        <f>IF(E1865&lt;&gt;"", YEARFRAC(C1865, E1865) * 12, "")</f>
        <v/>
      </c>
      <c r="J1865" s="2">
        <f>IF(I1865="", "", IF(OR(AND(A1865="Listed Equity Shares", I1865&gt;12), AND(A1865="Unlisted Equity Shares", I1865&gt;24)), "Long Term", "Short Term"))</f>
        <v/>
      </c>
      <c r="K1865" s="5">
        <f>IF(J1865="", "", IF(J1865="Long Term", 12.5%,"as per slab"))</f>
        <v/>
      </c>
      <c r="L1865" s="3">
        <f>+IFERROR(IF(J1865="","",H1865*K1865),"as per slab")</f>
        <v/>
      </c>
    </row>
    <row r="1866">
      <c r="A1866" s="7" t="n"/>
      <c r="B1866" s="7" t="n"/>
      <c r="C1866" s="8" t="n"/>
      <c r="D1866" s="9" t="n"/>
      <c r="E1866" s="8" t="n"/>
      <c r="F1866" s="9" t="n"/>
      <c r="G1866" s="9" t="n"/>
      <c r="H1866" s="3">
        <f>IF(AND(D1866&lt;&gt;"",F1866&lt;&gt;""),F1866-D1866-G1866,"")</f>
        <v/>
      </c>
      <c r="I1866" s="14">
        <f>IF(E1866&lt;&gt;"", YEARFRAC(C1866, E1866) * 12, "")</f>
        <v/>
      </c>
      <c r="J1866" s="2">
        <f>IF(I1866="", "", IF(OR(AND(A1866="Listed Equity Shares", I1866&gt;12), AND(A1866="Unlisted Equity Shares", I1866&gt;24)), "Long Term", "Short Term"))</f>
        <v/>
      </c>
      <c r="K1866" s="5">
        <f>IF(J1866="", "", IF(J1866="Long Term", 12.5%,"as per slab"))</f>
        <v/>
      </c>
      <c r="L1866" s="3">
        <f>+IFERROR(IF(J1866="","",H1866*K1866),"as per slab")</f>
        <v/>
      </c>
    </row>
    <row r="1867">
      <c r="A1867" s="7" t="n"/>
      <c r="B1867" s="7" t="n"/>
      <c r="C1867" s="8" t="n"/>
      <c r="D1867" s="9" t="n"/>
      <c r="E1867" s="8" t="n"/>
      <c r="F1867" s="9" t="n"/>
      <c r="G1867" s="9" t="n"/>
      <c r="H1867" s="3">
        <f>IF(AND(D1867&lt;&gt;"",F1867&lt;&gt;""),F1867-D1867-G1867,"")</f>
        <v/>
      </c>
      <c r="I1867" s="14">
        <f>IF(E1867&lt;&gt;"", YEARFRAC(C1867, E1867) * 12, "")</f>
        <v/>
      </c>
      <c r="J1867" s="2">
        <f>IF(I1867="", "", IF(OR(AND(A1867="Listed Equity Shares", I1867&gt;12), AND(A1867="Unlisted Equity Shares", I1867&gt;24)), "Long Term", "Short Term"))</f>
        <v/>
      </c>
      <c r="K1867" s="5">
        <f>IF(J1867="", "", IF(J1867="Long Term", 12.5%,"as per slab"))</f>
        <v/>
      </c>
      <c r="L1867" s="3">
        <f>+IFERROR(IF(J1867="","",H1867*K1867),"as per slab")</f>
        <v/>
      </c>
    </row>
    <row r="1868">
      <c r="A1868" s="7" t="n"/>
      <c r="B1868" s="7" t="n"/>
      <c r="C1868" s="8" t="n"/>
      <c r="D1868" s="9" t="n"/>
      <c r="E1868" s="8" t="n"/>
      <c r="F1868" s="9" t="n"/>
      <c r="G1868" s="9" t="n"/>
      <c r="H1868" s="3">
        <f>IF(AND(D1868&lt;&gt;"",F1868&lt;&gt;""),F1868-D1868-G1868,"")</f>
        <v/>
      </c>
      <c r="I1868" s="14">
        <f>IF(E1868&lt;&gt;"", YEARFRAC(C1868, E1868) * 12, "")</f>
        <v/>
      </c>
      <c r="J1868" s="2">
        <f>IF(I1868="", "", IF(OR(AND(A1868="Listed Equity Shares", I1868&gt;12), AND(A1868="Unlisted Equity Shares", I1868&gt;24)), "Long Term", "Short Term"))</f>
        <v/>
      </c>
      <c r="K1868" s="5">
        <f>IF(J1868="", "", IF(J1868="Long Term", 12.5%,"as per slab"))</f>
        <v/>
      </c>
      <c r="L1868" s="3">
        <f>+IFERROR(IF(J1868="","",H1868*K1868),"as per slab")</f>
        <v/>
      </c>
    </row>
    <row r="1869">
      <c r="A1869" s="7" t="n"/>
      <c r="B1869" s="7" t="n"/>
      <c r="C1869" s="8" t="n"/>
      <c r="D1869" s="9" t="n"/>
      <c r="E1869" s="8" t="n"/>
      <c r="F1869" s="9" t="n"/>
      <c r="G1869" s="9" t="n"/>
      <c r="H1869" s="3">
        <f>IF(AND(D1869&lt;&gt;"",F1869&lt;&gt;""),F1869-D1869-G1869,"")</f>
        <v/>
      </c>
      <c r="I1869" s="14">
        <f>IF(E1869&lt;&gt;"", YEARFRAC(C1869, E1869) * 12, "")</f>
        <v/>
      </c>
      <c r="J1869" s="2">
        <f>IF(I1869="", "", IF(OR(AND(A1869="Listed Equity Shares", I1869&gt;12), AND(A1869="Unlisted Equity Shares", I1869&gt;24)), "Long Term", "Short Term"))</f>
        <v/>
      </c>
      <c r="K1869" s="5">
        <f>IF(J1869="", "", IF(J1869="Long Term", 12.5%,"as per slab"))</f>
        <v/>
      </c>
      <c r="L1869" s="3">
        <f>+IFERROR(IF(J1869="","",H1869*K1869),"as per slab")</f>
        <v/>
      </c>
    </row>
    <row r="1870">
      <c r="A1870" s="7" t="n"/>
      <c r="B1870" s="7" t="n"/>
      <c r="C1870" s="8" t="n"/>
      <c r="D1870" s="9" t="n"/>
      <c r="E1870" s="8" t="n"/>
      <c r="F1870" s="9" t="n"/>
      <c r="G1870" s="9" t="n"/>
      <c r="H1870" s="3">
        <f>IF(AND(D1870&lt;&gt;"",F1870&lt;&gt;""),F1870-D1870-G1870,"")</f>
        <v/>
      </c>
      <c r="I1870" s="14">
        <f>IF(E1870&lt;&gt;"", YEARFRAC(C1870, E1870) * 12, "")</f>
        <v/>
      </c>
      <c r="J1870" s="2">
        <f>IF(I1870="", "", IF(OR(AND(A1870="Listed Equity Shares", I1870&gt;12), AND(A1870="Unlisted Equity Shares", I1870&gt;24)), "Long Term", "Short Term"))</f>
        <v/>
      </c>
      <c r="K1870" s="5">
        <f>IF(J1870="", "", IF(J1870="Long Term", 12.5%,"as per slab"))</f>
        <v/>
      </c>
      <c r="L1870" s="3">
        <f>+IFERROR(IF(J1870="","",H1870*K1870),"as per slab")</f>
        <v/>
      </c>
    </row>
    <row r="1871">
      <c r="A1871" s="7" t="n"/>
      <c r="B1871" s="7" t="n"/>
      <c r="C1871" s="8" t="n"/>
      <c r="D1871" s="9" t="n"/>
      <c r="E1871" s="8" t="n"/>
      <c r="F1871" s="9" t="n"/>
      <c r="G1871" s="9" t="n"/>
      <c r="H1871" s="3">
        <f>IF(AND(D1871&lt;&gt;"",F1871&lt;&gt;""),F1871-D1871-G1871,"")</f>
        <v/>
      </c>
      <c r="I1871" s="14">
        <f>IF(E1871&lt;&gt;"", YEARFRAC(C1871, E1871) * 12, "")</f>
        <v/>
      </c>
      <c r="J1871" s="2">
        <f>IF(I1871="", "", IF(OR(AND(A1871="Listed Equity Shares", I1871&gt;12), AND(A1871="Unlisted Equity Shares", I1871&gt;24)), "Long Term", "Short Term"))</f>
        <v/>
      </c>
      <c r="K1871" s="5">
        <f>IF(J1871="", "", IF(J1871="Long Term", 12.5%,"as per slab"))</f>
        <v/>
      </c>
      <c r="L1871" s="3">
        <f>+IFERROR(IF(J1871="","",H1871*K1871),"as per slab")</f>
        <v/>
      </c>
    </row>
    <row r="1872">
      <c r="A1872" s="7" t="n"/>
      <c r="B1872" s="7" t="n"/>
      <c r="C1872" s="8" t="n"/>
      <c r="D1872" s="9" t="n"/>
      <c r="E1872" s="8" t="n"/>
      <c r="F1872" s="9" t="n"/>
      <c r="G1872" s="9" t="n"/>
      <c r="H1872" s="3">
        <f>IF(AND(D1872&lt;&gt;"",F1872&lt;&gt;""),F1872-D1872-G1872,"")</f>
        <v/>
      </c>
      <c r="I1872" s="14">
        <f>IF(E1872&lt;&gt;"", YEARFRAC(C1872, E1872) * 12, "")</f>
        <v/>
      </c>
      <c r="J1872" s="2">
        <f>IF(I1872="", "", IF(OR(AND(A1872="Listed Equity Shares", I1872&gt;12), AND(A1872="Unlisted Equity Shares", I1872&gt;24)), "Long Term", "Short Term"))</f>
        <v/>
      </c>
      <c r="K1872" s="5">
        <f>IF(J1872="", "", IF(J1872="Long Term", 12.5%,"as per slab"))</f>
        <v/>
      </c>
      <c r="L1872" s="3">
        <f>+IFERROR(IF(J1872="","",H1872*K1872),"as per slab")</f>
        <v/>
      </c>
    </row>
    <row r="1873">
      <c r="A1873" s="7" t="n"/>
      <c r="B1873" s="7" t="n"/>
      <c r="C1873" s="8" t="n"/>
      <c r="D1873" s="9" t="n"/>
      <c r="E1873" s="8" t="n"/>
      <c r="F1873" s="9" t="n"/>
      <c r="G1873" s="9" t="n"/>
      <c r="H1873" s="3">
        <f>IF(AND(D1873&lt;&gt;"",F1873&lt;&gt;""),F1873-D1873-G1873,"")</f>
        <v/>
      </c>
      <c r="I1873" s="14">
        <f>IF(E1873&lt;&gt;"", YEARFRAC(C1873, E1873) * 12, "")</f>
        <v/>
      </c>
      <c r="J1873" s="2">
        <f>IF(I1873="", "", IF(OR(AND(A1873="Listed Equity Shares", I1873&gt;12), AND(A1873="Unlisted Equity Shares", I1873&gt;24)), "Long Term", "Short Term"))</f>
        <v/>
      </c>
      <c r="K1873" s="5">
        <f>IF(J1873="", "", IF(J1873="Long Term", 12.5%,"as per slab"))</f>
        <v/>
      </c>
      <c r="L1873" s="3">
        <f>+IFERROR(IF(J1873="","",H1873*K1873),"as per slab")</f>
        <v/>
      </c>
    </row>
    <row r="1874">
      <c r="A1874" s="7" t="n"/>
      <c r="B1874" s="7" t="n"/>
      <c r="C1874" s="8" t="n"/>
      <c r="D1874" s="9" t="n"/>
      <c r="E1874" s="8" t="n"/>
      <c r="F1874" s="9" t="n"/>
      <c r="G1874" s="9" t="n"/>
      <c r="H1874" s="3">
        <f>IF(AND(D1874&lt;&gt;"",F1874&lt;&gt;""),F1874-D1874-G1874,"")</f>
        <v/>
      </c>
      <c r="I1874" s="14">
        <f>IF(E1874&lt;&gt;"", YEARFRAC(C1874, E1874) * 12, "")</f>
        <v/>
      </c>
      <c r="J1874" s="2">
        <f>IF(I1874="", "", IF(OR(AND(A1874="Listed Equity Shares", I1874&gt;12), AND(A1874="Unlisted Equity Shares", I1874&gt;24)), "Long Term", "Short Term"))</f>
        <v/>
      </c>
      <c r="K1874" s="5">
        <f>IF(J1874="", "", IF(J1874="Long Term", 12.5%,"as per slab"))</f>
        <v/>
      </c>
      <c r="L1874" s="3">
        <f>+IFERROR(IF(J1874="","",H1874*K1874),"as per slab")</f>
        <v/>
      </c>
    </row>
    <row r="1875">
      <c r="A1875" s="7" t="n"/>
      <c r="B1875" s="7" t="n"/>
      <c r="C1875" s="8" t="n"/>
      <c r="D1875" s="9" t="n"/>
      <c r="E1875" s="8" t="n"/>
      <c r="F1875" s="9" t="n"/>
      <c r="G1875" s="9" t="n"/>
      <c r="H1875" s="3">
        <f>IF(AND(D1875&lt;&gt;"",F1875&lt;&gt;""),F1875-D1875-G1875,"")</f>
        <v/>
      </c>
      <c r="I1875" s="14">
        <f>IF(E1875&lt;&gt;"", YEARFRAC(C1875, E1875) * 12, "")</f>
        <v/>
      </c>
      <c r="J1875" s="2">
        <f>IF(I1875="", "", IF(OR(AND(A1875="Listed Equity Shares", I1875&gt;12), AND(A1875="Unlisted Equity Shares", I1875&gt;24)), "Long Term", "Short Term"))</f>
        <v/>
      </c>
      <c r="K1875" s="5">
        <f>IF(J1875="", "", IF(J1875="Long Term", 12.5%,"as per slab"))</f>
        <v/>
      </c>
      <c r="L1875" s="3">
        <f>+IFERROR(IF(J1875="","",H1875*K1875),"as per slab")</f>
        <v/>
      </c>
    </row>
    <row r="1876">
      <c r="A1876" s="7" t="n"/>
      <c r="B1876" s="7" t="n"/>
      <c r="C1876" s="8" t="n"/>
      <c r="D1876" s="9" t="n"/>
      <c r="E1876" s="8" t="n"/>
      <c r="F1876" s="9" t="n"/>
      <c r="G1876" s="9" t="n"/>
      <c r="H1876" s="3">
        <f>IF(AND(D1876&lt;&gt;"",F1876&lt;&gt;""),F1876-D1876-G1876,"")</f>
        <v/>
      </c>
      <c r="I1876" s="14">
        <f>IF(E1876&lt;&gt;"", YEARFRAC(C1876, E1876) * 12, "")</f>
        <v/>
      </c>
      <c r="J1876" s="2">
        <f>IF(I1876="", "", IF(OR(AND(A1876="Listed Equity Shares", I1876&gt;12), AND(A1876="Unlisted Equity Shares", I1876&gt;24)), "Long Term", "Short Term"))</f>
        <v/>
      </c>
      <c r="K1876" s="5">
        <f>IF(J1876="", "", IF(J1876="Long Term", 12.5%,"as per slab"))</f>
        <v/>
      </c>
      <c r="L1876" s="3">
        <f>+IFERROR(IF(J1876="","",H1876*K1876),"as per slab")</f>
        <v/>
      </c>
    </row>
    <row r="1877">
      <c r="A1877" s="7" t="n"/>
      <c r="B1877" s="7" t="n"/>
      <c r="C1877" s="8" t="n"/>
      <c r="D1877" s="9" t="n"/>
      <c r="E1877" s="8" t="n"/>
      <c r="F1877" s="9" t="n"/>
      <c r="G1877" s="9" t="n"/>
      <c r="H1877" s="3">
        <f>IF(AND(D1877&lt;&gt;"",F1877&lt;&gt;""),F1877-D1877-G1877,"")</f>
        <v/>
      </c>
      <c r="I1877" s="14">
        <f>IF(E1877&lt;&gt;"", YEARFRAC(C1877, E1877) * 12, "")</f>
        <v/>
      </c>
      <c r="J1877" s="2">
        <f>IF(I1877="", "", IF(OR(AND(A1877="Listed Equity Shares", I1877&gt;12), AND(A1877="Unlisted Equity Shares", I1877&gt;24)), "Long Term", "Short Term"))</f>
        <v/>
      </c>
      <c r="K1877" s="5">
        <f>IF(J1877="", "", IF(J1877="Long Term", 12.5%,"as per slab"))</f>
        <v/>
      </c>
      <c r="L1877" s="3">
        <f>+IFERROR(IF(J1877="","",H1877*K1877),"as per slab")</f>
        <v/>
      </c>
    </row>
    <row r="1878">
      <c r="A1878" s="7" t="n"/>
      <c r="B1878" s="7" t="n"/>
      <c r="C1878" s="8" t="n"/>
      <c r="D1878" s="9" t="n"/>
      <c r="E1878" s="8" t="n"/>
      <c r="F1878" s="9" t="n"/>
      <c r="G1878" s="9" t="n"/>
      <c r="H1878" s="3">
        <f>IF(AND(D1878&lt;&gt;"",F1878&lt;&gt;""),F1878-D1878-G1878,"")</f>
        <v/>
      </c>
      <c r="I1878" s="14">
        <f>IF(E1878&lt;&gt;"", YEARFRAC(C1878, E1878) * 12, "")</f>
        <v/>
      </c>
      <c r="J1878" s="2">
        <f>IF(I1878="", "", IF(OR(AND(A1878="Listed Equity Shares", I1878&gt;12), AND(A1878="Unlisted Equity Shares", I1878&gt;24)), "Long Term", "Short Term"))</f>
        <v/>
      </c>
      <c r="K1878" s="5">
        <f>IF(J1878="", "", IF(J1878="Long Term", 12.5%,"as per slab"))</f>
        <v/>
      </c>
      <c r="L1878" s="3">
        <f>+IFERROR(IF(J1878="","",H1878*K1878),"as per slab")</f>
        <v/>
      </c>
    </row>
    <row r="1879">
      <c r="A1879" s="7" t="n"/>
      <c r="B1879" s="7" t="n"/>
      <c r="C1879" s="8" t="n"/>
      <c r="D1879" s="9" t="n"/>
      <c r="E1879" s="8" t="n"/>
      <c r="F1879" s="9" t="n"/>
      <c r="G1879" s="9" t="n"/>
      <c r="H1879" s="3">
        <f>IF(AND(D1879&lt;&gt;"",F1879&lt;&gt;""),F1879-D1879-G1879,"")</f>
        <v/>
      </c>
      <c r="I1879" s="14">
        <f>IF(E1879&lt;&gt;"", YEARFRAC(C1879, E1879) * 12, "")</f>
        <v/>
      </c>
      <c r="J1879" s="2">
        <f>IF(I1879="", "", IF(OR(AND(A1879="Listed Equity Shares", I1879&gt;12), AND(A1879="Unlisted Equity Shares", I1879&gt;24)), "Long Term", "Short Term"))</f>
        <v/>
      </c>
      <c r="K1879" s="5">
        <f>IF(J1879="", "", IF(J1879="Long Term", 12.5%,"as per slab"))</f>
        <v/>
      </c>
      <c r="L1879" s="3">
        <f>+IFERROR(IF(J1879="","",H1879*K1879),"as per slab")</f>
        <v/>
      </c>
    </row>
    <row r="1880">
      <c r="A1880" s="7" t="n"/>
      <c r="B1880" s="7" t="n"/>
      <c r="C1880" s="8" t="n"/>
      <c r="D1880" s="9" t="n"/>
      <c r="E1880" s="8" t="n"/>
      <c r="F1880" s="9" t="n"/>
      <c r="G1880" s="9" t="n"/>
      <c r="H1880" s="3">
        <f>IF(AND(D1880&lt;&gt;"",F1880&lt;&gt;""),F1880-D1880-G1880,"")</f>
        <v/>
      </c>
      <c r="I1880" s="14">
        <f>IF(E1880&lt;&gt;"", YEARFRAC(C1880, E1880) * 12, "")</f>
        <v/>
      </c>
      <c r="J1880" s="2">
        <f>IF(I1880="", "", IF(OR(AND(A1880="Listed Equity Shares", I1880&gt;12), AND(A1880="Unlisted Equity Shares", I1880&gt;24)), "Long Term", "Short Term"))</f>
        <v/>
      </c>
      <c r="K1880" s="5">
        <f>IF(J1880="", "", IF(J1880="Long Term", 12.5%,"as per slab"))</f>
        <v/>
      </c>
      <c r="L1880" s="3">
        <f>+IFERROR(IF(J1880="","",H1880*K1880),"as per slab")</f>
        <v/>
      </c>
    </row>
    <row r="1881">
      <c r="A1881" s="7" t="n"/>
      <c r="B1881" s="7" t="n"/>
      <c r="C1881" s="8" t="n"/>
      <c r="D1881" s="9" t="n"/>
      <c r="E1881" s="8" t="n"/>
      <c r="F1881" s="9" t="n"/>
      <c r="G1881" s="9" t="n"/>
      <c r="H1881" s="3">
        <f>IF(AND(D1881&lt;&gt;"",F1881&lt;&gt;""),F1881-D1881-G1881,"")</f>
        <v/>
      </c>
      <c r="I1881" s="14">
        <f>IF(E1881&lt;&gt;"", YEARFRAC(C1881, E1881) * 12, "")</f>
        <v/>
      </c>
      <c r="J1881" s="2">
        <f>IF(I1881="", "", IF(OR(AND(A1881="Listed Equity Shares", I1881&gt;12), AND(A1881="Unlisted Equity Shares", I1881&gt;24)), "Long Term", "Short Term"))</f>
        <v/>
      </c>
      <c r="K1881" s="5">
        <f>IF(J1881="", "", IF(J1881="Long Term", 12.5%,"as per slab"))</f>
        <v/>
      </c>
      <c r="L1881" s="3">
        <f>+IFERROR(IF(J1881="","",H1881*K1881),"as per slab")</f>
        <v/>
      </c>
    </row>
    <row r="1882">
      <c r="A1882" s="7" t="n"/>
      <c r="B1882" s="7" t="n"/>
      <c r="C1882" s="8" t="n"/>
      <c r="D1882" s="9" t="n"/>
      <c r="E1882" s="8" t="n"/>
      <c r="F1882" s="9" t="n"/>
      <c r="G1882" s="9" t="n"/>
      <c r="H1882" s="3">
        <f>IF(AND(D1882&lt;&gt;"",F1882&lt;&gt;""),F1882-D1882-G1882,"")</f>
        <v/>
      </c>
      <c r="I1882" s="14">
        <f>IF(E1882&lt;&gt;"", YEARFRAC(C1882, E1882) * 12, "")</f>
        <v/>
      </c>
      <c r="J1882" s="2">
        <f>IF(I1882="", "", IF(OR(AND(A1882="Listed Equity Shares", I1882&gt;12), AND(A1882="Unlisted Equity Shares", I1882&gt;24)), "Long Term", "Short Term"))</f>
        <v/>
      </c>
      <c r="K1882" s="5">
        <f>IF(J1882="", "", IF(J1882="Long Term", 12.5%,"as per slab"))</f>
        <v/>
      </c>
      <c r="L1882" s="3">
        <f>+IFERROR(IF(J1882="","",H1882*K1882),"as per slab")</f>
        <v/>
      </c>
    </row>
    <row r="1883">
      <c r="A1883" s="7" t="n"/>
      <c r="B1883" s="7" t="n"/>
      <c r="C1883" s="8" t="n"/>
      <c r="D1883" s="9" t="n"/>
      <c r="E1883" s="8" t="n"/>
      <c r="F1883" s="9" t="n"/>
      <c r="G1883" s="9" t="n"/>
      <c r="H1883" s="3">
        <f>IF(AND(D1883&lt;&gt;"",F1883&lt;&gt;""),F1883-D1883-G1883,"")</f>
        <v/>
      </c>
      <c r="I1883" s="14">
        <f>IF(E1883&lt;&gt;"", YEARFRAC(C1883, E1883) * 12, "")</f>
        <v/>
      </c>
      <c r="J1883" s="2">
        <f>IF(I1883="", "", IF(OR(AND(A1883="Listed Equity Shares", I1883&gt;12), AND(A1883="Unlisted Equity Shares", I1883&gt;24)), "Long Term", "Short Term"))</f>
        <v/>
      </c>
      <c r="K1883" s="5">
        <f>IF(J1883="", "", IF(J1883="Long Term", 12.5%,"as per slab"))</f>
        <v/>
      </c>
      <c r="L1883" s="3">
        <f>+IFERROR(IF(J1883="","",H1883*K1883),"as per slab")</f>
        <v/>
      </c>
    </row>
    <row r="1884">
      <c r="A1884" s="7" t="n"/>
      <c r="B1884" s="7" t="n"/>
      <c r="C1884" s="8" t="n"/>
      <c r="D1884" s="9" t="n"/>
      <c r="E1884" s="8" t="n"/>
      <c r="F1884" s="9" t="n"/>
      <c r="G1884" s="9" t="n"/>
      <c r="H1884" s="3">
        <f>IF(AND(D1884&lt;&gt;"",F1884&lt;&gt;""),F1884-D1884-G1884,"")</f>
        <v/>
      </c>
      <c r="I1884" s="14">
        <f>IF(E1884&lt;&gt;"", YEARFRAC(C1884, E1884) * 12, "")</f>
        <v/>
      </c>
      <c r="J1884" s="2">
        <f>IF(I1884="", "", IF(OR(AND(A1884="Listed Equity Shares", I1884&gt;12), AND(A1884="Unlisted Equity Shares", I1884&gt;24)), "Long Term", "Short Term"))</f>
        <v/>
      </c>
      <c r="K1884" s="5">
        <f>IF(J1884="", "", IF(J1884="Long Term", 12.5%,"as per slab"))</f>
        <v/>
      </c>
      <c r="L1884" s="3">
        <f>+IFERROR(IF(J1884="","",H1884*K1884),"as per slab")</f>
        <v/>
      </c>
    </row>
    <row r="1885">
      <c r="A1885" s="7" t="n"/>
      <c r="B1885" s="7" t="n"/>
      <c r="C1885" s="8" t="n"/>
      <c r="D1885" s="9" t="n"/>
      <c r="E1885" s="8" t="n"/>
      <c r="F1885" s="9" t="n"/>
      <c r="G1885" s="9" t="n"/>
      <c r="H1885" s="3">
        <f>IF(AND(D1885&lt;&gt;"",F1885&lt;&gt;""),F1885-D1885-G1885,"")</f>
        <v/>
      </c>
      <c r="I1885" s="14">
        <f>IF(E1885&lt;&gt;"", YEARFRAC(C1885, E1885) * 12, "")</f>
        <v/>
      </c>
      <c r="J1885" s="2">
        <f>IF(I1885="", "", IF(OR(AND(A1885="Listed Equity Shares", I1885&gt;12), AND(A1885="Unlisted Equity Shares", I1885&gt;24)), "Long Term", "Short Term"))</f>
        <v/>
      </c>
      <c r="K1885" s="5">
        <f>IF(J1885="", "", IF(J1885="Long Term", 12.5%,"as per slab"))</f>
        <v/>
      </c>
      <c r="L1885" s="3">
        <f>+IFERROR(IF(J1885="","",H1885*K1885),"as per slab")</f>
        <v/>
      </c>
    </row>
    <row r="1886">
      <c r="A1886" s="7" t="n"/>
      <c r="B1886" s="7" t="n"/>
      <c r="C1886" s="8" t="n"/>
      <c r="D1886" s="9" t="n"/>
      <c r="E1886" s="8" t="n"/>
      <c r="F1886" s="9" t="n"/>
      <c r="G1886" s="9" t="n"/>
      <c r="H1886" s="3">
        <f>IF(AND(D1886&lt;&gt;"",F1886&lt;&gt;""),F1886-D1886-G1886,"")</f>
        <v/>
      </c>
      <c r="I1886" s="14">
        <f>IF(E1886&lt;&gt;"", YEARFRAC(C1886, E1886) * 12, "")</f>
        <v/>
      </c>
      <c r="J1886" s="2">
        <f>IF(I1886="", "", IF(OR(AND(A1886="Listed Equity Shares", I1886&gt;12), AND(A1886="Unlisted Equity Shares", I1886&gt;24)), "Long Term", "Short Term"))</f>
        <v/>
      </c>
      <c r="K1886" s="5">
        <f>IF(J1886="", "", IF(J1886="Long Term", 12.5%,"as per slab"))</f>
        <v/>
      </c>
      <c r="L1886" s="3">
        <f>+IFERROR(IF(J1886="","",H1886*K1886),"as per slab")</f>
        <v/>
      </c>
    </row>
    <row r="1887">
      <c r="A1887" s="7" t="n"/>
      <c r="B1887" s="7" t="n"/>
      <c r="C1887" s="8" t="n"/>
      <c r="D1887" s="9" t="n"/>
      <c r="E1887" s="8" t="n"/>
      <c r="F1887" s="9" t="n"/>
      <c r="G1887" s="9" t="n"/>
      <c r="H1887" s="3">
        <f>IF(AND(D1887&lt;&gt;"",F1887&lt;&gt;""),F1887-D1887-G1887,"")</f>
        <v/>
      </c>
      <c r="I1887" s="14">
        <f>IF(E1887&lt;&gt;"", YEARFRAC(C1887, E1887) * 12, "")</f>
        <v/>
      </c>
      <c r="J1887" s="2">
        <f>IF(I1887="", "", IF(OR(AND(A1887="Listed Equity Shares", I1887&gt;12), AND(A1887="Unlisted Equity Shares", I1887&gt;24)), "Long Term", "Short Term"))</f>
        <v/>
      </c>
      <c r="K1887" s="5">
        <f>IF(J1887="", "", IF(J1887="Long Term", 12.5%,"as per slab"))</f>
        <v/>
      </c>
      <c r="L1887" s="3">
        <f>+IFERROR(IF(J1887="","",H1887*K1887),"as per slab")</f>
        <v/>
      </c>
    </row>
    <row r="1888">
      <c r="A1888" s="7" t="n"/>
      <c r="B1888" s="7" t="n"/>
      <c r="C1888" s="8" t="n"/>
      <c r="D1888" s="9" t="n"/>
      <c r="E1888" s="8" t="n"/>
      <c r="F1888" s="9" t="n"/>
      <c r="G1888" s="9" t="n"/>
      <c r="H1888" s="3">
        <f>IF(AND(D1888&lt;&gt;"",F1888&lt;&gt;""),F1888-D1888-G1888,"")</f>
        <v/>
      </c>
      <c r="I1888" s="14">
        <f>IF(E1888&lt;&gt;"", YEARFRAC(C1888, E1888) * 12, "")</f>
        <v/>
      </c>
      <c r="J1888" s="2">
        <f>IF(I1888="", "", IF(OR(AND(A1888="Listed Equity Shares", I1888&gt;12), AND(A1888="Unlisted Equity Shares", I1888&gt;24)), "Long Term", "Short Term"))</f>
        <v/>
      </c>
      <c r="K1888" s="5">
        <f>IF(J1888="", "", IF(J1888="Long Term", 12.5%,"as per slab"))</f>
        <v/>
      </c>
      <c r="L1888" s="3">
        <f>+IFERROR(IF(J1888="","",H1888*K1888),"as per slab")</f>
        <v/>
      </c>
    </row>
    <row r="1889">
      <c r="A1889" s="7" t="n"/>
      <c r="B1889" s="7" t="n"/>
      <c r="C1889" s="8" t="n"/>
      <c r="D1889" s="9" t="n"/>
      <c r="E1889" s="8" t="n"/>
      <c r="F1889" s="9" t="n"/>
      <c r="G1889" s="9" t="n"/>
      <c r="H1889" s="3">
        <f>IF(AND(D1889&lt;&gt;"",F1889&lt;&gt;""),F1889-D1889-G1889,"")</f>
        <v/>
      </c>
      <c r="I1889" s="14">
        <f>IF(E1889&lt;&gt;"", YEARFRAC(C1889, E1889) * 12, "")</f>
        <v/>
      </c>
      <c r="J1889" s="2">
        <f>IF(I1889="", "", IF(OR(AND(A1889="Listed Equity Shares", I1889&gt;12), AND(A1889="Unlisted Equity Shares", I1889&gt;24)), "Long Term", "Short Term"))</f>
        <v/>
      </c>
      <c r="K1889" s="5">
        <f>IF(J1889="", "", IF(J1889="Long Term", 12.5%,"as per slab"))</f>
        <v/>
      </c>
      <c r="L1889" s="3">
        <f>+IFERROR(IF(J1889="","",H1889*K1889),"as per slab")</f>
        <v/>
      </c>
    </row>
    <row r="1890">
      <c r="A1890" s="7" t="n"/>
      <c r="B1890" s="7" t="n"/>
      <c r="C1890" s="8" t="n"/>
      <c r="D1890" s="9" t="n"/>
      <c r="E1890" s="8" t="n"/>
      <c r="F1890" s="9" t="n"/>
      <c r="G1890" s="9" t="n"/>
      <c r="H1890" s="3">
        <f>IF(AND(D1890&lt;&gt;"",F1890&lt;&gt;""),F1890-D1890-G1890,"")</f>
        <v/>
      </c>
      <c r="I1890" s="14">
        <f>IF(E1890&lt;&gt;"", YEARFRAC(C1890, E1890) * 12, "")</f>
        <v/>
      </c>
      <c r="J1890" s="2">
        <f>IF(I1890="", "", IF(OR(AND(A1890="Listed Equity Shares", I1890&gt;12), AND(A1890="Unlisted Equity Shares", I1890&gt;24)), "Long Term", "Short Term"))</f>
        <v/>
      </c>
      <c r="K1890" s="5">
        <f>IF(J1890="", "", IF(J1890="Long Term", 12.5%,"as per slab"))</f>
        <v/>
      </c>
      <c r="L1890" s="3">
        <f>+IFERROR(IF(J1890="","",H1890*K1890),"as per slab")</f>
        <v/>
      </c>
    </row>
    <row r="1891">
      <c r="A1891" s="7" t="n"/>
      <c r="B1891" s="7" t="n"/>
      <c r="C1891" s="8" t="n"/>
      <c r="D1891" s="9" t="n"/>
      <c r="E1891" s="8" t="n"/>
      <c r="F1891" s="9" t="n"/>
      <c r="G1891" s="9" t="n"/>
      <c r="H1891" s="3">
        <f>IF(AND(D1891&lt;&gt;"",F1891&lt;&gt;""),F1891-D1891-G1891,"")</f>
        <v/>
      </c>
      <c r="I1891" s="14">
        <f>IF(E1891&lt;&gt;"", YEARFRAC(C1891, E1891) * 12, "")</f>
        <v/>
      </c>
      <c r="J1891" s="2">
        <f>IF(I1891="", "", IF(OR(AND(A1891="Listed Equity Shares", I1891&gt;12), AND(A1891="Unlisted Equity Shares", I1891&gt;24)), "Long Term", "Short Term"))</f>
        <v/>
      </c>
      <c r="K1891" s="5">
        <f>IF(J1891="", "", IF(J1891="Long Term", 12.5%,"as per slab"))</f>
        <v/>
      </c>
      <c r="L1891" s="3">
        <f>+IFERROR(IF(J1891="","",H1891*K1891),"as per slab")</f>
        <v/>
      </c>
    </row>
    <row r="1892">
      <c r="A1892" s="7" t="n"/>
      <c r="B1892" s="7" t="n"/>
      <c r="C1892" s="8" t="n"/>
      <c r="D1892" s="9" t="n"/>
      <c r="E1892" s="8" t="n"/>
      <c r="F1892" s="9" t="n"/>
      <c r="G1892" s="9" t="n"/>
      <c r="H1892" s="3">
        <f>IF(AND(D1892&lt;&gt;"",F1892&lt;&gt;""),F1892-D1892-G1892,"")</f>
        <v/>
      </c>
      <c r="I1892" s="14">
        <f>IF(E1892&lt;&gt;"", YEARFRAC(C1892, E1892) * 12, "")</f>
        <v/>
      </c>
      <c r="J1892" s="2">
        <f>IF(I1892="", "", IF(OR(AND(A1892="Listed Equity Shares", I1892&gt;12), AND(A1892="Unlisted Equity Shares", I1892&gt;24)), "Long Term", "Short Term"))</f>
        <v/>
      </c>
      <c r="K1892" s="5">
        <f>IF(J1892="", "", IF(J1892="Long Term", 12.5%,"as per slab"))</f>
        <v/>
      </c>
      <c r="L1892" s="3">
        <f>+IFERROR(IF(J1892="","",H1892*K1892),"as per slab")</f>
        <v/>
      </c>
    </row>
    <row r="1893">
      <c r="A1893" s="7" t="n"/>
      <c r="B1893" s="7" t="n"/>
      <c r="C1893" s="8" t="n"/>
      <c r="D1893" s="9" t="n"/>
      <c r="E1893" s="8" t="n"/>
      <c r="F1893" s="9" t="n"/>
      <c r="G1893" s="9" t="n"/>
      <c r="H1893" s="3">
        <f>IF(AND(D1893&lt;&gt;"",F1893&lt;&gt;""),F1893-D1893-G1893,"")</f>
        <v/>
      </c>
      <c r="I1893" s="14">
        <f>IF(E1893&lt;&gt;"", YEARFRAC(C1893, E1893) * 12, "")</f>
        <v/>
      </c>
      <c r="J1893" s="2">
        <f>IF(I1893="", "", IF(OR(AND(A1893="Listed Equity Shares", I1893&gt;12), AND(A1893="Unlisted Equity Shares", I1893&gt;24)), "Long Term", "Short Term"))</f>
        <v/>
      </c>
      <c r="K1893" s="5">
        <f>IF(J1893="", "", IF(J1893="Long Term", 12.5%,"as per slab"))</f>
        <v/>
      </c>
      <c r="L1893" s="3">
        <f>+IFERROR(IF(J1893="","",H1893*K1893),"as per slab")</f>
        <v/>
      </c>
    </row>
    <row r="1894">
      <c r="A1894" s="7" t="n"/>
      <c r="B1894" s="7" t="n"/>
      <c r="C1894" s="8" t="n"/>
      <c r="D1894" s="9" t="n"/>
      <c r="E1894" s="8" t="n"/>
      <c r="F1894" s="9" t="n"/>
      <c r="G1894" s="9" t="n"/>
      <c r="H1894" s="3">
        <f>IF(AND(D1894&lt;&gt;"",F1894&lt;&gt;""),F1894-D1894-G1894,"")</f>
        <v/>
      </c>
      <c r="I1894" s="14">
        <f>IF(E1894&lt;&gt;"", YEARFRAC(C1894, E1894) * 12, "")</f>
        <v/>
      </c>
      <c r="J1894" s="2">
        <f>IF(I1894="", "", IF(OR(AND(A1894="Listed Equity Shares", I1894&gt;12), AND(A1894="Unlisted Equity Shares", I1894&gt;24)), "Long Term", "Short Term"))</f>
        <v/>
      </c>
      <c r="K1894" s="5">
        <f>IF(J1894="", "", IF(J1894="Long Term", 12.5%,"as per slab"))</f>
        <v/>
      </c>
      <c r="L1894" s="3">
        <f>+IFERROR(IF(J1894="","",H1894*K1894),"as per slab")</f>
        <v/>
      </c>
    </row>
    <row r="1895">
      <c r="A1895" s="7" t="n"/>
      <c r="B1895" s="7" t="n"/>
      <c r="C1895" s="8" t="n"/>
      <c r="D1895" s="9" t="n"/>
      <c r="E1895" s="8" t="n"/>
      <c r="F1895" s="9" t="n"/>
      <c r="G1895" s="9" t="n"/>
      <c r="H1895" s="3">
        <f>IF(AND(D1895&lt;&gt;"",F1895&lt;&gt;""),F1895-D1895-G1895,"")</f>
        <v/>
      </c>
      <c r="I1895" s="14">
        <f>IF(E1895&lt;&gt;"", YEARFRAC(C1895, E1895) * 12, "")</f>
        <v/>
      </c>
      <c r="J1895" s="2">
        <f>IF(I1895="", "", IF(OR(AND(A1895="Listed Equity Shares", I1895&gt;12), AND(A1895="Unlisted Equity Shares", I1895&gt;24)), "Long Term", "Short Term"))</f>
        <v/>
      </c>
      <c r="K1895" s="5">
        <f>IF(J1895="", "", IF(J1895="Long Term", 12.5%,"as per slab"))</f>
        <v/>
      </c>
      <c r="L1895" s="3">
        <f>+IFERROR(IF(J1895="","",H1895*K1895),"as per slab")</f>
        <v/>
      </c>
    </row>
    <row r="1896">
      <c r="A1896" s="7" t="n"/>
      <c r="B1896" s="7" t="n"/>
      <c r="C1896" s="8" t="n"/>
      <c r="D1896" s="9" t="n"/>
      <c r="E1896" s="8" t="n"/>
      <c r="F1896" s="9" t="n"/>
      <c r="G1896" s="9" t="n"/>
      <c r="H1896" s="3">
        <f>IF(AND(D1896&lt;&gt;"",F1896&lt;&gt;""),F1896-D1896-G1896,"")</f>
        <v/>
      </c>
      <c r="I1896" s="14">
        <f>IF(E1896&lt;&gt;"", YEARFRAC(C1896, E1896) * 12, "")</f>
        <v/>
      </c>
      <c r="J1896" s="2">
        <f>IF(I1896="", "", IF(OR(AND(A1896="Listed Equity Shares", I1896&gt;12), AND(A1896="Unlisted Equity Shares", I1896&gt;24)), "Long Term", "Short Term"))</f>
        <v/>
      </c>
      <c r="K1896" s="5">
        <f>IF(J1896="", "", IF(J1896="Long Term", 12.5%,"as per slab"))</f>
        <v/>
      </c>
      <c r="L1896" s="3">
        <f>+IFERROR(IF(J1896="","",H1896*K1896),"as per slab")</f>
        <v/>
      </c>
    </row>
    <row r="1897">
      <c r="A1897" s="7" t="n"/>
      <c r="B1897" s="7" t="n"/>
      <c r="C1897" s="8" t="n"/>
      <c r="D1897" s="9" t="n"/>
      <c r="E1897" s="8" t="n"/>
      <c r="F1897" s="9" t="n"/>
      <c r="G1897" s="9" t="n"/>
      <c r="H1897" s="3">
        <f>IF(AND(D1897&lt;&gt;"",F1897&lt;&gt;""),F1897-D1897-G1897,"")</f>
        <v/>
      </c>
      <c r="I1897" s="14">
        <f>IF(E1897&lt;&gt;"", YEARFRAC(C1897, E1897) * 12, "")</f>
        <v/>
      </c>
      <c r="J1897" s="2">
        <f>IF(I1897="", "", IF(OR(AND(A1897="Listed Equity Shares", I1897&gt;12), AND(A1897="Unlisted Equity Shares", I1897&gt;24)), "Long Term", "Short Term"))</f>
        <v/>
      </c>
      <c r="K1897" s="5">
        <f>IF(J1897="", "", IF(J1897="Long Term", 12.5%,"as per slab"))</f>
        <v/>
      </c>
      <c r="L1897" s="3">
        <f>+IFERROR(IF(J1897="","",H1897*K1897),"as per slab")</f>
        <v/>
      </c>
    </row>
    <row r="1898">
      <c r="A1898" s="7" t="n"/>
      <c r="B1898" s="7" t="n"/>
      <c r="C1898" s="8" t="n"/>
      <c r="D1898" s="9" t="n"/>
      <c r="E1898" s="8" t="n"/>
      <c r="F1898" s="9" t="n"/>
      <c r="G1898" s="9" t="n"/>
      <c r="H1898" s="3">
        <f>IF(AND(D1898&lt;&gt;"",F1898&lt;&gt;""),F1898-D1898-G1898,"")</f>
        <v/>
      </c>
      <c r="I1898" s="14">
        <f>IF(E1898&lt;&gt;"", YEARFRAC(C1898, E1898) * 12, "")</f>
        <v/>
      </c>
      <c r="J1898" s="2">
        <f>IF(I1898="", "", IF(OR(AND(A1898="Listed Equity Shares", I1898&gt;12), AND(A1898="Unlisted Equity Shares", I1898&gt;24)), "Long Term", "Short Term"))</f>
        <v/>
      </c>
      <c r="K1898" s="5">
        <f>IF(J1898="", "", IF(J1898="Long Term", 12.5%,"as per slab"))</f>
        <v/>
      </c>
      <c r="L1898" s="3">
        <f>+IFERROR(IF(J1898="","",H1898*K1898),"as per slab")</f>
        <v/>
      </c>
    </row>
    <row r="1899">
      <c r="A1899" s="7" t="n"/>
      <c r="B1899" s="7" t="n"/>
      <c r="C1899" s="8" t="n"/>
      <c r="D1899" s="9" t="n"/>
      <c r="E1899" s="8" t="n"/>
      <c r="F1899" s="9" t="n"/>
      <c r="G1899" s="9" t="n"/>
      <c r="H1899" s="3">
        <f>IF(AND(D1899&lt;&gt;"",F1899&lt;&gt;""),F1899-D1899-G1899,"")</f>
        <v/>
      </c>
      <c r="I1899" s="14">
        <f>IF(E1899&lt;&gt;"", YEARFRAC(C1899, E1899) * 12, "")</f>
        <v/>
      </c>
      <c r="J1899" s="2">
        <f>IF(I1899="", "", IF(OR(AND(A1899="Listed Equity Shares", I1899&gt;12), AND(A1899="Unlisted Equity Shares", I1899&gt;24)), "Long Term", "Short Term"))</f>
        <v/>
      </c>
      <c r="K1899" s="5">
        <f>IF(J1899="", "", IF(J1899="Long Term", 12.5%,"as per slab"))</f>
        <v/>
      </c>
      <c r="L1899" s="3">
        <f>+IFERROR(IF(J1899="","",H1899*K1899),"as per slab")</f>
        <v/>
      </c>
    </row>
    <row r="1900">
      <c r="A1900" s="7" t="n"/>
      <c r="B1900" s="7" t="n"/>
      <c r="C1900" s="8" t="n"/>
      <c r="D1900" s="9" t="n"/>
      <c r="E1900" s="8" t="n"/>
      <c r="F1900" s="9" t="n"/>
      <c r="G1900" s="9" t="n"/>
      <c r="H1900" s="3">
        <f>IF(AND(D1900&lt;&gt;"",F1900&lt;&gt;""),F1900-D1900-G1900,"")</f>
        <v/>
      </c>
      <c r="I1900" s="14">
        <f>IF(E1900&lt;&gt;"", YEARFRAC(C1900, E1900) * 12, "")</f>
        <v/>
      </c>
      <c r="J1900" s="2">
        <f>IF(I1900="", "", IF(OR(AND(A1900="Listed Equity Shares", I1900&gt;12), AND(A1900="Unlisted Equity Shares", I1900&gt;24)), "Long Term", "Short Term"))</f>
        <v/>
      </c>
      <c r="K1900" s="5">
        <f>IF(J1900="", "", IF(J1900="Long Term", 12.5%,"as per slab"))</f>
        <v/>
      </c>
      <c r="L1900" s="3">
        <f>+IFERROR(IF(J1900="","",H1900*K1900),"as per slab")</f>
        <v/>
      </c>
    </row>
    <row r="1901">
      <c r="A1901" s="7" t="n"/>
      <c r="B1901" s="7" t="n"/>
      <c r="C1901" s="8" t="n"/>
      <c r="D1901" s="9" t="n"/>
      <c r="E1901" s="8" t="n"/>
      <c r="F1901" s="9" t="n"/>
      <c r="G1901" s="9" t="n"/>
      <c r="H1901" s="3">
        <f>IF(AND(D1901&lt;&gt;"",F1901&lt;&gt;""),F1901-D1901-G1901,"")</f>
        <v/>
      </c>
      <c r="I1901" s="14">
        <f>IF(E1901&lt;&gt;"", YEARFRAC(C1901, E1901) * 12, "")</f>
        <v/>
      </c>
      <c r="J1901" s="2">
        <f>IF(I1901="", "", IF(OR(AND(A1901="Listed Equity Shares", I1901&gt;12), AND(A1901="Unlisted Equity Shares", I1901&gt;24)), "Long Term", "Short Term"))</f>
        <v/>
      </c>
      <c r="K1901" s="5">
        <f>IF(J1901="", "", IF(J1901="Long Term", 12.5%,"as per slab"))</f>
        <v/>
      </c>
      <c r="L1901" s="3">
        <f>+IFERROR(IF(J1901="","",H1901*K1901),"as per slab")</f>
        <v/>
      </c>
    </row>
    <row r="1902">
      <c r="A1902" s="7" t="n"/>
      <c r="B1902" s="7" t="n"/>
      <c r="C1902" s="8" t="n"/>
      <c r="D1902" s="9" t="n"/>
      <c r="E1902" s="8" t="n"/>
      <c r="F1902" s="9" t="n"/>
      <c r="G1902" s="9" t="n"/>
      <c r="H1902" s="3">
        <f>IF(AND(D1902&lt;&gt;"",F1902&lt;&gt;""),F1902-D1902-G1902,"")</f>
        <v/>
      </c>
      <c r="I1902" s="14">
        <f>IF(E1902&lt;&gt;"", YEARFRAC(C1902, E1902) * 12, "")</f>
        <v/>
      </c>
      <c r="J1902" s="2">
        <f>IF(I1902="", "", IF(OR(AND(A1902="Listed Equity Shares", I1902&gt;12), AND(A1902="Unlisted Equity Shares", I1902&gt;24)), "Long Term", "Short Term"))</f>
        <v/>
      </c>
      <c r="K1902" s="5">
        <f>IF(J1902="", "", IF(J1902="Long Term", 12.5%,"as per slab"))</f>
        <v/>
      </c>
      <c r="L1902" s="3">
        <f>+IFERROR(IF(J1902="","",H1902*K1902),"as per slab")</f>
        <v/>
      </c>
    </row>
    <row r="1903">
      <c r="A1903" s="7" t="n"/>
      <c r="B1903" s="7" t="n"/>
      <c r="C1903" s="8" t="n"/>
      <c r="D1903" s="9" t="n"/>
      <c r="E1903" s="8" t="n"/>
      <c r="F1903" s="9" t="n"/>
      <c r="G1903" s="9" t="n"/>
      <c r="H1903" s="3">
        <f>IF(AND(D1903&lt;&gt;"",F1903&lt;&gt;""),F1903-D1903-G1903,"")</f>
        <v/>
      </c>
      <c r="I1903" s="14">
        <f>IF(E1903&lt;&gt;"", YEARFRAC(C1903, E1903) * 12, "")</f>
        <v/>
      </c>
      <c r="J1903" s="2">
        <f>IF(I1903="", "", IF(OR(AND(A1903="Listed Equity Shares", I1903&gt;12), AND(A1903="Unlisted Equity Shares", I1903&gt;24)), "Long Term", "Short Term"))</f>
        <v/>
      </c>
      <c r="K1903" s="5">
        <f>IF(J1903="", "", IF(J1903="Long Term", 12.5%,"as per slab"))</f>
        <v/>
      </c>
      <c r="L1903" s="3">
        <f>+IFERROR(IF(J1903="","",H1903*K1903),"as per slab")</f>
        <v/>
      </c>
    </row>
    <row r="1904">
      <c r="A1904" s="7" t="n"/>
      <c r="B1904" s="7" t="n"/>
      <c r="C1904" s="8" t="n"/>
      <c r="D1904" s="9" t="n"/>
      <c r="E1904" s="8" t="n"/>
      <c r="F1904" s="9" t="n"/>
      <c r="G1904" s="9" t="n"/>
      <c r="H1904" s="3">
        <f>IF(AND(D1904&lt;&gt;"",F1904&lt;&gt;""),F1904-D1904-G1904,"")</f>
        <v/>
      </c>
      <c r="I1904" s="14">
        <f>IF(E1904&lt;&gt;"", YEARFRAC(C1904, E1904) * 12, "")</f>
        <v/>
      </c>
      <c r="J1904" s="2">
        <f>IF(I1904="", "", IF(OR(AND(A1904="Listed Equity Shares", I1904&gt;12), AND(A1904="Unlisted Equity Shares", I1904&gt;24)), "Long Term", "Short Term"))</f>
        <v/>
      </c>
      <c r="K1904" s="5">
        <f>IF(J1904="", "", IF(J1904="Long Term", 12.5%,"as per slab"))</f>
        <v/>
      </c>
      <c r="L1904" s="3">
        <f>+IFERROR(IF(J1904="","",H1904*K1904),"as per slab")</f>
        <v/>
      </c>
    </row>
    <row r="1905">
      <c r="A1905" s="7" t="n"/>
      <c r="B1905" s="7" t="n"/>
      <c r="C1905" s="8" t="n"/>
      <c r="D1905" s="9" t="n"/>
      <c r="E1905" s="8" t="n"/>
      <c r="F1905" s="9" t="n"/>
      <c r="G1905" s="9" t="n"/>
      <c r="H1905" s="3">
        <f>IF(AND(D1905&lt;&gt;"",F1905&lt;&gt;""),F1905-D1905-G1905,"")</f>
        <v/>
      </c>
      <c r="I1905" s="14">
        <f>IF(E1905&lt;&gt;"", YEARFRAC(C1905, E1905) * 12, "")</f>
        <v/>
      </c>
      <c r="J1905" s="2">
        <f>IF(I1905="", "", IF(OR(AND(A1905="Listed Equity Shares", I1905&gt;12), AND(A1905="Unlisted Equity Shares", I1905&gt;24)), "Long Term", "Short Term"))</f>
        <v/>
      </c>
      <c r="K1905" s="5">
        <f>IF(J1905="", "", IF(J1905="Long Term", 12.5%,"as per slab"))</f>
        <v/>
      </c>
      <c r="L1905" s="3">
        <f>+IFERROR(IF(J1905="","",H1905*K1905),"as per slab")</f>
        <v/>
      </c>
    </row>
    <row r="1906">
      <c r="A1906" s="7" t="n"/>
      <c r="B1906" s="7" t="n"/>
      <c r="C1906" s="8" t="n"/>
      <c r="D1906" s="9" t="n"/>
      <c r="E1906" s="8" t="n"/>
      <c r="F1906" s="9" t="n"/>
      <c r="G1906" s="9" t="n"/>
      <c r="H1906" s="3">
        <f>IF(AND(D1906&lt;&gt;"",F1906&lt;&gt;""),F1906-D1906-G1906,"")</f>
        <v/>
      </c>
      <c r="I1906" s="14">
        <f>IF(E1906&lt;&gt;"", YEARFRAC(C1906, E1906) * 12, "")</f>
        <v/>
      </c>
      <c r="J1906" s="2">
        <f>IF(I1906="", "", IF(OR(AND(A1906="Listed Equity Shares", I1906&gt;12), AND(A1906="Unlisted Equity Shares", I1906&gt;24)), "Long Term", "Short Term"))</f>
        <v/>
      </c>
      <c r="K1906" s="5">
        <f>IF(J1906="", "", IF(J1906="Long Term", 12.5%,"as per slab"))</f>
        <v/>
      </c>
      <c r="L1906" s="3">
        <f>+IFERROR(IF(J1906="","",H1906*K1906),"as per slab")</f>
        <v/>
      </c>
    </row>
    <row r="1907">
      <c r="A1907" s="7" t="n"/>
      <c r="B1907" s="7" t="n"/>
      <c r="C1907" s="8" t="n"/>
      <c r="D1907" s="9" t="n"/>
      <c r="E1907" s="8" t="n"/>
      <c r="F1907" s="9" t="n"/>
      <c r="G1907" s="9" t="n"/>
      <c r="H1907" s="3">
        <f>IF(AND(D1907&lt;&gt;"",F1907&lt;&gt;""),F1907-D1907-G1907,"")</f>
        <v/>
      </c>
      <c r="I1907" s="14">
        <f>IF(E1907&lt;&gt;"", YEARFRAC(C1907, E1907) * 12, "")</f>
        <v/>
      </c>
      <c r="J1907" s="2">
        <f>IF(I1907="", "", IF(OR(AND(A1907="Listed Equity Shares", I1907&gt;12), AND(A1907="Unlisted Equity Shares", I1907&gt;24)), "Long Term", "Short Term"))</f>
        <v/>
      </c>
      <c r="K1907" s="5">
        <f>IF(J1907="", "", IF(J1907="Long Term", 12.5%,"as per slab"))</f>
        <v/>
      </c>
      <c r="L1907" s="3">
        <f>+IFERROR(IF(J1907="","",H1907*K1907),"as per slab")</f>
        <v/>
      </c>
    </row>
    <row r="1908">
      <c r="A1908" s="7" t="n"/>
      <c r="B1908" s="7" t="n"/>
      <c r="C1908" s="8" t="n"/>
      <c r="D1908" s="9" t="n"/>
      <c r="E1908" s="8" t="n"/>
      <c r="F1908" s="9" t="n"/>
      <c r="G1908" s="9" t="n"/>
      <c r="H1908" s="3">
        <f>IF(AND(D1908&lt;&gt;"",F1908&lt;&gt;""),F1908-D1908-G1908,"")</f>
        <v/>
      </c>
      <c r="I1908" s="14">
        <f>IF(E1908&lt;&gt;"", YEARFRAC(C1908, E1908) * 12, "")</f>
        <v/>
      </c>
      <c r="J1908" s="2">
        <f>IF(I1908="", "", IF(OR(AND(A1908="Listed Equity Shares", I1908&gt;12), AND(A1908="Unlisted Equity Shares", I1908&gt;24)), "Long Term", "Short Term"))</f>
        <v/>
      </c>
      <c r="K1908" s="5">
        <f>IF(J1908="", "", IF(J1908="Long Term", 12.5%,"as per slab"))</f>
        <v/>
      </c>
      <c r="L1908" s="3">
        <f>+IFERROR(IF(J1908="","",H1908*K1908),"as per slab")</f>
        <v/>
      </c>
    </row>
    <row r="1909">
      <c r="A1909" s="7" t="n"/>
      <c r="B1909" s="7" t="n"/>
      <c r="C1909" s="8" t="n"/>
      <c r="D1909" s="9" t="n"/>
      <c r="E1909" s="8" t="n"/>
      <c r="F1909" s="9" t="n"/>
      <c r="G1909" s="9" t="n"/>
      <c r="H1909" s="3">
        <f>IF(AND(D1909&lt;&gt;"",F1909&lt;&gt;""),F1909-D1909-G1909,"")</f>
        <v/>
      </c>
      <c r="I1909" s="14">
        <f>IF(E1909&lt;&gt;"", YEARFRAC(C1909, E1909) * 12, "")</f>
        <v/>
      </c>
      <c r="J1909" s="2">
        <f>IF(I1909="", "", IF(OR(AND(A1909="Listed Equity Shares", I1909&gt;12), AND(A1909="Unlisted Equity Shares", I1909&gt;24)), "Long Term", "Short Term"))</f>
        <v/>
      </c>
      <c r="K1909" s="5">
        <f>IF(J1909="", "", IF(J1909="Long Term", 12.5%,"as per slab"))</f>
        <v/>
      </c>
      <c r="L1909" s="3">
        <f>+IFERROR(IF(J1909="","",H1909*K1909),"as per slab")</f>
        <v/>
      </c>
    </row>
    <row r="1910">
      <c r="A1910" s="7" t="n"/>
      <c r="B1910" s="7" t="n"/>
      <c r="C1910" s="8" t="n"/>
      <c r="D1910" s="9" t="n"/>
      <c r="E1910" s="8" t="n"/>
      <c r="F1910" s="9" t="n"/>
      <c r="G1910" s="9" t="n"/>
      <c r="H1910" s="3">
        <f>IF(AND(D1910&lt;&gt;"",F1910&lt;&gt;""),F1910-D1910-G1910,"")</f>
        <v/>
      </c>
      <c r="I1910" s="14">
        <f>IF(E1910&lt;&gt;"", YEARFRAC(C1910, E1910) * 12, "")</f>
        <v/>
      </c>
      <c r="J1910" s="2">
        <f>IF(I1910="", "", IF(OR(AND(A1910="Listed Equity Shares", I1910&gt;12), AND(A1910="Unlisted Equity Shares", I1910&gt;24)), "Long Term", "Short Term"))</f>
        <v/>
      </c>
      <c r="K1910" s="5">
        <f>IF(J1910="", "", IF(J1910="Long Term", 12.5%,"as per slab"))</f>
        <v/>
      </c>
      <c r="L1910" s="3">
        <f>+IFERROR(IF(J1910="","",H1910*K1910),"as per slab")</f>
        <v/>
      </c>
    </row>
    <row r="1911">
      <c r="A1911" s="7" t="n"/>
      <c r="B1911" s="7" t="n"/>
      <c r="C1911" s="8" t="n"/>
      <c r="D1911" s="9" t="n"/>
      <c r="E1911" s="8" t="n"/>
      <c r="F1911" s="9" t="n"/>
      <c r="G1911" s="9" t="n"/>
      <c r="H1911" s="3">
        <f>IF(AND(D1911&lt;&gt;"",F1911&lt;&gt;""),F1911-D1911-G1911,"")</f>
        <v/>
      </c>
      <c r="I1911" s="14">
        <f>IF(E1911&lt;&gt;"", YEARFRAC(C1911, E1911) * 12, "")</f>
        <v/>
      </c>
      <c r="J1911" s="2">
        <f>IF(I1911="", "", IF(OR(AND(A1911="Listed Equity Shares", I1911&gt;12), AND(A1911="Unlisted Equity Shares", I1911&gt;24)), "Long Term", "Short Term"))</f>
        <v/>
      </c>
      <c r="K1911" s="5">
        <f>IF(J1911="", "", IF(J1911="Long Term", 12.5%,"as per slab"))</f>
        <v/>
      </c>
      <c r="L1911" s="3">
        <f>+IFERROR(IF(J1911="","",H1911*K1911),"as per slab")</f>
        <v/>
      </c>
    </row>
    <row r="1912">
      <c r="A1912" s="7" t="n"/>
      <c r="B1912" s="7" t="n"/>
      <c r="C1912" s="8" t="n"/>
      <c r="D1912" s="9" t="n"/>
      <c r="E1912" s="8" t="n"/>
      <c r="F1912" s="9" t="n"/>
      <c r="G1912" s="9" t="n"/>
      <c r="H1912" s="3">
        <f>IF(AND(D1912&lt;&gt;"",F1912&lt;&gt;""),F1912-D1912-G1912,"")</f>
        <v/>
      </c>
      <c r="I1912" s="14">
        <f>IF(E1912&lt;&gt;"", YEARFRAC(C1912, E1912) * 12, "")</f>
        <v/>
      </c>
      <c r="J1912" s="2">
        <f>IF(I1912="", "", IF(OR(AND(A1912="Listed Equity Shares", I1912&gt;12), AND(A1912="Unlisted Equity Shares", I1912&gt;24)), "Long Term", "Short Term"))</f>
        <v/>
      </c>
      <c r="K1912" s="5">
        <f>IF(J1912="", "", IF(J1912="Long Term", 12.5%,"as per slab"))</f>
        <v/>
      </c>
      <c r="L1912" s="3">
        <f>+IFERROR(IF(J1912="","",H1912*K1912),"as per slab")</f>
        <v/>
      </c>
    </row>
    <row r="1913">
      <c r="A1913" s="7" t="n"/>
      <c r="B1913" s="7" t="n"/>
      <c r="C1913" s="8" t="n"/>
      <c r="D1913" s="9" t="n"/>
      <c r="E1913" s="8" t="n"/>
      <c r="F1913" s="9" t="n"/>
      <c r="G1913" s="9" t="n"/>
      <c r="H1913" s="3">
        <f>IF(AND(D1913&lt;&gt;"",F1913&lt;&gt;""),F1913-D1913-G1913,"")</f>
        <v/>
      </c>
      <c r="I1913" s="14">
        <f>IF(E1913&lt;&gt;"", YEARFRAC(C1913, E1913) * 12, "")</f>
        <v/>
      </c>
      <c r="J1913" s="2">
        <f>IF(I1913="", "", IF(OR(AND(A1913="Listed Equity Shares", I1913&gt;12), AND(A1913="Unlisted Equity Shares", I1913&gt;24)), "Long Term", "Short Term"))</f>
        <v/>
      </c>
      <c r="K1913" s="5">
        <f>IF(J1913="", "", IF(J1913="Long Term", 12.5%,"as per slab"))</f>
        <v/>
      </c>
      <c r="L1913" s="3">
        <f>+IFERROR(IF(J1913="","",H1913*K1913),"as per slab")</f>
        <v/>
      </c>
    </row>
    <row r="1914">
      <c r="A1914" s="7" t="n"/>
      <c r="B1914" s="7" t="n"/>
      <c r="C1914" s="8" t="n"/>
      <c r="D1914" s="9" t="n"/>
      <c r="E1914" s="8" t="n"/>
      <c r="F1914" s="9" t="n"/>
      <c r="G1914" s="9" t="n"/>
      <c r="H1914" s="3">
        <f>IF(AND(D1914&lt;&gt;"",F1914&lt;&gt;""),F1914-D1914-G1914,"")</f>
        <v/>
      </c>
      <c r="I1914" s="14">
        <f>IF(E1914&lt;&gt;"", YEARFRAC(C1914, E1914) * 12, "")</f>
        <v/>
      </c>
      <c r="J1914" s="2">
        <f>IF(I1914="", "", IF(OR(AND(A1914="Listed Equity Shares", I1914&gt;12), AND(A1914="Unlisted Equity Shares", I1914&gt;24)), "Long Term", "Short Term"))</f>
        <v/>
      </c>
      <c r="K1914" s="5">
        <f>IF(J1914="", "", IF(J1914="Long Term", 12.5%,"as per slab"))</f>
        <v/>
      </c>
      <c r="L1914" s="3">
        <f>+IFERROR(IF(J1914="","",H1914*K1914),"as per slab")</f>
        <v/>
      </c>
    </row>
    <row r="1915">
      <c r="A1915" s="7" t="n"/>
      <c r="B1915" s="7" t="n"/>
      <c r="C1915" s="8" t="n"/>
      <c r="D1915" s="9" t="n"/>
      <c r="E1915" s="8" t="n"/>
      <c r="F1915" s="9" t="n"/>
      <c r="G1915" s="9" t="n"/>
      <c r="H1915" s="3">
        <f>IF(AND(D1915&lt;&gt;"",F1915&lt;&gt;""),F1915-D1915-G1915,"")</f>
        <v/>
      </c>
      <c r="I1915" s="14">
        <f>IF(E1915&lt;&gt;"", YEARFRAC(C1915, E1915) * 12, "")</f>
        <v/>
      </c>
      <c r="J1915" s="2">
        <f>IF(I1915="", "", IF(OR(AND(A1915="Listed Equity Shares", I1915&gt;12), AND(A1915="Unlisted Equity Shares", I1915&gt;24)), "Long Term", "Short Term"))</f>
        <v/>
      </c>
      <c r="K1915" s="5">
        <f>IF(J1915="", "", IF(J1915="Long Term", 12.5%,"as per slab"))</f>
        <v/>
      </c>
      <c r="L1915" s="3">
        <f>+IFERROR(IF(J1915="","",H1915*K1915),"as per slab")</f>
        <v/>
      </c>
    </row>
    <row r="1916">
      <c r="A1916" s="7" t="n"/>
      <c r="B1916" s="7" t="n"/>
      <c r="C1916" s="8" t="n"/>
      <c r="D1916" s="9" t="n"/>
      <c r="E1916" s="8" t="n"/>
      <c r="F1916" s="9" t="n"/>
      <c r="G1916" s="9" t="n"/>
      <c r="H1916" s="3">
        <f>IF(AND(D1916&lt;&gt;"",F1916&lt;&gt;""),F1916-D1916-G1916,"")</f>
        <v/>
      </c>
      <c r="I1916" s="14">
        <f>IF(E1916&lt;&gt;"", YEARFRAC(C1916, E1916) * 12, "")</f>
        <v/>
      </c>
      <c r="J1916" s="2">
        <f>IF(I1916="", "", IF(OR(AND(A1916="Listed Equity Shares", I1916&gt;12), AND(A1916="Unlisted Equity Shares", I1916&gt;24)), "Long Term", "Short Term"))</f>
        <v/>
      </c>
      <c r="K1916" s="5">
        <f>IF(J1916="", "", IF(J1916="Long Term", 12.5%,"as per slab"))</f>
        <v/>
      </c>
      <c r="L1916" s="3">
        <f>+IFERROR(IF(J1916="","",H1916*K1916),"as per slab")</f>
        <v/>
      </c>
    </row>
    <row r="1917">
      <c r="A1917" s="7" t="n"/>
      <c r="B1917" s="7" t="n"/>
      <c r="C1917" s="8" t="n"/>
      <c r="D1917" s="9" t="n"/>
      <c r="E1917" s="8" t="n"/>
      <c r="F1917" s="9" t="n"/>
      <c r="G1917" s="9" t="n"/>
      <c r="H1917" s="3">
        <f>IF(AND(D1917&lt;&gt;"",F1917&lt;&gt;""),F1917-D1917-G1917,"")</f>
        <v/>
      </c>
      <c r="I1917" s="14">
        <f>IF(E1917&lt;&gt;"", YEARFRAC(C1917, E1917) * 12, "")</f>
        <v/>
      </c>
      <c r="J1917" s="2">
        <f>IF(I1917="", "", IF(OR(AND(A1917="Listed Equity Shares", I1917&gt;12), AND(A1917="Unlisted Equity Shares", I1917&gt;24)), "Long Term", "Short Term"))</f>
        <v/>
      </c>
      <c r="K1917" s="5">
        <f>IF(J1917="", "", IF(J1917="Long Term", 12.5%,"as per slab"))</f>
        <v/>
      </c>
      <c r="L1917" s="3">
        <f>+IFERROR(IF(J1917="","",H1917*K1917),"as per slab")</f>
        <v/>
      </c>
    </row>
    <row r="1918">
      <c r="A1918" s="7" t="n"/>
      <c r="B1918" s="7" t="n"/>
      <c r="C1918" s="8" t="n"/>
      <c r="D1918" s="9" t="n"/>
      <c r="E1918" s="8" t="n"/>
      <c r="F1918" s="9" t="n"/>
      <c r="G1918" s="9" t="n"/>
      <c r="H1918" s="3">
        <f>IF(AND(D1918&lt;&gt;"",F1918&lt;&gt;""),F1918-D1918-G1918,"")</f>
        <v/>
      </c>
      <c r="I1918" s="14">
        <f>IF(E1918&lt;&gt;"", YEARFRAC(C1918, E1918) * 12, "")</f>
        <v/>
      </c>
      <c r="J1918" s="2">
        <f>IF(I1918="", "", IF(OR(AND(A1918="Listed Equity Shares", I1918&gt;12), AND(A1918="Unlisted Equity Shares", I1918&gt;24)), "Long Term", "Short Term"))</f>
        <v/>
      </c>
      <c r="K1918" s="5">
        <f>IF(J1918="", "", IF(J1918="Long Term", 12.5%,"as per slab"))</f>
        <v/>
      </c>
      <c r="L1918" s="3">
        <f>+IFERROR(IF(J1918="","",H1918*K1918),"as per slab")</f>
        <v/>
      </c>
    </row>
    <row r="1919">
      <c r="A1919" s="7" t="n"/>
      <c r="B1919" s="7" t="n"/>
      <c r="C1919" s="8" t="n"/>
      <c r="D1919" s="9" t="n"/>
      <c r="E1919" s="8" t="n"/>
      <c r="F1919" s="9" t="n"/>
      <c r="G1919" s="9" t="n"/>
      <c r="H1919" s="3">
        <f>IF(AND(D1919&lt;&gt;"",F1919&lt;&gt;""),F1919-D1919-G1919,"")</f>
        <v/>
      </c>
      <c r="I1919" s="14">
        <f>IF(E1919&lt;&gt;"", YEARFRAC(C1919, E1919) * 12, "")</f>
        <v/>
      </c>
      <c r="J1919" s="2">
        <f>IF(I1919="", "", IF(OR(AND(A1919="Listed Equity Shares", I1919&gt;12), AND(A1919="Unlisted Equity Shares", I1919&gt;24)), "Long Term", "Short Term"))</f>
        <v/>
      </c>
      <c r="K1919" s="5">
        <f>IF(J1919="", "", IF(J1919="Long Term", 12.5%,"as per slab"))</f>
        <v/>
      </c>
      <c r="L1919" s="3">
        <f>+IFERROR(IF(J1919="","",H1919*K1919),"as per slab")</f>
        <v/>
      </c>
    </row>
    <row r="1920">
      <c r="A1920" s="7" t="n"/>
      <c r="B1920" s="7" t="n"/>
      <c r="C1920" s="8" t="n"/>
      <c r="D1920" s="9" t="n"/>
      <c r="E1920" s="8" t="n"/>
      <c r="F1920" s="9" t="n"/>
      <c r="G1920" s="9" t="n"/>
      <c r="H1920" s="3">
        <f>IF(AND(D1920&lt;&gt;"",F1920&lt;&gt;""),F1920-D1920-G1920,"")</f>
        <v/>
      </c>
      <c r="I1920" s="14">
        <f>IF(E1920&lt;&gt;"", YEARFRAC(C1920, E1920) * 12, "")</f>
        <v/>
      </c>
      <c r="J1920" s="2">
        <f>IF(I1920="", "", IF(OR(AND(A1920="Listed Equity Shares", I1920&gt;12), AND(A1920="Unlisted Equity Shares", I1920&gt;24)), "Long Term", "Short Term"))</f>
        <v/>
      </c>
      <c r="K1920" s="5">
        <f>IF(J1920="", "", IF(J1920="Long Term", 12.5%,"as per slab"))</f>
        <v/>
      </c>
      <c r="L1920" s="3">
        <f>+IFERROR(IF(J1920="","",H1920*K1920),"as per slab")</f>
        <v/>
      </c>
    </row>
    <row r="1921">
      <c r="A1921" s="7" t="n"/>
      <c r="B1921" s="7" t="n"/>
      <c r="C1921" s="8" t="n"/>
      <c r="D1921" s="9" t="n"/>
      <c r="E1921" s="8" t="n"/>
      <c r="F1921" s="9" t="n"/>
      <c r="G1921" s="9" t="n"/>
      <c r="H1921" s="3">
        <f>IF(AND(D1921&lt;&gt;"",F1921&lt;&gt;""),F1921-D1921-G1921,"")</f>
        <v/>
      </c>
      <c r="I1921" s="14">
        <f>IF(E1921&lt;&gt;"", YEARFRAC(C1921, E1921) * 12, "")</f>
        <v/>
      </c>
      <c r="J1921" s="2">
        <f>IF(I1921="", "", IF(OR(AND(A1921="Listed Equity Shares", I1921&gt;12), AND(A1921="Unlisted Equity Shares", I1921&gt;24)), "Long Term", "Short Term"))</f>
        <v/>
      </c>
      <c r="K1921" s="5">
        <f>IF(J1921="", "", IF(J1921="Long Term", 12.5%,"as per slab"))</f>
        <v/>
      </c>
      <c r="L1921" s="3">
        <f>+IFERROR(IF(J1921="","",H1921*K1921),"as per slab")</f>
        <v/>
      </c>
    </row>
    <row r="1922">
      <c r="A1922" s="7" t="n"/>
      <c r="B1922" s="7" t="n"/>
      <c r="C1922" s="8" t="n"/>
      <c r="D1922" s="9" t="n"/>
      <c r="E1922" s="8" t="n"/>
      <c r="F1922" s="9" t="n"/>
      <c r="G1922" s="9" t="n"/>
      <c r="H1922" s="3">
        <f>IF(AND(D1922&lt;&gt;"",F1922&lt;&gt;""),F1922-D1922-G1922,"")</f>
        <v/>
      </c>
      <c r="I1922" s="14">
        <f>IF(E1922&lt;&gt;"", YEARFRAC(C1922, E1922) * 12, "")</f>
        <v/>
      </c>
      <c r="J1922" s="2">
        <f>IF(I1922="", "", IF(OR(AND(A1922="Listed Equity Shares", I1922&gt;12), AND(A1922="Unlisted Equity Shares", I1922&gt;24)), "Long Term", "Short Term"))</f>
        <v/>
      </c>
      <c r="K1922" s="5">
        <f>IF(J1922="", "", IF(J1922="Long Term", 12.5%,"as per slab"))</f>
        <v/>
      </c>
      <c r="L1922" s="3">
        <f>+IFERROR(IF(J1922="","",H1922*K1922),"as per slab")</f>
        <v/>
      </c>
    </row>
    <row r="1923">
      <c r="A1923" s="7" t="n"/>
      <c r="B1923" s="7" t="n"/>
      <c r="C1923" s="8" t="n"/>
      <c r="D1923" s="9" t="n"/>
      <c r="E1923" s="8" t="n"/>
      <c r="F1923" s="9" t="n"/>
      <c r="G1923" s="9" t="n"/>
      <c r="H1923" s="3">
        <f>IF(AND(D1923&lt;&gt;"",F1923&lt;&gt;""),F1923-D1923-G1923,"")</f>
        <v/>
      </c>
      <c r="I1923" s="14">
        <f>IF(E1923&lt;&gt;"", YEARFRAC(C1923, E1923) * 12, "")</f>
        <v/>
      </c>
      <c r="J1923" s="2">
        <f>IF(I1923="", "", IF(OR(AND(A1923="Listed Equity Shares", I1923&gt;12), AND(A1923="Unlisted Equity Shares", I1923&gt;24)), "Long Term", "Short Term"))</f>
        <v/>
      </c>
      <c r="K1923" s="5">
        <f>IF(J1923="", "", IF(J1923="Long Term", 12.5%,"as per slab"))</f>
        <v/>
      </c>
      <c r="L1923" s="3">
        <f>+IFERROR(IF(J1923="","",H1923*K1923),"as per slab")</f>
        <v/>
      </c>
    </row>
    <row r="1924">
      <c r="A1924" s="7" t="n"/>
      <c r="B1924" s="7" t="n"/>
      <c r="C1924" s="8" t="n"/>
      <c r="D1924" s="9" t="n"/>
      <c r="E1924" s="8" t="n"/>
      <c r="F1924" s="9" t="n"/>
      <c r="G1924" s="9" t="n"/>
      <c r="H1924" s="3">
        <f>IF(AND(D1924&lt;&gt;"",F1924&lt;&gt;""),F1924-D1924-G1924,"")</f>
        <v/>
      </c>
      <c r="I1924" s="14">
        <f>IF(E1924&lt;&gt;"", YEARFRAC(C1924, E1924) * 12, "")</f>
        <v/>
      </c>
      <c r="J1924" s="2">
        <f>IF(I1924="", "", IF(OR(AND(A1924="Listed Equity Shares", I1924&gt;12), AND(A1924="Unlisted Equity Shares", I1924&gt;24)), "Long Term", "Short Term"))</f>
        <v/>
      </c>
      <c r="K1924" s="5">
        <f>IF(J1924="", "", IF(J1924="Long Term", 12.5%,"as per slab"))</f>
        <v/>
      </c>
      <c r="L1924" s="3">
        <f>+IFERROR(IF(J1924="","",H1924*K1924),"as per slab")</f>
        <v/>
      </c>
    </row>
    <row r="1925">
      <c r="A1925" s="7" t="n"/>
      <c r="B1925" s="7" t="n"/>
      <c r="C1925" s="8" t="n"/>
      <c r="D1925" s="9" t="n"/>
      <c r="E1925" s="8" t="n"/>
      <c r="F1925" s="9" t="n"/>
      <c r="G1925" s="9" t="n"/>
      <c r="H1925" s="3">
        <f>IF(AND(D1925&lt;&gt;"",F1925&lt;&gt;""),F1925-D1925-G1925,"")</f>
        <v/>
      </c>
      <c r="I1925" s="14">
        <f>IF(E1925&lt;&gt;"", YEARFRAC(C1925, E1925) * 12, "")</f>
        <v/>
      </c>
      <c r="J1925" s="2">
        <f>IF(I1925="", "", IF(OR(AND(A1925="Listed Equity Shares", I1925&gt;12), AND(A1925="Unlisted Equity Shares", I1925&gt;24)), "Long Term", "Short Term"))</f>
        <v/>
      </c>
      <c r="K1925" s="5">
        <f>IF(J1925="", "", IF(J1925="Long Term", 12.5%,"as per slab"))</f>
        <v/>
      </c>
      <c r="L1925" s="3">
        <f>+IFERROR(IF(J1925="","",H1925*K1925),"as per slab")</f>
        <v/>
      </c>
    </row>
    <row r="1926">
      <c r="A1926" s="7" t="n"/>
      <c r="B1926" s="7" t="n"/>
      <c r="C1926" s="8" t="n"/>
      <c r="D1926" s="9" t="n"/>
      <c r="E1926" s="8" t="n"/>
      <c r="F1926" s="9" t="n"/>
      <c r="G1926" s="9" t="n"/>
      <c r="H1926" s="3">
        <f>IF(AND(D1926&lt;&gt;"",F1926&lt;&gt;""),F1926-D1926-G1926,"")</f>
        <v/>
      </c>
      <c r="I1926" s="14">
        <f>IF(E1926&lt;&gt;"", YEARFRAC(C1926, E1926) * 12, "")</f>
        <v/>
      </c>
      <c r="J1926" s="2">
        <f>IF(I1926="", "", IF(OR(AND(A1926="Listed Equity Shares", I1926&gt;12), AND(A1926="Unlisted Equity Shares", I1926&gt;24)), "Long Term", "Short Term"))</f>
        <v/>
      </c>
      <c r="K1926" s="5">
        <f>IF(J1926="", "", IF(J1926="Long Term", 12.5%,"as per slab"))</f>
        <v/>
      </c>
      <c r="L1926" s="3">
        <f>+IFERROR(IF(J1926="","",H1926*K1926),"as per slab")</f>
        <v/>
      </c>
    </row>
    <row r="1927">
      <c r="A1927" s="7" t="n"/>
      <c r="B1927" s="7" t="n"/>
      <c r="C1927" s="8" t="n"/>
      <c r="D1927" s="9" t="n"/>
      <c r="E1927" s="8" t="n"/>
      <c r="F1927" s="9" t="n"/>
      <c r="G1927" s="9" t="n"/>
      <c r="H1927" s="3">
        <f>IF(AND(D1927&lt;&gt;"",F1927&lt;&gt;""),F1927-D1927-G1927,"")</f>
        <v/>
      </c>
      <c r="I1927" s="14">
        <f>IF(E1927&lt;&gt;"", YEARFRAC(C1927, E1927) * 12, "")</f>
        <v/>
      </c>
      <c r="J1927" s="2">
        <f>IF(I1927="", "", IF(OR(AND(A1927="Listed Equity Shares", I1927&gt;12), AND(A1927="Unlisted Equity Shares", I1927&gt;24)), "Long Term", "Short Term"))</f>
        <v/>
      </c>
      <c r="K1927" s="5">
        <f>IF(J1927="", "", IF(J1927="Long Term", 12.5%,"as per slab"))</f>
        <v/>
      </c>
      <c r="L1927" s="3">
        <f>+IFERROR(IF(J1927="","",H1927*K1927),"as per slab")</f>
        <v/>
      </c>
    </row>
    <row r="1928">
      <c r="A1928" s="7" t="n"/>
      <c r="B1928" s="7" t="n"/>
      <c r="C1928" s="8" t="n"/>
      <c r="D1928" s="9" t="n"/>
      <c r="E1928" s="8" t="n"/>
      <c r="F1928" s="9" t="n"/>
      <c r="G1928" s="9" t="n"/>
      <c r="H1928" s="3">
        <f>IF(AND(D1928&lt;&gt;"",F1928&lt;&gt;""),F1928-D1928-G1928,"")</f>
        <v/>
      </c>
      <c r="I1928" s="14">
        <f>IF(E1928&lt;&gt;"", YEARFRAC(C1928, E1928) * 12, "")</f>
        <v/>
      </c>
      <c r="J1928" s="2">
        <f>IF(I1928="", "", IF(OR(AND(A1928="Listed Equity Shares", I1928&gt;12), AND(A1928="Unlisted Equity Shares", I1928&gt;24)), "Long Term", "Short Term"))</f>
        <v/>
      </c>
      <c r="K1928" s="5">
        <f>IF(J1928="", "", IF(J1928="Long Term", 12.5%,"as per slab"))</f>
        <v/>
      </c>
      <c r="L1928" s="3">
        <f>+IFERROR(IF(J1928="","",H1928*K1928),"as per slab")</f>
        <v/>
      </c>
    </row>
    <row r="1929">
      <c r="A1929" s="7" t="n"/>
      <c r="B1929" s="7" t="n"/>
      <c r="C1929" s="8" t="n"/>
      <c r="D1929" s="9" t="n"/>
      <c r="E1929" s="8" t="n"/>
      <c r="F1929" s="9" t="n"/>
      <c r="G1929" s="9" t="n"/>
      <c r="H1929" s="3">
        <f>IF(AND(D1929&lt;&gt;"",F1929&lt;&gt;""),F1929-D1929-G1929,"")</f>
        <v/>
      </c>
      <c r="I1929" s="14">
        <f>IF(E1929&lt;&gt;"", YEARFRAC(C1929, E1929) * 12, "")</f>
        <v/>
      </c>
      <c r="J1929" s="2">
        <f>IF(I1929="", "", IF(OR(AND(A1929="Listed Equity Shares", I1929&gt;12), AND(A1929="Unlisted Equity Shares", I1929&gt;24)), "Long Term", "Short Term"))</f>
        <v/>
      </c>
      <c r="K1929" s="5">
        <f>IF(J1929="", "", IF(J1929="Long Term", 12.5%,"as per slab"))</f>
        <v/>
      </c>
      <c r="L1929" s="3">
        <f>+IFERROR(IF(J1929="","",H1929*K1929),"as per slab")</f>
        <v/>
      </c>
    </row>
    <row r="1930">
      <c r="A1930" s="7" t="n"/>
      <c r="B1930" s="7" t="n"/>
      <c r="C1930" s="8" t="n"/>
      <c r="D1930" s="9" t="n"/>
      <c r="E1930" s="8" t="n"/>
      <c r="F1930" s="9" t="n"/>
      <c r="G1930" s="9" t="n"/>
      <c r="H1930" s="3">
        <f>IF(AND(D1930&lt;&gt;"",F1930&lt;&gt;""),F1930-D1930-G1930,"")</f>
        <v/>
      </c>
      <c r="I1930" s="14">
        <f>IF(E1930&lt;&gt;"", YEARFRAC(C1930, E1930) * 12, "")</f>
        <v/>
      </c>
      <c r="J1930" s="2">
        <f>IF(I1930="", "", IF(OR(AND(A1930="Listed Equity Shares", I1930&gt;12), AND(A1930="Unlisted Equity Shares", I1930&gt;24)), "Long Term", "Short Term"))</f>
        <v/>
      </c>
      <c r="K1930" s="5">
        <f>IF(J1930="", "", IF(J1930="Long Term", 12.5%,"as per slab"))</f>
        <v/>
      </c>
      <c r="L1930" s="3">
        <f>+IFERROR(IF(J1930="","",H1930*K1930),"as per slab")</f>
        <v/>
      </c>
    </row>
    <row r="1931">
      <c r="A1931" s="7" t="n"/>
      <c r="B1931" s="7" t="n"/>
      <c r="C1931" s="8" t="n"/>
      <c r="D1931" s="9" t="n"/>
      <c r="E1931" s="8" t="n"/>
      <c r="F1931" s="9" t="n"/>
      <c r="G1931" s="9" t="n"/>
      <c r="H1931" s="3">
        <f>IF(AND(D1931&lt;&gt;"",F1931&lt;&gt;""),F1931-D1931-G1931,"")</f>
        <v/>
      </c>
      <c r="I1931" s="14">
        <f>IF(E1931&lt;&gt;"", YEARFRAC(C1931, E1931) * 12, "")</f>
        <v/>
      </c>
      <c r="J1931" s="2">
        <f>IF(I1931="", "", IF(OR(AND(A1931="Listed Equity Shares", I1931&gt;12), AND(A1931="Unlisted Equity Shares", I1931&gt;24)), "Long Term", "Short Term"))</f>
        <v/>
      </c>
      <c r="K1931" s="5">
        <f>IF(J1931="", "", IF(J1931="Long Term", 12.5%,"as per slab"))</f>
        <v/>
      </c>
      <c r="L1931" s="3">
        <f>+IFERROR(IF(J1931="","",H1931*K1931),"as per slab")</f>
        <v/>
      </c>
    </row>
    <row r="1932">
      <c r="A1932" s="7" t="n"/>
      <c r="B1932" s="7" t="n"/>
      <c r="C1932" s="8" t="n"/>
      <c r="D1932" s="9" t="n"/>
      <c r="E1932" s="8" t="n"/>
      <c r="F1932" s="9" t="n"/>
      <c r="G1932" s="9" t="n"/>
      <c r="H1932" s="3">
        <f>IF(AND(D1932&lt;&gt;"",F1932&lt;&gt;""),F1932-D1932-G1932,"")</f>
        <v/>
      </c>
      <c r="I1932" s="14">
        <f>IF(E1932&lt;&gt;"", YEARFRAC(C1932, E1932) * 12, "")</f>
        <v/>
      </c>
      <c r="J1932" s="2">
        <f>IF(I1932="", "", IF(OR(AND(A1932="Listed Equity Shares", I1932&gt;12), AND(A1932="Unlisted Equity Shares", I1932&gt;24)), "Long Term", "Short Term"))</f>
        <v/>
      </c>
      <c r="K1932" s="5">
        <f>IF(J1932="", "", IF(J1932="Long Term", 12.5%,"as per slab"))</f>
        <v/>
      </c>
      <c r="L1932" s="3">
        <f>+IFERROR(IF(J1932="","",H1932*K1932),"as per slab")</f>
        <v/>
      </c>
    </row>
    <row r="1933">
      <c r="A1933" s="7" t="n"/>
      <c r="B1933" s="7" t="n"/>
      <c r="C1933" s="8" t="n"/>
      <c r="D1933" s="9" t="n"/>
      <c r="E1933" s="8" t="n"/>
      <c r="F1933" s="9" t="n"/>
      <c r="G1933" s="9" t="n"/>
      <c r="H1933" s="3">
        <f>IF(AND(D1933&lt;&gt;"",F1933&lt;&gt;""),F1933-D1933-G1933,"")</f>
        <v/>
      </c>
      <c r="I1933" s="14">
        <f>IF(E1933&lt;&gt;"", YEARFRAC(C1933, E1933) * 12, "")</f>
        <v/>
      </c>
      <c r="J1933" s="2">
        <f>IF(I1933="", "", IF(OR(AND(A1933="Listed Equity Shares", I1933&gt;12), AND(A1933="Unlisted Equity Shares", I1933&gt;24)), "Long Term", "Short Term"))</f>
        <v/>
      </c>
      <c r="K1933" s="5">
        <f>IF(J1933="", "", IF(J1933="Long Term", 12.5%,"as per slab"))</f>
        <v/>
      </c>
      <c r="L1933" s="3">
        <f>+IFERROR(IF(J1933="","",H1933*K1933),"as per slab")</f>
        <v/>
      </c>
    </row>
    <row r="1934">
      <c r="A1934" s="7" t="n"/>
      <c r="B1934" s="7" t="n"/>
      <c r="C1934" s="8" t="n"/>
      <c r="D1934" s="9" t="n"/>
      <c r="E1934" s="8" t="n"/>
      <c r="F1934" s="9" t="n"/>
      <c r="G1934" s="9" t="n"/>
      <c r="H1934" s="3">
        <f>IF(AND(D1934&lt;&gt;"",F1934&lt;&gt;""),F1934-D1934-G1934,"")</f>
        <v/>
      </c>
      <c r="I1934" s="14">
        <f>IF(E1934&lt;&gt;"", YEARFRAC(C1934, E1934) * 12, "")</f>
        <v/>
      </c>
      <c r="J1934" s="2">
        <f>IF(I1934="", "", IF(OR(AND(A1934="Listed Equity Shares", I1934&gt;12), AND(A1934="Unlisted Equity Shares", I1934&gt;24)), "Long Term", "Short Term"))</f>
        <v/>
      </c>
      <c r="K1934" s="5">
        <f>IF(J1934="", "", IF(J1934="Long Term", 12.5%,"as per slab"))</f>
        <v/>
      </c>
      <c r="L1934" s="3">
        <f>+IFERROR(IF(J1934="","",H1934*K1934),"as per slab")</f>
        <v/>
      </c>
    </row>
    <row r="1935">
      <c r="A1935" s="7" t="n"/>
      <c r="B1935" s="7" t="n"/>
      <c r="C1935" s="8" t="n"/>
      <c r="D1935" s="9" t="n"/>
      <c r="E1935" s="8" t="n"/>
      <c r="F1935" s="9" t="n"/>
      <c r="G1935" s="9" t="n"/>
      <c r="H1935" s="3">
        <f>IF(AND(D1935&lt;&gt;"",F1935&lt;&gt;""),F1935-D1935-G1935,"")</f>
        <v/>
      </c>
      <c r="I1935" s="14">
        <f>IF(E1935&lt;&gt;"", YEARFRAC(C1935, E1935) * 12, "")</f>
        <v/>
      </c>
      <c r="J1935" s="2">
        <f>IF(I1935="", "", IF(OR(AND(A1935="Listed Equity Shares", I1935&gt;12), AND(A1935="Unlisted Equity Shares", I1935&gt;24)), "Long Term", "Short Term"))</f>
        <v/>
      </c>
      <c r="K1935" s="5">
        <f>IF(J1935="", "", IF(J1935="Long Term", 12.5%,"as per slab"))</f>
        <v/>
      </c>
      <c r="L1935" s="3">
        <f>+IFERROR(IF(J1935="","",H1935*K1935),"as per slab")</f>
        <v/>
      </c>
    </row>
    <row r="1936">
      <c r="A1936" s="7" t="n"/>
      <c r="B1936" s="7" t="n"/>
      <c r="C1936" s="8" t="n"/>
      <c r="D1936" s="9" t="n"/>
      <c r="E1936" s="8" t="n"/>
      <c r="F1936" s="9" t="n"/>
      <c r="G1936" s="9" t="n"/>
      <c r="H1936" s="3">
        <f>IF(AND(D1936&lt;&gt;"",F1936&lt;&gt;""),F1936-D1936-G1936,"")</f>
        <v/>
      </c>
      <c r="I1936" s="14">
        <f>IF(E1936&lt;&gt;"", YEARFRAC(C1936, E1936) * 12, "")</f>
        <v/>
      </c>
      <c r="J1936" s="2">
        <f>IF(I1936="", "", IF(OR(AND(A1936="Listed Equity Shares", I1936&gt;12), AND(A1936="Unlisted Equity Shares", I1936&gt;24)), "Long Term", "Short Term"))</f>
        <v/>
      </c>
      <c r="K1936" s="5">
        <f>IF(J1936="", "", IF(J1936="Long Term", 12.5%,"as per slab"))</f>
        <v/>
      </c>
      <c r="L1936" s="3">
        <f>+IFERROR(IF(J1936="","",H1936*K1936),"as per slab")</f>
        <v/>
      </c>
    </row>
    <row r="1937">
      <c r="A1937" s="7" t="n"/>
      <c r="B1937" s="7" t="n"/>
      <c r="C1937" s="8" t="n"/>
      <c r="D1937" s="9" t="n"/>
      <c r="E1937" s="8" t="n"/>
      <c r="F1937" s="9" t="n"/>
      <c r="G1937" s="9" t="n"/>
      <c r="H1937" s="3">
        <f>IF(AND(D1937&lt;&gt;"",F1937&lt;&gt;""),F1937-D1937-G1937,"")</f>
        <v/>
      </c>
      <c r="I1937" s="14">
        <f>IF(E1937&lt;&gt;"", YEARFRAC(C1937, E1937) * 12, "")</f>
        <v/>
      </c>
      <c r="J1937" s="2">
        <f>IF(I1937="", "", IF(OR(AND(A1937="Listed Equity Shares", I1937&gt;12), AND(A1937="Unlisted Equity Shares", I1937&gt;24)), "Long Term", "Short Term"))</f>
        <v/>
      </c>
      <c r="K1937" s="5">
        <f>IF(J1937="", "", IF(J1937="Long Term", 12.5%,"as per slab"))</f>
        <v/>
      </c>
      <c r="L1937" s="3">
        <f>+IFERROR(IF(J1937="","",H1937*K1937),"as per slab")</f>
        <v/>
      </c>
    </row>
    <row r="1938">
      <c r="A1938" s="7" t="n"/>
      <c r="B1938" s="7" t="n"/>
      <c r="C1938" s="8" t="n"/>
      <c r="D1938" s="9" t="n"/>
      <c r="E1938" s="8" t="n"/>
      <c r="F1938" s="9" t="n"/>
      <c r="G1938" s="9" t="n"/>
      <c r="H1938" s="3">
        <f>IF(AND(D1938&lt;&gt;"",F1938&lt;&gt;""),F1938-D1938-G1938,"")</f>
        <v/>
      </c>
      <c r="I1938" s="14">
        <f>IF(E1938&lt;&gt;"", YEARFRAC(C1938, E1938) * 12, "")</f>
        <v/>
      </c>
      <c r="J1938" s="2">
        <f>IF(I1938="", "", IF(OR(AND(A1938="Listed Equity Shares", I1938&gt;12), AND(A1938="Unlisted Equity Shares", I1938&gt;24)), "Long Term", "Short Term"))</f>
        <v/>
      </c>
      <c r="K1938" s="5">
        <f>IF(J1938="", "", IF(J1938="Long Term", 12.5%,"as per slab"))</f>
        <v/>
      </c>
      <c r="L1938" s="3">
        <f>+IFERROR(IF(J1938="","",H1938*K1938),"as per slab")</f>
        <v/>
      </c>
    </row>
    <row r="1939">
      <c r="A1939" s="7" t="n"/>
      <c r="B1939" s="7" t="n"/>
      <c r="C1939" s="8" t="n"/>
      <c r="D1939" s="9" t="n"/>
      <c r="E1939" s="8" t="n"/>
      <c r="F1939" s="9" t="n"/>
      <c r="G1939" s="9" t="n"/>
      <c r="H1939" s="3">
        <f>IF(AND(D1939&lt;&gt;"",F1939&lt;&gt;""),F1939-D1939-G1939,"")</f>
        <v/>
      </c>
      <c r="I1939" s="14">
        <f>IF(E1939&lt;&gt;"", YEARFRAC(C1939, E1939) * 12, "")</f>
        <v/>
      </c>
      <c r="J1939" s="2">
        <f>IF(I1939="", "", IF(OR(AND(A1939="Listed Equity Shares", I1939&gt;12), AND(A1939="Unlisted Equity Shares", I1939&gt;24)), "Long Term", "Short Term"))</f>
        <v/>
      </c>
      <c r="K1939" s="5">
        <f>IF(J1939="", "", IF(J1939="Long Term", 12.5%,"as per slab"))</f>
        <v/>
      </c>
      <c r="L1939" s="3">
        <f>+IFERROR(IF(J1939="","",H1939*K1939),"as per slab")</f>
        <v/>
      </c>
    </row>
    <row r="1940">
      <c r="A1940" s="7" t="n"/>
      <c r="B1940" s="7" t="n"/>
      <c r="C1940" s="8" t="n"/>
      <c r="D1940" s="9" t="n"/>
      <c r="E1940" s="8" t="n"/>
      <c r="F1940" s="9" t="n"/>
      <c r="G1940" s="9" t="n"/>
      <c r="H1940" s="3">
        <f>IF(AND(D1940&lt;&gt;"",F1940&lt;&gt;""),F1940-D1940-G1940,"")</f>
        <v/>
      </c>
      <c r="I1940" s="14">
        <f>IF(E1940&lt;&gt;"", YEARFRAC(C1940, E1940) * 12, "")</f>
        <v/>
      </c>
      <c r="J1940" s="2">
        <f>IF(I1940="", "", IF(OR(AND(A1940="Listed Equity Shares", I1940&gt;12), AND(A1940="Unlisted Equity Shares", I1940&gt;24)), "Long Term", "Short Term"))</f>
        <v/>
      </c>
      <c r="K1940" s="5">
        <f>IF(J1940="", "", IF(J1940="Long Term", 12.5%,"as per slab"))</f>
        <v/>
      </c>
      <c r="L1940" s="3">
        <f>+IFERROR(IF(J1940="","",H1940*K1940),"as per slab")</f>
        <v/>
      </c>
    </row>
    <row r="1941">
      <c r="A1941" s="7" t="n"/>
      <c r="B1941" s="7" t="n"/>
      <c r="C1941" s="8" t="n"/>
      <c r="D1941" s="9" t="n"/>
      <c r="E1941" s="8" t="n"/>
      <c r="F1941" s="9" t="n"/>
      <c r="G1941" s="9" t="n"/>
      <c r="H1941" s="3">
        <f>IF(AND(D1941&lt;&gt;"",F1941&lt;&gt;""),F1941-D1941-G1941,"")</f>
        <v/>
      </c>
      <c r="I1941" s="14">
        <f>IF(E1941&lt;&gt;"", YEARFRAC(C1941, E1941) * 12, "")</f>
        <v/>
      </c>
      <c r="J1941" s="2">
        <f>IF(I1941="", "", IF(OR(AND(A1941="Listed Equity Shares", I1941&gt;12), AND(A1941="Unlisted Equity Shares", I1941&gt;24)), "Long Term", "Short Term"))</f>
        <v/>
      </c>
      <c r="K1941" s="5">
        <f>IF(J1941="", "", IF(J1941="Long Term", 12.5%,"as per slab"))</f>
        <v/>
      </c>
      <c r="L1941" s="3">
        <f>+IFERROR(IF(J1941="","",H1941*K1941),"as per slab")</f>
        <v/>
      </c>
    </row>
    <row r="1942">
      <c r="A1942" s="7" t="n"/>
      <c r="B1942" s="7" t="n"/>
      <c r="C1942" s="8" t="n"/>
      <c r="D1942" s="9" t="n"/>
      <c r="E1942" s="8" t="n"/>
      <c r="F1942" s="9" t="n"/>
      <c r="G1942" s="9" t="n"/>
      <c r="H1942" s="3">
        <f>IF(AND(D1942&lt;&gt;"",F1942&lt;&gt;""),F1942-D1942-G1942,"")</f>
        <v/>
      </c>
      <c r="I1942" s="14">
        <f>IF(E1942&lt;&gt;"", YEARFRAC(C1942, E1942) * 12, "")</f>
        <v/>
      </c>
      <c r="J1942" s="2">
        <f>IF(I1942="", "", IF(OR(AND(A1942="Listed Equity Shares", I1942&gt;12), AND(A1942="Unlisted Equity Shares", I1942&gt;24)), "Long Term", "Short Term"))</f>
        <v/>
      </c>
      <c r="K1942" s="5">
        <f>IF(J1942="", "", IF(J1942="Long Term", 12.5%,"as per slab"))</f>
        <v/>
      </c>
      <c r="L1942" s="3">
        <f>+IFERROR(IF(J1942="","",H1942*K1942),"as per slab")</f>
        <v/>
      </c>
    </row>
    <row r="1943">
      <c r="A1943" s="7" t="n"/>
      <c r="B1943" s="7" t="n"/>
      <c r="C1943" s="8" t="n"/>
      <c r="D1943" s="9" t="n"/>
      <c r="E1943" s="8" t="n"/>
      <c r="F1943" s="9" t="n"/>
      <c r="G1943" s="9" t="n"/>
      <c r="H1943" s="3">
        <f>IF(AND(D1943&lt;&gt;"",F1943&lt;&gt;""),F1943-D1943-G1943,"")</f>
        <v/>
      </c>
      <c r="I1943" s="14">
        <f>IF(E1943&lt;&gt;"", YEARFRAC(C1943, E1943) * 12, "")</f>
        <v/>
      </c>
      <c r="J1943" s="2">
        <f>IF(I1943="", "", IF(OR(AND(A1943="Listed Equity Shares", I1943&gt;12), AND(A1943="Unlisted Equity Shares", I1943&gt;24)), "Long Term", "Short Term"))</f>
        <v/>
      </c>
      <c r="K1943" s="5">
        <f>IF(J1943="", "", IF(J1943="Long Term", 12.5%,"as per slab"))</f>
        <v/>
      </c>
      <c r="L1943" s="3">
        <f>+IFERROR(IF(J1943="","",H1943*K1943),"as per slab")</f>
        <v/>
      </c>
    </row>
    <row r="1944">
      <c r="A1944" s="7" t="n"/>
      <c r="B1944" s="7" t="n"/>
      <c r="C1944" s="8" t="n"/>
      <c r="D1944" s="9" t="n"/>
      <c r="E1944" s="8" t="n"/>
      <c r="F1944" s="9" t="n"/>
      <c r="G1944" s="9" t="n"/>
      <c r="H1944" s="3">
        <f>IF(AND(D1944&lt;&gt;"",F1944&lt;&gt;""),F1944-D1944-G1944,"")</f>
        <v/>
      </c>
      <c r="I1944" s="14">
        <f>IF(E1944&lt;&gt;"", YEARFRAC(C1944, E1944) * 12, "")</f>
        <v/>
      </c>
      <c r="J1944" s="2">
        <f>IF(I1944="", "", IF(OR(AND(A1944="Listed Equity Shares", I1944&gt;12), AND(A1944="Unlisted Equity Shares", I1944&gt;24)), "Long Term", "Short Term"))</f>
        <v/>
      </c>
      <c r="K1944" s="5">
        <f>IF(J1944="", "", IF(J1944="Long Term", 12.5%,"as per slab"))</f>
        <v/>
      </c>
      <c r="L1944" s="3">
        <f>+IFERROR(IF(J1944="","",H1944*K1944),"as per slab")</f>
        <v/>
      </c>
    </row>
    <row r="1945">
      <c r="A1945" s="7" t="n"/>
      <c r="B1945" s="7" t="n"/>
      <c r="C1945" s="8" t="n"/>
      <c r="D1945" s="9" t="n"/>
      <c r="E1945" s="8" t="n"/>
      <c r="F1945" s="9" t="n"/>
      <c r="G1945" s="9" t="n"/>
      <c r="H1945" s="3">
        <f>IF(AND(D1945&lt;&gt;"",F1945&lt;&gt;""),F1945-D1945-G1945,"")</f>
        <v/>
      </c>
      <c r="I1945" s="14">
        <f>IF(E1945&lt;&gt;"", YEARFRAC(C1945, E1945) * 12, "")</f>
        <v/>
      </c>
      <c r="J1945" s="2">
        <f>IF(I1945="", "", IF(OR(AND(A1945="Listed Equity Shares", I1945&gt;12), AND(A1945="Unlisted Equity Shares", I1945&gt;24)), "Long Term", "Short Term"))</f>
        <v/>
      </c>
      <c r="K1945" s="5">
        <f>IF(J1945="", "", IF(J1945="Long Term", 12.5%,"as per slab"))</f>
        <v/>
      </c>
      <c r="L1945" s="3">
        <f>+IFERROR(IF(J1945="","",H1945*K1945),"as per slab")</f>
        <v/>
      </c>
    </row>
    <row r="1946">
      <c r="A1946" s="7" t="n"/>
      <c r="B1946" s="7" t="n"/>
      <c r="C1946" s="8" t="n"/>
      <c r="D1946" s="9" t="n"/>
      <c r="E1946" s="8" t="n"/>
      <c r="F1946" s="9" t="n"/>
      <c r="G1946" s="9" t="n"/>
      <c r="H1946" s="3">
        <f>IF(AND(D1946&lt;&gt;"",F1946&lt;&gt;""),F1946-D1946-G1946,"")</f>
        <v/>
      </c>
      <c r="I1946" s="14">
        <f>IF(E1946&lt;&gt;"", YEARFRAC(C1946, E1946) * 12, "")</f>
        <v/>
      </c>
      <c r="J1946" s="2">
        <f>IF(I1946="", "", IF(OR(AND(A1946="Listed Equity Shares", I1946&gt;12), AND(A1946="Unlisted Equity Shares", I1946&gt;24)), "Long Term", "Short Term"))</f>
        <v/>
      </c>
      <c r="K1946" s="5">
        <f>IF(J1946="", "", IF(J1946="Long Term", 12.5%,"as per slab"))</f>
        <v/>
      </c>
      <c r="L1946" s="3">
        <f>+IFERROR(IF(J1946="","",H1946*K1946),"as per slab")</f>
        <v/>
      </c>
    </row>
    <row r="1947">
      <c r="A1947" s="7" t="n"/>
      <c r="B1947" s="7" t="n"/>
      <c r="C1947" s="8" t="n"/>
      <c r="D1947" s="9" t="n"/>
      <c r="E1947" s="8" t="n"/>
      <c r="F1947" s="9" t="n"/>
      <c r="G1947" s="9" t="n"/>
      <c r="H1947" s="3">
        <f>IF(AND(D1947&lt;&gt;"",F1947&lt;&gt;""),F1947-D1947-G1947,"")</f>
        <v/>
      </c>
      <c r="I1947" s="14">
        <f>IF(E1947&lt;&gt;"", YEARFRAC(C1947, E1947) * 12, "")</f>
        <v/>
      </c>
      <c r="J1947" s="2">
        <f>IF(I1947="", "", IF(OR(AND(A1947="Listed Equity Shares", I1947&gt;12), AND(A1947="Unlisted Equity Shares", I1947&gt;24)), "Long Term", "Short Term"))</f>
        <v/>
      </c>
      <c r="K1947" s="5">
        <f>IF(J1947="", "", IF(J1947="Long Term", 12.5%,"as per slab"))</f>
        <v/>
      </c>
      <c r="L1947" s="3">
        <f>+IFERROR(IF(J1947="","",H1947*K1947),"as per slab")</f>
        <v/>
      </c>
    </row>
    <row r="1948">
      <c r="A1948" s="7" t="n"/>
      <c r="B1948" s="7" t="n"/>
      <c r="C1948" s="8" t="n"/>
      <c r="D1948" s="9" t="n"/>
      <c r="E1948" s="8" t="n"/>
      <c r="F1948" s="9" t="n"/>
      <c r="G1948" s="9" t="n"/>
      <c r="H1948" s="3">
        <f>IF(AND(D1948&lt;&gt;"",F1948&lt;&gt;""),F1948-D1948-G1948,"")</f>
        <v/>
      </c>
      <c r="I1948" s="14">
        <f>IF(E1948&lt;&gt;"", YEARFRAC(C1948, E1948) * 12, "")</f>
        <v/>
      </c>
      <c r="J1948" s="2">
        <f>IF(I1948="", "", IF(OR(AND(A1948="Listed Equity Shares", I1948&gt;12), AND(A1948="Unlisted Equity Shares", I1948&gt;24)), "Long Term", "Short Term"))</f>
        <v/>
      </c>
      <c r="K1948" s="5">
        <f>IF(J1948="", "", IF(J1948="Long Term", 12.5%,"as per slab"))</f>
        <v/>
      </c>
      <c r="L1948" s="3">
        <f>+IFERROR(IF(J1948="","",H1948*K1948),"as per slab")</f>
        <v/>
      </c>
    </row>
    <row r="1949">
      <c r="A1949" s="7" t="n"/>
      <c r="B1949" s="7" t="n"/>
      <c r="C1949" s="8" t="n"/>
      <c r="D1949" s="9" t="n"/>
      <c r="E1949" s="8" t="n"/>
      <c r="F1949" s="9" t="n"/>
      <c r="G1949" s="9" t="n"/>
      <c r="H1949" s="3">
        <f>IF(AND(D1949&lt;&gt;"",F1949&lt;&gt;""),F1949-D1949-G1949,"")</f>
        <v/>
      </c>
      <c r="I1949" s="14">
        <f>IF(E1949&lt;&gt;"", YEARFRAC(C1949, E1949) * 12, "")</f>
        <v/>
      </c>
      <c r="J1949" s="2">
        <f>IF(I1949="", "", IF(OR(AND(A1949="Listed Equity Shares", I1949&gt;12), AND(A1949="Unlisted Equity Shares", I1949&gt;24)), "Long Term", "Short Term"))</f>
        <v/>
      </c>
      <c r="K1949" s="5">
        <f>IF(J1949="", "", IF(J1949="Long Term", 12.5%,"as per slab"))</f>
        <v/>
      </c>
      <c r="L1949" s="3">
        <f>+IFERROR(IF(J1949="","",H1949*K1949),"as per slab")</f>
        <v/>
      </c>
    </row>
    <row r="1950">
      <c r="A1950" s="7" t="n"/>
      <c r="B1950" s="7" t="n"/>
      <c r="C1950" s="8" t="n"/>
      <c r="D1950" s="9" t="n"/>
      <c r="E1950" s="8" t="n"/>
      <c r="F1950" s="9" t="n"/>
      <c r="G1950" s="9" t="n"/>
      <c r="H1950" s="3">
        <f>IF(AND(D1950&lt;&gt;"",F1950&lt;&gt;""),F1950-D1950-G1950,"")</f>
        <v/>
      </c>
      <c r="I1950" s="14">
        <f>IF(E1950&lt;&gt;"", YEARFRAC(C1950, E1950) * 12, "")</f>
        <v/>
      </c>
      <c r="J1950" s="2">
        <f>IF(I1950="", "", IF(OR(AND(A1950="Listed Equity Shares", I1950&gt;12), AND(A1950="Unlisted Equity Shares", I1950&gt;24)), "Long Term", "Short Term"))</f>
        <v/>
      </c>
      <c r="K1950" s="5">
        <f>IF(J1950="", "", IF(J1950="Long Term", 12.5%,"as per slab"))</f>
        <v/>
      </c>
      <c r="L1950" s="3">
        <f>+IFERROR(IF(J1950="","",H1950*K1950),"as per slab")</f>
        <v/>
      </c>
    </row>
    <row r="1951">
      <c r="A1951" s="7" t="n"/>
      <c r="B1951" s="7" t="n"/>
      <c r="C1951" s="8" t="n"/>
      <c r="D1951" s="9" t="n"/>
      <c r="E1951" s="8" t="n"/>
      <c r="F1951" s="9" t="n"/>
      <c r="G1951" s="9" t="n"/>
      <c r="H1951" s="3">
        <f>IF(AND(D1951&lt;&gt;"",F1951&lt;&gt;""),F1951-D1951-G1951,"")</f>
        <v/>
      </c>
      <c r="I1951" s="14">
        <f>IF(E1951&lt;&gt;"", YEARFRAC(C1951, E1951) * 12, "")</f>
        <v/>
      </c>
      <c r="J1951" s="2">
        <f>IF(I1951="", "", IF(OR(AND(A1951="Listed Equity Shares", I1951&gt;12), AND(A1951="Unlisted Equity Shares", I1951&gt;24)), "Long Term", "Short Term"))</f>
        <v/>
      </c>
      <c r="K1951" s="5">
        <f>IF(J1951="", "", IF(J1951="Long Term", 12.5%,"as per slab"))</f>
        <v/>
      </c>
      <c r="L1951" s="3">
        <f>+IFERROR(IF(J1951="","",H1951*K1951),"as per slab")</f>
        <v/>
      </c>
    </row>
    <row r="1952">
      <c r="A1952" s="7" t="n"/>
      <c r="B1952" s="7" t="n"/>
      <c r="C1952" s="8" t="n"/>
      <c r="D1952" s="9" t="n"/>
      <c r="E1952" s="8" t="n"/>
      <c r="F1952" s="9" t="n"/>
      <c r="G1952" s="9" t="n"/>
      <c r="H1952" s="3">
        <f>IF(AND(D1952&lt;&gt;"",F1952&lt;&gt;""),F1952-D1952-G1952,"")</f>
        <v/>
      </c>
      <c r="I1952" s="14">
        <f>IF(E1952&lt;&gt;"", YEARFRAC(C1952, E1952) * 12, "")</f>
        <v/>
      </c>
      <c r="J1952" s="2">
        <f>IF(I1952="", "", IF(OR(AND(A1952="Listed Equity Shares", I1952&gt;12), AND(A1952="Unlisted Equity Shares", I1952&gt;24)), "Long Term", "Short Term"))</f>
        <v/>
      </c>
      <c r="K1952" s="5">
        <f>IF(J1952="", "", IF(J1952="Long Term", 12.5%,"as per slab"))</f>
        <v/>
      </c>
      <c r="L1952" s="3">
        <f>+IFERROR(IF(J1952="","",H1952*K1952),"as per slab")</f>
        <v/>
      </c>
    </row>
    <row r="1953">
      <c r="A1953" s="7" t="n"/>
      <c r="B1953" s="7" t="n"/>
      <c r="C1953" s="8" t="n"/>
      <c r="D1953" s="9" t="n"/>
      <c r="E1953" s="8" t="n"/>
      <c r="F1953" s="9" t="n"/>
      <c r="G1953" s="9" t="n"/>
      <c r="H1953" s="3">
        <f>IF(AND(D1953&lt;&gt;"",F1953&lt;&gt;""),F1953-D1953-G1953,"")</f>
        <v/>
      </c>
      <c r="I1953" s="14">
        <f>IF(E1953&lt;&gt;"", YEARFRAC(C1953, E1953) * 12, "")</f>
        <v/>
      </c>
      <c r="J1953" s="2">
        <f>IF(I1953="", "", IF(OR(AND(A1953="Listed Equity Shares", I1953&gt;12), AND(A1953="Unlisted Equity Shares", I1953&gt;24)), "Long Term", "Short Term"))</f>
        <v/>
      </c>
      <c r="K1953" s="5">
        <f>IF(J1953="", "", IF(J1953="Long Term", 12.5%,"as per slab"))</f>
        <v/>
      </c>
      <c r="L1953" s="3">
        <f>+IFERROR(IF(J1953="","",H1953*K1953),"as per slab")</f>
        <v/>
      </c>
    </row>
    <row r="1954">
      <c r="A1954" s="7" t="n"/>
      <c r="B1954" s="7" t="n"/>
      <c r="C1954" s="8" t="n"/>
      <c r="D1954" s="9" t="n"/>
      <c r="E1954" s="8" t="n"/>
      <c r="F1954" s="9" t="n"/>
      <c r="G1954" s="9" t="n"/>
      <c r="H1954" s="3">
        <f>IF(AND(D1954&lt;&gt;"",F1954&lt;&gt;""),F1954-D1954-G1954,"")</f>
        <v/>
      </c>
      <c r="I1954" s="14">
        <f>IF(E1954&lt;&gt;"", YEARFRAC(C1954, E1954) * 12, "")</f>
        <v/>
      </c>
      <c r="J1954" s="2">
        <f>IF(I1954="", "", IF(OR(AND(A1954="Listed Equity Shares", I1954&gt;12), AND(A1954="Unlisted Equity Shares", I1954&gt;24)), "Long Term", "Short Term"))</f>
        <v/>
      </c>
      <c r="K1954" s="5">
        <f>IF(J1954="", "", IF(J1954="Long Term", 12.5%,"as per slab"))</f>
        <v/>
      </c>
      <c r="L1954" s="3">
        <f>+IFERROR(IF(J1954="","",H1954*K1954),"as per slab")</f>
        <v/>
      </c>
    </row>
    <row r="1955">
      <c r="A1955" s="7" t="n"/>
      <c r="B1955" s="7" t="n"/>
      <c r="C1955" s="8" t="n"/>
      <c r="D1955" s="9" t="n"/>
      <c r="E1955" s="8" t="n"/>
      <c r="F1955" s="9" t="n"/>
      <c r="G1955" s="9" t="n"/>
      <c r="H1955" s="3">
        <f>IF(AND(D1955&lt;&gt;"",F1955&lt;&gt;""),F1955-D1955-G1955,"")</f>
        <v/>
      </c>
      <c r="I1955" s="14">
        <f>IF(E1955&lt;&gt;"", YEARFRAC(C1955, E1955) * 12, "")</f>
        <v/>
      </c>
      <c r="J1955" s="2">
        <f>IF(I1955="", "", IF(OR(AND(A1955="Listed Equity Shares", I1955&gt;12), AND(A1955="Unlisted Equity Shares", I1955&gt;24)), "Long Term", "Short Term"))</f>
        <v/>
      </c>
      <c r="K1955" s="5">
        <f>IF(J1955="", "", IF(J1955="Long Term", 12.5%,"as per slab"))</f>
        <v/>
      </c>
      <c r="L1955" s="3">
        <f>+IFERROR(IF(J1955="","",H1955*K1955),"as per slab")</f>
        <v/>
      </c>
    </row>
    <row r="1956">
      <c r="A1956" s="7" t="n"/>
      <c r="B1956" s="7" t="n"/>
      <c r="C1956" s="8" t="n"/>
      <c r="D1956" s="9" t="n"/>
      <c r="E1956" s="8" t="n"/>
      <c r="F1956" s="9" t="n"/>
      <c r="G1956" s="9" t="n"/>
      <c r="H1956" s="3">
        <f>IF(AND(D1956&lt;&gt;"",F1956&lt;&gt;""),F1956-D1956-G1956,"")</f>
        <v/>
      </c>
      <c r="I1956" s="14">
        <f>IF(E1956&lt;&gt;"", YEARFRAC(C1956, E1956) * 12, "")</f>
        <v/>
      </c>
      <c r="J1956" s="2">
        <f>IF(I1956="", "", IF(OR(AND(A1956="Listed Equity Shares", I1956&gt;12), AND(A1956="Unlisted Equity Shares", I1956&gt;24)), "Long Term", "Short Term"))</f>
        <v/>
      </c>
      <c r="K1956" s="5">
        <f>IF(J1956="", "", IF(J1956="Long Term", 12.5%,"as per slab"))</f>
        <v/>
      </c>
      <c r="L1956" s="3">
        <f>+IFERROR(IF(J1956="","",H1956*K1956),"as per slab")</f>
        <v/>
      </c>
    </row>
    <row r="1957">
      <c r="A1957" s="7" t="n"/>
      <c r="B1957" s="7" t="n"/>
      <c r="C1957" s="8" t="n"/>
      <c r="D1957" s="9" t="n"/>
      <c r="E1957" s="8" t="n"/>
      <c r="F1957" s="9" t="n"/>
      <c r="G1957" s="9" t="n"/>
      <c r="H1957" s="3">
        <f>IF(AND(D1957&lt;&gt;"",F1957&lt;&gt;""),F1957-D1957-G1957,"")</f>
        <v/>
      </c>
      <c r="I1957" s="14">
        <f>IF(E1957&lt;&gt;"", YEARFRAC(C1957, E1957) * 12, "")</f>
        <v/>
      </c>
      <c r="J1957" s="2">
        <f>IF(I1957="", "", IF(OR(AND(A1957="Listed Equity Shares", I1957&gt;12), AND(A1957="Unlisted Equity Shares", I1957&gt;24)), "Long Term", "Short Term"))</f>
        <v/>
      </c>
      <c r="K1957" s="5">
        <f>IF(J1957="", "", IF(J1957="Long Term", 12.5%,"as per slab"))</f>
        <v/>
      </c>
      <c r="L1957" s="3">
        <f>+IFERROR(IF(J1957="","",H1957*K1957),"as per slab")</f>
        <v/>
      </c>
    </row>
    <row r="1958">
      <c r="A1958" s="7" t="n"/>
      <c r="B1958" s="7" t="n"/>
      <c r="C1958" s="8" t="n"/>
      <c r="D1958" s="9" t="n"/>
      <c r="E1958" s="8" t="n"/>
      <c r="F1958" s="9" t="n"/>
      <c r="G1958" s="9" t="n"/>
      <c r="H1958" s="3">
        <f>IF(AND(D1958&lt;&gt;"",F1958&lt;&gt;""),F1958-D1958-G1958,"")</f>
        <v/>
      </c>
      <c r="I1958" s="14">
        <f>IF(E1958&lt;&gt;"", YEARFRAC(C1958, E1958) * 12, "")</f>
        <v/>
      </c>
      <c r="J1958" s="2">
        <f>IF(I1958="", "", IF(OR(AND(A1958="Listed Equity Shares", I1958&gt;12), AND(A1958="Unlisted Equity Shares", I1958&gt;24)), "Long Term", "Short Term"))</f>
        <v/>
      </c>
      <c r="K1958" s="5">
        <f>IF(J1958="", "", IF(J1958="Long Term", 12.5%,"as per slab"))</f>
        <v/>
      </c>
      <c r="L1958" s="3">
        <f>+IFERROR(IF(J1958="","",H1958*K1958),"as per slab")</f>
        <v/>
      </c>
    </row>
    <row r="1959">
      <c r="A1959" s="7" t="n"/>
      <c r="B1959" s="7" t="n"/>
      <c r="C1959" s="8" t="n"/>
      <c r="D1959" s="9" t="n"/>
      <c r="E1959" s="8" t="n"/>
      <c r="F1959" s="9" t="n"/>
      <c r="G1959" s="9" t="n"/>
      <c r="H1959" s="3">
        <f>IF(AND(D1959&lt;&gt;"",F1959&lt;&gt;""),F1959-D1959-G1959,"")</f>
        <v/>
      </c>
      <c r="I1959" s="14">
        <f>IF(E1959&lt;&gt;"", YEARFRAC(C1959, E1959) * 12, "")</f>
        <v/>
      </c>
      <c r="J1959" s="2">
        <f>IF(I1959="", "", IF(OR(AND(A1959="Listed Equity Shares", I1959&gt;12), AND(A1959="Unlisted Equity Shares", I1959&gt;24)), "Long Term", "Short Term"))</f>
        <v/>
      </c>
      <c r="K1959" s="5">
        <f>IF(J1959="", "", IF(J1959="Long Term", 12.5%,"as per slab"))</f>
        <v/>
      </c>
      <c r="L1959" s="3">
        <f>+IFERROR(IF(J1959="","",H1959*K1959),"as per slab")</f>
        <v/>
      </c>
    </row>
    <row r="1960">
      <c r="A1960" s="7" t="n"/>
      <c r="B1960" s="7" t="n"/>
      <c r="C1960" s="8" t="n"/>
      <c r="D1960" s="9" t="n"/>
      <c r="E1960" s="8" t="n"/>
      <c r="F1960" s="9" t="n"/>
      <c r="G1960" s="9" t="n"/>
      <c r="H1960" s="3">
        <f>IF(AND(D1960&lt;&gt;"",F1960&lt;&gt;""),F1960-D1960-G1960,"")</f>
        <v/>
      </c>
      <c r="I1960" s="14">
        <f>IF(E1960&lt;&gt;"", YEARFRAC(C1960, E1960) * 12, "")</f>
        <v/>
      </c>
      <c r="J1960" s="2">
        <f>IF(I1960="", "", IF(OR(AND(A1960="Listed Equity Shares", I1960&gt;12), AND(A1960="Unlisted Equity Shares", I1960&gt;24)), "Long Term", "Short Term"))</f>
        <v/>
      </c>
      <c r="K1960" s="5">
        <f>IF(J1960="", "", IF(J1960="Long Term", 12.5%,"as per slab"))</f>
        <v/>
      </c>
      <c r="L1960" s="3">
        <f>+IFERROR(IF(J1960="","",H1960*K1960),"as per slab")</f>
        <v/>
      </c>
    </row>
    <row r="1961">
      <c r="A1961" s="7" t="n"/>
      <c r="B1961" s="7" t="n"/>
      <c r="C1961" s="8" t="n"/>
      <c r="D1961" s="9" t="n"/>
      <c r="E1961" s="8" t="n"/>
      <c r="F1961" s="9" t="n"/>
      <c r="G1961" s="9" t="n"/>
      <c r="H1961" s="3">
        <f>IF(AND(D1961&lt;&gt;"",F1961&lt;&gt;""),F1961-D1961-G1961,"")</f>
        <v/>
      </c>
      <c r="I1961" s="14">
        <f>IF(E1961&lt;&gt;"", YEARFRAC(C1961, E1961) * 12, "")</f>
        <v/>
      </c>
      <c r="J1961" s="2">
        <f>IF(I1961="", "", IF(OR(AND(A1961="Listed Equity Shares", I1961&gt;12), AND(A1961="Unlisted Equity Shares", I1961&gt;24)), "Long Term", "Short Term"))</f>
        <v/>
      </c>
      <c r="K1961" s="5">
        <f>IF(J1961="", "", IF(J1961="Long Term", 12.5%,"as per slab"))</f>
        <v/>
      </c>
      <c r="L1961" s="3">
        <f>+IFERROR(IF(J1961="","",H1961*K1961),"as per slab")</f>
        <v/>
      </c>
    </row>
    <row r="1962">
      <c r="A1962" s="7" t="n"/>
      <c r="B1962" s="7" t="n"/>
      <c r="C1962" s="8" t="n"/>
      <c r="D1962" s="9" t="n"/>
      <c r="E1962" s="8" t="n"/>
      <c r="F1962" s="9" t="n"/>
      <c r="G1962" s="9" t="n"/>
      <c r="H1962" s="3">
        <f>IF(AND(D1962&lt;&gt;"",F1962&lt;&gt;""),F1962-D1962-G1962,"")</f>
        <v/>
      </c>
      <c r="I1962" s="14">
        <f>IF(E1962&lt;&gt;"", YEARFRAC(C1962, E1962) * 12, "")</f>
        <v/>
      </c>
      <c r="J1962" s="2">
        <f>IF(I1962="", "", IF(OR(AND(A1962="Listed Equity Shares", I1962&gt;12), AND(A1962="Unlisted Equity Shares", I1962&gt;24)), "Long Term", "Short Term"))</f>
        <v/>
      </c>
      <c r="K1962" s="5">
        <f>IF(J1962="", "", IF(J1962="Long Term", 12.5%,"as per slab"))</f>
        <v/>
      </c>
      <c r="L1962" s="3">
        <f>+IFERROR(IF(J1962="","",H1962*K1962),"as per slab")</f>
        <v/>
      </c>
    </row>
    <row r="1963">
      <c r="A1963" s="7" t="n"/>
      <c r="B1963" s="7" t="n"/>
      <c r="C1963" s="8" t="n"/>
      <c r="D1963" s="9" t="n"/>
      <c r="E1963" s="8" t="n"/>
      <c r="F1963" s="9" t="n"/>
      <c r="G1963" s="9" t="n"/>
      <c r="H1963" s="3">
        <f>IF(AND(D1963&lt;&gt;"",F1963&lt;&gt;""),F1963-D1963-G1963,"")</f>
        <v/>
      </c>
      <c r="I1963" s="14">
        <f>IF(E1963&lt;&gt;"", YEARFRAC(C1963, E1963) * 12, "")</f>
        <v/>
      </c>
      <c r="J1963" s="2">
        <f>IF(I1963="", "", IF(OR(AND(A1963="Listed Equity Shares", I1963&gt;12), AND(A1963="Unlisted Equity Shares", I1963&gt;24)), "Long Term", "Short Term"))</f>
        <v/>
      </c>
      <c r="K1963" s="5">
        <f>IF(J1963="", "", IF(J1963="Long Term", 12.5%,"as per slab"))</f>
        <v/>
      </c>
      <c r="L1963" s="3">
        <f>+IFERROR(IF(J1963="","",H1963*K1963),"as per slab")</f>
        <v/>
      </c>
    </row>
    <row r="1964">
      <c r="A1964" s="7" t="n"/>
      <c r="B1964" s="7" t="n"/>
      <c r="C1964" s="8" t="n"/>
      <c r="D1964" s="9" t="n"/>
      <c r="E1964" s="8" t="n"/>
      <c r="F1964" s="9" t="n"/>
      <c r="G1964" s="9" t="n"/>
      <c r="H1964" s="3">
        <f>IF(AND(D1964&lt;&gt;"",F1964&lt;&gt;""),F1964-D1964-G1964,"")</f>
        <v/>
      </c>
      <c r="I1964" s="14">
        <f>IF(E1964&lt;&gt;"", YEARFRAC(C1964, E1964) * 12, "")</f>
        <v/>
      </c>
      <c r="J1964" s="2">
        <f>IF(I1964="", "", IF(OR(AND(A1964="Listed Equity Shares", I1964&gt;12), AND(A1964="Unlisted Equity Shares", I1964&gt;24)), "Long Term", "Short Term"))</f>
        <v/>
      </c>
      <c r="K1964" s="5">
        <f>IF(J1964="", "", IF(J1964="Long Term", 12.5%,"as per slab"))</f>
        <v/>
      </c>
      <c r="L1964" s="3">
        <f>+IFERROR(IF(J1964="","",H1964*K1964),"as per slab")</f>
        <v/>
      </c>
    </row>
    <row r="1965">
      <c r="A1965" s="7" t="n"/>
      <c r="B1965" s="7" t="n"/>
      <c r="C1965" s="8" t="n"/>
      <c r="D1965" s="9" t="n"/>
      <c r="E1965" s="8" t="n"/>
      <c r="F1965" s="9" t="n"/>
      <c r="G1965" s="9" t="n"/>
      <c r="H1965" s="3">
        <f>IF(AND(D1965&lt;&gt;"",F1965&lt;&gt;""),F1965-D1965-G1965,"")</f>
        <v/>
      </c>
      <c r="I1965" s="14">
        <f>IF(E1965&lt;&gt;"", YEARFRAC(C1965, E1965) * 12, "")</f>
        <v/>
      </c>
      <c r="J1965" s="2">
        <f>IF(I1965="", "", IF(OR(AND(A1965="Listed Equity Shares", I1965&gt;12), AND(A1965="Unlisted Equity Shares", I1965&gt;24)), "Long Term", "Short Term"))</f>
        <v/>
      </c>
      <c r="K1965" s="5">
        <f>IF(J1965="", "", IF(J1965="Long Term", 12.5%,"as per slab"))</f>
        <v/>
      </c>
      <c r="L1965" s="3">
        <f>+IFERROR(IF(J1965="","",H1965*K1965),"as per slab")</f>
        <v/>
      </c>
    </row>
    <row r="1966">
      <c r="A1966" s="7" t="n"/>
      <c r="B1966" s="7" t="n"/>
      <c r="C1966" s="8" t="n"/>
      <c r="D1966" s="9" t="n"/>
      <c r="E1966" s="8" t="n"/>
      <c r="F1966" s="9" t="n"/>
      <c r="G1966" s="9" t="n"/>
      <c r="H1966" s="3">
        <f>IF(AND(D1966&lt;&gt;"",F1966&lt;&gt;""),F1966-D1966-G1966,"")</f>
        <v/>
      </c>
      <c r="I1966" s="14">
        <f>IF(E1966&lt;&gt;"", YEARFRAC(C1966, E1966) * 12, "")</f>
        <v/>
      </c>
      <c r="J1966" s="2">
        <f>IF(I1966="", "", IF(OR(AND(A1966="Listed Equity Shares", I1966&gt;12), AND(A1966="Unlisted Equity Shares", I1966&gt;24)), "Long Term", "Short Term"))</f>
        <v/>
      </c>
      <c r="K1966" s="5">
        <f>IF(J1966="", "", IF(J1966="Long Term", 12.5%,"as per slab"))</f>
        <v/>
      </c>
      <c r="L1966" s="3">
        <f>+IFERROR(IF(J1966="","",H1966*K1966),"as per slab")</f>
        <v/>
      </c>
    </row>
    <row r="1967">
      <c r="A1967" s="7" t="n"/>
      <c r="B1967" s="7" t="n"/>
      <c r="C1967" s="8" t="n"/>
      <c r="D1967" s="9" t="n"/>
      <c r="E1967" s="8" t="n"/>
      <c r="F1967" s="9" t="n"/>
      <c r="G1967" s="9" t="n"/>
      <c r="H1967" s="3">
        <f>IF(AND(D1967&lt;&gt;"",F1967&lt;&gt;""),F1967-D1967-G1967,"")</f>
        <v/>
      </c>
      <c r="I1967" s="14">
        <f>IF(E1967&lt;&gt;"", YEARFRAC(C1967, E1967) * 12, "")</f>
        <v/>
      </c>
      <c r="J1967" s="2">
        <f>IF(I1967="", "", IF(OR(AND(A1967="Listed Equity Shares", I1967&gt;12), AND(A1967="Unlisted Equity Shares", I1967&gt;24)), "Long Term", "Short Term"))</f>
        <v/>
      </c>
      <c r="K1967" s="5">
        <f>IF(J1967="", "", IF(J1967="Long Term", 12.5%,"as per slab"))</f>
        <v/>
      </c>
      <c r="L1967" s="3">
        <f>+IFERROR(IF(J1967="","",H1967*K1967),"as per slab")</f>
        <v/>
      </c>
    </row>
    <row r="1968">
      <c r="A1968" s="7" t="n"/>
      <c r="B1968" s="7" t="n"/>
      <c r="C1968" s="8" t="n"/>
      <c r="D1968" s="9" t="n"/>
      <c r="E1968" s="8" t="n"/>
      <c r="F1968" s="9" t="n"/>
      <c r="G1968" s="9" t="n"/>
      <c r="H1968" s="3">
        <f>IF(AND(D1968&lt;&gt;"",F1968&lt;&gt;""),F1968-D1968-G1968,"")</f>
        <v/>
      </c>
      <c r="I1968" s="14">
        <f>IF(E1968&lt;&gt;"", YEARFRAC(C1968, E1968) * 12, "")</f>
        <v/>
      </c>
      <c r="J1968" s="2">
        <f>IF(I1968="", "", IF(OR(AND(A1968="Listed Equity Shares", I1968&gt;12), AND(A1968="Unlisted Equity Shares", I1968&gt;24)), "Long Term", "Short Term"))</f>
        <v/>
      </c>
      <c r="K1968" s="5">
        <f>IF(J1968="", "", IF(J1968="Long Term", 12.5%,"as per slab"))</f>
        <v/>
      </c>
      <c r="L1968" s="3">
        <f>+IFERROR(IF(J1968="","",H1968*K1968),"as per slab")</f>
        <v/>
      </c>
    </row>
    <row r="1969">
      <c r="A1969" s="7" t="n"/>
      <c r="B1969" s="7" t="n"/>
      <c r="C1969" s="8" t="n"/>
      <c r="D1969" s="9" t="n"/>
      <c r="E1969" s="8" t="n"/>
      <c r="F1969" s="9" t="n"/>
      <c r="G1969" s="9" t="n"/>
      <c r="H1969" s="3">
        <f>IF(AND(D1969&lt;&gt;"",F1969&lt;&gt;""),F1969-D1969-G1969,"")</f>
        <v/>
      </c>
      <c r="I1969" s="14">
        <f>IF(E1969&lt;&gt;"", YEARFRAC(C1969, E1969) * 12, "")</f>
        <v/>
      </c>
      <c r="J1969" s="2">
        <f>IF(I1969="", "", IF(OR(AND(A1969="Listed Equity Shares", I1969&gt;12), AND(A1969="Unlisted Equity Shares", I1969&gt;24)), "Long Term", "Short Term"))</f>
        <v/>
      </c>
      <c r="K1969" s="5">
        <f>IF(J1969="", "", IF(J1969="Long Term", 12.5%,"as per slab"))</f>
        <v/>
      </c>
      <c r="L1969" s="3">
        <f>+IFERROR(IF(J1969="","",H1969*K1969),"as per slab")</f>
        <v/>
      </c>
    </row>
    <row r="1970">
      <c r="A1970" s="7" t="n"/>
      <c r="B1970" s="7" t="n"/>
      <c r="C1970" s="8" t="n"/>
      <c r="D1970" s="9" t="n"/>
      <c r="E1970" s="8" t="n"/>
      <c r="F1970" s="9" t="n"/>
      <c r="G1970" s="9" t="n"/>
      <c r="H1970" s="3">
        <f>IF(AND(D1970&lt;&gt;"",F1970&lt;&gt;""),F1970-D1970-G1970,"")</f>
        <v/>
      </c>
      <c r="I1970" s="14">
        <f>IF(E1970&lt;&gt;"", YEARFRAC(C1970, E1970) * 12, "")</f>
        <v/>
      </c>
      <c r="J1970" s="2">
        <f>IF(I1970="", "", IF(OR(AND(A1970="Listed Equity Shares", I1970&gt;12), AND(A1970="Unlisted Equity Shares", I1970&gt;24)), "Long Term", "Short Term"))</f>
        <v/>
      </c>
      <c r="K1970" s="5">
        <f>IF(J1970="", "", IF(J1970="Long Term", 12.5%,"as per slab"))</f>
        <v/>
      </c>
      <c r="L1970" s="3">
        <f>+IFERROR(IF(J1970="","",H1970*K1970),"as per slab")</f>
        <v/>
      </c>
    </row>
    <row r="1971">
      <c r="A1971" s="7" t="n"/>
      <c r="B1971" s="7" t="n"/>
      <c r="C1971" s="8" t="n"/>
      <c r="D1971" s="9" t="n"/>
      <c r="E1971" s="8" t="n"/>
      <c r="F1971" s="9" t="n"/>
      <c r="G1971" s="9" t="n"/>
      <c r="H1971" s="3">
        <f>IF(AND(D1971&lt;&gt;"",F1971&lt;&gt;""),F1971-D1971-G1971,"")</f>
        <v/>
      </c>
      <c r="I1971" s="14">
        <f>IF(E1971&lt;&gt;"", YEARFRAC(C1971, E1971) * 12, "")</f>
        <v/>
      </c>
      <c r="J1971" s="2">
        <f>IF(I1971="", "", IF(OR(AND(A1971="Listed Equity Shares", I1971&gt;12), AND(A1971="Unlisted Equity Shares", I1971&gt;24)), "Long Term", "Short Term"))</f>
        <v/>
      </c>
      <c r="K1971" s="5">
        <f>IF(J1971="", "", IF(J1971="Long Term", 12.5%,"as per slab"))</f>
        <v/>
      </c>
      <c r="L1971" s="3">
        <f>+IFERROR(IF(J1971="","",H1971*K1971),"as per slab")</f>
        <v/>
      </c>
    </row>
    <row r="1972">
      <c r="A1972" s="7" t="n"/>
      <c r="B1972" s="7" t="n"/>
      <c r="C1972" s="8" t="n"/>
      <c r="D1972" s="9" t="n"/>
      <c r="E1972" s="8" t="n"/>
      <c r="F1972" s="9" t="n"/>
      <c r="G1972" s="9" t="n"/>
      <c r="H1972" s="3">
        <f>IF(AND(D1972&lt;&gt;"",F1972&lt;&gt;""),F1972-D1972-G1972,"")</f>
        <v/>
      </c>
      <c r="I1972" s="14">
        <f>IF(E1972&lt;&gt;"", YEARFRAC(C1972, E1972) * 12, "")</f>
        <v/>
      </c>
      <c r="J1972" s="2">
        <f>IF(I1972="", "", IF(OR(AND(A1972="Listed Equity Shares", I1972&gt;12), AND(A1972="Unlisted Equity Shares", I1972&gt;24)), "Long Term", "Short Term"))</f>
        <v/>
      </c>
      <c r="K1972" s="5">
        <f>IF(J1972="", "", IF(J1972="Long Term", 12.5%,"as per slab"))</f>
        <v/>
      </c>
      <c r="L1972" s="3">
        <f>+IFERROR(IF(J1972="","",H1972*K1972),"as per slab")</f>
        <v/>
      </c>
    </row>
    <row r="1973">
      <c r="A1973" s="7" t="n"/>
      <c r="B1973" s="7" t="n"/>
      <c r="C1973" s="8" t="n"/>
      <c r="D1973" s="9" t="n"/>
      <c r="E1973" s="8" t="n"/>
      <c r="F1973" s="9" t="n"/>
      <c r="G1973" s="9" t="n"/>
      <c r="H1973" s="3">
        <f>IF(AND(D1973&lt;&gt;"",F1973&lt;&gt;""),F1973-D1973-G1973,"")</f>
        <v/>
      </c>
      <c r="I1973" s="14">
        <f>IF(E1973&lt;&gt;"", YEARFRAC(C1973, E1973) * 12, "")</f>
        <v/>
      </c>
      <c r="J1973" s="2">
        <f>IF(I1973="", "", IF(OR(AND(A1973="Listed Equity Shares", I1973&gt;12), AND(A1973="Unlisted Equity Shares", I1973&gt;24)), "Long Term", "Short Term"))</f>
        <v/>
      </c>
      <c r="K1973" s="5">
        <f>IF(J1973="", "", IF(J1973="Long Term", 12.5%,"as per slab"))</f>
        <v/>
      </c>
      <c r="L1973" s="3">
        <f>+IFERROR(IF(J1973="","",H1973*K1973),"as per slab")</f>
        <v/>
      </c>
    </row>
    <row r="1974">
      <c r="A1974" s="7" t="n"/>
      <c r="B1974" s="7" t="n"/>
      <c r="C1974" s="8" t="n"/>
      <c r="D1974" s="9" t="n"/>
      <c r="E1974" s="8" t="n"/>
      <c r="F1974" s="9" t="n"/>
      <c r="G1974" s="9" t="n"/>
      <c r="H1974" s="3">
        <f>IF(AND(D1974&lt;&gt;"",F1974&lt;&gt;""),F1974-D1974-G1974,"")</f>
        <v/>
      </c>
      <c r="I1974" s="14">
        <f>IF(E1974&lt;&gt;"", YEARFRAC(C1974, E1974) * 12, "")</f>
        <v/>
      </c>
      <c r="J1974" s="2">
        <f>IF(I1974="", "", IF(OR(AND(A1974="Listed Equity Shares", I1974&gt;12), AND(A1974="Unlisted Equity Shares", I1974&gt;24)), "Long Term", "Short Term"))</f>
        <v/>
      </c>
      <c r="K1974" s="5">
        <f>IF(J1974="", "", IF(J1974="Long Term", 12.5%,"as per slab"))</f>
        <v/>
      </c>
      <c r="L1974" s="3">
        <f>+IFERROR(IF(J1974="","",H1974*K1974),"as per slab")</f>
        <v/>
      </c>
    </row>
    <row r="1975">
      <c r="A1975" s="7" t="n"/>
      <c r="B1975" s="7" t="n"/>
      <c r="C1975" s="8" t="n"/>
      <c r="D1975" s="9" t="n"/>
      <c r="E1975" s="8" t="n"/>
      <c r="F1975" s="9" t="n"/>
      <c r="G1975" s="9" t="n"/>
      <c r="H1975" s="3">
        <f>IF(AND(D1975&lt;&gt;"",F1975&lt;&gt;""),F1975-D1975-G1975,"")</f>
        <v/>
      </c>
      <c r="I1975" s="14">
        <f>IF(E1975&lt;&gt;"", YEARFRAC(C1975, E1975) * 12, "")</f>
        <v/>
      </c>
      <c r="J1975" s="2">
        <f>IF(I1975="", "", IF(OR(AND(A1975="Listed Equity Shares", I1975&gt;12), AND(A1975="Unlisted Equity Shares", I1975&gt;24)), "Long Term", "Short Term"))</f>
        <v/>
      </c>
      <c r="K1975" s="5">
        <f>IF(J1975="", "", IF(J1975="Long Term", 12.5%,"as per slab"))</f>
        <v/>
      </c>
      <c r="L1975" s="3">
        <f>+IFERROR(IF(J1975="","",H1975*K1975),"as per slab")</f>
        <v/>
      </c>
    </row>
    <row r="1976">
      <c r="A1976" s="7" t="n"/>
      <c r="B1976" s="7" t="n"/>
      <c r="C1976" s="8" t="n"/>
      <c r="D1976" s="9" t="n"/>
      <c r="E1976" s="8" t="n"/>
      <c r="F1976" s="9" t="n"/>
      <c r="G1976" s="9" t="n"/>
      <c r="H1976" s="3">
        <f>IF(AND(D1976&lt;&gt;"",F1976&lt;&gt;""),F1976-D1976-G1976,"")</f>
        <v/>
      </c>
      <c r="I1976" s="14">
        <f>IF(E1976&lt;&gt;"", YEARFRAC(C1976, E1976) * 12, "")</f>
        <v/>
      </c>
      <c r="J1976" s="2">
        <f>IF(I1976="", "", IF(OR(AND(A1976="Listed Equity Shares", I1976&gt;12), AND(A1976="Unlisted Equity Shares", I1976&gt;24)), "Long Term", "Short Term"))</f>
        <v/>
      </c>
      <c r="K1976" s="5">
        <f>IF(J1976="", "", IF(J1976="Long Term", 12.5%,"as per slab"))</f>
        <v/>
      </c>
      <c r="L1976" s="3">
        <f>+IFERROR(IF(J1976="","",H1976*K1976),"as per slab")</f>
        <v/>
      </c>
    </row>
    <row r="1977">
      <c r="A1977" s="7" t="n"/>
      <c r="B1977" s="7" t="n"/>
      <c r="C1977" s="8" t="n"/>
      <c r="D1977" s="9" t="n"/>
      <c r="E1977" s="8" t="n"/>
      <c r="F1977" s="9" t="n"/>
      <c r="G1977" s="9" t="n"/>
      <c r="H1977" s="3">
        <f>IF(AND(D1977&lt;&gt;"",F1977&lt;&gt;""),F1977-D1977-G1977,"")</f>
        <v/>
      </c>
      <c r="I1977" s="14">
        <f>IF(E1977&lt;&gt;"", YEARFRAC(C1977, E1977) * 12, "")</f>
        <v/>
      </c>
      <c r="J1977" s="2">
        <f>IF(I1977="", "", IF(OR(AND(A1977="Listed Equity Shares", I1977&gt;12), AND(A1977="Unlisted Equity Shares", I1977&gt;24)), "Long Term", "Short Term"))</f>
        <v/>
      </c>
      <c r="K1977" s="5">
        <f>IF(J1977="", "", IF(J1977="Long Term", 12.5%,"as per slab"))</f>
        <v/>
      </c>
      <c r="L1977" s="3">
        <f>+IFERROR(IF(J1977="","",H1977*K1977),"as per slab")</f>
        <v/>
      </c>
    </row>
    <row r="1978">
      <c r="A1978" s="7" t="n"/>
      <c r="B1978" s="7" t="n"/>
      <c r="C1978" s="8" t="n"/>
      <c r="D1978" s="9" t="n"/>
      <c r="E1978" s="8" t="n"/>
      <c r="F1978" s="9" t="n"/>
      <c r="G1978" s="9" t="n"/>
      <c r="H1978" s="3">
        <f>IF(AND(D1978&lt;&gt;"",F1978&lt;&gt;""),F1978-D1978-G1978,"")</f>
        <v/>
      </c>
      <c r="I1978" s="14">
        <f>IF(E1978&lt;&gt;"", YEARFRAC(C1978, E1978) * 12, "")</f>
        <v/>
      </c>
      <c r="J1978" s="2">
        <f>IF(I1978="", "", IF(OR(AND(A1978="Listed Equity Shares", I1978&gt;12), AND(A1978="Unlisted Equity Shares", I1978&gt;24)), "Long Term", "Short Term"))</f>
        <v/>
      </c>
      <c r="K1978" s="5">
        <f>IF(J1978="", "", IF(J1978="Long Term", 12.5%,"as per slab"))</f>
        <v/>
      </c>
      <c r="L1978" s="3">
        <f>+IFERROR(IF(J1978="","",H1978*K1978),"as per slab")</f>
        <v/>
      </c>
    </row>
    <row r="1979">
      <c r="A1979" s="7" t="n"/>
      <c r="B1979" s="7" t="n"/>
      <c r="C1979" s="8" t="n"/>
      <c r="D1979" s="9" t="n"/>
      <c r="E1979" s="8" t="n"/>
      <c r="F1979" s="9" t="n"/>
      <c r="G1979" s="9" t="n"/>
      <c r="H1979" s="3">
        <f>IF(AND(D1979&lt;&gt;"",F1979&lt;&gt;""),F1979-D1979-G1979,"")</f>
        <v/>
      </c>
      <c r="I1979" s="14">
        <f>IF(E1979&lt;&gt;"", YEARFRAC(C1979, E1979) * 12, "")</f>
        <v/>
      </c>
      <c r="J1979" s="2">
        <f>IF(I1979="", "", IF(OR(AND(A1979="Listed Equity Shares", I1979&gt;12), AND(A1979="Unlisted Equity Shares", I1979&gt;24)), "Long Term", "Short Term"))</f>
        <v/>
      </c>
      <c r="K1979" s="5">
        <f>IF(J1979="", "", IF(J1979="Long Term", 12.5%,"as per slab"))</f>
        <v/>
      </c>
      <c r="L1979" s="3">
        <f>+IFERROR(IF(J1979="","",H1979*K1979),"as per slab")</f>
        <v/>
      </c>
    </row>
    <row r="1980">
      <c r="A1980" s="7" t="n"/>
      <c r="B1980" s="7" t="n"/>
      <c r="C1980" s="8" t="n"/>
      <c r="D1980" s="9" t="n"/>
      <c r="E1980" s="8" t="n"/>
      <c r="F1980" s="9" t="n"/>
      <c r="G1980" s="9" t="n"/>
      <c r="H1980" s="3">
        <f>IF(AND(D1980&lt;&gt;"",F1980&lt;&gt;""),F1980-D1980-G1980,"")</f>
        <v/>
      </c>
      <c r="I1980" s="14">
        <f>IF(E1980&lt;&gt;"", YEARFRAC(C1980, E1980) * 12, "")</f>
        <v/>
      </c>
      <c r="J1980" s="2">
        <f>IF(I1980="", "", IF(OR(AND(A1980="Listed Equity Shares", I1980&gt;12), AND(A1980="Unlisted Equity Shares", I1980&gt;24)), "Long Term", "Short Term"))</f>
        <v/>
      </c>
      <c r="K1980" s="5">
        <f>IF(J1980="", "", IF(J1980="Long Term", 12.5%,"as per slab"))</f>
        <v/>
      </c>
      <c r="L1980" s="3">
        <f>+IFERROR(IF(J1980="","",H1980*K1980),"as per slab")</f>
        <v/>
      </c>
    </row>
    <row r="1981">
      <c r="A1981" s="7" t="n"/>
      <c r="B1981" s="7" t="n"/>
      <c r="C1981" s="8" t="n"/>
      <c r="D1981" s="9" t="n"/>
      <c r="E1981" s="8" t="n"/>
      <c r="F1981" s="9" t="n"/>
      <c r="G1981" s="9" t="n"/>
      <c r="H1981" s="3">
        <f>IF(AND(D1981&lt;&gt;"",F1981&lt;&gt;""),F1981-D1981-G1981,"")</f>
        <v/>
      </c>
      <c r="I1981" s="14">
        <f>IF(E1981&lt;&gt;"", YEARFRAC(C1981, E1981) * 12, "")</f>
        <v/>
      </c>
      <c r="J1981" s="2">
        <f>IF(I1981="", "", IF(OR(AND(A1981="Listed Equity Shares", I1981&gt;12), AND(A1981="Unlisted Equity Shares", I1981&gt;24)), "Long Term", "Short Term"))</f>
        <v/>
      </c>
      <c r="K1981" s="5">
        <f>IF(J1981="", "", IF(J1981="Long Term", 12.5%,"as per slab"))</f>
        <v/>
      </c>
      <c r="L1981" s="3">
        <f>+IFERROR(IF(J1981="","",H1981*K1981),"as per slab")</f>
        <v/>
      </c>
    </row>
    <row r="1982">
      <c r="A1982" s="7" t="n"/>
      <c r="B1982" s="7" t="n"/>
      <c r="C1982" s="8" t="n"/>
      <c r="D1982" s="9" t="n"/>
      <c r="E1982" s="8" t="n"/>
      <c r="F1982" s="9" t="n"/>
      <c r="G1982" s="9" t="n"/>
      <c r="H1982" s="3">
        <f>IF(AND(D1982&lt;&gt;"",F1982&lt;&gt;""),F1982-D1982-G1982,"")</f>
        <v/>
      </c>
      <c r="I1982" s="14">
        <f>IF(E1982&lt;&gt;"", YEARFRAC(C1982, E1982) * 12, "")</f>
        <v/>
      </c>
      <c r="J1982" s="2">
        <f>IF(I1982="", "", IF(OR(AND(A1982="Listed Equity Shares", I1982&gt;12), AND(A1982="Unlisted Equity Shares", I1982&gt;24)), "Long Term", "Short Term"))</f>
        <v/>
      </c>
      <c r="K1982" s="5">
        <f>IF(J1982="", "", IF(J1982="Long Term", 12.5%,"as per slab"))</f>
        <v/>
      </c>
      <c r="L1982" s="3">
        <f>+IFERROR(IF(J1982="","",H1982*K1982),"as per slab")</f>
        <v/>
      </c>
    </row>
    <row r="1983">
      <c r="A1983" s="7" t="n"/>
      <c r="B1983" s="7" t="n"/>
      <c r="C1983" s="8" t="n"/>
      <c r="D1983" s="9" t="n"/>
      <c r="E1983" s="8" t="n"/>
      <c r="F1983" s="9" t="n"/>
      <c r="G1983" s="9" t="n"/>
      <c r="H1983" s="3">
        <f>IF(AND(D1983&lt;&gt;"",F1983&lt;&gt;""),F1983-D1983-G1983,"")</f>
        <v/>
      </c>
      <c r="I1983" s="14">
        <f>IF(E1983&lt;&gt;"", YEARFRAC(C1983, E1983) * 12, "")</f>
        <v/>
      </c>
      <c r="J1983" s="2">
        <f>IF(I1983="", "", IF(OR(AND(A1983="Listed Equity Shares", I1983&gt;12), AND(A1983="Unlisted Equity Shares", I1983&gt;24)), "Long Term", "Short Term"))</f>
        <v/>
      </c>
      <c r="K1983" s="5">
        <f>IF(J1983="", "", IF(J1983="Long Term", 12.5%,"as per slab"))</f>
        <v/>
      </c>
      <c r="L1983" s="3">
        <f>+IFERROR(IF(J1983="","",H1983*K1983),"as per slab")</f>
        <v/>
      </c>
    </row>
    <row r="1984">
      <c r="A1984" s="7" t="n"/>
      <c r="B1984" s="7" t="n"/>
      <c r="C1984" s="8" t="n"/>
      <c r="D1984" s="9" t="n"/>
      <c r="E1984" s="8" t="n"/>
      <c r="F1984" s="9" t="n"/>
      <c r="G1984" s="9" t="n"/>
      <c r="H1984" s="3">
        <f>IF(AND(D1984&lt;&gt;"",F1984&lt;&gt;""),F1984-D1984-G1984,"")</f>
        <v/>
      </c>
      <c r="I1984" s="14">
        <f>IF(E1984&lt;&gt;"", YEARFRAC(C1984, E1984) * 12, "")</f>
        <v/>
      </c>
      <c r="J1984" s="2">
        <f>IF(I1984="", "", IF(OR(AND(A1984="Listed Equity Shares", I1984&gt;12), AND(A1984="Unlisted Equity Shares", I1984&gt;24)), "Long Term", "Short Term"))</f>
        <v/>
      </c>
      <c r="K1984" s="5">
        <f>IF(J1984="", "", IF(J1984="Long Term", 12.5%,"as per slab"))</f>
        <v/>
      </c>
      <c r="L1984" s="3">
        <f>+IFERROR(IF(J1984="","",H1984*K1984),"as per slab")</f>
        <v/>
      </c>
    </row>
    <row r="1985">
      <c r="A1985" s="7" t="n"/>
      <c r="B1985" s="7" t="n"/>
      <c r="C1985" s="8" t="n"/>
      <c r="D1985" s="9" t="n"/>
      <c r="E1985" s="8" t="n"/>
      <c r="F1985" s="9" t="n"/>
      <c r="G1985" s="9" t="n"/>
      <c r="H1985" s="3">
        <f>IF(AND(D1985&lt;&gt;"",F1985&lt;&gt;""),F1985-D1985-G1985,"")</f>
        <v/>
      </c>
      <c r="I1985" s="14">
        <f>IF(E1985&lt;&gt;"", YEARFRAC(C1985, E1985) * 12, "")</f>
        <v/>
      </c>
      <c r="J1985" s="2">
        <f>IF(I1985="", "", IF(OR(AND(A1985="Listed Equity Shares", I1985&gt;12), AND(A1985="Unlisted Equity Shares", I1985&gt;24)), "Long Term", "Short Term"))</f>
        <v/>
      </c>
      <c r="K1985" s="5">
        <f>IF(J1985="", "", IF(J1985="Long Term", 12.5%,"as per slab"))</f>
        <v/>
      </c>
      <c r="L1985" s="3">
        <f>+IFERROR(IF(J1985="","",H1985*K1985),"as per slab")</f>
        <v/>
      </c>
    </row>
    <row r="1986">
      <c r="A1986" s="7" t="n"/>
      <c r="B1986" s="7" t="n"/>
      <c r="C1986" s="8" t="n"/>
      <c r="D1986" s="9" t="n"/>
      <c r="E1986" s="8" t="n"/>
      <c r="F1986" s="9" t="n"/>
      <c r="G1986" s="9" t="n"/>
      <c r="H1986" s="3">
        <f>IF(AND(D1986&lt;&gt;"",F1986&lt;&gt;""),F1986-D1986-G1986,"")</f>
        <v/>
      </c>
      <c r="I1986" s="14">
        <f>IF(E1986&lt;&gt;"", YEARFRAC(C1986, E1986) * 12, "")</f>
        <v/>
      </c>
      <c r="J1986" s="2">
        <f>IF(I1986="", "", IF(OR(AND(A1986="Listed Equity Shares", I1986&gt;12), AND(A1986="Unlisted Equity Shares", I1986&gt;24)), "Long Term", "Short Term"))</f>
        <v/>
      </c>
      <c r="K1986" s="5">
        <f>IF(J1986="", "", IF(J1986="Long Term", 12.5%,"as per slab"))</f>
        <v/>
      </c>
      <c r="L1986" s="3">
        <f>+IFERROR(IF(J1986="","",H1986*K1986),"as per slab")</f>
        <v/>
      </c>
    </row>
    <row r="1987">
      <c r="A1987" s="7" t="n"/>
      <c r="B1987" s="7" t="n"/>
      <c r="C1987" s="8" t="n"/>
      <c r="D1987" s="9" t="n"/>
      <c r="E1987" s="8" t="n"/>
      <c r="F1987" s="9" t="n"/>
      <c r="G1987" s="9" t="n"/>
      <c r="H1987" s="3">
        <f>IF(AND(D1987&lt;&gt;"",F1987&lt;&gt;""),F1987-D1987-G1987,"")</f>
        <v/>
      </c>
      <c r="I1987" s="14">
        <f>IF(E1987&lt;&gt;"", YEARFRAC(C1987, E1987) * 12, "")</f>
        <v/>
      </c>
      <c r="J1987" s="2">
        <f>IF(I1987="", "", IF(OR(AND(A1987="Listed Equity Shares", I1987&gt;12), AND(A1987="Unlisted Equity Shares", I1987&gt;24)), "Long Term", "Short Term"))</f>
        <v/>
      </c>
      <c r="K1987" s="5">
        <f>IF(J1987="", "", IF(J1987="Long Term", 12.5%,"as per slab"))</f>
        <v/>
      </c>
      <c r="L1987" s="3">
        <f>+IFERROR(IF(J1987="","",H1987*K1987),"as per slab")</f>
        <v/>
      </c>
    </row>
    <row r="1988">
      <c r="A1988" s="7" t="n"/>
      <c r="B1988" s="7" t="n"/>
      <c r="C1988" s="8" t="n"/>
      <c r="D1988" s="9" t="n"/>
      <c r="E1988" s="8" t="n"/>
      <c r="F1988" s="9" t="n"/>
      <c r="G1988" s="9" t="n"/>
      <c r="H1988" s="3">
        <f>IF(AND(D1988&lt;&gt;"",F1988&lt;&gt;""),F1988-D1988-G1988,"")</f>
        <v/>
      </c>
      <c r="I1988" s="14">
        <f>IF(E1988&lt;&gt;"", YEARFRAC(C1988, E1988) * 12, "")</f>
        <v/>
      </c>
      <c r="J1988" s="2">
        <f>IF(I1988="", "", IF(OR(AND(A1988="Listed Equity Shares", I1988&gt;12), AND(A1988="Unlisted Equity Shares", I1988&gt;24)), "Long Term", "Short Term"))</f>
        <v/>
      </c>
      <c r="K1988" s="5">
        <f>IF(J1988="", "", IF(J1988="Long Term", 12.5%,"as per slab"))</f>
        <v/>
      </c>
      <c r="L1988" s="3">
        <f>+IFERROR(IF(J1988="","",H1988*K1988),"as per slab")</f>
        <v/>
      </c>
    </row>
    <row r="1989">
      <c r="A1989" s="7" t="n"/>
      <c r="B1989" s="7" t="n"/>
      <c r="C1989" s="8" t="n"/>
      <c r="D1989" s="9" t="n"/>
      <c r="E1989" s="8" t="n"/>
      <c r="F1989" s="9" t="n"/>
      <c r="G1989" s="9" t="n"/>
      <c r="H1989" s="3">
        <f>IF(AND(D1989&lt;&gt;"",F1989&lt;&gt;""),F1989-D1989-G1989,"")</f>
        <v/>
      </c>
      <c r="I1989" s="14">
        <f>IF(E1989&lt;&gt;"", YEARFRAC(C1989, E1989) * 12, "")</f>
        <v/>
      </c>
      <c r="J1989" s="2">
        <f>IF(I1989="", "", IF(OR(AND(A1989="Listed Equity Shares", I1989&gt;12), AND(A1989="Unlisted Equity Shares", I1989&gt;24)), "Long Term", "Short Term"))</f>
        <v/>
      </c>
      <c r="K1989" s="5">
        <f>IF(J1989="", "", IF(J1989="Long Term", 12.5%,"as per slab"))</f>
        <v/>
      </c>
      <c r="L1989" s="3">
        <f>+IFERROR(IF(J1989="","",H1989*K1989),"as per slab")</f>
        <v/>
      </c>
    </row>
    <row r="1990">
      <c r="A1990" s="7" t="n"/>
      <c r="B1990" s="7" t="n"/>
      <c r="C1990" s="8" t="n"/>
      <c r="D1990" s="9" t="n"/>
      <c r="E1990" s="8" t="n"/>
      <c r="F1990" s="9" t="n"/>
      <c r="G1990" s="9" t="n"/>
      <c r="H1990" s="3">
        <f>IF(AND(D1990&lt;&gt;"",F1990&lt;&gt;""),F1990-D1990-G1990,"")</f>
        <v/>
      </c>
      <c r="I1990" s="14">
        <f>IF(E1990&lt;&gt;"", YEARFRAC(C1990, E1990) * 12, "")</f>
        <v/>
      </c>
      <c r="J1990" s="2">
        <f>IF(I1990="", "", IF(OR(AND(A1990="Listed Equity Shares", I1990&gt;12), AND(A1990="Unlisted Equity Shares", I1990&gt;24)), "Long Term", "Short Term"))</f>
        <v/>
      </c>
      <c r="K1990" s="5">
        <f>IF(J1990="", "", IF(J1990="Long Term", 12.5%,"as per slab"))</f>
        <v/>
      </c>
      <c r="L1990" s="3">
        <f>+IFERROR(IF(J1990="","",H1990*K1990),"as per slab")</f>
        <v/>
      </c>
    </row>
    <row r="1991">
      <c r="A1991" s="7" t="n"/>
      <c r="B1991" s="7" t="n"/>
      <c r="C1991" s="8" t="n"/>
      <c r="D1991" s="9" t="n"/>
      <c r="E1991" s="8" t="n"/>
      <c r="F1991" s="9" t="n"/>
      <c r="G1991" s="9" t="n"/>
      <c r="H1991" s="3">
        <f>IF(AND(D1991&lt;&gt;"",F1991&lt;&gt;""),F1991-D1991-G1991,"")</f>
        <v/>
      </c>
      <c r="I1991" s="14">
        <f>IF(E1991&lt;&gt;"", YEARFRAC(C1991, E1991) * 12, "")</f>
        <v/>
      </c>
      <c r="J1991" s="2">
        <f>IF(I1991="", "", IF(OR(AND(A1991="Listed Equity Shares", I1991&gt;12), AND(A1991="Unlisted Equity Shares", I1991&gt;24)), "Long Term", "Short Term"))</f>
        <v/>
      </c>
      <c r="K1991" s="5">
        <f>IF(J1991="", "", IF(J1991="Long Term", 12.5%,"as per slab"))</f>
        <v/>
      </c>
      <c r="L1991" s="3">
        <f>+IFERROR(IF(J1991="","",H1991*K1991),"as per slab")</f>
        <v/>
      </c>
    </row>
    <row r="1992">
      <c r="A1992" s="7" t="n"/>
      <c r="B1992" s="7" t="n"/>
      <c r="C1992" s="8" t="n"/>
      <c r="D1992" s="9" t="n"/>
      <c r="E1992" s="8" t="n"/>
      <c r="F1992" s="9" t="n"/>
      <c r="G1992" s="9" t="n"/>
      <c r="H1992" s="3">
        <f>IF(AND(D1992&lt;&gt;"",F1992&lt;&gt;""),F1992-D1992-G1992,"")</f>
        <v/>
      </c>
      <c r="I1992" s="14">
        <f>IF(E1992&lt;&gt;"", YEARFRAC(C1992, E1992) * 12, "")</f>
        <v/>
      </c>
      <c r="J1992" s="2">
        <f>IF(I1992="", "", IF(OR(AND(A1992="Listed Equity Shares", I1992&gt;12), AND(A1992="Unlisted Equity Shares", I1992&gt;24)), "Long Term", "Short Term"))</f>
        <v/>
      </c>
      <c r="K1992" s="5">
        <f>IF(J1992="", "", IF(J1992="Long Term", 12.5%,"as per slab"))</f>
        <v/>
      </c>
      <c r="L1992" s="3">
        <f>+IFERROR(IF(J1992="","",H1992*K1992),"as per slab")</f>
        <v/>
      </c>
    </row>
    <row r="1993">
      <c r="A1993" s="7" t="n"/>
      <c r="B1993" s="7" t="n"/>
      <c r="C1993" s="8" t="n"/>
      <c r="D1993" s="9" t="n"/>
      <c r="E1993" s="8" t="n"/>
      <c r="F1993" s="9" t="n"/>
      <c r="G1993" s="9" t="n"/>
      <c r="H1993" s="3">
        <f>IF(AND(D1993&lt;&gt;"",F1993&lt;&gt;""),F1993-D1993-G1993,"")</f>
        <v/>
      </c>
      <c r="I1993" s="14">
        <f>IF(E1993&lt;&gt;"", YEARFRAC(C1993, E1993) * 12, "")</f>
        <v/>
      </c>
      <c r="J1993" s="2">
        <f>IF(I1993="", "", IF(OR(AND(A1993="Listed Equity Shares", I1993&gt;12), AND(A1993="Unlisted Equity Shares", I1993&gt;24)), "Long Term", "Short Term"))</f>
        <v/>
      </c>
      <c r="K1993" s="5">
        <f>IF(J1993="", "", IF(J1993="Long Term", 12.5%,"as per slab"))</f>
        <v/>
      </c>
      <c r="L1993" s="3">
        <f>+IFERROR(IF(J1993="","",H1993*K1993),"as per slab")</f>
        <v/>
      </c>
    </row>
    <row r="1994">
      <c r="A1994" s="7" t="n"/>
      <c r="B1994" s="7" t="n"/>
      <c r="C1994" s="8" t="n"/>
      <c r="D1994" s="9" t="n"/>
      <c r="E1994" s="8" t="n"/>
      <c r="F1994" s="9" t="n"/>
      <c r="G1994" s="9" t="n"/>
      <c r="H1994" s="3">
        <f>IF(AND(D1994&lt;&gt;"",F1994&lt;&gt;""),F1994-D1994-G1994,"")</f>
        <v/>
      </c>
      <c r="I1994" s="14">
        <f>IF(E1994&lt;&gt;"", YEARFRAC(C1994, E1994) * 12, "")</f>
        <v/>
      </c>
      <c r="J1994" s="2">
        <f>IF(I1994="", "", IF(OR(AND(A1994="Listed Equity Shares", I1994&gt;12), AND(A1994="Unlisted Equity Shares", I1994&gt;24)), "Long Term", "Short Term"))</f>
        <v/>
      </c>
      <c r="K1994" s="5">
        <f>IF(J1994="", "", IF(J1994="Long Term", 12.5%,"as per slab"))</f>
        <v/>
      </c>
      <c r="L1994" s="3">
        <f>+IFERROR(IF(J1994="","",H1994*K1994),"as per slab")</f>
        <v/>
      </c>
    </row>
    <row r="1995">
      <c r="A1995" s="7" t="n"/>
      <c r="B1995" s="7" t="n"/>
      <c r="C1995" s="8" t="n"/>
      <c r="D1995" s="9" t="n"/>
      <c r="E1995" s="8" t="n"/>
      <c r="F1995" s="9" t="n"/>
      <c r="G1995" s="9" t="n"/>
      <c r="H1995" s="3">
        <f>IF(AND(D1995&lt;&gt;"",F1995&lt;&gt;""),F1995-D1995-G1995,"")</f>
        <v/>
      </c>
      <c r="I1995" s="14">
        <f>IF(E1995&lt;&gt;"", YEARFRAC(C1995, E1995) * 12, "")</f>
        <v/>
      </c>
      <c r="J1995" s="2">
        <f>IF(I1995="", "", IF(OR(AND(A1995="Listed Equity Shares", I1995&gt;12), AND(A1995="Unlisted Equity Shares", I1995&gt;24)), "Long Term", "Short Term"))</f>
        <v/>
      </c>
      <c r="K1995" s="5">
        <f>IF(J1995="", "", IF(J1995="Long Term", 12.5%,"as per slab"))</f>
        <v/>
      </c>
      <c r="L1995" s="3">
        <f>+IFERROR(IF(J1995="","",H1995*K1995),"as per slab")</f>
        <v/>
      </c>
    </row>
    <row r="1996">
      <c r="A1996" s="7" t="n"/>
      <c r="B1996" s="7" t="n"/>
      <c r="C1996" s="8" t="n"/>
      <c r="D1996" s="9" t="n"/>
      <c r="E1996" s="8" t="n"/>
      <c r="F1996" s="9" t="n"/>
      <c r="G1996" s="9" t="n"/>
      <c r="H1996" s="3">
        <f>IF(AND(D1996&lt;&gt;"",F1996&lt;&gt;""),F1996-D1996-G1996,"")</f>
        <v/>
      </c>
      <c r="I1996" s="14">
        <f>IF(E1996&lt;&gt;"", YEARFRAC(C1996, E1996) * 12, "")</f>
        <v/>
      </c>
      <c r="J1996" s="2">
        <f>IF(I1996="", "", IF(OR(AND(A1996="Listed Equity Shares", I1996&gt;12), AND(A1996="Unlisted Equity Shares", I1996&gt;24)), "Long Term", "Short Term"))</f>
        <v/>
      </c>
      <c r="K1996" s="5">
        <f>IF(J1996="", "", IF(J1996="Long Term", 12.5%,"as per slab"))</f>
        <v/>
      </c>
      <c r="L1996" s="3">
        <f>+IFERROR(IF(J1996="","",H1996*K1996),"as per slab")</f>
        <v/>
      </c>
    </row>
    <row r="1997">
      <c r="A1997" s="7" t="n"/>
      <c r="B1997" s="7" t="n"/>
      <c r="C1997" s="8" t="n"/>
      <c r="D1997" s="9" t="n"/>
      <c r="E1997" s="8" t="n"/>
      <c r="F1997" s="9" t="n"/>
      <c r="G1997" s="9" t="n"/>
      <c r="H1997" s="3">
        <f>IF(AND(D1997&lt;&gt;"",F1997&lt;&gt;""),F1997-D1997-G1997,"")</f>
        <v/>
      </c>
      <c r="I1997" s="14">
        <f>IF(E1997&lt;&gt;"", YEARFRAC(C1997, E1997) * 12, "")</f>
        <v/>
      </c>
      <c r="J1997" s="2">
        <f>IF(I1997="", "", IF(OR(AND(A1997="Listed Equity Shares", I1997&gt;12), AND(A1997="Unlisted Equity Shares", I1997&gt;24)), "Long Term", "Short Term"))</f>
        <v/>
      </c>
      <c r="K1997" s="5">
        <f>IF(J1997="", "", IF(J1997="Long Term", 12.5%,"as per slab"))</f>
        <v/>
      </c>
      <c r="L1997" s="3">
        <f>+IFERROR(IF(J1997="","",H1997*K1997),"as per slab")</f>
        <v/>
      </c>
    </row>
    <row r="1998">
      <c r="A1998" s="7" t="n"/>
      <c r="B1998" s="7" t="n"/>
      <c r="C1998" s="8" t="n"/>
      <c r="D1998" s="9" t="n"/>
      <c r="E1998" s="8" t="n"/>
      <c r="F1998" s="9" t="n"/>
      <c r="G1998" s="9" t="n"/>
      <c r="H1998" s="3">
        <f>IF(AND(D1998&lt;&gt;"",F1998&lt;&gt;""),F1998-D1998-G1998,"")</f>
        <v/>
      </c>
      <c r="I1998" s="14">
        <f>IF(E1998&lt;&gt;"", YEARFRAC(C1998, E1998) * 12, "")</f>
        <v/>
      </c>
      <c r="J1998" s="2">
        <f>IF(I1998="", "", IF(OR(AND(A1998="Listed Equity Shares", I1998&gt;12), AND(A1998="Unlisted Equity Shares", I1998&gt;24)), "Long Term", "Short Term"))</f>
        <v/>
      </c>
      <c r="K1998" s="5">
        <f>IF(J1998="", "", IF(J1998="Long Term", 12.5%,"as per slab"))</f>
        <v/>
      </c>
      <c r="L1998" s="3">
        <f>+IFERROR(IF(J1998="","",H1998*K1998),"as per slab")</f>
        <v/>
      </c>
    </row>
    <row r="1999">
      <c r="A1999" s="7" t="n"/>
      <c r="B1999" s="7" t="n"/>
      <c r="C1999" s="8" t="n"/>
      <c r="D1999" s="9" t="n"/>
      <c r="E1999" s="8" t="n"/>
      <c r="F1999" s="9" t="n"/>
      <c r="G1999" s="9" t="n"/>
      <c r="H1999" s="3">
        <f>IF(AND(D1999&lt;&gt;"",F1999&lt;&gt;""),F1999-D1999-G1999,"")</f>
        <v/>
      </c>
      <c r="I1999" s="14">
        <f>IF(E1999&lt;&gt;"", YEARFRAC(C1999, E1999) * 12, "")</f>
        <v/>
      </c>
      <c r="J1999" s="2">
        <f>IF(I1999="", "", IF(OR(AND(A1999="Listed Equity Shares", I1999&gt;12), AND(A1999="Unlisted Equity Shares", I1999&gt;24)), "Long Term", "Short Term"))</f>
        <v/>
      </c>
      <c r="K1999" s="5">
        <f>IF(J1999="", "", IF(J1999="Long Term", 12.5%,"as per slab"))</f>
        <v/>
      </c>
      <c r="L1999" s="3">
        <f>+IFERROR(IF(J1999="","",H1999*K1999),"as per slab")</f>
        <v/>
      </c>
    </row>
    <row r="2000">
      <c r="A2000" s="7" t="n"/>
      <c r="B2000" s="7" t="n"/>
      <c r="C2000" s="8" t="n"/>
      <c r="D2000" s="9" t="n"/>
      <c r="E2000" s="8" t="n"/>
      <c r="F2000" s="9" t="n"/>
      <c r="G2000" s="9" t="n"/>
      <c r="H2000" s="3">
        <f>IF(AND(D2000&lt;&gt;"",F2000&lt;&gt;""),F2000-D2000-G2000,"")</f>
        <v/>
      </c>
      <c r="I2000" s="14">
        <f>IF(E2000&lt;&gt;"", YEARFRAC(C2000, E2000) * 12, "")</f>
        <v/>
      </c>
      <c r="J2000" s="2">
        <f>IF(I2000="", "", IF(OR(AND(A2000="Listed Equity Shares", I2000&gt;12), AND(A2000="Unlisted Equity Shares", I2000&gt;24)), "Long Term", "Short Term"))</f>
        <v/>
      </c>
      <c r="K2000" s="5">
        <f>IF(J2000="", "", IF(J2000="Long Term", 12.5%,"as per slab"))</f>
        <v/>
      </c>
      <c r="L2000" s="3">
        <f>+IFERROR(IF(J2000="","",H2000*K2000),"as per slab")</f>
        <v/>
      </c>
    </row>
    <row r="2001">
      <c r="A2001" s="7" t="n"/>
      <c r="B2001" s="7" t="n"/>
      <c r="C2001" s="8" t="n"/>
      <c r="D2001" s="9" t="n"/>
      <c r="E2001" s="8" t="n"/>
      <c r="F2001" s="9" t="n"/>
      <c r="G2001" s="9" t="n"/>
      <c r="H2001" s="3">
        <f>IF(AND(D2001&lt;&gt;"",F2001&lt;&gt;""),F2001-D2001-G2001,"")</f>
        <v/>
      </c>
      <c r="I2001" s="14">
        <f>IF(E2001&lt;&gt;"", YEARFRAC(C2001, E2001) * 12, "")</f>
        <v/>
      </c>
      <c r="J2001" s="2">
        <f>IF(I2001="", "", IF(OR(AND(A2001="Listed Equity Shares", I2001&gt;12), AND(A2001="Unlisted Equity Shares", I2001&gt;24)), "Long Term", "Short Term"))</f>
        <v/>
      </c>
      <c r="K2001" s="5">
        <f>IF(J2001="", "", IF(J2001="Long Term", 12.5%,"as per slab"))</f>
        <v/>
      </c>
      <c r="L2001" s="3">
        <f>+IFERROR(IF(J2001="","",H2001*K2001),"as per slab")</f>
        <v/>
      </c>
    </row>
    <row r="2002">
      <c r="A2002" s="7" t="n"/>
      <c r="B2002" s="7" t="n"/>
      <c r="C2002" s="8" t="n"/>
      <c r="D2002" s="9" t="n"/>
      <c r="E2002" s="8" t="n"/>
      <c r="F2002" s="9" t="n"/>
      <c r="G2002" s="9" t="n"/>
      <c r="H2002" s="3">
        <f>IF(AND(D2002&lt;&gt;"",F2002&lt;&gt;""),F2002-D2002-G2002,"")</f>
        <v/>
      </c>
      <c r="I2002" s="14">
        <f>IF(E2002&lt;&gt;"", YEARFRAC(C2002, E2002) * 12, "")</f>
        <v/>
      </c>
      <c r="J2002" s="2">
        <f>IF(I2002="", "", IF(OR(AND(A2002="Listed Equity Shares", I2002&gt;12), AND(A2002="Unlisted Equity Shares", I2002&gt;24)), "Long Term", "Short Term"))</f>
        <v/>
      </c>
      <c r="K2002" s="5">
        <f>IF(J2002="", "", IF(J2002="Long Term", 12.5%,"as per slab"))</f>
        <v/>
      </c>
      <c r="L2002" s="3">
        <f>+IFERROR(IF(J2002="","",H2002*K2002),"as per slab")</f>
        <v/>
      </c>
    </row>
    <row r="2003">
      <c r="A2003" s="7" t="n"/>
      <c r="B2003" s="7" t="n"/>
      <c r="C2003" s="8" t="n"/>
      <c r="D2003" s="9" t="n"/>
      <c r="E2003" s="8" t="n"/>
      <c r="F2003" s="9" t="n"/>
      <c r="G2003" s="9" t="n"/>
      <c r="H2003" s="3">
        <f>IF(AND(D2003&lt;&gt;"",F2003&lt;&gt;""),F2003-D2003-G2003,"")</f>
        <v/>
      </c>
      <c r="I2003" s="14">
        <f>IF(E2003&lt;&gt;"", YEARFRAC(C2003, E2003) * 12, "")</f>
        <v/>
      </c>
      <c r="J2003" s="2">
        <f>IF(I2003="", "", IF(OR(AND(A2003="Listed Equity Shares", I2003&gt;12), AND(A2003="Unlisted Equity Shares", I2003&gt;24)), "Long Term", "Short Term"))</f>
        <v/>
      </c>
      <c r="K2003" s="5">
        <f>IF(J2003="", "", IF(J2003="Long Term", 12.5%,"as per slab"))</f>
        <v/>
      </c>
      <c r="L2003" s="3">
        <f>+IFERROR(IF(J2003="","",H2003*K2003),"as per slab")</f>
        <v/>
      </c>
    </row>
    <row r="2004">
      <c r="A2004" s="7" t="n"/>
      <c r="B2004" s="7" t="n"/>
      <c r="C2004" s="8" t="n"/>
      <c r="D2004" s="9" t="n"/>
      <c r="E2004" s="8" t="n"/>
      <c r="F2004" s="9" t="n"/>
      <c r="G2004" s="9" t="n"/>
      <c r="H2004" s="3">
        <f>IF(AND(D2004&lt;&gt;"",F2004&lt;&gt;""),F2004-D2004-G2004,"")</f>
        <v/>
      </c>
      <c r="I2004" s="14">
        <f>IF(E2004&lt;&gt;"", YEARFRAC(C2004, E2004) * 12, "")</f>
        <v/>
      </c>
      <c r="J2004" s="2">
        <f>IF(I2004="", "", IF(OR(AND(A2004="Listed Equity Shares", I2004&gt;12), AND(A2004="Unlisted Equity Shares", I2004&gt;24)), "Long Term", "Short Term"))</f>
        <v/>
      </c>
      <c r="K2004" s="5">
        <f>IF(J2004="", "", IF(J2004="Long Term", 12.5%,"as per slab"))</f>
        <v/>
      </c>
      <c r="L2004" s="3">
        <f>+IFERROR(IF(J2004="","",H2004*K2004),"as per slab")</f>
        <v/>
      </c>
    </row>
    <row r="2005">
      <c r="A2005" s="7" t="n"/>
      <c r="B2005" s="7" t="n"/>
      <c r="C2005" s="8" t="n"/>
      <c r="D2005" s="9" t="n"/>
      <c r="E2005" s="8" t="n"/>
      <c r="F2005" s="9" t="n"/>
      <c r="G2005" s="9" t="n"/>
      <c r="H2005" s="3">
        <f>IF(AND(D2005&lt;&gt;"",F2005&lt;&gt;""),F2005-D2005-G2005,"")</f>
        <v/>
      </c>
      <c r="I2005" s="14">
        <f>IF(E2005&lt;&gt;"", YEARFRAC(C2005, E2005) * 12, "")</f>
        <v/>
      </c>
      <c r="J2005" s="2">
        <f>IF(I2005="", "", IF(OR(AND(A2005="Listed Equity Shares", I2005&gt;12), AND(A2005="Unlisted Equity Shares", I2005&gt;24)), "Long Term", "Short Term"))</f>
        <v/>
      </c>
      <c r="K2005" s="5">
        <f>IF(J2005="", "", IF(J2005="Long Term", 12.5%,"as per slab"))</f>
        <v/>
      </c>
      <c r="L2005" s="3">
        <f>+IFERROR(IF(J2005="","",H2005*K2005),"as per slab")</f>
        <v/>
      </c>
    </row>
    <row r="2006">
      <c r="A2006" s="7" t="n"/>
      <c r="B2006" s="7" t="n"/>
      <c r="C2006" s="8" t="n"/>
      <c r="D2006" s="9" t="n"/>
      <c r="E2006" s="8" t="n"/>
      <c r="F2006" s="9" t="n"/>
      <c r="G2006" s="9" t="n"/>
      <c r="H2006" s="3">
        <f>IF(AND(D2006&lt;&gt;"",F2006&lt;&gt;""),F2006-D2006-G2006,"")</f>
        <v/>
      </c>
      <c r="I2006" s="14">
        <f>IF(E2006&lt;&gt;"", YEARFRAC(C2006, E2006) * 12, "")</f>
        <v/>
      </c>
      <c r="J2006" s="2">
        <f>IF(I2006="", "", IF(OR(AND(A2006="Listed Equity Shares", I2006&gt;12), AND(A2006="Unlisted Equity Shares", I2006&gt;24)), "Long Term", "Short Term"))</f>
        <v/>
      </c>
      <c r="K2006" s="5">
        <f>IF(J2006="", "", IF(J2006="Long Term", 12.5%,"as per slab"))</f>
        <v/>
      </c>
      <c r="L2006" s="3">
        <f>+IFERROR(IF(J2006="","",H2006*K2006),"as per slab")</f>
        <v/>
      </c>
    </row>
    <row r="2007">
      <c r="A2007" s="7" t="n"/>
      <c r="B2007" s="7" t="n"/>
      <c r="C2007" s="8" t="n"/>
      <c r="D2007" s="9" t="n"/>
      <c r="E2007" s="8" t="n"/>
      <c r="F2007" s="9" t="n"/>
      <c r="G2007" s="9" t="n"/>
      <c r="H2007" s="3">
        <f>IF(AND(D2007&lt;&gt;"",F2007&lt;&gt;""),F2007-D2007-G2007,"")</f>
        <v/>
      </c>
      <c r="I2007" s="14">
        <f>IF(E2007&lt;&gt;"", YEARFRAC(C2007, E2007) * 12, "")</f>
        <v/>
      </c>
      <c r="J2007" s="2">
        <f>IF(I2007="", "", IF(OR(AND(A2007="Listed Equity Shares", I2007&gt;12), AND(A2007="Unlisted Equity Shares", I2007&gt;24)), "Long Term", "Short Term"))</f>
        <v/>
      </c>
      <c r="K2007" s="5">
        <f>IF(J2007="", "", IF(J2007="Long Term", 12.5%,"as per slab"))</f>
        <v/>
      </c>
      <c r="L2007" s="3">
        <f>+IFERROR(IF(J2007="","",H2007*K2007),"as per slab")</f>
        <v/>
      </c>
    </row>
    <row r="2008">
      <c r="A2008" s="7" t="n"/>
      <c r="B2008" s="7" t="n"/>
      <c r="C2008" s="8" t="n"/>
      <c r="D2008" s="9" t="n"/>
      <c r="E2008" s="8" t="n"/>
      <c r="F2008" s="9" t="n"/>
      <c r="G2008" s="9" t="n"/>
      <c r="H2008" s="3">
        <f>IF(AND(D2008&lt;&gt;"",F2008&lt;&gt;""),F2008-D2008-G2008,"")</f>
        <v/>
      </c>
      <c r="I2008" s="14">
        <f>IF(E2008&lt;&gt;"", YEARFRAC(C2008, E2008) * 12, "")</f>
        <v/>
      </c>
      <c r="J2008" s="2">
        <f>IF(I2008="", "", IF(OR(AND(A2008="Listed Equity Shares", I2008&gt;12), AND(A2008="Unlisted Equity Shares", I2008&gt;24)), "Long Term", "Short Term"))</f>
        <v/>
      </c>
      <c r="K2008" s="5">
        <f>IF(J2008="", "", IF(J2008="Long Term", 12.5%,"as per slab"))</f>
        <v/>
      </c>
      <c r="L2008" s="3">
        <f>+IFERROR(IF(J2008="","",H2008*K2008),"as per slab")</f>
        <v/>
      </c>
    </row>
    <row r="2009">
      <c r="A2009" s="7" t="n"/>
      <c r="B2009" s="7" t="n"/>
      <c r="C2009" s="8" t="n"/>
      <c r="D2009" s="9" t="n"/>
      <c r="E2009" s="8" t="n"/>
      <c r="F2009" s="9" t="n"/>
      <c r="G2009" s="9" t="n"/>
      <c r="H2009" s="3">
        <f>IF(AND(D2009&lt;&gt;"",F2009&lt;&gt;""),F2009-D2009-G2009,"")</f>
        <v/>
      </c>
      <c r="I2009" s="14">
        <f>IF(E2009&lt;&gt;"", YEARFRAC(C2009, E2009) * 12, "")</f>
        <v/>
      </c>
      <c r="J2009" s="2">
        <f>IF(I2009="", "", IF(OR(AND(A2009="Listed Equity Shares", I2009&gt;12), AND(A2009="Unlisted Equity Shares", I2009&gt;24)), "Long Term", "Short Term"))</f>
        <v/>
      </c>
      <c r="K2009" s="5">
        <f>IF(J2009="", "", IF(J2009="Long Term", 12.5%,"as per slab"))</f>
        <v/>
      </c>
      <c r="L2009" s="3">
        <f>+IFERROR(IF(J2009="","",H2009*K2009),"as per slab")</f>
        <v/>
      </c>
    </row>
    <row r="2010">
      <c r="A2010" s="7" t="n"/>
      <c r="B2010" s="7" t="n"/>
      <c r="C2010" s="8" t="n"/>
      <c r="D2010" s="9" t="n"/>
      <c r="E2010" s="8" t="n"/>
      <c r="F2010" s="9" t="n"/>
      <c r="G2010" s="9" t="n"/>
      <c r="H2010" s="3">
        <f>IF(AND(D2010&lt;&gt;"",F2010&lt;&gt;""),F2010-D2010-G2010,"")</f>
        <v/>
      </c>
      <c r="I2010" s="14">
        <f>IF(E2010&lt;&gt;"", YEARFRAC(C2010, E2010) * 12, "")</f>
        <v/>
      </c>
      <c r="J2010" s="2">
        <f>IF(I2010="", "", IF(OR(AND(A2010="Listed Equity Shares", I2010&gt;12), AND(A2010="Unlisted Equity Shares", I2010&gt;24)), "Long Term", "Short Term"))</f>
        <v/>
      </c>
      <c r="K2010" s="5">
        <f>IF(J2010="", "", IF(J2010="Long Term", 12.5%,"as per slab"))</f>
        <v/>
      </c>
      <c r="L2010" s="3">
        <f>+IFERROR(IF(J2010="","",H2010*K2010),"as per slab")</f>
        <v/>
      </c>
    </row>
    <row r="2011">
      <c r="A2011" s="7" t="n"/>
      <c r="B2011" s="7" t="n"/>
      <c r="C2011" s="8" t="n"/>
      <c r="D2011" s="9" t="n"/>
      <c r="E2011" s="8" t="n"/>
      <c r="F2011" s="9" t="n"/>
      <c r="G2011" s="9" t="n"/>
      <c r="H2011" s="3">
        <f>IF(AND(D2011&lt;&gt;"",F2011&lt;&gt;""),F2011-D2011-G2011,"")</f>
        <v/>
      </c>
      <c r="I2011" s="14">
        <f>IF(E2011&lt;&gt;"", YEARFRAC(C2011, E2011) * 12, "")</f>
        <v/>
      </c>
      <c r="J2011" s="2">
        <f>IF(I2011="", "", IF(OR(AND(A2011="Listed Equity Shares", I2011&gt;12), AND(A2011="Unlisted Equity Shares", I2011&gt;24)), "Long Term", "Short Term"))</f>
        <v/>
      </c>
      <c r="K2011" s="5">
        <f>IF(J2011="", "", IF(J2011="Long Term", 12.5%,"as per slab"))</f>
        <v/>
      </c>
      <c r="L2011" s="3">
        <f>+IFERROR(IF(J2011="","",H2011*K2011),"as per slab")</f>
        <v/>
      </c>
    </row>
    <row r="2012">
      <c r="A2012" s="7" t="n"/>
      <c r="B2012" s="7" t="n"/>
      <c r="C2012" s="8" t="n"/>
      <c r="D2012" s="9" t="n"/>
      <c r="E2012" s="8" t="n"/>
      <c r="F2012" s="9" t="n"/>
      <c r="G2012" s="9" t="n"/>
      <c r="H2012" s="3">
        <f>IF(AND(D2012&lt;&gt;"",F2012&lt;&gt;""),F2012-D2012-G2012,"")</f>
        <v/>
      </c>
      <c r="I2012" s="14">
        <f>IF(E2012&lt;&gt;"", YEARFRAC(C2012, E2012) * 12, "")</f>
        <v/>
      </c>
      <c r="J2012" s="2">
        <f>IF(I2012="", "", IF(OR(AND(A2012="Listed Equity Shares", I2012&gt;12), AND(A2012="Unlisted Equity Shares", I2012&gt;24)), "Long Term", "Short Term"))</f>
        <v/>
      </c>
      <c r="K2012" s="5">
        <f>IF(J2012="", "", IF(J2012="Long Term", 12.5%,"as per slab"))</f>
        <v/>
      </c>
      <c r="L2012" s="3">
        <f>+IFERROR(IF(J2012="","",H2012*K2012),"as per slab")</f>
        <v/>
      </c>
    </row>
    <row r="2013">
      <c r="A2013" s="7" t="n"/>
      <c r="B2013" s="7" t="n"/>
      <c r="C2013" s="8" t="n"/>
      <c r="D2013" s="9" t="n"/>
      <c r="E2013" s="8" t="n"/>
      <c r="F2013" s="9" t="n"/>
      <c r="G2013" s="9" t="n"/>
      <c r="H2013" s="3">
        <f>IF(AND(D2013&lt;&gt;"",F2013&lt;&gt;""),F2013-D2013-G2013,"")</f>
        <v/>
      </c>
      <c r="I2013" s="14">
        <f>IF(E2013&lt;&gt;"", YEARFRAC(C2013, E2013) * 12, "")</f>
        <v/>
      </c>
      <c r="J2013" s="2">
        <f>IF(I2013="", "", IF(OR(AND(A2013="Listed Equity Shares", I2013&gt;12), AND(A2013="Unlisted Equity Shares", I2013&gt;24)), "Long Term", "Short Term"))</f>
        <v/>
      </c>
      <c r="K2013" s="5">
        <f>IF(J2013="", "", IF(J2013="Long Term", 12.5%,"as per slab"))</f>
        <v/>
      </c>
      <c r="L2013" s="3">
        <f>+IFERROR(IF(J2013="","",H2013*K2013),"as per slab")</f>
        <v/>
      </c>
    </row>
    <row r="2014">
      <c r="A2014" s="7" t="n"/>
      <c r="B2014" s="7" t="n"/>
      <c r="C2014" s="8" t="n"/>
      <c r="D2014" s="9" t="n"/>
      <c r="E2014" s="8" t="n"/>
      <c r="F2014" s="9" t="n"/>
      <c r="G2014" s="9" t="n"/>
      <c r="H2014" s="3">
        <f>IF(AND(D2014&lt;&gt;"",F2014&lt;&gt;""),F2014-D2014-G2014,"")</f>
        <v/>
      </c>
      <c r="I2014" s="14">
        <f>IF(E2014&lt;&gt;"", YEARFRAC(C2014, E2014) * 12, "")</f>
        <v/>
      </c>
      <c r="J2014" s="2">
        <f>IF(I2014="", "", IF(OR(AND(A2014="Listed Equity Shares", I2014&gt;12), AND(A2014="Unlisted Equity Shares", I2014&gt;24)), "Long Term", "Short Term"))</f>
        <v/>
      </c>
      <c r="K2014" s="5">
        <f>IF(J2014="", "", IF(J2014="Long Term", 12.5%,"as per slab"))</f>
        <v/>
      </c>
      <c r="L2014" s="3">
        <f>+IFERROR(IF(J2014="","",H2014*K2014),"as per slab")</f>
        <v/>
      </c>
    </row>
    <row r="2015">
      <c r="A2015" s="7" t="n"/>
      <c r="B2015" s="7" t="n"/>
      <c r="C2015" s="8" t="n"/>
      <c r="D2015" s="9" t="n"/>
      <c r="E2015" s="8" t="n"/>
      <c r="F2015" s="9" t="n"/>
      <c r="G2015" s="9" t="n"/>
      <c r="H2015" s="3">
        <f>IF(AND(D2015&lt;&gt;"",F2015&lt;&gt;""),F2015-D2015-G2015,"")</f>
        <v/>
      </c>
      <c r="I2015" s="14">
        <f>IF(E2015&lt;&gt;"", YEARFRAC(C2015, E2015) * 12, "")</f>
        <v/>
      </c>
      <c r="J2015" s="2">
        <f>IF(I2015="", "", IF(OR(AND(A2015="Listed Equity Shares", I2015&gt;12), AND(A2015="Unlisted Equity Shares", I2015&gt;24)), "Long Term", "Short Term"))</f>
        <v/>
      </c>
      <c r="K2015" s="5">
        <f>IF(J2015="", "", IF(J2015="Long Term", 12.5%,"as per slab"))</f>
        <v/>
      </c>
      <c r="L2015" s="3">
        <f>+IFERROR(IF(J2015="","",H2015*K2015),"as per slab")</f>
        <v/>
      </c>
    </row>
    <row r="2016">
      <c r="A2016" s="7" t="n"/>
      <c r="B2016" s="7" t="n"/>
      <c r="C2016" s="8" t="n"/>
      <c r="D2016" s="9" t="n"/>
      <c r="E2016" s="8" t="n"/>
      <c r="F2016" s="9" t="n"/>
      <c r="G2016" s="9" t="n"/>
      <c r="H2016" s="3">
        <f>IF(AND(D2016&lt;&gt;"",F2016&lt;&gt;""),F2016-D2016-G2016,"")</f>
        <v/>
      </c>
      <c r="I2016" s="14">
        <f>IF(E2016&lt;&gt;"", YEARFRAC(C2016, E2016) * 12, "")</f>
        <v/>
      </c>
      <c r="J2016" s="2">
        <f>IF(I2016="", "", IF(OR(AND(A2016="Listed Equity Shares", I2016&gt;12), AND(A2016="Unlisted Equity Shares", I2016&gt;24)), "Long Term", "Short Term"))</f>
        <v/>
      </c>
      <c r="K2016" s="5">
        <f>IF(J2016="", "", IF(J2016="Long Term", 12.5%,"as per slab"))</f>
        <v/>
      </c>
      <c r="L2016" s="3">
        <f>+IFERROR(IF(J2016="","",H2016*K2016),"as per slab")</f>
        <v/>
      </c>
    </row>
    <row r="2017">
      <c r="A2017" s="7" t="n"/>
      <c r="B2017" s="7" t="n"/>
      <c r="C2017" s="8" t="n"/>
      <c r="D2017" s="9" t="n"/>
      <c r="E2017" s="8" t="n"/>
      <c r="F2017" s="9" t="n"/>
      <c r="G2017" s="9" t="n"/>
      <c r="H2017" s="3">
        <f>IF(AND(D2017&lt;&gt;"",F2017&lt;&gt;""),F2017-D2017-G2017,"")</f>
        <v/>
      </c>
      <c r="I2017" s="14">
        <f>IF(E2017&lt;&gt;"", YEARFRAC(C2017, E2017) * 12, "")</f>
        <v/>
      </c>
      <c r="J2017" s="2">
        <f>IF(I2017="", "", IF(OR(AND(A2017="Listed Equity Shares", I2017&gt;12), AND(A2017="Unlisted Equity Shares", I2017&gt;24)), "Long Term", "Short Term"))</f>
        <v/>
      </c>
      <c r="K2017" s="5">
        <f>IF(J2017="", "", IF(J2017="Long Term", 12.5%,"as per slab"))</f>
        <v/>
      </c>
      <c r="L2017" s="3">
        <f>+IFERROR(IF(J2017="","",H2017*K2017),"as per slab")</f>
        <v/>
      </c>
    </row>
    <row r="2018">
      <c r="A2018" s="7" t="n"/>
      <c r="B2018" s="7" t="n"/>
      <c r="C2018" s="8" t="n"/>
      <c r="D2018" s="9" t="n"/>
      <c r="E2018" s="8" t="n"/>
      <c r="F2018" s="9" t="n"/>
      <c r="G2018" s="9" t="n"/>
      <c r="H2018" s="3">
        <f>IF(AND(D2018&lt;&gt;"",F2018&lt;&gt;""),F2018-D2018-G2018,"")</f>
        <v/>
      </c>
      <c r="I2018" s="14">
        <f>IF(E2018&lt;&gt;"", YEARFRAC(C2018, E2018) * 12, "")</f>
        <v/>
      </c>
      <c r="J2018" s="2">
        <f>IF(I2018="", "", IF(OR(AND(A2018="Listed Equity Shares", I2018&gt;12), AND(A2018="Unlisted Equity Shares", I2018&gt;24)), "Long Term", "Short Term"))</f>
        <v/>
      </c>
      <c r="K2018" s="5">
        <f>IF(J2018="", "", IF(J2018="Long Term", 12.5%,"as per slab"))</f>
        <v/>
      </c>
      <c r="L2018" s="3">
        <f>+IFERROR(IF(J2018="","",H2018*K2018),"as per slab")</f>
        <v/>
      </c>
    </row>
    <row r="2019">
      <c r="A2019" s="7" t="n"/>
      <c r="B2019" s="7" t="n"/>
      <c r="C2019" s="8" t="n"/>
      <c r="D2019" s="9" t="n"/>
      <c r="E2019" s="8" t="n"/>
      <c r="F2019" s="9" t="n"/>
      <c r="G2019" s="9" t="n"/>
      <c r="H2019" s="3">
        <f>IF(AND(D2019&lt;&gt;"",F2019&lt;&gt;""),F2019-D2019-G2019,"")</f>
        <v/>
      </c>
      <c r="I2019" s="14">
        <f>IF(E2019&lt;&gt;"", YEARFRAC(C2019, E2019) * 12, "")</f>
        <v/>
      </c>
      <c r="J2019" s="2">
        <f>IF(I2019="", "", IF(OR(AND(A2019="Listed Equity Shares", I2019&gt;12), AND(A2019="Unlisted Equity Shares", I2019&gt;24)), "Long Term", "Short Term"))</f>
        <v/>
      </c>
      <c r="K2019" s="5">
        <f>IF(J2019="", "", IF(J2019="Long Term", 12.5%,"as per slab"))</f>
        <v/>
      </c>
      <c r="L2019" s="3">
        <f>+IFERROR(IF(J2019="","",H2019*K2019),"as per slab")</f>
        <v/>
      </c>
    </row>
    <row r="2020">
      <c r="A2020" s="7" t="n"/>
      <c r="B2020" s="7" t="n"/>
      <c r="C2020" s="8" t="n"/>
      <c r="D2020" s="9" t="n"/>
      <c r="E2020" s="8" t="n"/>
      <c r="F2020" s="9" t="n"/>
      <c r="G2020" s="9" t="n"/>
      <c r="H2020" s="3">
        <f>IF(AND(D2020&lt;&gt;"",F2020&lt;&gt;""),F2020-D2020-G2020,"")</f>
        <v/>
      </c>
      <c r="I2020" s="14">
        <f>IF(E2020&lt;&gt;"", YEARFRAC(C2020, E2020) * 12, "")</f>
        <v/>
      </c>
      <c r="J2020" s="2">
        <f>IF(I2020="", "", IF(OR(AND(A2020="Listed Equity Shares", I2020&gt;12), AND(A2020="Unlisted Equity Shares", I2020&gt;24)), "Long Term", "Short Term"))</f>
        <v/>
      </c>
      <c r="K2020" s="5">
        <f>IF(J2020="", "", IF(J2020="Long Term", 12.5%,"as per slab"))</f>
        <v/>
      </c>
      <c r="L2020" s="3">
        <f>+IFERROR(IF(J2020="","",H2020*K2020),"as per slab")</f>
        <v/>
      </c>
    </row>
    <row r="2021">
      <c r="A2021" s="7" t="n"/>
      <c r="B2021" s="7" t="n"/>
      <c r="C2021" s="8" t="n"/>
      <c r="D2021" s="9" t="n"/>
      <c r="E2021" s="8" t="n"/>
      <c r="F2021" s="9" t="n"/>
      <c r="G2021" s="9" t="n"/>
      <c r="H2021" s="3">
        <f>IF(AND(D2021&lt;&gt;"",F2021&lt;&gt;""),F2021-D2021-G2021,"")</f>
        <v/>
      </c>
      <c r="I2021" s="14">
        <f>IF(E2021&lt;&gt;"", YEARFRAC(C2021, E2021) * 12, "")</f>
        <v/>
      </c>
      <c r="J2021" s="2">
        <f>IF(I2021="", "", IF(OR(AND(A2021="Listed Equity Shares", I2021&gt;12), AND(A2021="Unlisted Equity Shares", I2021&gt;24)), "Long Term", "Short Term"))</f>
        <v/>
      </c>
      <c r="K2021" s="5">
        <f>IF(J2021="", "", IF(J2021="Long Term", 12.5%,"as per slab"))</f>
        <v/>
      </c>
      <c r="L2021" s="3">
        <f>+IFERROR(IF(J2021="","",H2021*K2021),"as per slab")</f>
        <v/>
      </c>
    </row>
    <row r="2022">
      <c r="A2022" s="7" t="n"/>
      <c r="B2022" s="7" t="n"/>
      <c r="C2022" s="8" t="n"/>
      <c r="D2022" s="9" t="n"/>
      <c r="E2022" s="8" t="n"/>
      <c r="F2022" s="9" t="n"/>
      <c r="G2022" s="9" t="n"/>
      <c r="H2022" s="3">
        <f>IF(AND(D2022&lt;&gt;"",F2022&lt;&gt;""),F2022-D2022-G2022,"")</f>
        <v/>
      </c>
      <c r="I2022" s="14">
        <f>IF(E2022&lt;&gt;"", YEARFRAC(C2022, E2022) * 12, "")</f>
        <v/>
      </c>
      <c r="J2022" s="2">
        <f>IF(I2022="", "", IF(OR(AND(A2022="Listed Equity Shares", I2022&gt;12), AND(A2022="Unlisted Equity Shares", I2022&gt;24)), "Long Term", "Short Term"))</f>
        <v/>
      </c>
      <c r="K2022" s="5">
        <f>IF(J2022="", "", IF(J2022="Long Term", 12.5%,"as per slab"))</f>
        <v/>
      </c>
      <c r="L2022" s="3">
        <f>+IFERROR(IF(J2022="","",H2022*K2022),"as per slab")</f>
        <v/>
      </c>
    </row>
    <row r="2023">
      <c r="A2023" s="7" t="n"/>
      <c r="B2023" s="7" t="n"/>
      <c r="C2023" s="8" t="n"/>
      <c r="D2023" s="9" t="n"/>
      <c r="E2023" s="8" t="n"/>
      <c r="F2023" s="9" t="n"/>
      <c r="G2023" s="9" t="n"/>
      <c r="H2023" s="3">
        <f>IF(AND(D2023&lt;&gt;"",F2023&lt;&gt;""),F2023-D2023-G2023,"")</f>
        <v/>
      </c>
      <c r="I2023" s="14">
        <f>IF(E2023&lt;&gt;"", YEARFRAC(C2023, E2023) * 12, "")</f>
        <v/>
      </c>
      <c r="J2023" s="2">
        <f>IF(I2023="", "", IF(OR(AND(A2023="Listed Equity Shares", I2023&gt;12), AND(A2023="Unlisted Equity Shares", I2023&gt;24)), "Long Term", "Short Term"))</f>
        <v/>
      </c>
      <c r="K2023" s="5">
        <f>IF(J2023="", "", IF(J2023="Long Term", 12.5%,"as per slab"))</f>
        <v/>
      </c>
      <c r="L2023" s="3">
        <f>+IFERROR(IF(J2023="","",H2023*K2023),"as per slab")</f>
        <v/>
      </c>
    </row>
    <row r="2024">
      <c r="A2024" s="7" t="n"/>
      <c r="B2024" s="7" t="n"/>
      <c r="C2024" s="8" t="n"/>
      <c r="D2024" s="9" t="n"/>
      <c r="E2024" s="8" t="n"/>
      <c r="F2024" s="9" t="n"/>
      <c r="G2024" s="9" t="n"/>
      <c r="H2024" s="3">
        <f>IF(AND(D2024&lt;&gt;"",F2024&lt;&gt;""),F2024-D2024-G2024,"")</f>
        <v/>
      </c>
      <c r="I2024" s="14">
        <f>IF(E2024&lt;&gt;"", YEARFRAC(C2024, E2024) * 12, "")</f>
        <v/>
      </c>
      <c r="J2024" s="2">
        <f>IF(I2024="", "", IF(OR(AND(A2024="Listed Equity Shares", I2024&gt;12), AND(A2024="Unlisted Equity Shares", I2024&gt;24)), "Long Term", "Short Term"))</f>
        <v/>
      </c>
      <c r="K2024" s="5">
        <f>IF(J2024="", "", IF(J2024="Long Term", 12.5%,"as per slab"))</f>
        <v/>
      </c>
      <c r="L2024" s="3">
        <f>+IFERROR(IF(J2024="","",H2024*K2024),"as per slab")</f>
        <v/>
      </c>
    </row>
    <row r="2025">
      <c r="A2025" s="7" t="n"/>
      <c r="B2025" s="7" t="n"/>
      <c r="C2025" s="8" t="n"/>
      <c r="D2025" s="9" t="n"/>
      <c r="E2025" s="8" t="n"/>
      <c r="F2025" s="9" t="n"/>
      <c r="G2025" s="9" t="n"/>
      <c r="H2025" s="3">
        <f>IF(AND(D2025&lt;&gt;"",F2025&lt;&gt;""),F2025-D2025-G2025,"")</f>
        <v/>
      </c>
      <c r="I2025" s="14">
        <f>IF(E2025&lt;&gt;"", YEARFRAC(C2025, E2025) * 12, "")</f>
        <v/>
      </c>
      <c r="J2025" s="2">
        <f>IF(I2025="", "", IF(OR(AND(A2025="Listed Equity Shares", I2025&gt;12), AND(A2025="Unlisted Equity Shares", I2025&gt;24)), "Long Term", "Short Term"))</f>
        <v/>
      </c>
      <c r="K2025" s="5">
        <f>IF(J2025="", "", IF(J2025="Long Term", 12.5%,"as per slab"))</f>
        <v/>
      </c>
      <c r="L2025" s="3">
        <f>+IFERROR(IF(J2025="","",H2025*K2025),"as per slab")</f>
        <v/>
      </c>
    </row>
    <row r="2026">
      <c r="A2026" s="7" t="n"/>
      <c r="B2026" s="7" t="n"/>
      <c r="C2026" s="8" t="n"/>
      <c r="D2026" s="9" t="n"/>
      <c r="E2026" s="8" t="n"/>
      <c r="F2026" s="9" t="n"/>
      <c r="G2026" s="9" t="n"/>
      <c r="H2026" s="3">
        <f>IF(AND(D2026&lt;&gt;"",F2026&lt;&gt;""),F2026-D2026-G2026,"")</f>
        <v/>
      </c>
      <c r="I2026" s="14">
        <f>IF(E2026&lt;&gt;"", YEARFRAC(C2026, E2026) * 12, "")</f>
        <v/>
      </c>
      <c r="J2026" s="2">
        <f>IF(I2026="", "", IF(OR(AND(A2026="Listed Equity Shares", I2026&gt;12), AND(A2026="Unlisted Equity Shares", I2026&gt;24)), "Long Term", "Short Term"))</f>
        <v/>
      </c>
      <c r="K2026" s="5">
        <f>IF(J2026="", "", IF(J2026="Long Term", 12.5%,"as per slab"))</f>
        <v/>
      </c>
      <c r="L2026" s="3">
        <f>+IFERROR(IF(J2026="","",H2026*K2026),"as per slab")</f>
        <v/>
      </c>
    </row>
    <row r="2027">
      <c r="A2027" s="7" t="n"/>
      <c r="B2027" s="7" t="n"/>
      <c r="C2027" s="8" t="n"/>
      <c r="D2027" s="9" t="n"/>
      <c r="E2027" s="8" t="n"/>
      <c r="F2027" s="9" t="n"/>
      <c r="G2027" s="9" t="n"/>
      <c r="H2027" s="3">
        <f>IF(AND(D2027&lt;&gt;"",F2027&lt;&gt;""),F2027-D2027-G2027,"")</f>
        <v/>
      </c>
      <c r="I2027" s="14">
        <f>IF(E2027&lt;&gt;"", YEARFRAC(C2027, E2027) * 12, "")</f>
        <v/>
      </c>
      <c r="J2027" s="2">
        <f>IF(I2027="", "", IF(OR(AND(A2027="Listed Equity Shares", I2027&gt;12), AND(A2027="Unlisted Equity Shares", I2027&gt;24)), "Long Term", "Short Term"))</f>
        <v/>
      </c>
      <c r="K2027" s="5">
        <f>IF(J2027="", "", IF(J2027="Long Term", 12.5%,"as per slab"))</f>
        <v/>
      </c>
      <c r="L2027" s="3">
        <f>+IFERROR(IF(J2027="","",H2027*K2027),"as per slab")</f>
        <v/>
      </c>
    </row>
    <row r="2028">
      <c r="A2028" s="7" t="n"/>
      <c r="B2028" s="7" t="n"/>
      <c r="C2028" s="8" t="n"/>
      <c r="D2028" s="9" t="n"/>
      <c r="E2028" s="8" t="n"/>
      <c r="F2028" s="9" t="n"/>
      <c r="G2028" s="9" t="n"/>
      <c r="H2028" s="3">
        <f>IF(AND(D2028&lt;&gt;"",F2028&lt;&gt;""),F2028-D2028-G2028,"")</f>
        <v/>
      </c>
      <c r="I2028" s="14">
        <f>IF(E2028&lt;&gt;"", YEARFRAC(C2028, E2028) * 12, "")</f>
        <v/>
      </c>
      <c r="J2028" s="2">
        <f>IF(I2028="", "", IF(OR(AND(A2028="Listed Equity Shares", I2028&gt;12), AND(A2028="Unlisted Equity Shares", I2028&gt;24)), "Long Term", "Short Term"))</f>
        <v/>
      </c>
      <c r="K2028" s="5">
        <f>IF(J2028="", "", IF(J2028="Long Term", 12.5%,"as per slab"))</f>
        <v/>
      </c>
      <c r="L2028" s="3">
        <f>+IFERROR(IF(J2028="","",H2028*K2028),"as per slab")</f>
        <v/>
      </c>
    </row>
    <row r="2029">
      <c r="A2029" s="7" t="n"/>
      <c r="B2029" s="7" t="n"/>
      <c r="C2029" s="8" t="n"/>
      <c r="D2029" s="9" t="n"/>
      <c r="E2029" s="8" t="n"/>
      <c r="F2029" s="9" t="n"/>
      <c r="G2029" s="9" t="n"/>
      <c r="H2029" s="3">
        <f>IF(AND(D2029&lt;&gt;"",F2029&lt;&gt;""),F2029-D2029-G2029,"")</f>
        <v/>
      </c>
      <c r="I2029" s="14">
        <f>IF(E2029&lt;&gt;"", YEARFRAC(C2029, E2029) * 12, "")</f>
        <v/>
      </c>
      <c r="J2029" s="2">
        <f>IF(I2029="", "", IF(OR(AND(A2029="Listed Equity Shares", I2029&gt;12), AND(A2029="Unlisted Equity Shares", I2029&gt;24)), "Long Term", "Short Term"))</f>
        <v/>
      </c>
      <c r="K2029" s="5">
        <f>IF(J2029="", "", IF(J2029="Long Term", 12.5%,"as per slab"))</f>
        <v/>
      </c>
      <c r="L2029" s="3">
        <f>+IFERROR(IF(J2029="","",H2029*K2029),"as per slab")</f>
        <v/>
      </c>
    </row>
    <row r="2030">
      <c r="A2030" s="7" t="n"/>
      <c r="B2030" s="7" t="n"/>
      <c r="C2030" s="8" t="n"/>
      <c r="D2030" s="9" t="n"/>
      <c r="E2030" s="8" t="n"/>
      <c r="F2030" s="9" t="n"/>
      <c r="G2030" s="9" t="n"/>
      <c r="H2030" s="3">
        <f>IF(AND(D2030&lt;&gt;"",F2030&lt;&gt;""),F2030-D2030-G2030,"")</f>
        <v/>
      </c>
      <c r="I2030" s="14">
        <f>IF(E2030&lt;&gt;"", YEARFRAC(C2030, E2030) * 12, "")</f>
        <v/>
      </c>
      <c r="J2030" s="2">
        <f>IF(I2030="", "", IF(OR(AND(A2030="Listed Equity Shares", I2030&gt;12), AND(A2030="Unlisted Equity Shares", I2030&gt;24)), "Long Term", "Short Term"))</f>
        <v/>
      </c>
      <c r="K2030" s="5">
        <f>IF(J2030="", "", IF(J2030="Long Term", 12.5%,"as per slab"))</f>
        <v/>
      </c>
      <c r="L2030" s="3">
        <f>+IFERROR(IF(J2030="","",H2030*K2030),"as per slab")</f>
        <v/>
      </c>
    </row>
    <row r="2031">
      <c r="A2031" s="7" t="n"/>
      <c r="B2031" s="7" t="n"/>
      <c r="C2031" s="8" t="n"/>
      <c r="D2031" s="9" t="n"/>
      <c r="E2031" s="8" t="n"/>
      <c r="F2031" s="9" t="n"/>
      <c r="G2031" s="9" t="n"/>
      <c r="H2031" s="3">
        <f>IF(AND(D2031&lt;&gt;"",F2031&lt;&gt;""),F2031-D2031-G2031,"")</f>
        <v/>
      </c>
      <c r="I2031" s="14">
        <f>IF(E2031&lt;&gt;"", YEARFRAC(C2031, E2031) * 12, "")</f>
        <v/>
      </c>
      <c r="J2031" s="2">
        <f>IF(I2031="", "", IF(OR(AND(A2031="Listed Equity Shares", I2031&gt;12), AND(A2031="Unlisted Equity Shares", I2031&gt;24)), "Long Term", "Short Term"))</f>
        <v/>
      </c>
      <c r="K2031" s="5">
        <f>IF(J2031="", "", IF(J2031="Long Term", 12.5%,"as per slab"))</f>
        <v/>
      </c>
      <c r="L2031" s="3">
        <f>+IFERROR(IF(J2031="","",H2031*K2031),"as per slab")</f>
        <v/>
      </c>
    </row>
    <row r="2032">
      <c r="A2032" s="7" t="n"/>
      <c r="B2032" s="7" t="n"/>
      <c r="C2032" s="8" t="n"/>
      <c r="D2032" s="9" t="n"/>
      <c r="E2032" s="8" t="n"/>
      <c r="F2032" s="9" t="n"/>
      <c r="G2032" s="9" t="n"/>
      <c r="H2032" s="3">
        <f>IF(AND(D2032&lt;&gt;"",F2032&lt;&gt;""),F2032-D2032-G2032,"")</f>
        <v/>
      </c>
      <c r="I2032" s="14">
        <f>IF(E2032&lt;&gt;"", YEARFRAC(C2032, E2032) * 12, "")</f>
        <v/>
      </c>
      <c r="J2032" s="2">
        <f>IF(I2032="", "", IF(OR(AND(A2032="Listed Equity Shares", I2032&gt;12), AND(A2032="Unlisted Equity Shares", I2032&gt;24)), "Long Term", "Short Term"))</f>
        <v/>
      </c>
      <c r="K2032" s="5">
        <f>IF(J2032="", "", IF(J2032="Long Term", 12.5%,"as per slab"))</f>
        <v/>
      </c>
      <c r="L2032" s="3">
        <f>+IFERROR(IF(J2032="","",H2032*K2032),"as per slab")</f>
        <v/>
      </c>
    </row>
    <row r="2033">
      <c r="A2033" s="7" t="n"/>
      <c r="B2033" s="7" t="n"/>
      <c r="C2033" s="8" t="n"/>
      <c r="D2033" s="9" t="n"/>
      <c r="E2033" s="8" t="n"/>
      <c r="F2033" s="9" t="n"/>
      <c r="G2033" s="9" t="n"/>
      <c r="H2033" s="3">
        <f>IF(AND(D2033&lt;&gt;"",F2033&lt;&gt;""),F2033-D2033-G2033,"")</f>
        <v/>
      </c>
      <c r="I2033" s="14">
        <f>IF(E2033&lt;&gt;"", YEARFRAC(C2033, E2033) * 12, "")</f>
        <v/>
      </c>
      <c r="J2033" s="2">
        <f>IF(I2033="", "", IF(OR(AND(A2033="Listed Equity Shares", I2033&gt;12), AND(A2033="Unlisted Equity Shares", I2033&gt;24)), "Long Term", "Short Term"))</f>
        <v/>
      </c>
      <c r="K2033" s="5">
        <f>IF(J2033="", "", IF(J2033="Long Term", 12.5%,"as per slab"))</f>
        <v/>
      </c>
      <c r="L2033" s="3">
        <f>+IFERROR(IF(J2033="","",H2033*K2033),"as per slab")</f>
        <v/>
      </c>
    </row>
    <row r="2034">
      <c r="A2034" s="7" t="n"/>
      <c r="B2034" s="7" t="n"/>
      <c r="C2034" s="8" t="n"/>
      <c r="D2034" s="9" t="n"/>
      <c r="E2034" s="8" t="n"/>
      <c r="F2034" s="9" t="n"/>
      <c r="G2034" s="9" t="n"/>
      <c r="H2034" s="3">
        <f>IF(AND(D2034&lt;&gt;"",F2034&lt;&gt;""),F2034-D2034-G2034,"")</f>
        <v/>
      </c>
      <c r="I2034" s="14">
        <f>IF(E2034&lt;&gt;"", YEARFRAC(C2034, E2034) * 12, "")</f>
        <v/>
      </c>
      <c r="J2034" s="2">
        <f>IF(I2034="", "", IF(OR(AND(A2034="Listed Equity Shares", I2034&gt;12), AND(A2034="Unlisted Equity Shares", I2034&gt;24)), "Long Term", "Short Term"))</f>
        <v/>
      </c>
      <c r="K2034" s="5">
        <f>IF(J2034="", "", IF(J2034="Long Term", 12.5%,"as per slab"))</f>
        <v/>
      </c>
      <c r="L2034" s="3">
        <f>+IFERROR(IF(J2034="","",H2034*K2034),"as per slab")</f>
        <v/>
      </c>
    </row>
    <row r="2035">
      <c r="A2035" s="7" t="n"/>
      <c r="B2035" s="7" t="n"/>
      <c r="C2035" s="8" t="n"/>
      <c r="D2035" s="9" t="n"/>
      <c r="E2035" s="8" t="n"/>
      <c r="F2035" s="9" t="n"/>
      <c r="G2035" s="9" t="n"/>
      <c r="H2035" s="3">
        <f>IF(AND(D2035&lt;&gt;"",F2035&lt;&gt;""),F2035-D2035-G2035,"")</f>
        <v/>
      </c>
      <c r="I2035" s="14">
        <f>IF(E2035&lt;&gt;"", YEARFRAC(C2035, E2035) * 12, "")</f>
        <v/>
      </c>
      <c r="J2035" s="2">
        <f>IF(I2035="", "", IF(OR(AND(A2035="Listed Equity Shares", I2035&gt;12), AND(A2035="Unlisted Equity Shares", I2035&gt;24)), "Long Term", "Short Term"))</f>
        <v/>
      </c>
      <c r="K2035" s="5">
        <f>IF(J2035="", "", IF(J2035="Long Term", 12.5%,"as per slab"))</f>
        <v/>
      </c>
      <c r="L2035" s="3">
        <f>+IFERROR(IF(J2035="","",H2035*K2035),"as per slab")</f>
        <v/>
      </c>
    </row>
    <row r="2036">
      <c r="A2036" s="7" t="n"/>
      <c r="B2036" s="7" t="n"/>
      <c r="C2036" s="8" t="n"/>
      <c r="D2036" s="9" t="n"/>
      <c r="E2036" s="8" t="n"/>
      <c r="F2036" s="9" t="n"/>
      <c r="G2036" s="9" t="n"/>
      <c r="H2036" s="3">
        <f>IF(AND(D2036&lt;&gt;"",F2036&lt;&gt;""),F2036-D2036-G2036,"")</f>
        <v/>
      </c>
      <c r="I2036" s="14">
        <f>IF(E2036&lt;&gt;"", YEARFRAC(C2036, E2036) * 12, "")</f>
        <v/>
      </c>
      <c r="J2036" s="2">
        <f>IF(I2036="", "", IF(OR(AND(A2036="Listed Equity Shares", I2036&gt;12), AND(A2036="Unlisted Equity Shares", I2036&gt;24)), "Long Term", "Short Term"))</f>
        <v/>
      </c>
      <c r="K2036" s="5">
        <f>IF(J2036="", "", IF(J2036="Long Term", 12.5%,"as per slab"))</f>
        <v/>
      </c>
      <c r="L2036" s="3">
        <f>+IFERROR(IF(J2036="","",H2036*K2036),"as per slab")</f>
        <v/>
      </c>
    </row>
    <row r="2037">
      <c r="A2037" s="7" t="n"/>
      <c r="B2037" s="7" t="n"/>
      <c r="C2037" s="8" t="n"/>
      <c r="D2037" s="9" t="n"/>
      <c r="E2037" s="8" t="n"/>
      <c r="F2037" s="9" t="n"/>
      <c r="G2037" s="9" t="n"/>
      <c r="H2037" s="3">
        <f>IF(AND(D2037&lt;&gt;"",F2037&lt;&gt;""),F2037-D2037-G2037,"")</f>
        <v/>
      </c>
      <c r="I2037" s="14">
        <f>IF(E2037&lt;&gt;"", YEARFRAC(C2037, E2037) * 12, "")</f>
        <v/>
      </c>
      <c r="J2037" s="2">
        <f>IF(I2037="", "", IF(OR(AND(A2037="Listed Equity Shares", I2037&gt;12), AND(A2037="Unlisted Equity Shares", I2037&gt;24)), "Long Term", "Short Term"))</f>
        <v/>
      </c>
      <c r="K2037" s="5">
        <f>IF(J2037="", "", IF(J2037="Long Term", 12.5%,"as per slab"))</f>
        <v/>
      </c>
      <c r="L2037" s="3">
        <f>+IFERROR(IF(J2037="","",H2037*K2037),"as per slab")</f>
        <v/>
      </c>
    </row>
    <row r="2038">
      <c r="A2038" s="7" t="n"/>
      <c r="B2038" s="7" t="n"/>
      <c r="C2038" s="8" t="n"/>
      <c r="D2038" s="9" t="n"/>
      <c r="E2038" s="8" t="n"/>
      <c r="F2038" s="9" t="n"/>
      <c r="G2038" s="9" t="n"/>
      <c r="H2038" s="3">
        <f>IF(AND(D2038&lt;&gt;"",F2038&lt;&gt;""),F2038-D2038-G2038,"")</f>
        <v/>
      </c>
      <c r="I2038" s="14">
        <f>IF(E2038&lt;&gt;"", YEARFRAC(C2038, E2038) * 12, "")</f>
        <v/>
      </c>
      <c r="J2038" s="2">
        <f>IF(I2038="", "", IF(OR(AND(A2038="Listed Equity Shares", I2038&gt;12), AND(A2038="Unlisted Equity Shares", I2038&gt;24)), "Long Term", "Short Term"))</f>
        <v/>
      </c>
      <c r="K2038" s="5">
        <f>IF(J2038="", "", IF(J2038="Long Term", 12.5%,"as per slab"))</f>
        <v/>
      </c>
      <c r="L2038" s="3">
        <f>+IFERROR(IF(J2038="","",H2038*K2038),"as per slab")</f>
        <v/>
      </c>
    </row>
    <row r="2039">
      <c r="A2039" s="7" t="n"/>
      <c r="B2039" s="7" t="n"/>
      <c r="C2039" s="8" t="n"/>
      <c r="D2039" s="9" t="n"/>
      <c r="E2039" s="8" t="n"/>
      <c r="F2039" s="9" t="n"/>
      <c r="G2039" s="9" t="n"/>
      <c r="H2039" s="3">
        <f>IF(AND(D2039&lt;&gt;"",F2039&lt;&gt;""),F2039-D2039-G2039,"")</f>
        <v/>
      </c>
      <c r="I2039" s="14">
        <f>IF(E2039&lt;&gt;"", YEARFRAC(C2039, E2039) * 12, "")</f>
        <v/>
      </c>
      <c r="J2039" s="2">
        <f>IF(I2039="", "", IF(OR(AND(A2039="Listed Equity Shares", I2039&gt;12), AND(A2039="Unlisted Equity Shares", I2039&gt;24)), "Long Term", "Short Term"))</f>
        <v/>
      </c>
      <c r="K2039" s="5">
        <f>IF(J2039="", "", IF(J2039="Long Term", 12.5%,"as per slab"))</f>
        <v/>
      </c>
      <c r="L2039" s="3">
        <f>+IFERROR(IF(J2039="","",H2039*K2039),"as per slab")</f>
        <v/>
      </c>
    </row>
    <row r="2040">
      <c r="A2040" s="7" t="n"/>
      <c r="B2040" s="7" t="n"/>
      <c r="C2040" s="8" t="n"/>
      <c r="D2040" s="9" t="n"/>
      <c r="E2040" s="8" t="n"/>
      <c r="F2040" s="9" t="n"/>
      <c r="G2040" s="9" t="n"/>
      <c r="H2040" s="3">
        <f>IF(AND(D2040&lt;&gt;"",F2040&lt;&gt;""),F2040-D2040-G2040,"")</f>
        <v/>
      </c>
      <c r="I2040" s="14">
        <f>IF(E2040&lt;&gt;"", YEARFRAC(C2040, E2040) * 12, "")</f>
        <v/>
      </c>
      <c r="J2040" s="2">
        <f>IF(I2040="", "", IF(OR(AND(A2040="Listed Equity Shares", I2040&gt;12), AND(A2040="Unlisted Equity Shares", I2040&gt;24)), "Long Term", "Short Term"))</f>
        <v/>
      </c>
      <c r="K2040" s="5">
        <f>IF(J2040="", "", IF(J2040="Long Term", 12.5%,"as per slab"))</f>
        <v/>
      </c>
      <c r="L2040" s="3">
        <f>+IFERROR(IF(J2040="","",H2040*K2040),"as per slab")</f>
        <v/>
      </c>
    </row>
    <row r="2041">
      <c r="A2041" s="7" t="n"/>
      <c r="B2041" s="7" t="n"/>
      <c r="C2041" s="8" t="n"/>
      <c r="D2041" s="9" t="n"/>
      <c r="E2041" s="8" t="n"/>
      <c r="F2041" s="9" t="n"/>
      <c r="G2041" s="9" t="n"/>
      <c r="H2041" s="3">
        <f>IF(AND(D2041&lt;&gt;"",F2041&lt;&gt;""),F2041-D2041-G2041,"")</f>
        <v/>
      </c>
      <c r="I2041" s="14">
        <f>IF(E2041&lt;&gt;"", YEARFRAC(C2041, E2041) * 12, "")</f>
        <v/>
      </c>
      <c r="J2041" s="2">
        <f>IF(I2041="", "", IF(OR(AND(A2041="Listed Equity Shares", I2041&gt;12), AND(A2041="Unlisted Equity Shares", I2041&gt;24)), "Long Term", "Short Term"))</f>
        <v/>
      </c>
      <c r="K2041" s="5">
        <f>IF(J2041="", "", IF(J2041="Long Term", 12.5%,"as per slab"))</f>
        <v/>
      </c>
      <c r="L2041" s="3">
        <f>+IFERROR(IF(J2041="","",H2041*K2041),"as per slab")</f>
        <v/>
      </c>
    </row>
    <row r="2042">
      <c r="A2042" s="7" t="n"/>
      <c r="B2042" s="7" t="n"/>
      <c r="C2042" s="8" t="n"/>
      <c r="D2042" s="9" t="n"/>
      <c r="E2042" s="8" t="n"/>
      <c r="F2042" s="9" t="n"/>
      <c r="G2042" s="9" t="n"/>
      <c r="H2042" s="3">
        <f>IF(AND(D2042&lt;&gt;"",F2042&lt;&gt;""),F2042-D2042-G2042,"")</f>
        <v/>
      </c>
      <c r="I2042" s="14">
        <f>IF(E2042&lt;&gt;"", YEARFRAC(C2042, E2042) * 12, "")</f>
        <v/>
      </c>
      <c r="J2042" s="2">
        <f>IF(I2042="", "", IF(OR(AND(A2042="Listed Equity Shares", I2042&gt;12), AND(A2042="Unlisted Equity Shares", I2042&gt;24)), "Long Term", "Short Term"))</f>
        <v/>
      </c>
      <c r="K2042" s="5">
        <f>IF(J2042="", "", IF(J2042="Long Term", 12.5%,"as per slab"))</f>
        <v/>
      </c>
      <c r="L2042" s="3">
        <f>+IFERROR(IF(J2042="","",H2042*K2042),"as per slab")</f>
        <v/>
      </c>
    </row>
    <row r="2043">
      <c r="A2043" s="7" t="n"/>
      <c r="B2043" s="7" t="n"/>
      <c r="C2043" s="8" t="n"/>
      <c r="D2043" s="9" t="n"/>
      <c r="E2043" s="8" t="n"/>
      <c r="F2043" s="9" t="n"/>
      <c r="G2043" s="9" t="n"/>
      <c r="H2043" s="3">
        <f>IF(AND(D2043&lt;&gt;"",F2043&lt;&gt;""),F2043-D2043-G2043,"")</f>
        <v/>
      </c>
      <c r="I2043" s="14">
        <f>IF(E2043&lt;&gt;"", YEARFRAC(C2043, E2043) * 12, "")</f>
        <v/>
      </c>
      <c r="J2043" s="2">
        <f>IF(I2043="", "", IF(OR(AND(A2043="Listed Equity Shares", I2043&gt;12), AND(A2043="Unlisted Equity Shares", I2043&gt;24)), "Long Term", "Short Term"))</f>
        <v/>
      </c>
      <c r="K2043" s="5">
        <f>IF(J2043="", "", IF(J2043="Long Term", 12.5%,"as per slab"))</f>
        <v/>
      </c>
      <c r="L2043" s="3">
        <f>+IFERROR(IF(J2043="","",H2043*K2043),"as per slab")</f>
        <v/>
      </c>
    </row>
    <row r="2044">
      <c r="A2044" s="7" t="n"/>
      <c r="B2044" s="7" t="n"/>
      <c r="C2044" s="8" t="n"/>
      <c r="D2044" s="9" t="n"/>
      <c r="E2044" s="8" t="n"/>
      <c r="F2044" s="9" t="n"/>
      <c r="G2044" s="9" t="n"/>
      <c r="H2044" s="3">
        <f>IF(AND(D2044&lt;&gt;"",F2044&lt;&gt;""),F2044-D2044-G2044,"")</f>
        <v/>
      </c>
      <c r="I2044" s="14">
        <f>IF(E2044&lt;&gt;"", YEARFRAC(C2044, E2044) * 12, "")</f>
        <v/>
      </c>
      <c r="J2044" s="2">
        <f>IF(I2044="", "", IF(OR(AND(A2044="Listed Equity Shares", I2044&gt;12), AND(A2044="Unlisted Equity Shares", I2044&gt;24)), "Long Term", "Short Term"))</f>
        <v/>
      </c>
      <c r="K2044" s="5">
        <f>IF(J2044="", "", IF(J2044="Long Term", 12.5%,"as per slab"))</f>
        <v/>
      </c>
      <c r="L2044" s="3">
        <f>+IFERROR(IF(J2044="","",H2044*K2044),"as per slab")</f>
        <v/>
      </c>
    </row>
    <row r="2045">
      <c r="A2045" s="7" t="n"/>
      <c r="B2045" s="7" t="n"/>
      <c r="C2045" s="8" t="n"/>
      <c r="D2045" s="9" t="n"/>
      <c r="E2045" s="8" t="n"/>
      <c r="F2045" s="9" t="n"/>
      <c r="G2045" s="9" t="n"/>
      <c r="H2045" s="3">
        <f>IF(AND(D2045&lt;&gt;"",F2045&lt;&gt;""),F2045-D2045-G2045,"")</f>
        <v/>
      </c>
      <c r="I2045" s="14">
        <f>IF(E2045&lt;&gt;"", YEARFRAC(C2045, E2045) * 12, "")</f>
        <v/>
      </c>
      <c r="J2045" s="2">
        <f>IF(I2045="", "", IF(OR(AND(A2045="Listed Equity Shares", I2045&gt;12), AND(A2045="Unlisted Equity Shares", I2045&gt;24)), "Long Term", "Short Term"))</f>
        <v/>
      </c>
      <c r="K2045" s="5">
        <f>IF(J2045="", "", IF(J2045="Long Term", 12.5%,"as per slab"))</f>
        <v/>
      </c>
      <c r="L2045" s="3">
        <f>+IFERROR(IF(J2045="","",H2045*K2045),"as per slab")</f>
        <v/>
      </c>
    </row>
    <row r="2046">
      <c r="A2046" s="7" t="n"/>
      <c r="B2046" s="7" t="n"/>
      <c r="C2046" s="8" t="n"/>
      <c r="D2046" s="9" t="n"/>
      <c r="E2046" s="8" t="n"/>
      <c r="F2046" s="9" t="n"/>
      <c r="G2046" s="9" t="n"/>
      <c r="H2046" s="3">
        <f>IF(AND(D2046&lt;&gt;"",F2046&lt;&gt;""),F2046-D2046-G2046,"")</f>
        <v/>
      </c>
      <c r="I2046" s="14">
        <f>IF(E2046&lt;&gt;"", YEARFRAC(C2046, E2046) * 12, "")</f>
        <v/>
      </c>
      <c r="J2046" s="2">
        <f>IF(I2046="", "", IF(OR(AND(A2046="Listed Equity Shares", I2046&gt;12), AND(A2046="Unlisted Equity Shares", I2046&gt;24)), "Long Term", "Short Term"))</f>
        <v/>
      </c>
      <c r="K2046" s="5">
        <f>IF(J2046="", "", IF(J2046="Long Term", 12.5%,"as per slab"))</f>
        <v/>
      </c>
      <c r="L2046" s="3">
        <f>+IFERROR(IF(J2046="","",H2046*K2046),"as per slab")</f>
        <v/>
      </c>
    </row>
    <row r="2047">
      <c r="A2047" s="7" t="n"/>
      <c r="B2047" s="7" t="n"/>
      <c r="C2047" s="8" t="n"/>
      <c r="D2047" s="9" t="n"/>
      <c r="E2047" s="8" t="n"/>
      <c r="F2047" s="9" t="n"/>
      <c r="G2047" s="9" t="n"/>
      <c r="H2047" s="3">
        <f>IF(AND(D2047&lt;&gt;"",F2047&lt;&gt;""),F2047-D2047-G2047,"")</f>
        <v/>
      </c>
      <c r="I2047" s="14">
        <f>IF(E2047&lt;&gt;"", YEARFRAC(C2047, E2047) * 12, "")</f>
        <v/>
      </c>
      <c r="J2047" s="2">
        <f>IF(I2047="", "", IF(OR(AND(A2047="Listed Equity Shares", I2047&gt;12), AND(A2047="Unlisted Equity Shares", I2047&gt;24)), "Long Term", "Short Term"))</f>
        <v/>
      </c>
      <c r="K2047" s="5">
        <f>IF(J2047="", "", IF(J2047="Long Term", 12.5%,"as per slab"))</f>
        <v/>
      </c>
      <c r="L2047" s="3">
        <f>+IFERROR(IF(J2047="","",H2047*K2047),"as per slab")</f>
        <v/>
      </c>
    </row>
    <row r="2048">
      <c r="A2048" s="7" t="n"/>
      <c r="B2048" s="7" t="n"/>
      <c r="C2048" s="8" t="n"/>
      <c r="D2048" s="9" t="n"/>
      <c r="E2048" s="8" t="n"/>
      <c r="F2048" s="9" t="n"/>
      <c r="G2048" s="9" t="n"/>
      <c r="H2048" s="3">
        <f>IF(AND(D2048&lt;&gt;"",F2048&lt;&gt;""),F2048-D2048-G2048,"")</f>
        <v/>
      </c>
      <c r="I2048" s="14">
        <f>IF(E2048&lt;&gt;"", YEARFRAC(C2048, E2048) * 12, "")</f>
        <v/>
      </c>
      <c r="J2048" s="2">
        <f>IF(I2048="", "", IF(OR(AND(A2048="Listed Equity Shares", I2048&gt;12), AND(A2048="Unlisted Equity Shares", I2048&gt;24)), "Long Term", "Short Term"))</f>
        <v/>
      </c>
      <c r="K2048" s="5">
        <f>IF(J2048="", "", IF(J2048="Long Term", 12.5%,"as per slab"))</f>
        <v/>
      </c>
      <c r="L2048" s="3">
        <f>+IFERROR(IF(J2048="","",H2048*K2048),"as per slab")</f>
        <v/>
      </c>
    </row>
    <row r="2049">
      <c r="A2049" s="7" t="n"/>
      <c r="B2049" s="7" t="n"/>
      <c r="C2049" s="8" t="n"/>
      <c r="D2049" s="9" t="n"/>
      <c r="E2049" s="8" t="n"/>
      <c r="F2049" s="9" t="n"/>
      <c r="G2049" s="9" t="n"/>
      <c r="H2049" s="3">
        <f>IF(AND(D2049&lt;&gt;"",F2049&lt;&gt;""),F2049-D2049-G2049,"")</f>
        <v/>
      </c>
      <c r="I2049" s="14">
        <f>IF(E2049&lt;&gt;"", YEARFRAC(C2049, E2049) * 12, "")</f>
        <v/>
      </c>
      <c r="J2049" s="2">
        <f>IF(I2049="", "", IF(OR(AND(A2049="Listed Equity Shares", I2049&gt;12), AND(A2049="Unlisted Equity Shares", I2049&gt;24)), "Long Term", "Short Term"))</f>
        <v/>
      </c>
      <c r="K2049" s="5">
        <f>IF(J2049="", "", IF(J2049="Long Term", 12.5%,"as per slab"))</f>
        <v/>
      </c>
      <c r="L2049" s="3">
        <f>+IFERROR(IF(J2049="","",H2049*K2049),"as per slab")</f>
        <v/>
      </c>
    </row>
    <row r="2050">
      <c r="A2050" s="7" t="n"/>
      <c r="B2050" s="7" t="n"/>
      <c r="C2050" s="8" t="n"/>
      <c r="D2050" s="9" t="n"/>
      <c r="E2050" s="8" t="n"/>
      <c r="F2050" s="9" t="n"/>
      <c r="G2050" s="9" t="n"/>
      <c r="H2050" s="3">
        <f>IF(AND(D2050&lt;&gt;"",F2050&lt;&gt;""),F2050-D2050-G2050,"")</f>
        <v/>
      </c>
      <c r="I2050" s="14">
        <f>IF(E2050&lt;&gt;"", YEARFRAC(C2050, E2050) * 12, "")</f>
        <v/>
      </c>
      <c r="J2050" s="2">
        <f>IF(I2050="", "", IF(OR(AND(A2050="Listed Equity Shares", I2050&gt;12), AND(A2050="Unlisted Equity Shares", I2050&gt;24)), "Long Term", "Short Term"))</f>
        <v/>
      </c>
      <c r="K2050" s="5">
        <f>IF(J2050="", "", IF(J2050="Long Term", 12.5%,"as per slab"))</f>
        <v/>
      </c>
      <c r="L2050" s="3">
        <f>+IFERROR(IF(J2050="","",H2050*K2050),"as per slab")</f>
        <v/>
      </c>
    </row>
    <row r="2051">
      <c r="A2051" s="7" t="n"/>
      <c r="B2051" s="7" t="n"/>
      <c r="C2051" s="8" t="n"/>
      <c r="D2051" s="9" t="n"/>
      <c r="E2051" s="8" t="n"/>
      <c r="F2051" s="9" t="n"/>
      <c r="G2051" s="9" t="n"/>
      <c r="H2051" s="3">
        <f>IF(AND(D2051&lt;&gt;"",F2051&lt;&gt;""),F2051-D2051-G2051,"")</f>
        <v/>
      </c>
      <c r="I2051" s="14">
        <f>IF(E2051&lt;&gt;"", YEARFRAC(C2051, E2051) * 12, "")</f>
        <v/>
      </c>
      <c r="J2051" s="2">
        <f>IF(I2051="", "", IF(OR(AND(A2051="Listed Equity Shares", I2051&gt;12), AND(A2051="Unlisted Equity Shares", I2051&gt;24)), "Long Term", "Short Term"))</f>
        <v/>
      </c>
      <c r="K2051" s="5">
        <f>IF(J2051="", "", IF(J2051="Long Term", 12.5%,"as per slab"))</f>
        <v/>
      </c>
      <c r="L2051" s="3">
        <f>+IFERROR(IF(J2051="","",H2051*K2051),"as per slab")</f>
        <v/>
      </c>
    </row>
    <row r="2052">
      <c r="A2052" s="7" t="n"/>
      <c r="B2052" s="7" t="n"/>
      <c r="C2052" s="8" t="n"/>
      <c r="D2052" s="9" t="n"/>
      <c r="E2052" s="8" t="n"/>
      <c r="F2052" s="9" t="n"/>
      <c r="G2052" s="9" t="n"/>
      <c r="H2052" s="3">
        <f>IF(AND(D2052&lt;&gt;"",F2052&lt;&gt;""),F2052-D2052-G2052,"")</f>
        <v/>
      </c>
      <c r="I2052" s="14">
        <f>IF(E2052&lt;&gt;"", YEARFRAC(C2052, E2052) * 12, "")</f>
        <v/>
      </c>
      <c r="J2052" s="2">
        <f>IF(I2052="", "", IF(OR(AND(A2052="Listed Equity Shares", I2052&gt;12), AND(A2052="Unlisted Equity Shares", I2052&gt;24)), "Long Term", "Short Term"))</f>
        <v/>
      </c>
      <c r="K2052" s="5">
        <f>IF(J2052="", "", IF(J2052="Long Term", 12.5%,"as per slab"))</f>
        <v/>
      </c>
      <c r="L2052" s="3">
        <f>+IFERROR(IF(J2052="","",H2052*K2052),"as per slab")</f>
        <v/>
      </c>
    </row>
    <row r="2053">
      <c r="A2053" s="7" t="n"/>
      <c r="B2053" s="7" t="n"/>
      <c r="C2053" s="8" t="n"/>
      <c r="D2053" s="9" t="n"/>
      <c r="E2053" s="8" t="n"/>
      <c r="F2053" s="9" t="n"/>
      <c r="G2053" s="9" t="n"/>
      <c r="H2053" s="3">
        <f>IF(AND(D2053&lt;&gt;"",F2053&lt;&gt;""),F2053-D2053-G2053,"")</f>
        <v/>
      </c>
      <c r="I2053" s="14">
        <f>IF(E2053&lt;&gt;"", YEARFRAC(C2053, E2053) * 12, "")</f>
        <v/>
      </c>
      <c r="J2053" s="2">
        <f>IF(I2053="", "", IF(OR(AND(A2053="Listed Equity Shares", I2053&gt;12), AND(A2053="Unlisted Equity Shares", I2053&gt;24)), "Long Term", "Short Term"))</f>
        <v/>
      </c>
      <c r="K2053" s="5">
        <f>IF(J2053="", "", IF(J2053="Long Term", 12.5%,"as per slab"))</f>
        <v/>
      </c>
      <c r="L2053" s="3">
        <f>+IFERROR(IF(J2053="","",H2053*K2053),"as per slab")</f>
        <v/>
      </c>
    </row>
    <row r="2054">
      <c r="A2054" s="7" t="n"/>
      <c r="B2054" s="7" t="n"/>
      <c r="C2054" s="8" t="n"/>
      <c r="D2054" s="9" t="n"/>
      <c r="E2054" s="8" t="n"/>
      <c r="F2054" s="9" t="n"/>
      <c r="G2054" s="9" t="n"/>
      <c r="H2054" s="3">
        <f>IF(AND(D2054&lt;&gt;"",F2054&lt;&gt;""),F2054-D2054-G2054,"")</f>
        <v/>
      </c>
      <c r="I2054" s="14">
        <f>IF(E2054&lt;&gt;"", YEARFRAC(C2054, E2054) * 12, "")</f>
        <v/>
      </c>
      <c r="J2054" s="2">
        <f>IF(I2054="", "", IF(OR(AND(A2054="Listed Equity Shares", I2054&gt;12), AND(A2054="Unlisted Equity Shares", I2054&gt;24)), "Long Term", "Short Term"))</f>
        <v/>
      </c>
      <c r="K2054" s="5">
        <f>IF(J2054="", "", IF(J2054="Long Term", 12.5%,"as per slab"))</f>
        <v/>
      </c>
      <c r="L2054" s="3">
        <f>+IFERROR(IF(J2054="","",H2054*K2054),"as per slab")</f>
        <v/>
      </c>
    </row>
    <row r="2055">
      <c r="A2055" s="7" t="n"/>
      <c r="B2055" s="7" t="n"/>
      <c r="C2055" s="8" t="n"/>
      <c r="D2055" s="9" t="n"/>
      <c r="E2055" s="8" t="n"/>
      <c r="F2055" s="9" t="n"/>
      <c r="G2055" s="9" t="n"/>
      <c r="H2055" s="3">
        <f>IF(AND(D2055&lt;&gt;"",F2055&lt;&gt;""),F2055-D2055-G2055,"")</f>
        <v/>
      </c>
      <c r="I2055" s="14">
        <f>IF(E2055&lt;&gt;"", YEARFRAC(C2055, E2055) * 12, "")</f>
        <v/>
      </c>
      <c r="J2055" s="2">
        <f>IF(I2055="", "", IF(OR(AND(A2055="Listed Equity Shares", I2055&gt;12), AND(A2055="Unlisted Equity Shares", I2055&gt;24)), "Long Term", "Short Term"))</f>
        <v/>
      </c>
      <c r="K2055" s="5">
        <f>IF(J2055="", "", IF(J2055="Long Term", 12.5%,"as per slab"))</f>
        <v/>
      </c>
      <c r="L2055" s="3">
        <f>+IFERROR(IF(J2055="","",H2055*K2055),"as per slab")</f>
        <v/>
      </c>
    </row>
    <row r="2056">
      <c r="A2056" s="7" t="n"/>
      <c r="B2056" s="7" t="n"/>
      <c r="C2056" s="8" t="n"/>
      <c r="D2056" s="9" t="n"/>
      <c r="E2056" s="8" t="n"/>
      <c r="F2056" s="9" t="n"/>
      <c r="G2056" s="9" t="n"/>
      <c r="H2056" s="3">
        <f>IF(AND(D2056&lt;&gt;"",F2056&lt;&gt;""),F2056-D2056-G2056,"")</f>
        <v/>
      </c>
      <c r="I2056" s="14">
        <f>IF(E2056&lt;&gt;"", YEARFRAC(C2056, E2056) * 12, "")</f>
        <v/>
      </c>
      <c r="J2056" s="2">
        <f>IF(I2056="", "", IF(OR(AND(A2056="Listed Equity Shares", I2056&gt;12), AND(A2056="Unlisted Equity Shares", I2056&gt;24)), "Long Term", "Short Term"))</f>
        <v/>
      </c>
      <c r="K2056" s="5">
        <f>IF(J2056="", "", IF(J2056="Long Term", 12.5%,"as per slab"))</f>
        <v/>
      </c>
      <c r="L2056" s="3">
        <f>+IFERROR(IF(J2056="","",H2056*K2056),"as per slab")</f>
        <v/>
      </c>
    </row>
    <row r="2057">
      <c r="A2057" s="7" t="n"/>
      <c r="B2057" s="7" t="n"/>
      <c r="C2057" s="8" t="n"/>
      <c r="D2057" s="9" t="n"/>
      <c r="E2057" s="8" t="n"/>
      <c r="F2057" s="9" t="n"/>
      <c r="G2057" s="9" t="n"/>
      <c r="H2057" s="3">
        <f>IF(AND(D2057&lt;&gt;"",F2057&lt;&gt;""),F2057-D2057-G2057,"")</f>
        <v/>
      </c>
      <c r="I2057" s="14">
        <f>IF(E2057&lt;&gt;"", YEARFRAC(C2057, E2057) * 12, "")</f>
        <v/>
      </c>
      <c r="J2057" s="2">
        <f>IF(I2057="", "", IF(OR(AND(A2057="Listed Equity Shares", I2057&gt;12), AND(A2057="Unlisted Equity Shares", I2057&gt;24)), "Long Term", "Short Term"))</f>
        <v/>
      </c>
      <c r="K2057" s="5">
        <f>IF(J2057="", "", IF(J2057="Long Term", 12.5%,"as per slab"))</f>
        <v/>
      </c>
      <c r="L2057" s="3">
        <f>+IFERROR(IF(J2057="","",H2057*K2057),"as per slab")</f>
        <v/>
      </c>
    </row>
    <row r="2058">
      <c r="A2058" s="7" t="n"/>
      <c r="B2058" s="7" t="n"/>
      <c r="C2058" s="8" t="n"/>
      <c r="D2058" s="9" t="n"/>
      <c r="E2058" s="8" t="n"/>
      <c r="F2058" s="9" t="n"/>
      <c r="G2058" s="9" t="n"/>
      <c r="H2058" s="3">
        <f>IF(AND(D2058&lt;&gt;"",F2058&lt;&gt;""),F2058-D2058-G2058,"")</f>
        <v/>
      </c>
      <c r="I2058" s="14">
        <f>IF(E2058&lt;&gt;"", YEARFRAC(C2058, E2058) * 12, "")</f>
        <v/>
      </c>
      <c r="J2058" s="2">
        <f>IF(I2058="", "", IF(OR(AND(A2058="Listed Equity Shares", I2058&gt;12), AND(A2058="Unlisted Equity Shares", I2058&gt;24)), "Long Term", "Short Term"))</f>
        <v/>
      </c>
      <c r="K2058" s="5">
        <f>IF(J2058="", "", IF(J2058="Long Term", 12.5%,"as per slab"))</f>
        <v/>
      </c>
      <c r="L2058" s="3">
        <f>+IFERROR(IF(J2058="","",H2058*K2058),"as per slab")</f>
        <v/>
      </c>
    </row>
    <row r="2059">
      <c r="A2059" s="7" t="n"/>
      <c r="B2059" s="7" t="n"/>
      <c r="C2059" s="8" t="n"/>
      <c r="D2059" s="9" t="n"/>
      <c r="E2059" s="8" t="n"/>
      <c r="F2059" s="9" t="n"/>
      <c r="G2059" s="9" t="n"/>
      <c r="H2059" s="3">
        <f>IF(AND(D2059&lt;&gt;"",F2059&lt;&gt;""),F2059-D2059-G2059,"")</f>
        <v/>
      </c>
      <c r="I2059" s="14">
        <f>IF(E2059&lt;&gt;"", YEARFRAC(C2059, E2059) * 12, "")</f>
        <v/>
      </c>
      <c r="J2059" s="2">
        <f>IF(I2059="", "", IF(OR(AND(A2059="Listed Equity Shares", I2059&gt;12), AND(A2059="Unlisted Equity Shares", I2059&gt;24)), "Long Term", "Short Term"))</f>
        <v/>
      </c>
      <c r="K2059" s="5">
        <f>IF(J2059="", "", IF(J2059="Long Term", 12.5%,"as per slab"))</f>
        <v/>
      </c>
      <c r="L2059" s="3">
        <f>+IFERROR(IF(J2059="","",H2059*K2059),"as per slab")</f>
        <v/>
      </c>
    </row>
    <row r="2060">
      <c r="A2060" s="7" t="n"/>
      <c r="B2060" s="7" t="n"/>
      <c r="C2060" s="8" t="n"/>
      <c r="D2060" s="9" t="n"/>
      <c r="E2060" s="8" t="n"/>
      <c r="F2060" s="9" t="n"/>
      <c r="G2060" s="9" t="n"/>
      <c r="H2060" s="3">
        <f>IF(AND(D2060&lt;&gt;"",F2060&lt;&gt;""),F2060-D2060-G2060,"")</f>
        <v/>
      </c>
      <c r="I2060" s="14">
        <f>IF(E2060&lt;&gt;"", YEARFRAC(C2060, E2060) * 12, "")</f>
        <v/>
      </c>
      <c r="J2060" s="2">
        <f>IF(I2060="", "", IF(OR(AND(A2060="Listed Equity Shares", I2060&gt;12), AND(A2060="Unlisted Equity Shares", I2060&gt;24)), "Long Term", "Short Term"))</f>
        <v/>
      </c>
      <c r="K2060" s="5">
        <f>IF(J2060="", "", IF(J2060="Long Term", 12.5%,"as per slab"))</f>
        <v/>
      </c>
      <c r="L2060" s="3">
        <f>+IFERROR(IF(J2060="","",H2060*K2060),"as per slab")</f>
        <v/>
      </c>
    </row>
    <row r="2061">
      <c r="A2061" s="7" t="n"/>
      <c r="B2061" s="7" t="n"/>
      <c r="C2061" s="8" t="n"/>
      <c r="D2061" s="9" t="n"/>
      <c r="E2061" s="8" t="n"/>
      <c r="F2061" s="9" t="n"/>
      <c r="G2061" s="9" t="n"/>
      <c r="H2061" s="3">
        <f>IF(AND(D2061&lt;&gt;"",F2061&lt;&gt;""),F2061-D2061-G2061,"")</f>
        <v/>
      </c>
      <c r="I2061" s="14">
        <f>IF(E2061&lt;&gt;"", YEARFRAC(C2061, E2061) * 12, "")</f>
        <v/>
      </c>
      <c r="J2061" s="2">
        <f>IF(I2061="", "", IF(OR(AND(A2061="Listed Equity Shares", I2061&gt;12), AND(A2061="Unlisted Equity Shares", I2061&gt;24)), "Long Term", "Short Term"))</f>
        <v/>
      </c>
      <c r="K2061" s="5">
        <f>IF(J2061="", "", IF(J2061="Long Term", 12.5%,"as per slab"))</f>
        <v/>
      </c>
      <c r="L2061" s="3">
        <f>+IFERROR(IF(J2061="","",H2061*K2061),"as per slab")</f>
        <v/>
      </c>
    </row>
    <row r="2062">
      <c r="A2062" s="7" t="n"/>
      <c r="B2062" s="7" t="n"/>
      <c r="C2062" s="8" t="n"/>
      <c r="D2062" s="9" t="n"/>
      <c r="E2062" s="8" t="n"/>
      <c r="F2062" s="9" t="n"/>
      <c r="G2062" s="9" t="n"/>
      <c r="H2062" s="3">
        <f>IF(AND(D2062&lt;&gt;"",F2062&lt;&gt;""),F2062-D2062-G2062,"")</f>
        <v/>
      </c>
      <c r="I2062" s="14">
        <f>IF(E2062&lt;&gt;"", YEARFRAC(C2062, E2062) * 12, "")</f>
        <v/>
      </c>
      <c r="J2062" s="2">
        <f>IF(I2062="", "", IF(OR(AND(A2062="Listed Equity Shares", I2062&gt;12), AND(A2062="Unlisted Equity Shares", I2062&gt;24)), "Long Term", "Short Term"))</f>
        <v/>
      </c>
      <c r="K2062" s="5">
        <f>IF(J2062="", "", IF(J2062="Long Term", 12.5%,"as per slab"))</f>
        <v/>
      </c>
      <c r="L2062" s="3">
        <f>+IFERROR(IF(J2062="","",H2062*K2062),"as per slab")</f>
        <v/>
      </c>
    </row>
    <row r="2063">
      <c r="A2063" s="7" t="n"/>
      <c r="B2063" s="7" t="n"/>
      <c r="C2063" s="8" t="n"/>
      <c r="D2063" s="9" t="n"/>
      <c r="E2063" s="8" t="n"/>
      <c r="F2063" s="9" t="n"/>
      <c r="G2063" s="9" t="n"/>
      <c r="H2063" s="3">
        <f>IF(AND(D2063&lt;&gt;"",F2063&lt;&gt;""),F2063-D2063-G2063,"")</f>
        <v/>
      </c>
      <c r="I2063" s="14">
        <f>IF(E2063&lt;&gt;"", YEARFRAC(C2063, E2063) * 12, "")</f>
        <v/>
      </c>
      <c r="J2063" s="2">
        <f>IF(I2063="", "", IF(OR(AND(A2063="Listed Equity Shares", I2063&gt;12), AND(A2063="Unlisted Equity Shares", I2063&gt;24)), "Long Term", "Short Term"))</f>
        <v/>
      </c>
      <c r="K2063" s="5">
        <f>IF(J2063="", "", IF(J2063="Long Term", 12.5%,"as per slab"))</f>
        <v/>
      </c>
      <c r="L2063" s="3">
        <f>+IFERROR(IF(J2063="","",H2063*K2063),"as per slab")</f>
        <v/>
      </c>
    </row>
    <row r="2064">
      <c r="A2064" s="7" t="n"/>
      <c r="B2064" s="7" t="n"/>
      <c r="C2064" s="8" t="n"/>
      <c r="D2064" s="9" t="n"/>
      <c r="E2064" s="8" t="n"/>
      <c r="F2064" s="9" t="n"/>
      <c r="G2064" s="9" t="n"/>
      <c r="H2064" s="3">
        <f>IF(AND(D2064&lt;&gt;"",F2064&lt;&gt;""),F2064-D2064-G2064,"")</f>
        <v/>
      </c>
      <c r="I2064" s="14">
        <f>IF(E2064&lt;&gt;"", YEARFRAC(C2064, E2064) * 12, "")</f>
        <v/>
      </c>
      <c r="J2064" s="2">
        <f>IF(I2064="", "", IF(OR(AND(A2064="Listed Equity Shares", I2064&gt;12), AND(A2064="Unlisted Equity Shares", I2064&gt;24)), "Long Term", "Short Term"))</f>
        <v/>
      </c>
      <c r="K2064" s="5">
        <f>IF(J2064="", "", IF(J2064="Long Term", 12.5%,"as per slab"))</f>
        <v/>
      </c>
      <c r="L2064" s="3">
        <f>+IFERROR(IF(J2064="","",H2064*K2064),"as per slab")</f>
        <v/>
      </c>
    </row>
    <row r="2065">
      <c r="A2065" s="7" t="n"/>
      <c r="B2065" s="7" t="n"/>
      <c r="C2065" s="8" t="n"/>
      <c r="D2065" s="9" t="n"/>
      <c r="E2065" s="8" t="n"/>
      <c r="F2065" s="9" t="n"/>
      <c r="G2065" s="9" t="n"/>
      <c r="H2065" s="3">
        <f>IF(AND(D2065&lt;&gt;"",F2065&lt;&gt;""),F2065-D2065-G2065,"")</f>
        <v/>
      </c>
      <c r="I2065" s="14">
        <f>IF(E2065&lt;&gt;"", YEARFRAC(C2065, E2065) * 12, "")</f>
        <v/>
      </c>
      <c r="J2065" s="2">
        <f>IF(I2065="", "", IF(OR(AND(A2065="Listed Equity Shares", I2065&gt;12), AND(A2065="Unlisted Equity Shares", I2065&gt;24)), "Long Term", "Short Term"))</f>
        <v/>
      </c>
      <c r="K2065" s="5">
        <f>IF(J2065="", "", IF(J2065="Long Term", 12.5%,"as per slab"))</f>
        <v/>
      </c>
      <c r="L2065" s="3">
        <f>+IFERROR(IF(J2065="","",H2065*K2065),"as per slab")</f>
        <v/>
      </c>
    </row>
    <row r="2066">
      <c r="A2066" s="7" t="n"/>
      <c r="B2066" s="7" t="n"/>
      <c r="C2066" s="8" t="n"/>
      <c r="D2066" s="9" t="n"/>
      <c r="E2066" s="8" t="n"/>
      <c r="F2066" s="9" t="n"/>
      <c r="G2066" s="9" t="n"/>
      <c r="H2066" s="3">
        <f>IF(AND(D2066&lt;&gt;"",F2066&lt;&gt;""),F2066-D2066-G2066,"")</f>
        <v/>
      </c>
      <c r="I2066" s="14">
        <f>IF(E2066&lt;&gt;"", YEARFRAC(C2066, E2066) * 12, "")</f>
        <v/>
      </c>
      <c r="J2066" s="2">
        <f>IF(I2066="", "", IF(OR(AND(A2066="Listed Equity Shares", I2066&gt;12), AND(A2066="Unlisted Equity Shares", I2066&gt;24)), "Long Term", "Short Term"))</f>
        <v/>
      </c>
      <c r="K2066" s="5">
        <f>IF(J2066="", "", IF(J2066="Long Term", 12.5%,"as per slab"))</f>
        <v/>
      </c>
      <c r="L2066" s="3">
        <f>+IFERROR(IF(J2066="","",H2066*K2066),"as per slab")</f>
        <v/>
      </c>
    </row>
    <row r="2067">
      <c r="A2067" s="7" t="n"/>
      <c r="B2067" s="7" t="n"/>
      <c r="C2067" s="8" t="n"/>
      <c r="D2067" s="9" t="n"/>
      <c r="E2067" s="8" t="n"/>
      <c r="F2067" s="9" t="n"/>
      <c r="G2067" s="9" t="n"/>
      <c r="H2067" s="3">
        <f>IF(AND(D2067&lt;&gt;"",F2067&lt;&gt;""),F2067-D2067-G2067,"")</f>
        <v/>
      </c>
      <c r="I2067" s="14">
        <f>IF(E2067&lt;&gt;"", YEARFRAC(C2067, E2067) * 12, "")</f>
        <v/>
      </c>
      <c r="J2067" s="2">
        <f>IF(I2067="", "", IF(OR(AND(A2067="Listed Equity Shares", I2067&gt;12), AND(A2067="Unlisted Equity Shares", I2067&gt;24)), "Long Term", "Short Term"))</f>
        <v/>
      </c>
      <c r="K2067" s="5">
        <f>IF(J2067="", "", IF(J2067="Long Term", 12.5%,"as per slab"))</f>
        <v/>
      </c>
      <c r="L2067" s="3">
        <f>+IFERROR(IF(J2067="","",H2067*K2067),"as per slab")</f>
        <v/>
      </c>
    </row>
    <row r="2068">
      <c r="A2068" s="7" t="n"/>
      <c r="B2068" s="7" t="n"/>
      <c r="C2068" s="8" t="n"/>
      <c r="D2068" s="9" t="n"/>
      <c r="E2068" s="8" t="n"/>
      <c r="F2068" s="9" t="n"/>
      <c r="G2068" s="9" t="n"/>
      <c r="H2068" s="3">
        <f>IF(AND(D2068&lt;&gt;"",F2068&lt;&gt;""),F2068-D2068-G2068,"")</f>
        <v/>
      </c>
      <c r="I2068" s="14">
        <f>IF(E2068&lt;&gt;"", YEARFRAC(C2068, E2068) * 12, "")</f>
        <v/>
      </c>
      <c r="J2068" s="2">
        <f>IF(I2068="", "", IF(OR(AND(A2068="Listed Equity Shares", I2068&gt;12), AND(A2068="Unlisted Equity Shares", I2068&gt;24)), "Long Term", "Short Term"))</f>
        <v/>
      </c>
      <c r="K2068" s="5">
        <f>IF(J2068="", "", IF(J2068="Long Term", 12.5%,"as per slab"))</f>
        <v/>
      </c>
      <c r="L2068" s="3">
        <f>+IFERROR(IF(J2068="","",H2068*K2068),"as per slab")</f>
        <v/>
      </c>
    </row>
    <row r="2069">
      <c r="A2069" s="7" t="n"/>
      <c r="B2069" s="7" t="n"/>
      <c r="C2069" s="8" t="n"/>
      <c r="D2069" s="9" t="n"/>
      <c r="E2069" s="8" t="n"/>
      <c r="F2069" s="9" t="n"/>
      <c r="G2069" s="9" t="n"/>
      <c r="H2069" s="3">
        <f>IF(AND(D2069&lt;&gt;"",F2069&lt;&gt;""),F2069-D2069-G2069,"")</f>
        <v/>
      </c>
      <c r="I2069" s="14">
        <f>IF(E2069&lt;&gt;"", YEARFRAC(C2069, E2069) * 12, "")</f>
        <v/>
      </c>
      <c r="J2069" s="2">
        <f>IF(I2069="", "", IF(OR(AND(A2069="Listed Equity Shares", I2069&gt;12), AND(A2069="Unlisted Equity Shares", I2069&gt;24)), "Long Term", "Short Term"))</f>
        <v/>
      </c>
      <c r="K2069" s="5">
        <f>IF(J2069="", "", IF(J2069="Long Term", 12.5%,"as per slab"))</f>
        <v/>
      </c>
      <c r="L2069" s="3">
        <f>+IFERROR(IF(J2069="","",H2069*K2069),"as per slab")</f>
        <v/>
      </c>
    </row>
    <row r="2070">
      <c r="A2070" s="7" t="n"/>
      <c r="B2070" s="7" t="n"/>
      <c r="C2070" s="8" t="n"/>
      <c r="D2070" s="9" t="n"/>
      <c r="E2070" s="8" t="n"/>
      <c r="F2070" s="9" t="n"/>
      <c r="G2070" s="9" t="n"/>
      <c r="H2070" s="3">
        <f>IF(AND(D2070&lt;&gt;"",F2070&lt;&gt;""),F2070-D2070-G2070,"")</f>
        <v/>
      </c>
      <c r="I2070" s="14">
        <f>IF(E2070&lt;&gt;"", YEARFRAC(C2070, E2070) * 12, "")</f>
        <v/>
      </c>
      <c r="J2070" s="2">
        <f>IF(I2070="", "", IF(OR(AND(A2070="Listed Equity Shares", I2070&gt;12), AND(A2070="Unlisted Equity Shares", I2070&gt;24)), "Long Term", "Short Term"))</f>
        <v/>
      </c>
      <c r="K2070" s="5">
        <f>IF(J2070="", "", IF(J2070="Long Term", 12.5%,"as per slab"))</f>
        <v/>
      </c>
      <c r="L2070" s="3">
        <f>+IFERROR(IF(J2070="","",H2070*K2070),"as per slab")</f>
        <v/>
      </c>
    </row>
    <row r="2071">
      <c r="A2071" s="7" t="n"/>
      <c r="B2071" s="7" t="n"/>
      <c r="C2071" s="8" t="n"/>
      <c r="D2071" s="9" t="n"/>
      <c r="E2071" s="8" t="n"/>
      <c r="F2071" s="9" t="n"/>
      <c r="G2071" s="9" t="n"/>
      <c r="H2071" s="3">
        <f>IF(AND(D2071&lt;&gt;"",F2071&lt;&gt;""),F2071-D2071-G2071,"")</f>
        <v/>
      </c>
      <c r="I2071" s="14">
        <f>IF(E2071&lt;&gt;"", YEARFRAC(C2071, E2071) * 12, "")</f>
        <v/>
      </c>
      <c r="J2071" s="2">
        <f>IF(I2071="", "", IF(OR(AND(A2071="Listed Equity Shares", I2071&gt;12), AND(A2071="Unlisted Equity Shares", I2071&gt;24)), "Long Term", "Short Term"))</f>
        <v/>
      </c>
      <c r="K2071" s="5">
        <f>IF(J2071="", "", IF(J2071="Long Term", 12.5%,"as per slab"))</f>
        <v/>
      </c>
      <c r="L2071" s="3">
        <f>+IFERROR(IF(J2071="","",H2071*K2071),"as per slab")</f>
        <v/>
      </c>
    </row>
    <row r="2072">
      <c r="A2072" s="7" t="n"/>
      <c r="B2072" s="7" t="n"/>
      <c r="C2072" s="8" t="n"/>
      <c r="D2072" s="9" t="n"/>
      <c r="E2072" s="8" t="n"/>
      <c r="F2072" s="9" t="n"/>
      <c r="G2072" s="9" t="n"/>
      <c r="H2072" s="3">
        <f>IF(AND(D2072&lt;&gt;"",F2072&lt;&gt;""),F2072-D2072-G2072,"")</f>
        <v/>
      </c>
      <c r="I2072" s="14">
        <f>IF(E2072&lt;&gt;"", YEARFRAC(C2072, E2072) * 12, "")</f>
        <v/>
      </c>
      <c r="J2072" s="2">
        <f>IF(I2072="", "", IF(OR(AND(A2072="Listed Equity Shares", I2072&gt;12), AND(A2072="Unlisted Equity Shares", I2072&gt;24)), "Long Term", "Short Term"))</f>
        <v/>
      </c>
      <c r="K2072" s="5">
        <f>IF(J2072="", "", IF(J2072="Long Term", 12.5%,"as per slab"))</f>
        <v/>
      </c>
      <c r="L2072" s="3">
        <f>+IFERROR(IF(J2072="","",H2072*K2072),"as per slab")</f>
        <v/>
      </c>
    </row>
    <row r="2073">
      <c r="A2073" s="7" t="n"/>
      <c r="B2073" s="7" t="n"/>
      <c r="C2073" s="8" t="n"/>
      <c r="D2073" s="9" t="n"/>
      <c r="E2073" s="8" t="n"/>
      <c r="F2073" s="9" t="n"/>
      <c r="G2073" s="9" t="n"/>
      <c r="H2073" s="3">
        <f>IF(AND(D2073&lt;&gt;"",F2073&lt;&gt;""),F2073-D2073-G2073,"")</f>
        <v/>
      </c>
      <c r="I2073" s="14">
        <f>IF(E2073&lt;&gt;"", YEARFRAC(C2073, E2073) * 12, "")</f>
        <v/>
      </c>
      <c r="J2073" s="2">
        <f>IF(I2073="", "", IF(OR(AND(A2073="Listed Equity Shares", I2073&gt;12), AND(A2073="Unlisted Equity Shares", I2073&gt;24)), "Long Term", "Short Term"))</f>
        <v/>
      </c>
      <c r="K2073" s="5">
        <f>IF(J2073="", "", IF(J2073="Long Term", 12.5%,"as per slab"))</f>
        <v/>
      </c>
      <c r="L2073" s="3">
        <f>+IFERROR(IF(J2073="","",H2073*K2073),"as per slab")</f>
        <v/>
      </c>
    </row>
    <row r="2074">
      <c r="A2074" s="7" t="n"/>
      <c r="B2074" s="7" t="n"/>
      <c r="C2074" s="8" t="n"/>
      <c r="D2074" s="9" t="n"/>
      <c r="E2074" s="8" t="n"/>
      <c r="F2074" s="9" t="n"/>
      <c r="G2074" s="9" t="n"/>
      <c r="H2074" s="3">
        <f>IF(AND(D2074&lt;&gt;"",F2074&lt;&gt;""),F2074-D2074-G2074,"")</f>
        <v/>
      </c>
      <c r="I2074" s="14">
        <f>IF(E2074&lt;&gt;"", YEARFRAC(C2074, E2074) * 12, "")</f>
        <v/>
      </c>
      <c r="J2074" s="2">
        <f>IF(I2074="", "", IF(OR(AND(A2074="Listed Equity Shares", I2074&gt;12), AND(A2074="Unlisted Equity Shares", I2074&gt;24)), "Long Term", "Short Term"))</f>
        <v/>
      </c>
      <c r="K2074" s="5">
        <f>IF(J2074="", "", IF(J2074="Long Term", 12.5%,"as per slab"))</f>
        <v/>
      </c>
      <c r="L2074" s="3">
        <f>+IFERROR(IF(J2074="","",H2074*K2074),"as per slab")</f>
        <v/>
      </c>
    </row>
    <row r="2075">
      <c r="A2075" s="7" t="n"/>
      <c r="B2075" s="7" t="n"/>
      <c r="C2075" s="8" t="n"/>
      <c r="D2075" s="9" t="n"/>
      <c r="E2075" s="8" t="n"/>
      <c r="F2075" s="9" t="n"/>
      <c r="G2075" s="9" t="n"/>
      <c r="H2075" s="3">
        <f>IF(AND(D2075&lt;&gt;"",F2075&lt;&gt;""),F2075-D2075-G2075,"")</f>
        <v/>
      </c>
      <c r="I2075" s="14">
        <f>IF(E2075&lt;&gt;"", YEARFRAC(C2075, E2075) * 12, "")</f>
        <v/>
      </c>
      <c r="J2075" s="2">
        <f>IF(I2075="", "", IF(OR(AND(A2075="Listed Equity Shares", I2075&gt;12), AND(A2075="Unlisted Equity Shares", I2075&gt;24)), "Long Term", "Short Term"))</f>
        <v/>
      </c>
      <c r="K2075" s="5">
        <f>IF(J2075="", "", IF(J2075="Long Term", 12.5%,"as per slab"))</f>
        <v/>
      </c>
      <c r="L2075" s="3">
        <f>+IFERROR(IF(J2075="","",H2075*K2075),"as per slab")</f>
        <v/>
      </c>
    </row>
    <row r="2076">
      <c r="A2076" s="7" t="n"/>
      <c r="B2076" s="7" t="n"/>
      <c r="C2076" s="8" t="n"/>
      <c r="D2076" s="9" t="n"/>
      <c r="E2076" s="8" t="n"/>
      <c r="F2076" s="9" t="n"/>
      <c r="G2076" s="9" t="n"/>
      <c r="H2076" s="3">
        <f>IF(AND(D2076&lt;&gt;"",F2076&lt;&gt;""),F2076-D2076-G2076,"")</f>
        <v/>
      </c>
      <c r="I2076" s="14">
        <f>IF(E2076&lt;&gt;"", YEARFRAC(C2076, E2076) * 12, "")</f>
        <v/>
      </c>
      <c r="J2076" s="2">
        <f>IF(I2076="", "", IF(OR(AND(A2076="Listed Equity Shares", I2076&gt;12), AND(A2076="Unlisted Equity Shares", I2076&gt;24)), "Long Term", "Short Term"))</f>
        <v/>
      </c>
      <c r="K2076" s="5">
        <f>IF(J2076="", "", IF(J2076="Long Term", 12.5%,"as per slab"))</f>
        <v/>
      </c>
      <c r="L2076" s="3">
        <f>+IFERROR(IF(J2076="","",H2076*K2076),"as per slab")</f>
        <v/>
      </c>
    </row>
    <row r="2077">
      <c r="A2077" s="7" t="n"/>
      <c r="B2077" s="7" t="n"/>
      <c r="C2077" s="8" t="n"/>
      <c r="D2077" s="9" t="n"/>
      <c r="E2077" s="8" t="n"/>
      <c r="F2077" s="9" t="n"/>
      <c r="G2077" s="9" t="n"/>
      <c r="H2077" s="3">
        <f>IF(AND(D2077&lt;&gt;"",F2077&lt;&gt;""),F2077-D2077-G2077,"")</f>
        <v/>
      </c>
      <c r="I2077" s="14">
        <f>IF(E2077&lt;&gt;"", YEARFRAC(C2077, E2077) * 12, "")</f>
        <v/>
      </c>
      <c r="J2077" s="2">
        <f>IF(I2077="", "", IF(OR(AND(A2077="Listed Equity Shares", I2077&gt;12), AND(A2077="Unlisted Equity Shares", I2077&gt;24)), "Long Term", "Short Term"))</f>
        <v/>
      </c>
      <c r="K2077" s="5">
        <f>IF(J2077="", "", IF(J2077="Long Term", 12.5%,"as per slab"))</f>
        <v/>
      </c>
      <c r="L2077" s="3">
        <f>+IFERROR(IF(J2077="","",H2077*K2077),"as per slab")</f>
        <v/>
      </c>
    </row>
    <row r="2078">
      <c r="A2078" s="7" t="n"/>
      <c r="B2078" s="7" t="n"/>
      <c r="C2078" s="8" t="n"/>
      <c r="D2078" s="9" t="n"/>
      <c r="E2078" s="8" t="n"/>
      <c r="F2078" s="9" t="n"/>
      <c r="G2078" s="9" t="n"/>
      <c r="H2078" s="3">
        <f>IF(AND(D2078&lt;&gt;"",F2078&lt;&gt;""),F2078-D2078-G2078,"")</f>
        <v/>
      </c>
      <c r="I2078" s="14">
        <f>IF(E2078&lt;&gt;"", YEARFRAC(C2078, E2078) * 12, "")</f>
        <v/>
      </c>
      <c r="J2078" s="2">
        <f>IF(I2078="", "", IF(OR(AND(A2078="Listed Equity Shares", I2078&gt;12), AND(A2078="Unlisted Equity Shares", I2078&gt;24)), "Long Term", "Short Term"))</f>
        <v/>
      </c>
      <c r="K2078" s="5">
        <f>IF(J2078="", "", IF(J2078="Long Term", 12.5%,"as per slab"))</f>
        <v/>
      </c>
      <c r="L2078" s="3">
        <f>+IFERROR(IF(J2078="","",H2078*K2078),"as per slab")</f>
        <v/>
      </c>
    </row>
    <row r="2079">
      <c r="A2079" s="7" t="n"/>
      <c r="B2079" s="7" t="n"/>
      <c r="C2079" s="8" t="n"/>
      <c r="D2079" s="9" t="n"/>
      <c r="E2079" s="8" t="n"/>
      <c r="F2079" s="9" t="n"/>
      <c r="G2079" s="9" t="n"/>
      <c r="H2079" s="3">
        <f>IF(AND(D2079&lt;&gt;"",F2079&lt;&gt;""),F2079-D2079-G2079,"")</f>
        <v/>
      </c>
      <c r="I2079" s="14">
        <f>IF(E2079&lt;&gt;"", YEARFRAC(C2079, E2079) * 12, "")</f>
        <v/>
      </c>
      <c r="J2079" s="2">
        <f>IF(I2079="", "", IF(OR(AND(A2079="Listed Equity Shares", I2079&gt;12), AND(A2079="Unlisted Equity Shares", I2079&gt;24)), "Long Term", "Short Term"))</f>
        <v/>
      </c>
      <c r="K2079" s="5">
        <f>IF(J2079="", "", IF(J2079="Long Term", 12.5%,"as per slab"))</f>
        <v/>
      </c>
      <c r="L2079" s="3">
        <f>+IFERROR(IF(J2079="","",H2079*K2079),"as per slab")</f>
        <v/>
      </c>
    </row>
    <row r="2080">
      <c r="A2080" s="7" t="n"/>
      <c r="B2080" s="7" t="n"/>
      <c r="C2080" s="8" t="n"/>
      <c r="D2080" s="9" t="n"/>
      <c r="E2080" s="8" t="n"/>
      <c r="F2080" s="9" t="n"/>
      <c r="G2080" s="9" t="n"/>
      <c r="H2080" s="3">
        <f>IF(AND(D2080&lt;&gt;"",F2080&lt;&gt;""),F2080-D2080-G2080,"")</f>
        <v/>
      </c>
      <c r="I2080" s="14">
        <f>IF(E2080&lt;&gt;"", YEARFRAC(C2080, E2080) * 12, "")</f>
        <v/>
      </c>
      <c r="J2080" s="2">
        <f>IF(I2080="", "", IF(OR(AND(A2080="Listed Equity Shares", I2080&gt;12), AND(A2080="Unlisted Equity Shares", I2080&gt;24)), "Long Term", "Short Term"))</f>
        <v/>
      </c>
      <c r="K2080" s="5">
        <f>IF(J2080="", "", IF(J2080="Long Term", 12.5%,"as per slab"))</f>
        <v/>
      </c>
      <c r="L2080" s="3">
        <f>+IFERROR(IF(J2080="","",H2080*K2080),"as per slab")</f>
        <v/>
      </c>
    </row>
    <row r="2081">
      <c r="A2081" s="7" t="n"/>
      <c r="B2081" s="7" t="n"/>
      <c r="C2081" s="8" t="n"/>
      <c r="D2081" s="9" t="n"/>
      <c r="E2081" s="8" t="n"/>
      <c r="F2081" s="9" t="n"/>
      <c r="G2081" s="9" t="n"/>
      <c r="H2081" s="3">
        <f>IF(AND(D2081&lt;&gt;"",F2081&lt;&gt;""),F2081-D2081-G2081,"")</f>
        <v/>
      </c>
      <c r="I2081" s="14">
        <f>IF(E2081&lt;&gt;"", YEARFRAC(C2081, E2081) * 12, "")</f>
        <v/>
      </c>
      <c r="J2081" s="2">
        <f>IF(I2081="", "", IF(OR(AND(A2081="Listed Equity Shares", I2081&gt;12), AND(A2081="Unlisted Equity Shares", I2081&gt;24)), "Long Term", "Short Term"))</f>
        <v/>
      </c>
      <c r="K2081" s="5">
        <f>IF(J2081="", "", IF(J2081="Long Term", 12.5%,"as per slab"))</f>
        <v/>
      </c>
      <c r="L2081" s="3">
        <f>+IFERROR(IF(J2081="","",H2081*K2081),"as per slab")</f>
        <v/>
      </c>
    </row>
    <row r="2082">
      <c r="A2082" s="7" t="n"/>
      <c r="B2082" s="7" t="n"/>
      <c r="C2082" s="8" t="n"/>
      <c r="D2082" s="9" t="n"/>
      <c r="E2082" s="8" t="n"/>
      <c r="F2082" s="9" t="n"/>
      <c r="G2082" s="9" t="n"/>
      <c r="H2082" s="3">
        <f>IF(AND(D2082&lt;&gt;"",F2082&lt;&gt;""),F2082-D2082-G2082,"")</f>
        <v/>
      </c>
      <c r="I2082" s="14">
        <f>IF(E2082&lt;&gt;"", YEARFRAC(C2082, E2082) * 12, "")</f>
        <v/>
      </c>
      <c r="J2082" s="2">
        <f>IF(I2082="", "", IF(OR(AND(A2082="Listed Equity Shares", I2082&gt;12), AND(A2082="Unlisted Equity Shares", I2082&gt;24)), "Long Term", "Short Term"))</f>
        <v/>
      </c>
      <c r="K2082" s="5">
        <f>IF(J2082="", "", IF(J2082="Long Term", 12.5%,"as per slab"))</f>
        <v/>
      </c>
      <c r="L2082" s="3">
        <f>+IFERROR(IF(J2082="","",H2082*K2082),"as per slab")</f>
        <v/>
      </c>
    </row>
    <row r="2083">
      <c r="A2083" s="7" t="n"/>
      <c r="B2083" s="7" t="n"/>
      <c r="C2083" s="8" t="n"/>
      <c r="D2083" s="9" t="n"/>
      <c r="E2083" s="8" t="n"/>
      <c r="F2083" s="9" t="n"/>
      <c r="G2083" s="9" t="n"/>
      <c r="H2083" s="3">
        <f>IF(AND(D2083&lt;&gt;"",F2083&lt;&gt;""),F2083-D2083-G2083,"")</f>
        <v/>
      </c>
      <c r="I2083" s="14">
        <f>IF(E2083&lt;&gt;"", YEARFRAC(C2083, E2083) * 12, "")</f>
        <v/>
      </c>
      <c r="J2083" s="2">
        <f>IF(I2083="", "", IF(OR(AND(A2083="Listed Equity Shares", I2083&gt;12), AND(A2083="Unlisted Equity Shares", I2083&gt;24)), "Long Term", "Short Term"))</f>
        <v/>
      </c>
      <c r="K2083" s="5">
        <f>IF(J2083="", "", IF(J2083="Long Term", 12.5%,"as per slab"))</f>
        <v/>
      </c>
      <c r="L2083" s="3">
        <f>+IFERROR(IF(J2083="","",H2083*K2083),"as per slab")</f>
        <v/>
      </c>
    </row>
    <row r="2084">
      <c r="A2084" s="7" t="n"/>
      <c r="B2084" s="7" t="n"/>
      <c r="C2084" s="8" t="n"/>
      <c r="D2084" s="9" t="n"/>
      <c r="E2084" s="8" t="n"/>
      <c r="F2084" s="9" t="n"/>
      <c r="G2084" s="9" t="n"/>
      <c r="H2084" s="3">
        <f>IF(AND(D2084&lt;&gt;"",F2084&lt;&gt;""),F2084-D2084-G2084,"")</f>
        <v/>
      </c>
      <c r="I2084" s="14">
        <f>IF(E2084&lt;&gt;"", YEARFRAC(C2084, E2084) * 12, "")</f>
        <v/>
      </c>
      <c r="J2084" s="2">
        <f>IF(I2084="", "", IF(OR(AND(A2084="Listed Equity Shares", I2084&gt;12), AND(A2084="Unlisted Equity Shares", I2084&gt;24)), "Long Term", "Short Term"))</f>
        <v/>
      </c>
      <c r="K2084" s="5">
        <f>IF(J2084="", "", IF(J2084="Long Term", 12.5%,"as per slab"))</f>
        <v/>
      </c>
      <c r="L2084" s="3">
        <f>+IFERROR(IF(J2084="","",H2084*K2084),"as per slab")</f>
        <v/>
      </c>
    </row>
    <row r="2085">
      <c r="A2085" s="7" t="n"/>
      <c r="B2085" s="7" t="n"/>
      <c r="C2085" s="8" t="n"/>
      <c r="D2085" s="9" t="n"/>
      <c r="E2085" s="8" t="n"/>
      <c r="F2085" s="9" t="n"/>
      <c r="G2085" s="9" t="n"/>
      <c r="H2085" s="3">
        <f>IF(AND(D2085&lt;&gt;"",F2085&lt;&gt;""),F2085-D2085-G2085,"")</f>
        <v/>
      </c>
      <c r="I2085" s="14">
        <f>IF(E2085&lt;&gt;"", YEARFRAC(C2085, E2085) * 12, "")</f>
        <v/>
      </c>
      <c r="J2085" s="2">
        <f>IF(I2085="", "", IF(OR(AND(A2085="Listed Equity Shares", I2085&gt;12), AND(A2085="Unlisted Equity Shares", I2085&gt;24)), "Long Term", "Short Term"))</f>
        <v/>
      </c>
      <c r="K2085" s="5">
        <f>IF(J2085="", "", IF(J2085="Long Term", 12.5%,"as per slab"))</f>
        <v/>
      </c>
      <c r="L2085" s="3">
        <f>+IFERROR(IF(J2085="","",H2085*K2085),"as per slab")</f>
        <v/>
      </c>
    </row>
    <row r="2086">
      <c r="A2086" s="7" t="n"/>
      <c r="B2086" s="7" t="n"/>
      <c r="C2086" s="8" t="n"/>
      <c r="D2086" s="9" t="n"/>
      <c r="E2086" s="8" t="n"/>
      <c r="F2086" s="9" t="n"/>
      <c r="G2086" s="9" t="n"/>
      <c r="H2086" s="3">
        <f>IF(AND(D2086&lt;&gt;"",F2086&lt;&gt;""),F2086-D2086-G2086,"")</f>
        <v/>
      </c>
      <c r="I2086" s="14">
        <f>IF(E2086&lt;&gt;"", YEARFRAC(C2086, E2086) * 12, "")</f>
        <v/>
      </c>
      <c r="J2086" s="2">
        <f>IF(I2086="", "", IF(OR(AND(A2086="Listed Equity Shares", I2086&gt;12), AND(A2086="Unlisted Equity Shares", I2086&gt;24)), "Long Term", "Short Term"))</f>
        <v/>
      </c>
      <c r="K2086" s="5">
        <f>IF(J2086="", "", IF(J2086="Long Term", 12.5%,"as per slab"))</f>
        <v/>
      </c>
      <c r="L2086" s="3">
        <f>+IFERROR(IF(J2086="","",H2086*K2086),"as per slab")</f>
        <v/>
      </c>
    </row>
    <row r="2087">
      <c r="A2087" s="7" t="n"/>
      <c r="B2087" s="7" t="n"/>
      <c r="C2087" s="8" t="n"/>
      <c r="D2087" s="9" t="n"/>
      <c r="E2087" s="8" t="n"/>
      <c r="F2087" s="9" t="n"/>
      <c r="G2087" s="9" t="n"/>
      <c r="H2087" s="3">
        <f>IF(AND(D2087&lt;&gt;"",F2087&lt;&gt;""),F2087-D2087-G2087,"")</f>
        <v/>
      </c>
      <c r="I2087" s="14">
        <f>IF(E2087&lt;&gt;"", YEARFRAC(C2087, E2087) * 12, "")</f>
        <v/>
      </c>
      <c r="J2087" s="2">
        <f>IF(I2087="", "", IF(OR(AND(A2087="Listed Equity Shares", I2087&gt;12), AND(A2087="Unlisted Equity Shares", I2087&gt;24)), "Long Term", "Short Term"))</f>
        <v/>
      </c>
      <c r="K2087" s="5">
        <f>IF(J2087="", "", IF(J2087="Long Term", 12.5%,"as per slab"))</f>
        <v/>
      </c>
      <c r="L2087" s="3">
        <f>+IFERROR(IF(J2087="","",H2087*K2087),"as per slab")</f>
        <v/>
      </c>
    </row>
    <row r="2088">
      <c r="A2088" s="7" t="n"/>
      <c r="B2088" s="7" t="n"/>
      <c r="C2088" s="8" t="n"/>
      <c r="D2088" s="9" t="n"/>
      <c r="E2088" s="8" t="n"/>
      <c r="F2088" s="9" t="n"/>
      <c r="G2088" s="9" t="n"/>
      <c r="H2088" s="3">
        <f>IF(AND(D2088&lt;&gt;"",F2088&lt;&gt;""),F2088-D2088-G2088,"")</f>
        <v/>
      </c>
      <c r="I2088" s="14">
        <f>IF(E2088&lt;&gt;"", YEARFRAC(C2088, E2088) * 12, "")</f>
        <v/>
      </c>
      <c r="J2088" s="2">
        <f>IF(I2088="", "", IF(OR(AND(A2088="Listed Equity Shares", I2088&gt;12), AND(A2088="Unlisted Equity Shares", I2088&gt;24)), "Long Term", "Short Term"))</f>
        <v/>
      </c>
      <c r="K2088" s="5">
        <f>IF(J2088="", "", IF(J2088="Long Term", 12.5%,"as per slab"))</f>
        <v/>
      </c>
      <c r="L2088" s="3">
        <f>+IFERROR(IF(J2088="","",H2088*K2088),"as per slab")</f>
        <v/>
      </c>
    </row>
    <row r="2089">
      <c r="A2089" s="7" t="n"/>
      <c r="B2089" s="7" t="n"/>
      <c r="C2089" s="8" t="n"/>
      <c r="D2089" s="9" t="n"/>
      <c r="E2089" s="8" t="n"/>
      <c r="F2089" s="9" t="n"/>
      <c r="G2089" s="9" t="n"/>
      <c r="H2089" s="3">
        <f>IF(AND(D2089&lt;&gt;"",F2089&lt;&gt;""),F2089-D2089-G2089,"")</f>
        <v/>
      </c>
      <c r="I2089" s="14">
        <f>IF(E2089&lt;&gt;"", YEARFRAC(C2089, E2089) * 12, "")</f>
        <v/>
      </c>
      <c r="J2089" s="2">
        <f>IF(I2089="", "", IF(OR(AND(A2089="Listed Equity Shares", I2089&gt;12), AND(A2089="Unlisted Equity Shares", I2089&gt;24)), "Long Term", "Short Term"))</f>
        <v/>
      </c>
      <c r="K2089" s="5">
        <f>IF(J2089="", "", IF(J2089="Long Term", 12.5%,"as per slab"))</f>
        <v/>
      </c>
      <c r="L2089" s="3">
        <f>+IFERROR(IF(J2089="","",H2089*K2089),"as per slab")</f>
        <v/>
      </c>
    </row>
    <row r="2090">
      <c r="A2090" s="7" t="n"/>
      <c r="B2090" s="7" t="n"/>
      <c r="C2090" s="8" t="n"/>
      <c r="D2090" s="9" t="n"/>
      <c r="E2090" s="8" t="n"/>
      <c r="F2090" s="9" t="n"/>
      <c r="G2090" s="9" t="n"/>
      <c r="H2090" s="3">
        <f>IF(AND(D2090&lt;&gt;"",F2090&lt;&gt;""),F2090-D2090-G2090,"")</f>
        <v/>
      </c>
      <c r="I2090" s="14">
        <f>IF(E2090&lt;&gt;"", YEARFRAC(C2090, E2090) * 12, "")</f>
        <v/>
      </c>
      <c r="J2090" s="2">
        <f>IF(I2090="", "", IF(OR(AND(A2090="Listed Equity Shares", I2090&gt;12), AND(A2090="Unlisted Equity Shares", I2090&gt;24)), "Long Term", "Short Term"))</f>
        <v/>
      </c>
      <c r="K2090" s="5">
        <f>IF(J2090="", "", IF(J2090="Long Term", 12.5%,"as per slab"))</f>
        <v/>
      </c>
      <c r="L2090" s="3">
        <f>+IFERROR(IF(J2090="","",H2090*K2090),"as per slab")</f>
        <v/>
      </c>
    </row>
    <row r="2091">
      <c r="A2091" s="7" t="n"/>
      <c r="B2091" s="7" t="n"/>
      <c r="C2091" s="8" t="n"/>
      <c r="D2091" s="9" t="n"/>
      <c r="E2091" s="8" t="n"/>
      <c r="F2091" s="9" t="n"/>
      <c r="G2091" s="9" t="n"/>
      <c r="H2091" s="3">
        <f>IF(AND(D2091&lt;&gt;"",F2091&lt;&gt;""),F2091-D2091-G2091,"")</f>
        <v/>
      </c>
      <c r="I2091" s="14">
        <f>IF(E2091&lt;&gt;"", YEARFRAC(C2091, E2091) * 12, "")</f>
        <v/>
      </c>
      <c r="J2091" s="2">
        <f>IF(I2091="", "", IF(OR(AND(A2091="Listed Equity Shares", I2091&gt;12), AND(A2091="Unlisted Equity Shares", I2091&gt;24)), "Long Term", "Short Term"))</f>
        <v/>
      </c>
      <c r="K2091" s="5">
        <f>IF(J2091="", "", IF(J2091="Long Term", 12.5%,"as per slab"))</f>
        <v/>
      </c>
      <c r="L2091" s="3">
        <f>+IFERROR(IF(J2091="","",H2091*K2091),"as per slab")</f>
        <v/>
      </c>
    </row>
    <row r="2092">
      <c r="A2092" s="7" t="n"/>
      <c r="B2092" s="7" t="n"/>
      <c r="C2092" s="8" t="n"/>
      <c r="D2092" s="9" t="n"/>
      <c r="E2092" s="8" t="n"/>
      <c r="F2092" s="9" t="n"/>
      <c r="G2092" s="9" t="n"/>
      <c r="H2092" s="3">
        <f>IF(AND(D2092&lt;&gt;"",F2092&lt;&gt;""),F2092-D2092-G2092,"")</f>
        <v/>
      </c>
      <c r="I2092" s="14">
        <f>IF(E2092&lt;&gt;"", YEARFRAC(C2092, E2092) * 12, "")</f>
        <v/>
      </c>
      <c r="J2092" s="2">
        <f>IF(I2092="", "", IF(OR(AND(A2092="Listed Equity Shares", I2092&gt;12), AND(A2092="Unlisted Equity Shares", I2092&gt;24)), "Long Term", "Short Term"))</f>
        <v/>
      </c>
      <c r="K2092" s="5">
        <f>IF(J2092="", "", IF(J2092="Long Term", 12.5%,"as per slab"))</f>
        <v/>
      </c>
      <c r="L2092" s="3">
        <f>+IFERROR(IF(J2092="","",H2092*K2092),"as per slab")</f>
        <v/>
      </c>
    </row>
    <row r="2093">
      <c r="A2093" s="7" t="n"/>
      <c r="B2093" s="7" t="n"/>
      <c r="C2093" s="8" t="n"/>
      <c r="D2093" s="9" t="n"/>
      <c r="E2093" s="8" t="n"/>
      <c r="F2093" s="9" t="n"/>
      <c r="G2093" s="9" t="n"/>
      <c r="H2093" s="3">
        <f>IF(AND(D2093&lt;&gt;"",F2093&lt;&gt;""),F2093-D2093-G2093,"")</f>
        <v/>
      </c>
      <c r="I2093" s="14">
        <f>IF(E2093&lt;&gt;"", YEARFRAC(C2093, E2093) * 12, "")</f>
        <v/>
      </c>
      <c r="J2093" s="2">
        <f>IF(I2093="", "", IF(OR(AND(A2093="Listed Equity Shares", I2093&gt;12), AND(A2093="Unlisted Equity Shares", I2093&gt;24)), "Long Term", "Short Term"))</f>
        <v/>
      </c>
      <c r="K2093" s="5">
        <f>IF(J2093="", "", IF(J2093="Long Term", 12.5%,"as per slab"))</f>
        <v/>
      </c>
      <c r="L2093" s="3">
        <f>+IFERROR(IF(J2093="","",H2093*K2093),"as per slab")</f>
        <v/>
      </c>
    </row>
    <row r="2094">
      <c r="A2094" s="7" t="n"/>
      <c r="B2094" s="7" t="n"/>
      <c r="C2094" s="8" t="n"/>
      <c r="D2094" s="9" t="n"/>
      <c r="E2094" s="8" t="n"/>
      <c r="F2094" s="9" t="n"/>
      <c r="G2094" s="9" t="n"/>
      <c r="H2094" s="3">
        <f>IF(AND(D2094&lt;&gt;"",F2094&lt;&gt;""),F2094-D2094-G2094,"")</f>
        <v/>
      </c>
      <c r="I2094" s="14">
        <f>IF(E2094&lt;&gt;"", YEARFRAC(C2094, E2094) * 12, "")</f>
        <v/>
      </c>
      <c r="J2094" s="2">
        <f>IF(I2094="", "", IF(OR(AND(A2094="Listed Equity Shares", I2094&gt;12), AND(A2094="Unlisted Equity Shares", I2094&gt;24)), "Long Term", "Short Term"))</f>
        <v/>
      </c>
      <c r="K2094" s="5">
        <f>IF(J2094="", "", IF(J2094="Long Term", 12.5%,"as per slab"))</f>
        <v/>
      </c>
      <c r="L2094" s="3">
        <f>+IFERROR(IF(J2094="","",H2094*K2094),"as per slab")</f>
        <v/>
      </c>
    </row>
    <row r="2095">
      <c r="A2095" s="7" t="n"/>
      <c r="B2095" s="7" t="n"/>
      <c r="C2095" s="8" t="n"/>
      <c r="D2095" s="9" t="n"/>
      <c r="E2095" s="8" t="n"/>
      <c r="F2095" s="9" t="n"/>
      <c r="G2095" s="9" t="n"/>
      <c r="H2095" s="3">
        <f>IF(AND(D2095&lt;&gt;"",F2095&lt;&gt;""),F2095-D2095-G2095,"")</f>
        <v/>
      </c>
      <c r="I2095" s="14">
        <f>IF(E2095&lt;&gt;"", YEARFRAC(C2095, E2095) * 12, "")</f>
        <v/>
      </c>
      <c r="J2095" s="2">
        <f>IF(I2095="", "", IF(OR(AND(A2095="Listed Equity Shares", I2095&gt;12), AND(A2095="Unlisted Equity Shares", I2095&gt;24)), "Long Term", "Short Term"))</f>
        <v/>
      </c>
      <c r="K2095" s="5">
        <f>IF(J2095="", "", IF(J2095="Long Term", 12.5%,"as per slab"))</f>
        <v/>
      </c>
      <c r="L2095" s="3">
        <f>+IFERROR(IF(J2095="","",H2095*K2095),"as per slab")</f>
        <v/>
      </c>
    </row>
    <row r="2096">
      <c r="A2096" s="7" t="n"/>
      <c r="B2096" s="7" t="n"/>
      <c r="C2096" s="8" t="n"/>
      <c r="D2096" s="9" t="n"/>
      <c r="E2096" s="8" t="n"/>
      <c r="F2096" s="9" t="n"/>
      <c r="G2096" s="9" t="n"/>
      <c r="H2096" s="3">
        <f>IF(AND(D2096&lt;&gt;"",F2096&lt;&gt;""),F2096-D2096-G2096,"")</f>
        <v/>
      </c>
      <c r="I2096" s="14">
        <f>IF(E2096&lt;&gt;"", YEARFRAC(C2096, E2096) * 12, "")</f>
        <v/>
      </c>
      <c r="J2096" s="2">
        <f>IF(I2096="", "", IF(OR(AND(A2096="Listed Equity Shares", I2096&gt;12), AND(A2096="Unlisted Equity Shares", I2096&gt;24)), "Long Term", "Short Term"))</f>
        <v/>
      </c>
      <c r="K2096" s="5">
        <f>IF(J2096="", "", IF(J2096="Long Term", 12.5%,"as per slab"))</f>
        <v/>
      </c>
      <c r="L2096" s="3">
        <f>+IFERROR(IF(J2096="","",H2096*K2096),"as per slab")</f>
        <v/>
      </c>
    </row>
    <row r="2097">
      <c r="A2097" s="7" t="n"/>
      <c r="B2097" s="7" t="n"/>
      <c r="C2097" s="8" t="n"/>
      <c r="D2097" s="9" t="n"/>
      <c r="E2097" s="8" t="n"/>
      <c r="F2097" s="9" t="n"/>
      <c r="G2097" s="9" t="n"/>
      <c r="H2097" s="3">
        <f>IF(AND(D2097&lt;&gt;"",F2097&lt;&gt;""),F2097-D2097-G2097,"")</f>
        <v/>
      </c>
      <c r="I2097" s="14">
        <f>IF(E2097&lt;&gt;"", YEARFRAC(C2097, E2097) * 12, "")</f>
        <v/>
      </c>
      <c r="J2097" s="2">
        <f>IF(I2097="", "", IF(OR(AND(A2097="Listed Equity Shares", I2097&gt;12), AND(A2097="Unlisted Equity Shares", I2097&gt;24)), "Long Term", "Short Term"))</f>
        <v/>
      </c>
      <c r="K2097" s="5">
        <f>IF(J2097="", "", IF(J2097="Long Term", 12.5%,"as per slab"))</f>
        <v/>
      </c>
      <c r="L2097" s="3">
        <f>+IFERROR(IF(J2097="","",H2097*K2097),"as per slab")</f>
        <v/>
      </c>
    </row>
    <row r="2098">
      <c r="A2098" s="7" t="n"/>
      <c r="B2098" s="7" t="n"/>
      <c r="C2098" s="8" t="n"/>
      <c r="D2098" s="9" t="n"/>
      <c r="E2098" s="8" t="n"/>
      <c r="F2098" s="9" t="n"/>
      <c r="G2098" s="9" t="n"/>
      <c r="H2098" s="3">
        <f>IF(AND(D2098&lt;&gt;"",F2098&lt;&gt;""),F2098-D2098-G2098,"")</f>
        <v/>
      </c>
      <c r="I2098" s="14">
        <f>IF(E2098&lt;&gt;"", YEARFRAC(C2098, E2098) * 12, "")</f>
        <v/>
      </c>
      <c r="J2098" s="2">
        <f>IF(I2098="", "", IF(OR(AND(A2098="Listed Equity Shares", I2098&gt;12), AND(A2098="Unlisted Equity Shares", I2098&gt;24)), "Long Term", "Short Term"))</f>
        <v/>
      </c>
      <c r="K2098" s="5">
        <f>IF(J2098="", "", IF(J2098="Long Term", 12.5%,"as per slab"))</f>
        <v/>
      </c>
      <c r="L2098" s="3">
        <f>+IFERROR(IF(J2098="","",H2098*K2098),"as per slab")</f>
        <v/>
      </c>
    </row>
    <row r="2099">
      <c r="A2099" s="7" t="n"/>
      <c r="B2099" s="7" t="n"/>
      <c r="C2099" s="8" t="n"/>
      <c r="D2099" s="9" t="n"/>
      <c r="E2099" s="8" t="n"/>
      <c r="F2099" s="9" t="n"/>
      <c r="G2099" s="9" t="n"/>
      <c r="H2099" s="3">
        <f>IF(AND(D2099&lt;&gt;"",F2099&lt;&gt;""),F2099-D2099-G2099,"")</f>
        <v/>
      </c>
      <c r="I2099" s="14">
        <f>IF(E2099&lt;&gt;"", YEARFRAC(C2099, E2099) * 12, "")</f>
        <v/>
      </c>
      <c r="J2099" s="2">
        <f>IF(I2099="", "", IF(OR(AND(A2099="Listed Equity Shares", I2099&gt;12), AND(A2099="Unlisted Equity Shares", I2099&gt;24)), "Long Term", "Short Term"))</f>
        <v/>
      </c>
      <c r="K2099" s="5">
        <f>IF(J2099="", "", IF(J2099="Long Term", 12.5%,"as per slab"))</f>
        <v/>
      </c>
      <c r="L2099" s="3">
        <f>+IFERROR(IF(J2099="","",H2099*K2099),"as per slab")</f>
        <v/>
      </c>
    </row>
    <row r="2100">
      <c r="A2100" s="7" t="n"/>
      <c r="B2100" s="7" t="n"/>
      <c r="C2100" s="8" t="n"/>
      <c r="D2100" s="9" t="n"/>
      <c r="E2100" s="8" t="n"/>
      <c r="F2100" s="9" t="n"/>
      <c r="G2100" s="9" t="n"/>
      <c r="H2100" s="3">
        <f>IF(AND(D2100&lt;&gt;"",F2100&lt;&gt;""),F2100-D2100-G2100,"")</f>
        <v/>
      </c>
      <c r="I2100" s="14">
        <f>IF(E2100&lt;&gt;"", YEARFRAC(C2100, E2100) * 12, "")</f>
        <v/>
      </c>
      <c r="J2100" s="2">
        <f>IF(I2100="", "", IF(OR(AND(A2100="Listed Equity Shares", I2100&gt;12), AND(A2100="Unlisted Equity Shares", I2100&gt;24)), "Long Term", "Short Term"))</f>
        <v/>
      </c>
      <c r="K2100" s="5">
        <f>IF(J2100="", "", IF(J2100="Long Term", 12.5%,"as per slab"))</f>
        <v/>
      </c>
      <c r="L2100" s="3">
        <f>+IFERROR(IF(J2100="","",H2100*K2100),"as per slab")</f>
        <v/>
      </c>
    </row>
    <row r="2101">
      <c r="A2101" s="7" t="n"/>
      <c r="B2101" s="7" t="n"/>
      <c r="C2101" s="8" t="n"/>
      <c r="D2101" s="9" t="n"/>
      <c r="E2101" s="8" t="n"/>
      <c r="F2101" s="9" t="n"/>
      <c r="G2101" s="9" t="n"/>
      <c r="H2101" s="3">
        <f>IF(AND(D2101&lt;&gt;"",F2101&lt;&gt;""),F2101-D2101-G2101,"")</f>
        <v/>
      </c>
      <c r="I2101" s="14">
        <f>IF(E2101&lt;&gt;"", YEARFRAC(C2101, E2101) * 12, "")</f>
        <v/>
      </c>
      <c r="J2101" s="2">
        <f>IF(I2101="", "", IF(OR(AND(A2101="Listed Equity Shares", I2101&gt;12), AND(A2101="Unlisted Equity Shares", I2101&gt;24)), "Long Term", "Short Term"))</f>
        <v/>
      </c>
      <c r="K2101" s="5">
        <f>IF(J2101="", "", IF(J2101="Long Term", 12.5%,"as per slab"))</f>
        <v/>
      </c>
      <c r="L2101" s="3">
        <f>+IFERROR(IF(J2101="","",H2101*K2101),"as per slab")</f>
        <v/>
      </c>
    </row>
    <row r="2102">
      <c r="A2102" s="7" t="n"/>
      <c r="B2102" s="7" t="n"/>
      <c r="C2102" s="8" t="n"/>
      <c r="D2102" s="9" t="n"/>
      <c r="E2102" s="8" t="n"/>
      <c r="F2102" s="9" t="n"/>
      <c r="G2102" s="9" t="n"/>
      <c r="H2102" s="3">
        <f>IF(AND(D2102&lt;&gt;"",F2102&lt;&gt;""),F2102-D2102-G2102,"")</f>
        <v/>
      </c>
      <c r="I2102" s="14">
        <f>IF(E2102&lt;&gt;"", YEARFRAC(C2102, E2102) * 12, "")</f>
        <v/>
      </c>
      <c r="J2102" s="2">
        <f>IF(I2102="", "", IF(OR(AND(A2102="Listed Equity Shares", I2102&gt;12), AND(A2102="Unlisted Equity Shares", I2102&gt;24)), "Long Term", "Short Term"))</f>
        <v/>
      </c>
      <c r="K2102" s="5">
        <f>IF(J2102="", "", IF(J2102="Long Term", 12.5%,"as per slab"))</f>
        <v/>
      </c>
      <c r="L2102" s="3">
        <f>+IFERROR(IF(J2102="","",H2102*K2102),"as per slab")</f>
        <v/>
      </c>
    </row>
    <row r="2103">
      <c r="A2103" s="7" t="n"/>
      <c r="B2103" s="7" t="n"/>
      <c r="C2103" s="8" t="n"/>
      <c r="D2103" s="9" t="n"/>
      <c r="E2103" s="8" t="n"/>
      <c r="F2103" s="9" t="n"/>
      <c r="G2103" s="9" t="n"/>
      <c r="H2103" s="3">
        <f>IF(AND(D2103&lt;&gt;"",F2103&lt;&gt;""),F2103-D2103-G2103,"")</f>
        <v/>
      </c>
      <c r="I2103" s="14">
        <f>IF(E2103&lt;&gt;"", YEARFRAC(C2103, E2103) * 12, "")</f>
        <v/>
      </c>
      <c r="J2103" s="2">
        <f>IF(I2103="", "", IF(OR(AND(A2103="Listed Equity Shares", I2103&gt;12), AND(A2103="Unlisted Equity Shares", I2103&gt;24)), "Long Term", "Short Term"))</f>
        <v/>
      </c>
      <c r="K2103" s="5">
        <f>IF(J2103="", "", IF(J2103="Long Term", 12.5%,"as per slab"))</f>
        <v/>
      </c>
      <c r="L2103" s="3">
        <f>+IFERROR(IF(J2103="","",H2103*K2103),"as per slab")</f>
        <v/>
      </c>
    </row>
    <row r="2104">
      <c r="A2104" s="7" t="n"/>
      <c r="B2104" s="7" t="n"/>
      <c r="C2104" s="8" t="n"/>
      <c r="D2104" s="9" t="n"/>
      <c r="E2104" s="8" t="n"/>
      <c r="F2104" s="9" t="n"/>
      <c r="G2104" s="9" t="n"/>
      <c r="H2104" s="3">
        <f>IF(AND(D2104&lt;&gt;"",F2104&lt;&gt;""),F2104-D2104-G2104,"")</f>
        <v/>
      </c>
      <c r="I2104" s="14">
        <f>IF(E2104&lt;&gt;"", YEARFRAC(C2104, E2104) * 12, "")</f>
        <v/>
      </c>
      <c r="J2104" s="2">
        <f>IF(I2104="", "", IF(OR(AND(A2104="Listed Equity Shares", I2104&gt;12), AND(A2104="Unlisted Equity Shares", I2104&gt;24)), "Long Term", "Short Term"))</f>
        <v/>
      </c>
      <c r="K2104" s="5">
        <f>IF(J2104="", "", IF(J2104="Long Term", 12.5%,"as per slab"))</f>
        <v/>
      </c>
      <c r="L2104" s="3">
        <f>+IFERROR(IF(J2104="","",H2104*K2104),"as per slab")</f>
        <v/>
      </c>
    </row>
    <row r="2105">
      <c r="A2105" s="7" t="n"/>
      <c r="B2105" s="7" t="n"/>
      <c r="C2105" s="8" t="n"/>
      <c r="D2105" s="9" t="n"/>
      <c r="E2105" s="8" t="n"/>
      <c r="F2105" s="9" t="n"/>
      <c r="G2105" s="9" t="n"/>
      <c r="H2105" s="3">
        <f>IF(AND(D2105&lt;&gt;"",F2105&lt;&gt;""),F2105-D2105-G2105,"")</f>
        <v/>
      </c>
      <c r="I2105" s="14">
        <f>IF(E2105&lt;&gt;"", YEARFRAC(C2105, E2105) * 12, "")</f>
        <v/>
      </c>
      <c r="J2105" s="2">
        <f>IF(I2105="", "", IF(OR(AND(A2105="Listed Equity Shares", I2105&gt;12), AND(A2105="Unlisted Equity Shares", I2105&gt;24)), "Long Term", "Short Term"))</f>
        <v/>
      </c>
      <c r="K2105" s="5">
        <f>IF(J2105="", "", IF(J2105="Long Term", 12.5%,"as per slab"))</f>
        <v/>
      </c>
      <c r="L2105" s="3">
        <f>+IFERROR(IF(J2105="","",H2105*K2105),"as per slab")</f>
        <v/>
      </c>
    </row>
    <row r="2106">
      <c r="A2106" s="7" t="n"/>
      <c r="B2106" s="7" t="n"/>
      <c r="C2106" s="8" t="n"/>
      <c r="D2106" s="9" t="n"/>
      <c r="E2106" s="8" t="n"/>
      <c r="F2106" s="9" t="n"/>
      <c r="G2106" s="9" t="n"/>
      <c r="H2106" s="3">
        <f>IF(AND(D2106&lt;&gt;"",F2106&lt;&gt;""),F2106-D2106-G2106,"")</f>
        <v/>
      </c>
      <c r="I2106" s="14">
        <f>IF(E2106&lt;&gt;"", YEARFRAC(C2106, E2106) * 12, "")</f>
        <v/>
      </c>
      <c r="J2106" s="2">
        <f>IF(I2106="", "", IF(OR(AND(A2106="Listed Equity Shares", I2106&gt;12), AND(A2106="Unlisted Equity Shares", I2106&gt;24)), "Long Term", "Short Term"))</f>
        <v/>
      </c>
      <c r="K2106" s="5">
        <f>IF(J2106="", "", IF(J2106="Long Term", 12.5%,"as per slab"))</f>
        <v/>
      </c>
      <c r="L2106" s="3">
        <f>+IFERROR(IF(J2106="","",H2106*K2106),"as per slab")</f>
        <v/>
      </c>
    </row>
    <row r="2107">
      <c r="A2107" s="7" t="n"/>
      <c r="B2107" s="7" t="n"/>
      <c r="C2107" s="8" t="n"/>
      <c r="D2107" s="9" t="n"/>
      <c r="E2107" s="8" t="n"/>
      <c r="F2107" s="9" t="n"/>
      <c r="G2107" s="9" t="n"/>
      <c r="H2107" s="3">
        <f>IF(AND(D2107&lt;&gt;"",F2107&lt;&gt;""),F2107-D2107-G2107,"")</f>
        <v/>
      </c>
      <c r="I2107" s="14">
        <f>IF(E2107&lt;&gt;"", YEARFRAC(C2107, E2107) * 12, "")</f>
        <v/>
      </c>
      <c r="J2107" s="2">
        <f>IF(I2107="", "", IF(OR(AND(A2107="Listed Equity Shares", I2107&gt;12), AND(A2107="Unlisted Equity Shares", I2107&gt;24)), "Long Term", "Short Term"))</f>
        <v/>
      </c>
      <c r="K2107" s="5">
        <f>IF(J2107="", "", IF(J2107="Long Term", 12.5%,"as per slab"))</f>
        <v/>
      </c>
      <c r="L2107" s="3">
        <f>+IFERROR(IF(J2107="","",H2107*K2107),"as per slab")</f>
        <v/>
      </c>
    </row>
    <row r="2108">
      <c r="A2108" s="7" t="n"/>
      <c r="B2108" s="7" t="n"/>
      <c r="C2108" s="8" t="n"/>
      <c r="D2108" s="9" t="n"/>
      <c r="E2108" s="8" t="n"/>
      <c r="F2108" s="9" t="n"/>
      <c r="G2108" s="9" t="n"/>
      <c r="H2108" s="3">
        <f>IF(AND(D2108&lt;&gt;"",F2108&lt;&gt;""),F2108-D2108-G2108,"")</f>
        <v/>
      </c>
      <c r="I2108" s="14">
        <f>IF(E2108&lt;&gt;"", YEARFRAC(C2108, E2108) * 12, "")</f>
        <v/>
      </c>
      <c r="J2108" s="2">
        <f>IF(I2108="", "", IF(OR(AND(A2108="Listed Equity Shares", I2108&gt;12), AND(A2108="Unlisted Equity Shares", I2108&gt;24)), "Long Term", "Short Term"))</f>
        <v/>
      </c>
      <c r="K2108" s="5">
        <f>IF(J2108="", "", IF(J2108="Long Term", 12.5%,"as per slab"))</f>
        <v/>
      </c>
      <c r="L2108" s="3">
        <f>+IFERROR(IF(J2108="","",H2108*K2108),"as per slab")</f>
        <v/>
      </c>
    </row>
    <row r="2109">
      <c r="A2109" s="7" t="n"/>
      <c r="B2109" s="7" t="n"/>
      <c r="C2109" s="8" t="n"/>
      <c r="D2109" s="9" t="n"/>
      <c r="E2109" s="8" t="n"/>
      <c r="F2109" s="9" t="n"/>
      <c r="G2109" s="9" t="n"/>
      <c r="H2109" s="3">
        <f>IF(AND(D2109&lt;&gt;"",F2109&lt;&gt;""),F2109-D2109-G2109,"")</f>
        <v/>
      </c>
      <c r="I2109" s="14">
        <f>IF(E2109&lt;&gt;"", YEARFRAC(C2109, E2109) * 12, "")</f>
        <v/>
      </c>
      <c r="J2109" s="2">
        <f>IF(I2109="", "", IF(OR(AND(A2109="Listed Equity Shares", I2109&gt;12), AND(A2109="Unlisted Equity Shares", I2109&gt;24)), "Long Term", "Short Term"))</f>
        <v/>
      </c>
      <c r="K2109" s="5">
        <f>IF(J2109="", "", IF(J2109="Long Term", 12.5%,"as per slab"))</f>
        <v/>
      </c>
      <c r="L2109" s="3">
        <f>+IFERROR(IF(J2109="","",H2109*K2109),"as per slab")</f>
        <v/>
      </c>
    </row>
    <row r="2110">
      <c r="A2110" s="7" t="n"/>
      <c r="B2110" s="7" t="n"/>
      <c r="C2110" s="8" t="n"/>
      <c r="D2110" s="9" t="n"/>
      <c r="E2110" s="8" t="n"/>
      <c r="F2110" s="9" t="n"/>
      <c r="G2110" s="9" t="n"/>
      <c r="H2110" s="3">
        <f>IF(AND(D2110&lt;&gt;"",F2110&lt;&gt;""),F2110-D2110-G2110,"")</f>
        <v/>
      </c>
      <c r="I2110" s="14">
        <f>IF(E2110&lt;&gt;"", YEARFRAC(C2110, E2110) * 12, "")</f>
        <v/>
      </c>
      <c r="J2110" s="2">
        <f>IF(I2110="", "", IF(OR(AND(A2110="Listed Equity Shares", I2110&gt;12), AND(A2110="Unlisted Equity Shares", I2110&gt;24)), "Long Term", "Short Term"))</f>
        <v/>
      </c>
      <c r="K2110" s="5">
        <f>IF(J2110="", "", IF(J2110="Long Term", 12.5%,"as per slab"))</f>
        <v/>
      </c>
      <c r="L2110" s="3">
        <f>+IFERROR(IF(J2110="","",H2110*K2110),"as per slab")</f>
        <v/>
      </c>
    </row>
    <row r="2111">
      <c r="A2111" s="7" t="n"/>
      <c r="B2111" s="7" t="n"/>
      <c r="C2111" s="8" t="n"/>
      <c r="D2111" s="9" t="n"/>
      <c r="E2111" s="8" t="n"/>
      <c r="F2111" s="9" t="n"/>
      <c r="G2111" s="9" t="n"/>
      <c r="H2111" s="3">
        <f>IF(AND(D2111&lt;&gt;"",F2111&lt;&gt;""),F2111-D2111-G2111,"")</f>
        <v/>
      </c>
      <c r="I2111" s="14">
        <f>IF(E2111&lt;&gt;"", YEARFRAC(C2111, E2111) * 12, "")</f>
        <v/>
      </c>
      <c r="J2111" s="2">
        <f>IF(I2111="", "", IF(OR(AND(A2111="Listed Equity Shares", I2111&gt;12), AND(A2111="Unlisted Equity Shares", I2111&gt;24)), "Long Term", "Short Term"))</f>
        <v/>
      </c>
      <c r="K2111" s="5">
        <f>IF(J2111="", "", IF(J2111="Long Term", 12.5%,"as per slab"))</f>
        <v/>
      </c>
      <c r="L2111" s="3">
        <f>+IFERROR(IF(J2111="","",H2111*K2111),"as per slab")</f>
        <v/>
      </c>
    </row>
    <row r="2112">
      <c r="A2112" s="7" t="n"/>
      <c r="B2112" s="7" t="n"/>
      <c r="C2112" s="8" t="n"/>
      <c r="D2112" s="9" t="n"/>
      <c r="E2112" s="8" t="n"/>
      <c r="F2112" s="9" t="n"/>
      <c r="G2112" s="9" t="n"/>
      <c r="H2112" s="3">
        <f>IF(AND(D2112&lt;&gt;"",F2112&lt;&gt;""),F2112-D2112-G2112,"")</f>
        <v/>
      </c>
      <c r="I2112" s="14">
        <f>IF(E2112&lt;&gt;"", YEARFRAC(C2112, E2112) * 12, "")</f>
        <v/>
      </c>
      <c r="J2112" s="2">
        <f>IF(I2112="", "", IF(OR(AND(A2112="Listed Equity Shares", I2112&gt;12), AND(A2112="Unlisted Equity Shares", I2112&gt;24)), "Long Term", "Short Term"))</f>
        <v/>
      </c>
      <c r="K2112" s="5">
        <f>IF(J2112="", "", IF(J2112="Long Term", 12.5%,"as per slab"))</f>
        <v/>
      </c>
      <c r="L2112" s="3">
        <f>+IFERROR(IF(J2112="","",H2112*K2112),"as per slab")</f>
        <v/>
      </c>
    </row>
    <row r="2113">
      <c r="A2113" s="7" t="n"/>
      <c r="B2113" s="7" t="n"/>
      <c r="C2113" s="8" t="n"/>
      <c r="D2113" s="9" t="n"/>
      <c r="E2113" s="8" t="n"/>
      <c r="F2113" s="9" t="n"/>
      <c r="G2113" s="9" t="n"/>
      <c r="H2113" s="3">
        <f>IF(AND(D2113&lt;&gt;"",F2113&lt;&gt;""),F2113-D2113-G2113,"")</f>
        <v/>
      </c>
      <c r="I2113" s="14">
        <f>IF(E2113&lt;&gt;"", YEARFRAC(C2113, E2113) * 12, "")</f>
        <v/>
      </c>
      <c r="J2113" s="2">
        <f>IF(I2113="", "", IF(OR(AND(A2113="Listed Equity Shares", I2113&gt;12), AND(A2113="Unlisted Equity Shares", I2113&gt;24)), "Long Term", "Short Term"))</f>
        <v/>
      </c>
      <c r="K2113" s="5">
        <f>IF(J2113="", "", IF(J2113="Long Term", 12.5%,"as per slab"))</f>
        <v/>
      </c>
      <c r="L2113" s="3">
        <f>+IFERROR(IF(J2113="","",H2113*K2113),"as per slab")</f>
        <v/>
      </c>
    </row>
    <row r="2114">
      <c r="A2114" s="7" t="n"/>
      <c r="B2114" s="7" t="n"/>
      <c r="C2114" s="8" t="n"/>
      <c r="D2114" s="9" t="n"/>
      <c r="E2114" s="8" t="n"/>
      <c r="F2114" s="9" t="n"/>
      <c r="G2114" s="9" t="n"/>
      <c r="H2114" s="3">
        <f>IF(AND(D2114&lt;&gt;"",F2114&lt;&gt;""),F2114-D2114-G2114,"")</f>
        <v/>
      </c>
      <c r="I2114" s="14">
        <f>IF(E2114&lt;&gt;"", YEARFRAC(C2114, E2114) * 12, "")</f>
        <v/>
      </c>
      <c r="J2114" s="2">
        <f>IF(I2114="", "", IF(OR(AND(A2114="Listed Equity Shares", I2114&gt;12), AND(A2114="Unlisted Equity Shares", I2114&gt;24)), "Long Term", "Short Term"))</f>
        <v/>
      </c>
      <c r="K2114" s="5">
        <f>IF(J2114="", "", IF(J2114="Long Term", 12.5%,"as per slab"))</f>
        <v/>
      </c>
      <c r="L2114" s="3">
        <f>+IFERROR(IF(J2114="","",H2114*K2114),"as per slab")</f>
        <v/>
      </c>
    </row>
    <row r="2115">
      <c r="A2115" s="7" t="n"/>
      <c r="B2115" s="7" t="n"/>
      <c r="C2115" s="8" t="n"/>
      <c r="D2115" s="9" t="n"/>
      <c r="E2115" s="8" t="n"/>
      <c r="F2115" s="9" t="n"/>
      <c r="G2115" s="9" t="n"/>
      <c r="H2115" s="3">
        <f>IF(AND(D2115&lt;&gt;"",F2115&lt;&gt;""),F2115-D2115-G2115,"")</f>
        <v/>
      </c>
      <c r="I2115" s="14">
        <f>IF(E2115&lt;&gt;"", YEARFRAC(C2115, E2115) * 12, "")</f>
        <v/>
      </c>
      <c r="J2115" s="2">
        <f>IF(I2115="", "", IF(OR(AND(A2115="Listed Equity Shares", I2115&gt;12), AND(A2115="Unlisted Equity Shares", I2115&gt;24)), "Long Term", "Short Term"))</f>
        <v/>
      </c>
      <c r="K2115" s="5">
        <f>IF(J2115="", "", IF(J2115="Long Term", 12.5%,"as per slab"))</f>
        <v/>
      </c>
      <c r="L2115" s="3">
        <f>+IFERROR(IF(J2115="","",H2115*K2115),"as per slab")</f>
        <v/>
      </c>
    </row>
    <row r="2116">
      <c r="A2116" s="7" t="n"/>
      <c r="B2116" s="7" t="n"/>
      <c r="C2116" s="8" t="n"/>
      <c r="D2116" s="9" t="n"/>
      <c r="E2116" s="8" t="n"/>
      <c r="F2116" s="9" t="n"/>
      <c r="G2116" s="9" t="n"/>
      <c r="H2116" s="3">
        <f>IF(AND(D2116&lt;&gt;"",F2116&lt;&gt;""),F2116-D2116-G2116,"")</f>
        <v/>
      </c>
      <c r="I2116" s="14">
        <f>IF(E2116&lt;&gt;"", YEARFRAC(C2116, E2116) * 12, "")</f>
        <v/>
      </c>
      <c r="J2116" s="2">
        <f>IF(I2116="", "", IF(OR(AND(A2116="Listed Equity Shares", I2116&gt;12), AND(A2116="Unlisted Equity Shares", I2116&gt;24)), "Long Term", "Short Term"))</f>
        <v/>
      </c>
      <c r="K2116" s="5">
        <f>IF(J2116="", "", IF(J2116="Long Term", 12.5%,"as per slab"))</f>
        <v/>
      </c>
      <c r="L2116" s="3">
        <f>+IFERROR(IF(J2116="","",H2116*K2116),"as per slab")</f>
        <v/>
      </c>
    </row>
    <row r="2117">
      <c r="A2117" s="7" t="n"/>
      <c r="B2117" s="7" t="n"/>
      <c r="C2117" s="8" t="n"/>
      <c r="D2117" s="9" t="n"/>
      <c r="E2117" s="8" t="n"/>
      <c r="F2117" s="9" t="n"/>
      <c r="G2117" s="9" t="n"/>
      <c r="H2117" s="3">
        <f>IF(AND(D2117&lt;&gt;"",F2117&lt;&gt;""),F2117-D2117-G2117,"")</f>
        <v/>
      </c>
      <c r="I2117" s="14">
        <f>IF(E2117&lt;&gt;"", YEARFRAC(C2117, E2117) * 12, "")</f>
        <v/>
      </c>
      <c r="J2117" s="2">
        <f>IF(I2117="", "", IF(OR(AND(A2117="Listed Equity Shares", I2117&gt;12), AND(A2117="Unlisted Equity Shares", I2117&gt;24)), "Long Term", "Short Term"))</f>
        <v/>
      </c>
      <c r="K2117" s="5">
        <f>IF(J2117="", "", IF(J2117="Long Term", 12.5%,"as per slab"))</f>
        <v/>
      </c>
      <c r="L2117" s="3">
        <f>+IFERROR(IF(J2117="","",H2117*K2117),"as per slab")</f>
        <v/>
      </c>
    </row>
    <row r="2118">
      <c r="A2118" s="7" t="n"/>
      <c r="B2118" s="7" t="n"/>
      <c r="C2118" s="8" t="n"/>
      <c r="D2118" s="9" t="n"/>
      <c r="E2118" s="8" t="n"/>
      <c r="F2118" s="9" t="n"/>
      <c r="G2118" s="9" t="n"/>
      <c r="H2118" s="3">
        <f>IF(AND(D2118&lt;&gt;"",F2118&lt;&gt;""),F2118-D2118-G2118,"")</f>
        <v/>
      </c>
      <c r="I2118" s="14">
        <f>IF(E2118&lt;&gt;"", YEARFRAC(C2118, E2118) * 12, "")</f>
        <v/>
      </c>
      <c r="J2118" s="2">
        <f>IF(I2118="", "", IF(OR(AND(A2118="Listed Equity Shares", I2118&gt;12), AND(A2118="Unlisted Equity Shares", I2118&gt;24)), "Long Term", "Short Term"))</f>
        <v/>
      </c>
      <c r="K2118" s="5">
        <f>IF(J2118="", "", IF(J2118="Long Term", 12.5%,"as per slab"))</f>
        <v/>
      </c>
      <c r="L2118" s="3">
        <f>+IFERROR(IF(J2118="","",H2118*K2118),"as per slab")</f>
        <v/>
      </c>
    </row>
    <row r="2119">
      <c r="A2119" s="7" t="n"/>
      <c r="B2119" s="7" t="n"/>
      <c r="C2119" s="8" t="n"/>
      <c r="D2119" s="9" t="n"/>
      <c r="E2119" s="8" t="n"/>
      <c r="F2119" s="9" t="n"/>
      <c r="G2119" s="9" t="n"/>
      <c r="H2119" s="3">
        <f>IF(AND(D2119&lt;&gt;"",F2119&lt;&gt;""),F2119-D2119-G2119,"")</f>
        <v/>
      </c>
      <c r="I2119" s="14">
        <f>IF(E2119&lt;&gt;"", YEARFRAC(C2119, E2119) * 12, "")</f>
        <v/>
      </c>
      <c r="J2119" s="2">
        <f>IF(I2119="", "", IF(OR(AND(A2119="Listed Equity Shares", I2119&gt;12), AND(A2119="Unlisted Equity Shares", I2119&gt;24)), "Long Term", "Short Term"))</f>
        <v/>
      </c>
      <c r="K2119" s="5">
        <f>IF(J2119="", "", IF(J2119="Long Term", 12.5%,"as per slab"))</f>
        <v/>
      </c>
      <c r="L2119" s="3">
        <f>+IFERROR(IF(J2119="","",H2119*K2119),"as per slab")</f>
        <v/>
      </c>
    </row>
    <row r="2120">
      <c r="A2120" s="7" t="n"/>
      <c r="B2120" s="7" t="n"/>
      <c r="C2120" s="8" t="n"/>
      <c r="D2120" s="9" t="n"/>
      <c r="E2120" s="8" t="n"/>
      <c r="F2120" s="9" t="n"/>
      <c r="G2120" s="9" t="n"/>
      <c r="H2120" s="3">
        <f>IF(AND(D2120&lt;&gt;"",F2120&lt;&gt;""),F2120-D2120-G2120,"")</f>
        <v/>
      </c>
      <c r="I2120" s="14">
        <f>IF(E2120&lt;&gt;"", YEARFRAC(C2120, E2120) * 12, "")</f>
        <v/>
      </c>
      <c r="J2120" s="2">
        <f>IF(I2120="", "", IF(OR(AND(A2120="Listed Equity Shares", I2120&gt;12), AND(A2120="Unlisted Equity Shares", I2120&gt;24)), "Long Term", "Short Term"))</f>
        <v/>
      </c>
      <c r="K2120" s="5">
        <f>IF(J2120="", "", IF(J2120="Long Term", 12.5%,"as per slab"))</f>
        <v/>
      </c>
      <c r="L2120" s="3">
        <f>+IFERROR(IF(J2120="","",H2120*K2120),"as per slab")</f>
        <v/>
      </c>
    </row>
    <row r="2121">
      <c r="A2121" s="7" t="n"/>
      <c r="B2121" s="7" t="n"/>
      <c r="C2121" s="8" t="n"/>
      <c r="D2121" s="9" t="n"/>
      <c r="E2121" s="8" t="n"/>
      <c r="F2121" s="9" t="n"/>
      <c r="G2121" s="9" t="n"/>
      <c r="H2121" s="3">
        <f>IF(AND(D2121&lt;&gt;"",F2121&lt;&gt;""),F2121-D2121-G2121,"")</f>
        <v/>
      </c>
      <c r="I2121" s="14">
        <f>IF(E2121&lt;&gt;"", YEARFRAC(C2121, E2121) * 12, "")</f>
        <v/>
      </c>
      <c r="J2121" s="2">
        <f>IF(I2121="", "", IF(OR(AND(A2121="Listed Equity Shares", I2121&gt;12), AND(A2121="Unlisted Equity Shares", I2121&gt;24)), "Long Term", "Short Term"))</f>
        <v/>
      </c>
      <c r="K2121" s="5">
        <f>IF(J2121="", "", IF(J2121="Long Term", 12.5%,"as per slab"))</f>
        <v/>
      </c>
      <c r="L2121" s="3">
        <f>+IFERROR(IF(J2121="","",H2121*K2121),"as per slab")</f>
        <v/>
      </c>
    </row>
    <row r="2122">
      <c r="A2122" s="7" t="n"/>
      <c r="B2122" s="7" t="n"/>
      <c r="C2122" s="8" t="n"/>
      <c r="D2122" s="9" t="n"/>
      <c r="E2122" s="8" t="n"/>
      <c r="F2122" s="9" t="n"/>
      <c r="G2122" s="9" t="n"/>
      <c r="H2122" s="3">
        <f>IF(AND(D2122&lt;&gt;"",F2122&lt;&gt;""),F2122-D2122-G2122,"")</f>
        <v/>
      </c>
      <c r="I2122" s="14">
        <f>IF(E2122&lt;&gt;"", YEARFRAC(C2122, E2122) * 12, "")</f>
        <v/>
      </c>
      <c r="J2122" s="2">
        <f>IF(I2122="", "", IF(OR(AND(A2122="Listed Equity Shares", I2122&gt;12), AND(A2122="Unlisted Equity Shares", I2122&gt;24)), "Long Term", "Short Term"))</f>
        <v/>
      </c>
      <c r="K2122" s="5">
        <f>IF(J2122="", "", IF(J2122="Long Term", 12.5%,"as per slab"))</f>
        <v/>
      </c>
      <c r="L2122" s="3">
        <f>+IFERROR(IF(J2122="","",H2122*K2122),"as per slab")</f>
        <v/>
      </c>
    </row>
    <row r="2123">
      <c r="A2123" s="7" t="n"/>
      <c r="B2123" s="7" t="n"/>
      <c r="C2123" s="8" t="n"/>
      <c r="D2123" s="9" t="n"/>
      <c r="E2123" s="8" t="n"/>
      <c r="F2123" s="9" t="n"/>
      <c r="G2123" s="9" t="n"/>
      <c r="H2123" s="3">
        <f>IF(AND(D2123&lt;&gt;"",F2123&lt;&gt;""),F2123-D2123-G2123,"")</f>
        <v/>
      </c>
      <c r="I2123" s="14">
        <f>IF(E2123&lt;&gt;"", YEARFRAC(C2123, E2123) * 12, "")</f>
        <v/>
      </c>
      <c r="J2123" s="2">
        <f>IF(I2123="", "", IF(OR(AND(A2123="Listed Equity Shares", I2123&gt;12), AND(A2123="Unlisted Equity Shares", I2123&gt;24)), "Long Term", "Short Term"))</f>
        <v/>
      </c>
      <c r="K2123" s="5">
        <f>IF(J2123="", "", IF(J2123="Long Term", 12.5%,"as per slab"))</f>
        <v/>
      </c>
      <c r="L2123" s="3">
        <f>+IFERROR(IF(J2123="","",H2123*K2123),"as per slab")</f>
        <v/>
      </c>
    </row>
    <row r="2124">
      <c r="A2124" s="7" t="n"/>
      <c r="B2124" s="7" t="n"/>
      <c r="C2124" s="8" t="n"/>
      <c r="D2124" s="9" t="n"/>
      <c r="E2124" s="8" t="n"/>
      <c r="F2124" s="9" t="n"/>
      <c r="G2124" s="9" t="n"/>
      <c r="H2124" s="3">
        <f>IF(AND(D2124&lt;&gt;"",F2124&lt;&gt;""),F2124-D2124-G2124,"")</f>
        <v/>
      </c>
      <c r="I2124" s="14">
        <f>IF(E2124&lt;&gt;"", YEARFRAC(C2124, E2124) * 12, "")</f>
        <v/>
      </c>
      <c r="J2124" s="2">
        <f>IF(I2124="", "", IF(OR(AND(A2124="Listed Equity Shares", I2124&gt;12), AND(A2124="Unlisted Equity Shares", I2124&gt;24)), "Long Term", "Short Term"))</f>
        <v/>
      </c>
      <c r="K2124" s="5">
        <f>IF(J2124="", "", IF(J2124="Long Term", 12.5%,"as per slab"))</f>
        <v/>
      </c>
      <c r="L2124" s="3">
        <f>+IFERROR(IF(J2124="","",H2124*K2124),"as per slab")</f>
        <v/>
      </c>
    </row>
    <row r="2125">
      <c r="A2125" s="7" t="n"/>
      <c r="B2125" s="7" t="n"/>
      <c r="C2125" s="8" t="n"/>
      <c r="D2125" s="9" t="n"/>
      <c r="E2125" s="8" t="n"/>
      <c r="F2125" s="9" t="n"/>
      <c r="G2125" s="9" t="n"/>
      <c r="H2125" s="3">
        <f>IF(AND(D2125&lt;&gt;"",F2125&lt;&gt;""),F2125-D2125-G2125,"")</f>
        <v/>
      </c>
      <c r="I2125" s="14">
        <f>IF(E2125&lt;&gt;"", YEARFRAC(C2125, E2125) * 12, "")</f>
        <v/>
      </c>
      <c r="J2125" s="2">
        <f>IF(I2125="", "", IF(OR(AND(A2125="Listed Equity Shares", I2125&gt;12), AND(A2125="Unlisted Equity Shares", I2125&gt;24)), "Long Term", "Short Term"))</f>
        <v/>
      </c>
      <c r="K2125" s="5">
        <f>IF(J2125="", "", IF(J2125="Long Term", 12.5%,"as per slab"))</f>
        <v/>
      </c>
      <c r="L2125" s="3">
        <f>+IFERROR(IF(J2125="","",H2125*K2125),"as per slab")</f>
        <v/>
      </c>
    </row>
    <row r="2126">
      <c r="A2126" s="7" t="n"/>
      <c r="B2126" s="7" t="n"/>
      <c r="C2126" s="8" t="n"/>
      <c r="D2126" s="9" t="n"/>
      <c r="E2126" s="8" t="n"/>
      <c r="F2126" s="9" t="n"/>
      <c r="G2126" s="9" t="n"/>
      <c r="H2126" s="3">
        <f>IF(AND(D2126&lt;&gt;"",F2126&lt;&gt;""),F2126-D2126-G2126,"")</f>
        <v/>
      </c>
      <c r="I2126" s="14">
        <f>IF(E2126&lt;&gt;"", YEARFRAC(C2126, E2126) * 12, "")</f>
        <v/>
      </c>
      <c r="J2126" s="2">
        <f>IF(I2126="", "", IF(OR(AND(A2126="Listed Equity Shares", I2126&gt;12), AND(A2126="Unlisted Equity Shares", I2126&gt;24)), "Long Term", "Short Term"))</f>
        <v/>
      </c>
      <c r="K2126" s="5">
        <f>IF(J2126="", "", IF(J2126="Long Term", 12.5%,"as per slab"))</f>
        <v/>
      </c>
      <c r="L2126" s="3">
        <f>+IFERROR(IF(J2126="","",H2126*K2126),"as per slab")</f>
        <v/>
      </c>
    </row>
    <row r="2127">
      <c r="A2127" s="7" t="n"/>
      <c r="B2127" s="7" t="n"/>
      <c r="C2127" s="8" t="n"/>
      <c r="D2127" s="9" t="n"/>
      <c r="E2127" s="8" t="n"/>
      <c r="F2127" s="9" t="n"/>
      <c r="G2127" s="9" t="n"/>
      <c r="H2127" s="3">
        <f>IF(AND(D2127&lt;&gt;"",F2127&lt;&gt;""),F2127-D2127-G2127,"")</f>
        <v/>
      </c>
      <c r="I2127" s="14">
        <f>IF(E2127&lt;&gt;"", YEARFRAC(C2127, E2127) * 12, "")</f>
        <v/>
      </c>
      <c r="J2127" s="2">
        <f>IF(I2127="", "", IF(OR(AND(A2127="Listed Equity Shares", I2127&gt;12), AND(A2127="Unlisted Equity Shares", I2127&gt;24)), "Long Term", "Short Term"))</f>
        <v/>
      </c>
      <c r="K2127" s="5">
        <f>IF(J2127="", "", IF(J2127="Long Term", 12.5%,"as per slab"))</f>
        <v/>
      </c>
      <c r="L2127" s="3">
        <f>+IFERROR(IF(J2127="","",H2127*K2127),"as per slab")</f>
        <v/>
      </c>
    </row>
    <row r="2128">
      <c r="A2128" s="7" t="n"/>
      <c r="B2128" s="7" t="n"/>
      <c r="C2128" s="8" t="n"/>
      <c r="D2128" s="9" t="n"/>
      <c r="E2128" s="8" t="n"/>
      <c r="F2128" s="9" t="n"/>
      <c r="G2128" s="9" t="n"/>
      <c r="H2128" s="3">
        <f>IF(AND(D2128&lt;&gt;"",F2128&lt;&gt;""),F2128-D2128-G2128,"")</f>
        <v/>
      </c>
      <c r="I2128" s="14">
        <f>IF(E2128&lt;&gt;"", YEARFRAC(C2128, E2128) * 12, "")</f>
        <v/>
      </c>
      <c r="J2128" s="2">
        <f>IF(I2128="", "", IF(OR(AND(A2128="Listed Equity Shares", I2128&gt;12), AND(A2128="Unlisted Equity Shares", I2128&gt;24)), "Long Term", "Short Term"))</f>
        <v/>
      </c>
      <c r="K2128" s="5">
        <f>IF(J2128="", "", IF(J2128="Long Term", 12.5%,"as per slab"))</f>
        <v/>
      </c>
      <c r="L2128" s="3">
        <f>+IFERROR(IF(J2128="","",H2128*K2128),"as per slab")</f>
        <v/>
      </c>
    </row>
    <row r="2129">
      <c r="A2129" s="7" t="n"/>
      <c r="B2129" s="7" t="n"/>
      <c r="C2129" s="8" t="n"/>
      <c r="D2129" s="9" t="n"/>
      <c r="E2129" s="8" t="n"/>
      <c r="F2129" s="9" t="n"/>
      <c r="G2129" s="9" t="n"/>
      <c r="H2129" s="3">
        <f>IF(AND(D2129&lt;&gt;"",F2129&lt;&gt;""),F2129-D2129-G2129,"")</f>
        <v/>
      </c>
      <c r="I2129" s="14">
        <f>IF(E2129&lt;&gt;"", YEARFRAC(C2129, E2129) * 12, "")</f>
        <v/>
      </c>
      <c r="J2129" s="2">
        <f>IF(I2129="", "", IF(OR(AND(A2129="Listed Equity Shares", I2129&gt;12), AND(A2129="Unlisted Equity Shares", I2129&gt;24)), "Long Term", "Short Term"))</f>
        <v/>
      </c>
      <c r="K2129" s="5">
        <f>IF(J2129="", "", IF(J2129="Long Term", 12.5%,"as per slab"))</f>
        <v/>
      </c>
      <c r="L2129" s="3">
        <f>+IFERROR(IF(J2129="","",H2129*K2129),"as per slab")</f>
        <v/>
      </c>
    </row>
    <row r="2130">
      <c r="A2130" s="7" t="n"/>
      <c r="B2130" s="7" t="n"/>
      <c r="C2130" s="8" t="n"/>
      <c r="D2130" s="9" t="n"/>
      <c r="E2130" s="8" t="n"/>
      <c r="F2130" s="9" t="n"/>
      <c r="G2130" s="9" t="n"/>
      <c r="H2130" s="3">
        <f>IF(AND(D2130&lt;&gt;"",F2130&lt;&gt;""),F2130-D2130-G2130,"")</f>
        <v/>
      </c>
      <c r="I2130" s="14">
        <f>IF(E2130&lt;&gt;"", YEARFRAC(C2130, E2130) * 12, "")</f>
        <v/>
      </c>
      <c r="J2130" s="2">
        <f>IF(I2130="", "", IF(OR(AND(A2130="Listed Equity Shares", I2130&gt;12), AND(A2130="Unlisted Equity Shares", I2130&gt;24)), "Long Term", "Short Term"))</f>
        <v/>
      </c>
      <c r="K2130" s="5">
        <f>IF(J2130="", "", IF(J2130="Long Term", 12.5%,"as per slab"))</f>
        <v/>
      </c>
      <c r="L2130" s="3">
        <f>+IFERROR(IF(J2130="","",H2130*K2130),"as per slab")</f>
        <v/>
      </c>
    </row>
    <row r="2131">
      <c r="A2131" s="7" t="n"/>
      <c r="B2131" s="7" t="n"/>
      <c r="C2131" s="8" t="n"/>
      <c r="D2131" s="9" t="n"/>
      <c r="E2131" s="8" t="n"/>
      <c r="F2131" s="9" t="n"/>
      <c r="G2131" s="9" t="n"/>
      <c r="H2131" s="3">
        <f>IF(AND(D2131&lt;&gt;"",F2131&lt;&gt;""),F2131-D2131-G2131,"")</f>
        <v/>
      </c>
      <c r="I2131" s="14">
        <f>IF(E2131&lt;&gt;"", YEARFRAC(C2131, E2131) * 12, "")</f>
        <v/>
      </c>
      <c r="J2131" s="2">
        <f>IF(I2131="", "", IF(OR(AND(A2131="Listed Equity Shares", I2131&gt;12), AND(A2131="Unlisted Equity Shares", I2131&gt;24)), "Long Term", "Short Term"))</f>
        <v/>
      </c>
      <c r="K2131" s="5">
        <f>IF(J2131="", "", IF(J2131="Long Term", 12.5%,"as per slab"))</f>
        <v/>
      </c>
      <c r="L2131" s="3">
        <f>+IFERROR(IF(J2131="","",H2131*K2131),"as per slab")</f>
        <v/>
      </c>
    </row>
    <row r="2132">
      <c r="A2132" s="7" t="n"/>
      <c r="B2132" s="7" t="n"/>
      <c r="C2132" s="8" t="n"/>
      <c r="D2132" s="9" t="n"/>
      <c r="E2132" s="8" t="n"/>
      <c r="F2132" s="9" t="n"/>
      <c r="G2132" s="9" t="n"/>
      <c r="H2132" s="3">
        <f>IF(AND(D2132&lt;&gt;"",F2132&lt;&gt;""),F2132-D2132-G2132,"")</f>
        <v/>
      </c>
      <c r="I2132" s="14">
        <f>IF(E2132&lt;&gt;"", YEARFRAC(C2132, E2132) * 12, "")</f>
        <v/>
      </c>
      <c r="J2132" s="2">
        <f>IF(I2132="", "", IF(OR(AND(A2132="Listed Equity Shares", I2132&gt;12), AND(A2132="Unlisted Equity Shares", I2132&gt;24)), "Long Term", "Short Term"))</f>
        <v/>
      </c>
      <c r="K2132" s="5">
        <f>IF(J2132="", "", IF(J2132="Long Term", 12.5%,"as per slab"))</f>
        <v/>
      </c>
      <c r="L2132" s="3">
        <f>+IFERROR(IF(J2132="","",H2132*K2132),"as per slab")</f>
        <v/>
      </c>
    </row>
    <row r="2133">
      <c r="A2133" s="7" t="n"/>
      <c r="B2133" s="7" t="n"/>
      <c r="C2133" s="8" t="n"/>
      <c r="D2133" s="9" t="n"/>
      <c r="E2133" s="8" t="n"/>
      <c r="F2133" s="9" t="n"/>
      <c r="G2133" s="9" t="n"/>
      <c r="H2133" s="3">
        <f>IF(AND(D2133&lt;&gt;"",F2133&lt;&gt;""),F2133-D2133-G2133,"")</f>
        <v/>
      </c>
      <c r="I2133" s="14">
        <f>IF(E2133&lt;&gt;"", YEARFRAC(C2133, E2133) * 12, "")</f>
        <v/>
      </c>
      <c r="J2133" s="2">
        <f>IF(I2133="", "", IF(OR(AND(A2133="Listed Equity Shares", I2133&gt;12), AND(A2133="Unlisted Equity Shares", I2133&gt;24)), "Long Term", "Short Term"))</f>
        <v/>
      </c>
      <c r="K2133" s="5">
        <f>IF(J2133="", "", IF(J2133="Long Term", 12.5%,"as per slab"))</f>
        <v/>
      </c>
      <c r="L2133" s="3">
        <f>+IFERROR(IF(J2133="","",H2133*K2133),"as per slab")</f>
        <v/>
      </c>
    </row>
    <row r="2134">
      <c r="A2134" s="7" t="n"/>
      <c r="B2134" s="7" t="n"/>
      <c r="C2134" s="8" t="n"/>
      <c r="D2134" s="9" t="n"/>
      <c r="E2134" s="8" t="n"/>
      <c r="F2134" s="9" t="n"/>
      <c r="G2134" s="9" t="n"/>
      <c r="H2134" s="3">
        <f>IF(AND(D2134&lt;&gt;"",F2134&lt;&gt;""),F2134-D2134-G2134,"")</f>
        <v/>
      </c>
      <c r="I2134" s="14">
        <f>IF(E2134&lt;&gt;"", YEARFRAC(C2134, E2134) * 12, "")</f>
        <v/>
      </c>
      <c r="J2134" s="2">
        <f>IF(I2134="", "", IF(OR(AND(A2134="Listed Equity Shares", I2134&gt;12), AND(A2134="Unlisted Equity Shares", I2134&gt;24)), "Long Term", "Short Term"))</f>
        <v/>
      </c>
      <c r="K2134" s="5">
        <f>IF(J2134="", "", IF(J2134="Long Term", 12.5%,"as per slab"))</f>
        <v/>
      </c>
      <c r="L2134" s="3">
        <f>+IFERROR(IF(J2134="","",H2134*K2134),"as per slab")</f>
        <v/>
      </c>
    </row>
    <row r="2135">
      <c r="A2135" s="7" t="n"/>
      <c r="B2135" s="7" t="n"/>
      <c r="C2135" s="8" t="n"/>
      <c r="D2135" s="9" t="n"/>
      <c r="E2135" s="8" t="n"/>
      <c r="F2135" s="9" t="n"/>
      <c r="G2135" s="9" t="n"/>
      <c r="H2135" s="3">
        <f>IF(AND(D2135&lt;&gt;"",F2135&lt;&gt;""),F2135-D2135-G2135,"")</f>
        <v/>
      </c>
      <c r="I2135" s="14">
        <f>IF(E2135&lt;&gt;"", YEARFRAC(C2135, E2135) * 12, "")</f>
        <v/>
      </c>
      <c r="J2135" s="2">
        <f>IF(I2135="", "", IF(OR(AND(A2135="Listed Equity Shares", I2135&gt;12), AND(A2135="Unlisted Equity Shares", I2135&gt;24)), "Long Term", "Short Term"))</f>
        <v/>
      </c>
      <c r="K2135" s="5">
        <f>IF(J2135="", "", IF(J2135="Long Term", 12.5%,"as per slab"))</f>
        <v/>
      </c>
      <c r="L2135" s="3">
        <f>+IFERROR(IF(J2135="","",H2135*K2135),"as per slab")</f>
        <v/>
      </c>
    </row>
    <row r="2136">
      <c r="A2136" s="7" t="n"/>
      <c r="B2136" s="7" t="n"/>
      <c r="C2136" s="8" t="n"/>
      <c r="D2136" s="9" t="n"/>
      <c r="E2136" s="8" t="n"/>
      <c r="F2136" s="9" t="n"/>
      <c r="G2136" s="9" t="n"/>
      <c r="H2136" s="3">
        <f>IF(AND(D2136&lt;&gt;"",F2136&lt;&gt;""),F2136-D2136-G2136,"")</f>
        <v/>
      </c>
      <c r="I2136" s="14">
        <f>IF(E2136&lt;&gt;"", YEARFRAC(C2136, E2136) * 12, "")</f>
        <v/>
      </c>
      <c r="J2136" s="2">
        <f>IF(I2136="", "", IF(OR(AND(A2136="Listed Equity Shares", I2136&gt;12), AND(A2136="Unlisted Equity Shares", I2136&gt;24)), "Long Term", "Short Term"))</f>
        <v/>
      </c>
      <c r="K2136" s="5">
        <f>IF(J2136="", "", IF(J2136="Long Term", 12.5%,"as per slab"))</f>
        <v/>
      </c>
      <c r="L2136" s="3">
        <f>+IFERROR(IF(J2136="","",H2136*K2136),"as per slab")</f>
        <v/>
      </c>
    </row>
    <row r="2137">
      <c r="A2137" s="7" t="n"/>
      <c r="B2137" s="7" t="n"/>
      <c r="C2137" s="8" t="n"/>
      <c r="D2137" s="9" t="n"/>
      <c r="E2137" s="8" t="n"/>
      <c r="F2137" s="9" t="n"/>
      <c r="G2137" s="9" t="n"/>
      <c r="H2137" s="3">
        <f>IF(AND(D2137&lt;&gt;"",F2137&lt;&gt;""),F2137-D2137-G2137,"")</f>
        <v/>
      </c>
      <c r="I2137" s="14">
        <f>IF(E2137&lt;&gt;"", YEARFRAC(C2137, E2137) * 12, "")</f>
        <v/>
      </c>
      <c r="J2137" s="2">
        <f>IF(I2137="", "", IF(OR(AND(A2137="Listed Equity Shares", I2137&gt;12), AND(A2137="Unlisted Equity Shares", I2137&gt;24)), "Long Term", "Short Term"))</f>
        <v/>
      </c>
      <c r="K2137" s="5">
        <f>IF(J2137="", "", IF(J2137="Long Term", 12.5%,"as per slab"))</f>
        <v/>
      </c>
      <c r="L2137" s="3">
        <f>+IFERROR(IF(J2137="","",H2137*K2137),"as per slab")</f>
        <v/>
      </c>
    </row>
    <row r="2138">
      <c r="A2138" s="7" t="n"/>
      <c r="B2138" s="7" t="n"/>
      <c r="C2138" s="8" t="n"/>
      <c r="D2138" s="9" t="n"/>
      <c r="E2138" s="8" t="n"/>
      <c r="F2138" s="9" t="n"/>
      <c r="G2138" s="9" t="n"/>
      <c r="H2138" s="3">
        <f>IF(AND(D2138&lt;&gt;"",F2138&lt;&gt;""),F2138-D2138-G2138,"")</f>
        <v/>
      </c>
      <c r="I2138" s="14">
        <f>IF(E2138&lt;&gt;"", YEARFRAC(C2138, E2138) * 12, "")</f>
        <v/>
      </c>
      <c r="J2138" s="2">
        <f>IF(I2138="", "", IF(OR(AND(A2138="Listed Equity Shares", I2138&gt;12), AND(A2138="Unlisted Equity Shares", I2138&gt;24)), "Long Term", "Short Term"))</f>
        <v/>
      </c>
      <c r="K2138" s="5">
        <f>IF(J2138="", "", IF(J2138="Long Term", 12.5%,"as per slab"))</f>
        <v/>
      </c>
      <c r="L2138" s="3">
        <f>+IFERROR(IF(J2138="","",H2138*K2138),"as per slab")</f>
        <v/>
      </c>
    </row>
    <row r="2139">
      <c r="A2139" s="7" t="n"/>
      <c r="B2139" s="7" t="n"/>
      <c r="C2139" s="8" t="n"/>
      <c r="D2139" s="9" t="n"/>
      <c r="E2139" s="8" t="n"/>
      <c r="F2139" s="9" t="n"/>
      <c r="G2139" s="9" t="n"/>
      <c r="H2139" s="3">
        <f>IF(AND(D2139&lt;&gt;"",F2139&lt;&gt;""),F2139-D2139-G2139,"")</f>
        <v/>
      </c>
      <c r="I2139" s="14">
        <f>IF(E2139&lt;&gt;"", YEARFRAC(C2139, E2139) * 12, "")</f>
        <v/>
      </c>
      <c r="J2139" s="2">
        <f>IF(I2139="", "", IF(OR(AND(A2139="Listed Equity Shares", I2139&gt;12), AND(A2139="Unlisted Equity Shares", I2139&gt;24)), "Long Term", "Short Term"))</f>
        <v/>
      </c>
      <c r="K2139" s="5">
        <f>IF(J2139="", "", IF(J2139="Long Term", 12.5%,"as per slab"))</f>
        <v/>
      </c>
      <c r="L2139" s="3">
        <f>+IFERROR(IF(J2139="","",H2139*K2139),"as per slab")</f>
        <v/>
      </c>
    </row>
    <row r="2140">
      <c r="A2140" s="7" t="n"/>
      <c r="B2140" s="7" t="n"/>
      <c r="C2140" s="8" t="n"/>
      <c r="D2140" s="9" t="n"/>
      <c r="E2140" s="8" t="n"/>
      <c r="F2140" s="9" t="n"/>
      <c r="G2140" s="9" t="n"/>
      <c r="H2140" s="3">
        <f>IF(AND(D2140&lt;&gt;"",F2140&lt;&gt;""),F2140-D2140-G2140,"")</f>
        <v/>
      </c>
      <c r="I2140" s="14">
        <f>IF(E2140&lt;&gt;"", YEARFRAC(C2140, E2140) * 12, "")</f>
        <v/>
      </c>
      <c r="J2140" s="2">
        <f>IF(I2140="", "", IF(OR(AND(A2140="Listed Equity Shares", I2140&gt;12), AND(A2140="Unlisted Equity Shares", I2140&gt;24)), "Long Term", "Short Term"))</f>
        <v/>
      </c>
      <c r="K2140" s="5">
        <f>IF(J2140="", "", IF(J2140="Long Term", 12.5%,"as per slab"))</f>
        <v/>
      </c>
      <c r="L2140" s="3">
        <f>+IFERROR(IF(J2140="","",H2140*K2140),"as per slab")</f>
        <v/>
      </c>
    </row>
    <row r="2141">
      <c r="A2141" s="7" t="n"/>
      <c r="B2141" s="7" t="n"/>
      <c r="C2141" s="8" t="n"/>
      <c r="D2141" s="9" t="n"/>
      <c r="E2141" s="8" t="n"/>
      <c r="F2141" s="9" t="n"/>
      <c r="G2141" s="9" t="n"/>
      <c r="H2141" s="3">
        <f>IF(AND(D2141&lt;&gt;"",F2141&lt;&gt;""),F2141-D2141-G2141,"")</f>
        <v/>
      </c>
      <c r="I2141" s="14">
        <f>IF(E2141&lt;&gt;"", YEARFRAC(C2141, E2141) * 12, "")</f>
        <v/>
      </c>
      <c r="J2141" s="2">
        <f>IF(I2141="", "", IF(OR(AND(A2141="Listed Equity Shares", I2141&gt;12), AND(A2141="Unlisted Equity Shares", I2141&gt;24)), "Long Term", "Short Term"))</f>
        <v/>
      </c>
      <c r="K2141" s="5">
        <f>IF(J2141="", "", IF(J2141="Long Term", 12.5%,"as per slab"))</f>
        <v/>
      </c>
      <c r="L2141" s="3">
        <f>+IFERROR(IF(J2141="","",H2141*K2141),"as per slab")</f>
        <v/>
      </c>
    </row>
    <row r="2142">
      <c r="A2142" s="7" t="n"/>
      <c r="B2142" s="7" t="n"/>
      <c r="C2142" s="8" t="n"/>
      <c r="D2142" s="9" t="n"/>
      <c r="E2142" s="8" t="n"/>
      <c r="F2142" s="9" t="n"/>
      <c r="G2142" s="9" t="n"/>
      <c r="H2142" s="3">
        <f>IF(AND(D2142&lt;&gt;"",F2142&lt;&gt;""),F2142-D2142-G2142,"")</f>
        <v/>
      </c>
      <c r="I2142" s="14">
        <f>IF(E2142&lt;&gt;"", YEARFRAC(C2142, E2142) * 12, "")</f>
        <v/>
      </c>
      <c r="J2142" s="2">
        <f>IF(I2142="", "", IF(OR(AND(A2142="Listed Equity Shares", I2142&gt;12), AND(A2142="Unlisted Equity Shares", I2142&gt;24)), "Long Term", "Short Term"))</f>
        <v/>
      </c>
      <c r="K2142" s="5">
        <f>IF(J2142="", "", IF(J2142="Long Term", 12.5%,"as per slab"))</f>
        <v/>
      </c>
      <c r="L2142" s="3">
        <f>+IFERROR(IF(J2142="","",H2142*K2142),"as per slab")</f>
        <v/>
      </c>
    </row>
    <row r="2143">
      <c r="A2143" s="7" t="n"/>
      <c r="B2143" s="7" t="n"/>
      <c r="C2143" s="8" t="n"/>
      <c r="D2143" s="9" t="n"/>
      <c r="E2143" s="8" t="n"/>
      <c r="F2143" s="9" t="n"/>
      <c r="G2143" s="9" t="n"/>
      <c r="H2143" s="3">
        <f>IF(AND(D2143&lt;&gt;"",F2143&lt;&gt;""),F2143-D2143-G2143,"")</f>
        <v/>
      </c>
      <c r="I2143" s="14">
        <f>IF(E2143&lt;&gt;"", YEARFRAC(C2143, E2143) * 12, "")</f>
        <v/>
      </c>
      <c r="J2143" s="2">
        <f>IF(I2143="", "", IF(OR(AND(A2143="Listed Equity Shares", I2143&gt;12), AND(A2143="Unlisted Equity Shares", I2143&gt;24)), "Long Term", "Short Term"))</f>
        <v/>
      </c>
      <c r="K2143" s="5">
        <f>IF(J2143="", "", IF(J2143="Long Term", 12.5%,"as per slab"))</f>
        <v/>
      </c>
      <c r="L2143" s="3">
        <f>+IFERROR(IF(J2143="","",H2143*K2143),"as per slab")</f>
        <v/>
      </c>
    </row>
    <row r="2144">
      <c r="A2144" s="7" t="n"/>
      <c r="B2144" s="7" t="n"/>
      <c r="C2144" s="8" t="n"/>
      <c r="D2144" s="9" t="n"/>
      <c r="E2144" s="8" t="n"/>
      <c r="F2144" s="9" t="n"/>
      <c r="G2144" s="9" t="n"/>
      <c r="H2144" s="3">
        <f>IF(AND(D2144&lt;&gt;"",F2144&lt;&gt;""),F2144-D2144-G2144,"")</f>
        <v/>
      </c>
      <c r="I2144" s="14">
        <f>IF(E2144&lt;&gt;"", YEARFRAC(C2144, E2144) * 12, "")</f>
        <v/>
      </c>
      <c r="J2144" s="2">
        <f>IF(I2144="", "", IF(OR(AND(A2144="Listed Equity Shares", I2144&gt;12), AND(A2144="Unlisted Equity Shares", I2144&gt;24)), "Long Term", "Short Term"))</f>
        <v/>
      </c>
      <c r="K2144" s="5">
        <f>IF(J2144="", "", IF(J2144="Long Term", 12.5%,"as per slab"))</f>
        <v/>
      </c>
      <c r="L2144" s="3">
        <f>+IFERROR(IF(J2144="","",H2144*K2144),"as per slab")</f>
        <v/>
      </c>
    </row>
    <row r="2145">
      <c r="A2145" s="7" t="n"/>
      <c r="B2145" s="7" t="n"/>
      <c r="C2145" s="8" t="n"/>
      <c r="D2145" s="9" t="n"/>
      <c r="E2145" s="8" t="n"/>
      <c r="F2145" s="9" t="n"/>
      <c r="G2145" s="9" t="n"/>
      <c r="H2145" s="3">
        <f>IF(AND(D2145&lt;&gt;"",F2145&lt;&gt;""),F2145-D2145-G2145,"")</f>
        <v/>
      </c>
      <c r="I2145" s="14">
        <f>IF(E2145&lt;&gt;"", YEARFRAC(C2145, E2145) * 12, "")</f>
        <v/>
      </c>
      <c r="J2145" s="2">
        <f>IF(I2145="", "", IF(OR(AND(A2145="Listed Equity Shares", I2145&gt;12), AND(A2145="Unlisted Equity Shares", I2145&gt;24)), "Long Term", "Short Term"))</f>
        <v/>
      </c>
      <c r="K2145" s="5">
        <f>IF(J2145="", "", IF(J2145="Long Term", 12.5%,"as per slab"))</f>
        <v/>
      </c>
      <c r="L2145" s="3">
        <f>+IFERROR(IF(J2145="","",H2145*K2145),"as per slab")</f>
        <v/>
      </c>
    </row>
    <row r="2146">
      <c r="A2146" s="7" t="n"/>
      <c r="B2146" s="7" t="n"/>
      <c r="C2146" s="8" t="n"/>
      <c r="D2146" s="9" t="n"/>
      <c r="E2146" s="8" t="n"/>
      <c r="F2146" s="9" t="n"/>
      <c r="G2146" s="9" t="n"/>
      <c r="H2146" s="3">
        <f>IF(AND(D2146&lt;&gt;"",F2146&lt;&gt;""),F2146-D2146-G2146,"")</f>
        <v/>
      </c>
      <c r="I2146" s="14">
        <f>IF(E2146&lt;&gt;"", YEARFRAC(C2146, E2146) * 12, "")</f>
        <v/>
      </c>
      <c r="J2146" s="2">
        <f>IF(I2146="", "", IF(OR(AND(A2146="Listed Equity Shares", I2146&gt;12), AND(A2146="Unlisted Equity Shares", I2146&gt;24)), "Long Term", "Short Term"))</f>
        <v/>
      </c>
      <c r="K2146" s="5">
        <f>IF(J2146="", "", IF(J2146="Long Term", 12.5%,"as per slab"))</f>
        <v/>
      </c>
      <c r="L2146" s="3">
        <f>+IFERROR(IF(J2146="","",H2146*K2146),"as per slab")</f>
        <v/>
      </c>
    </row>
    <row r="2147">
      <c r="A2147" s="7" t="n"/>
      <c r="B2147" s="7" t="n"/>
      <c r="C2147" s="8" t="n"/>
      <c r="D2147" s="9" t="n"/>
      <c r="E2147" s="8" t="n"/>
      <c r="F2147" s="9" t="n"/>
      <c r="G2147" s="9" t="n"/>
      <c r="H2147" s="3">
        <f>IF(AND(D2147&lt;&gt;"",F2147&lt;&gt;""),F2147-D2147-G2147,"")</f>
        <v/>
      </c>
      <c r="I2147" s="14">
        <f>IF(E2147&lt;&gt;"", YEARFRAC(C2147, E2147) * 12, "")</f>
        <v/>
      </c>
      <c r="J2147" s="2">
        <f>IF(I2147="", "", IF(OR(AND(A2147="Listed Equity Shares", I2147&gt;12), AND(A2147="Unlisted Equity Shares", I2147&gt;24)), "Long Term", "Short Term"))</f>
        <v/>
      </c>
      <c r="K2147" s="5">
        <f>IF(J2147="", "", IF(J2147="Long Term", 12.5%,"as per slab"))</f>
        <v/>
      </c>
      <c r="L2147" s="3">
        <f>+IFERROR(IF(J2147="","",H2147*K2147),"as per slab")</f>
        <v/>
      </c>
    </row>
    <row r="2148">
      <c r="A2148" s="7" t="n"/>
      <c r="B2148" s="7" t="n"/>
      <c r="C2148" s="8" t="n"/>
      <c r="D2148" s="9" t="n"/>
      <c r="E2148" s="8" t="n"/>
      <c r="F2148" s="9" t="n"/>
      <c r="G2148" s="9" t="n"/>
      <c r="H2148" s="3">
        <f>IF(AND(D2148&lt;&gt;"",F2148&lt;&gt;""),F2148-D2148-G2148,"")</f>
        <v/>
      </c>
      <c r="I2148" s="14">
        <f>IF(E2148&lt;&gt;"", YEARFRAC(C2148, E2148) * 12, "")</f>
        <v/>
      </c>
      <c r="J2148" s="2">
        <f>IF(I2148="", "", IF(OR(AND(A2148="Listed Equity Shares", I2148&gt;12), AND(A2148="Unlisted Equity Shares", I2148&gt;24)), "Long Term", "Short Term"))</f>
        <v/>
      </c>
      <c r="K2148" s="5">
        <f>IF(J2148="", "", IF(J2148="Long Term", 12.5%,"as per slab"))</f>
        <v/>
      </c>
      <c r="L2148" s="3">
        <f>+IFERROR(IF(J2148="","",H2148*K2148),"as per slab")</f>
        <v/>
      </c>
    </row>
    <row r="2149">
      <c r="A2149" s="7" t="n"/>
      <c r="B2149" s="7" t="n"/>
      <c r="C2149" s="8" t="n"/>
      <c r="D2149" s="9" t="n"/>
      <c r="E2149" s="8" t="n"/>
      <c r="F2149" s="9" t="n"/>
      <c r="G2149" s="9" t="n"/>
      <c r="H2149" s="3">
        <f>IF(AND(D2149&lt;&gt;"",F2149&lt;&gt;""),F2149-D2149-G2149,"")</f>
        <v/>
      </c>
      <c r="I2149" s="14">
        <f>IF(E2149&lt;&gt;"", YEARFRAC(C2149, E2149) * 12, "")</f>
        <v/>
      </c>
      <c r="J2149" s="2">
        <f>IF(I2149="", "", IF(OR(AND(A2149="Listed Equity Shares", I2149&gt;12), AND(A2149="Unlisted Equity Shares", I2149&gt;24)), "Long Term", "Short Term"))</f>
        <v/>
      </c>
      <c r="K2149" s="5">
        <f>IF(J2149="", "", IF(J2149="Long Term", 12.5%,"as per slab"))</f>
        <v/>
      </c>
      <c r="L2149" s="3">
        <f>+IFERROR(IF(J2149="","",H2149*K2149),"as per slab")</f>
        <v/>
      </c>
    </row>
    <row r="2150">
      <c r="A2150" s="7" t="n"/>
      <c r="B2150" s="7" t="n"/>
      <c r="C2150" s="8" t="n"/>
      <c r="D2150" s="9" t="n"/>
      <c r="E2150" s="8" t="n"/>
      <c r="F2150" s="9" t="n"/>
      <c r="G2150" s="9" t="n"/>
      <c r="H2150" s="3">
        <f>IF(AND(D2150&lt;&gt;"",F2150&lt;&gt;""),F2150-D2150-G2150,"")</f>
        <v/>
      </c>
      <c r="I2150" s="14">
        <f>IF(E2150&lt;&gt;"", YEARFRAC(C2150, E2150) * 12, "")</f>
        <v/>
      </c>
      <c r="J2150" s="2">
        <f>IF(I2150="", "", IF(OR(AND(A2150="Listed Equity Shares", I2150&gt;12), AND(A2150="Unlisted Equity Shares", I2150&gt;24)), "Long Term", "Short Term"))</f>
        <v/>
      </c>
      <c r="K2150" s="5">
        <f>IF(J2150="", "", IF(J2150="Long Term", 12.5%,"as per slab"))</f>
        <v/>
      </c>
      <c r="L2150" s="3">
        <f>+IFERROR(IF(J2150="","",H2150*K2150),"as per slab")</f>
        <v/>
      </c>
    </row>
    <row r="2151">
      <c r="A2151" s="7" t="n"/>
      <c r="B2151" s="7" t="n"/>
      <c r="C2151" s="8" t="n"/>
      <c r="D2151" s="9" t="n"/>
      <c r="E2151" s="8" t="n"/>
      <c r="F2151" s="9" t="n"/>
      <c r="G2151" s="9" t="n"/>
      <c r="H2151" s="3">
        <f>IF(AND(D2151&lt;&gt;"",F2151&lt;&gt;""),F2151-D2151-G2151,"")</f>
        <v/>
      </c>
      <c r="I2151" s="14">
        <f>IF(E2151&lt;&gt;"", YEARFRAC(C2151, E2151) * 12, "")</f>
        <v/>
      </c>
      <c r="J2151" s="2">
        <f>IF(I2151="", "", IF(OR(AND(A2151="Listed Equity Shares", I2151&gt;12), AND(A2151="Unlisted Equity Shares", I2151&gt;24)), "Long Term", "Short Term"))</f>
        <v/>
      </c>
      <c r="K2151" s="5">
        <f>IF(J2151="", "", IF(J2151="Long Term", 12.5%,"as per slab"))</f>
        <v/>
      </c>
      <c r="L2151" s="3">
        <f>+IFERROR(IF(J2151="","",H2151*K2151),"as per slab")</f>
        <v/>
      </c>
    </row>
    <row r="2152">
      <c r="A2152" s="7" t="n"/>
      <c r="B2152" s="7" t="n"/>
      <c r="C2152" s="8" t="n"/>
      <c r="D2152" s="9" t="n"/>
      <c r="E2152" s="8" t="n"/>
      <c r="F2152" s="9" t="n"/>
      <c r="G2152" s="9" t="n"/>
      <c r="H2152" s="3">
        <f>IF(AND(D2152&lt;&gt;"",F2152&lt;&gt;""),F2152-D2152-G2152,"")</f>
        <v/>
      </c>
      <c r="I2152" s="14">
        <f>IF(E2152&lt;&gt;"", YEARFRAC(C2152, E2152) * 12, "")</f>
        <v/>
      </c>
      <c r="J2152" s="2">
        <f>IF(I2152="", "", IF(OR(AND(A2152="Listed Equity Shares", I2152&gt;12), AND(A2152="Unlisted Equity Shares", I2152&gt;24)), "Long Term", "Short Term"))</f>
        <v/>
      </c>
      <c r="K2152" s="5">
        <f>IF(J2152="", "", IF(J2152="Long Term", 12.5%,"as per slab"))</f>
        <v/>
      </c>
      <c r="L2152" s="3">
        <f>+IFERROR(IF(J2152="","",H2152*K2152),"as per slab")</f>
        <v/>
      </c>
    </row>
    <row r="2153">
      <c r="A2153" s="7" t="n"/>
      <c r="B2153" s="7" t="n"/>
      <c r="C2153" s="8" t="n"/>
      <c r="D2153" s="9" t="n"/>
      <c r="E2153" s="8" t="n"/>
      <c r="F2153" s="9" t="n"/>
      <c r="G2153" s="9" t="n"/>
      <c r="H2153" s="3">
        <f>IF(AND(D2153&lt;&gt;"",F2153&lt;&gt;""),F2153-D2153-G2153,"")</f>
        <v/>
      </c>
      <c r="I2153" s="14">
        <f>IF(E2153&lt;&gt;"", YEARFRAC(C2153, E2153) * 12, "")</f>
        <v/>
      </c>
      <c r="J2153" s="2">
        <f>IF(I2153="", "", IF(OR(AND(A2153="Listed Equity Shares", I2153&gt;12), AND(A2153="Unlisted Equity Shares", I2153&gt;24)), "Long Term", "Short Term"))</f>
        <v/>
      </c>
      <c r="K2153" s="5">
        <f>IF(J2153="", "", IF(J2153="Long Term", 12.5%,"as per slab"))</f>
        <v/>
      </c>
      <c r="L2153" s="3">
        <f>+IFERROR(IF(J2153="","",H2153*K2153),"as per slab")</f>
        <v/>
      </c>
    </row>
    <row r="2154">
      <c r="A2154" s="7" t="n"/>
      <c r="B2154" s="7" t="n"/>
      <c r="C2154" s="8" t="n"/>
      <c r="D2154" s="9" t="n"/>
      <c r="E2154" s="8" t="n"/>
      <c r="F2154" s="9" t="n"/>
      <c r="G2154" s="9" t="n"/>
      <c r="H2154" s="3">
        <f>IF(AND(D2154&lt;&gt;"",F2154&lt;&gt;""),F2154-D2154-G2154,"")</f>
        <v/>
      </c>
      <c r="I2154" s="14">
        <f>IF(E2154&lt;&gt;"", YEARFRAC(C2154, E2154) * 12, "")</f>
        <v/>
      </c>
      <c r="J2154" s="2">
        <f>IF(I2154="", "", IF(OR(AND(A2154="Listed Equity Shares", I2154&gt;12), AND(A2154="Unlisted Equity Shares", I2154&gt;24)), "Long Term", "Short Term"))</f>
        <v/>
      </c>
      <c r="K2154" s="5">
        <f>IF(J2154="", "", IF(J2154="Long Term", 12.5%,"as per slab"))</f>
        <v/>
      </c>
      <c r="L2154" s="3">
        <f>+IFERROR(IF(J2154="","",H2154*K2154),"as per slab")</f>
        <v/>
      </c>
    </row>
    <row r="2155">
      <c r="A2155" s="7" t="n"/>
      <c r="B2155" s="7" t="n"/>
      <c r="C2155" s="8" t="n"/>
      <c r="D2155" s="9" t="n"/>
      <c r="E2155" s="8" t="n"/>
      <c r="F2155" s="9" t="n"/>
      <c r="G2155" s="9" t="n"/>
      <c r="H2155" s="3">
        <f>IF(AND(D2155&lt;&gt;"",F2155&lt;&gt;""),F2155-D2155-G2155,"")</f>
        <v/>
      </c>
      <c r="I2155" s="14">
        <f>IF(E2155&lt;&gt;"", YEARFRAC(C2155, E2155) * 12, "")</f>
        <v/>
      </c>
      <c r="J2155" s="2">
        <f>IF(I2155="", "", IF(OR(AND(A2155="Listed Equity Shares", I2155&gt;12), AND(A2155="Unlisted Equity Shares", I2155&gt;24)), "Long Term", "Short Term"))</f>
        <v/>
      </c>
      <c r="K2155" s="5">
        <f>IF(J2155="", "", IF(J2155="Long Term", 12.5%,"as per slab"))</f>
        <v/>
      </c>
      <c r="L2155" s="3">
        <f>+IFERROR(IF(J2155="","",H2155*K2155),"as per slab")</f>
        <v/>
      </c>
    </row>
    <row r="2156">
      <c r="A2156" s="7" t="n"/>
      <c r="B2156" s="7" t="n"/>
      <c r="C2156" s="8" t="n"/>
      <c r="D2156" s="9" t="n"/>
      <c r="E2156" s="8" t="n"/>
      <c r="F2156" s="9" t="n"/>
      <c r="G2156" s="9" t="n"/>
      <c r="H2156" s="3">
        <f>IF(AND(D2156&lt;&gt;"",F2156&lt;&gt;""),F2156-D2156-G2156,"")</f>
        <v/>
      </c>
      <c r="I2156" s="14">
        <f>IF(E2156&lt;&gt;"", YEARFRAC(C2156, E2156) * 12, "")</f>
        <v/>
      </c>
      <c r="J2156" s="2">
        <f>IF(I2156="", "", IF(OR(AND(A2156="Listed Equity Shares", I2156&gt;12), AND(A2156="Unlisted Equity Shares", I2156&gt;24)), "Long Term", "Short Term"))</f>
        <v/>
      </c>
      <c r="K2156" s="5">
        <f>IF(J2156="", "", IF(J2156="Long Term", 12.5%,"as per slab"))</f>
        <v/>
      </c>
      <c r="L2156" s="3">
        <f>+IFERROR(IF(J2156="","",H2156*K2156),"as per slab")</f>
        <v/>
      </c>
    </row>
    <row r="2157">
      <c r="A2157" s="7" t="n"/>
      <c r="B2157" s="7" t="n"/>
      <c r="C2157" s="8" t="n"/>
      <c r="D2157" s="9" t="n"/>
      <c r="E2157" s="8" t="n"/>
      <c r="F2157" s="9" t="n"/>
      <c r="G2157" s="9" t="n"/>
      <c r="H2157" s="3">
        <f>IF(AND(D2157&lt;&gt;"",F2157&lt;&gt;""),F2157-D2157-G2157,"")</f>
        <v/>
      </c>
      <c r="I2157" s="14">
        <f>IF(E2157&lt;&gt;"", YEARFRAC(C2157, E2157) * 12, "")</f>
        <v/>
      </c>
      <c r="J2157" s="2">
        <f>IF(I2157="", "", IF(OR(AND(A2157="Listed Equity Shares", I2157&gt;12), AND(A2157="Unlisted Equity Shares", I2157&gt;24)), "Long Term", "Short Term"))</f>
        <v/>
      </c>
      <c r="K2157" s="5">
        <f>IF(J2157="", "", IF(J2157="Long Term", 12.5%,"as per slab"))</f>
        <v/>
      </c>
      <c r="L2157" s="3">
        <f>+IFERROR(IF(J2157="","",H2157*K2157),"as per slab")</f>
        <v/>
      </c>
    </row>
    <row r="2158">
      <c r="A2158" s="7" t="n"/>
      <c r="B2158" s="7" t="n"/>
      <c r="C2158" s="8" t="n"/>
      <c r="D2158" s="9" t="n"/>
      <c r="E2158" s="8" t="n"/>
      <c r="F2158" s="9" t="n"/>
      <c r="G2158" s="9" t="n"/>
      <c r="H2158" s="3">
        <f>IF(AND(D2158&lt;&gt;"",F2158&lt;&gt;""),F2158-D2158-G2158,"")</f>
        <v/>
      </c>
      <c r="I2158" s="14">
        <f>IF(E2158&lt;&gt;"", YEARFRAC(C2158, E2158) * 12, "")</f>
        <v/>
      </c>
      <c r="J2158" s="2">
        <f>IF(I2158="", "", IF(OR(AND(A2158="Listed Equity Shares", I2158&gt;12), AND(A2158="Unlisted Equity Shares", I2158&gt;24)), "Long Term", "Short Term"))</f>
        <v/>
      </c>
      <c r="K2158" s="5">
        <f>IF(J2158="", "", IF(J2158="Long Term", 12.5%,"as per slab"))</f>
        <v/>
      </c>
      <c r="L2158" s="3">
        <f>+IFERROR(IF(J2158="","",H2158*K2158),"as per slab")</f>
        <v/>
      </c>
    </row>
    <row r="2159">
      <c r="A2159" s="7" t="n"/>
      <c r="B2159" s="7" t="n"/>
      <c r="C2159" s="8" t="n"/>
      <c r="D2159" s="9" t="n"/>
      <c r="E2159" s="8" t="n"/>
      <c r="F2159" s="9" t="n"/>
      <c r="G2159" s="9" t="n"/>
      <c r="H2159" s="3">
        <f>IF(AND(D2159&lt;&gt;"",F2159&lt;&gt;""),F2159-D2159-G2159,"")</f>
        <v/>
      </c>
      <c r="I2159" s="14">
        <f>IF(E2159&lt;&gt;"", YEARFRAC(C2159, E2159) * 12, "")</f>
        <v/>
      </c>
      <c r="J2159" s="2">
        <f>IF(I2159="", "", IF(OR(AND(A2159="Listed Equity Shares", I2159&gt;12), AND(A2159="Unlisted Equity Shares", I2159&gt;24)), "Long Term", "Short Term"))</f>
        <v/>
      </c>
      <c r="K2159" s="5">
        <f>IF(J2159="", "", IF(J2159="Long Term", 12.5%,"as per slab"))</f>
        <v/>
      </c>
      <c r="L2159" s="3">
        <f>+IFERROR(IF(J2159="","",H2159*K2159),"as per slab")</f>
        <v/>
      </c>
    </row>
    <row r="2160">
      <c r="A2160" s="7" t="n"/>
      <c r="B2160" s="7" t="n"/>
      <c r="C2160" s="8" t="n"/>
      <c r="D2160" s="9" t="n"/>
      <c r="E2160" s="8" t="n"/>
      <c r="F2160" s="9" t="n"/>
      <c r="G2160" s="9" t="n"/>
      <c r="H2160" s="3">
        <f>IF(AND(D2160&lt;&gt;"",F2160&lt;&gt;""),F2160-D2160-G2160,"")</f>
        <v/>
      </c>
      <c r="I2160" s="14">
        <f>IF(E2160&lt;&gt;"", YEARFRAC(C2160, E2160) * 12, "")</f>
        <v/>
      </c>
      <c r="J2160" s="2">
        <f>IF(I2160="", "", IF(OR(AND(A2160="Listed Equity Shares", I2160&gt;12), AND(A2160="Unlisted Equity Shares", I2160&gt;24)), "Long Term", "Short Term"))</f>
        <v/>
      </c>
      <c r="K2160" s="5">
        <f>IF(J2160="", "", IF(J2160="Long Term", 12.5%,"as per slab"))</f>
        <v/>
      </c>
      <c r="L2160" s="3">
        <f>+IFERROR(IF(J2160="","",H2160*K2160),"as per slab")</f>
        <v/>
      </c>
    </row>
    <row r="2161">
      <c r="A2161" s="7" t="n"/>
      <c r="B2161" s="7" t="n"/>
      <c r="C2161" s="8" t="n"/>
      <c r="D2161" s="9" t="n"/>
      <c r="E2161" s="8" t="n"/>
      <c r="F2161" s="9" t="n"/>
      <c r="G2161" s="9" t="n"/>
      <c r="H2161" s="3">
        <f>IF(AND(D2161&lt;&gt;"",F2161&lt;&gt;""),F2161-D2161-G2161,"")</f>
        <v/>
      </c>
      <c r="I2161" s="14">
        <f>IF(E2161&lt;&gt;"", YEARFRAC(C2161, E2161) * 12, "")</f>
        <v/>
      </c>
      <c r="J2161" s="2">
        <f>IF(I2161="", "", IF(OR(AND(A2161="Listed Equity Shares", I2161&gt;12), AND(A2161="Unlisted Equity Shares", I2161&gt;24)), "Long Term", "Short Term"))</f>
        <v/>
      </c>
      <c r="K2161" s="5">
        <f>IF(J2161="", "", IF(J2161="Long Term", 12.5%,"as per slab"))</f>
        <v/>
      </c>
      <c r="L2161" s="3">
        <f>+IFERROR(IF(J2161="","",H2161*K2161),"as per slab")</f>
        <v/>
      </c>
    </row>
    <row r="2162">
      <c r="A2162" s="7" t="n"/>
      <c r="B2162" s="7" t="n"/>
      <c r="C2162" s="8" t="n"/>
      <c r="D2162" s="9" t="n"/>
      <c r="E2162" s="8" t="n"/>
      <c r="F2162" s="9" t="n"/>
      <c r="G2162" s="9" t="n"/>
      <c r="H2162" s="3">
        <f>IF(AND(D2162&lt;&gt;"",F2162&lt;&gt;""),F2162-D2162-G2162,"")</f>
        <v/>
      </c>
      <c r="I2162" s="14">
        <f>IF(E2162&lt;&gt;"", YEARFRAC(C2162, E2162) * 12, "")</f>
        <v/>
      </c>
      <c r="J2162" s="2">
        <f>IF(I2162="", "", IF(OR(AND(A2162="Listed Equity Shares", I2162&gt;12), AND(A2162="Unlisted Equity Shares", I2162&gt;24)), "Long Term", "Short Term"))</f>
        <v/>
      </c>
      <c r="K2162" s="5">
        <f>IF(J2162="", "", IF(J2162="Long Term", 12.5%,"as per slab"))</f>
        <v/>
      </c>
      <c r="L2162" s="3">
        <f>+IFERROR(IF(J2162="","",H2162*K2162),"as per slab")</f>
        <v/>
      </c>
    </row>
    <row r="2163">
      <c r="A2163" s="7" t="n"/>
      <c r="B2163" s="7" t="n"/>
      <c r="C2163" s="8" t="n"/>
      <c r="D2163" s="9" t="n"/>
      <c r="E2163" s="8" t="n"/>
      <c r="F2163" s="9" t="n"/>
      <c r="G2163" s="9" t="n"/>
      <c r="H2163" s="3">
        <f>IF(AND(D2163&lt;&gt;"",F2163&lt;&gt;""),F2163-D2163-G2163,"")</f>
        <v/>
      </c>
      <c r="I2163" s="14">
        <f>IF(E2163&lt;&gt;"", YEARFRAC(C2163, E2163) * 12, "")</f>
        <v/>
      </c>
      <c r="J2163" s="2">
        <f>IF(I2163="", "", IF(OR(AND(A2163="Listed Equity Shares", I2163&gt;12), AND(A2163="Unlisted Equity Shares", I2163&gt;24)), "Long Term", "Short Term"))</f>
        <v/>
      </c>
      <c r="K2163" s="5">
        <f>IF(J2163="", "", IF(J2163="Long Term", 12.5%,"as per slab"))</f>
        <v/>
      </c>
      <c r="L2163" s="3">
        <f>+IFERROR(IF(J2163="","",H2163*K2163),"as per slab")</f>
        <v/>
      </c>
    </row>
    <row r="2164">
      <c r="A2164" s="7" t="n"/>
      <c r="B2164" s="7" t="n"/>
      <c r="C2164" s="8" t="n"/>
      <c r="D2164" s="9" t="n"/>
      <c r="E2164" s="8" t="n"/>
      <c r="F2164" s="9" t="n"/>
      <c r="G2164" s="9" t="n"/>
      <c r="H2164" s="3">
        <f>IF(AND(D2164&lt;&gt;"",F2164&lt;&gt;""),F2164-D2164-G2164,"")</f>
        <v/>
      </c>
      <c r="I2164" s="14">
        <f>IF(E2164&lt;&gt;"", YEARFRAC(C2164, E2164) * 12, "")</f>
        <v/>
      </c>
      <c r="J2164" s="2">
        <f>IF(I2164="", "", IF(OR(AND(A2164="Listed Equity Shares", I2164&gt;12), AND(A2164="Unlisted Equity Shares", I2164&gt;24)), "Long Term", "Short Term"))</f>
        <v/>
      </c>
      <c r="K2164" s="5">
        <f>IF(J2164="", "", IF(J2164="Long Term", 12.5%,"as per slab"))</f>
        <v/>
      </c>
      <c r="L2164" s="3">
        <f>+IFERROR(IF(J2164="","",H2164*K2164),"as per slab")</f>
        <v/>
      </c>
    </row>
    <row r="2165">
      <c r="A2165" s="7" t="n"/>
      <c r="B2165" s="7" t="n"/>
      <c r="C2165" s="8" t="n"/>
      <c r="D2165" s="9" t="n"/>
      <c r="E2165" s="8" t="n"/>
      <c r="F2165" s="9" t="n"/>
      <c r="G2165" s="9" t="n"/>
      <c r="H2165" s="3">
        <f>IF(AND(D2165&lt;&gt;"",F2165&lt;&gt;""),F2165-D2165-G2165,"")</f>
        <v/>
      </c>
      <c r="I2165" s="14">
        <f>IF(E2165&lt;&gt;"", YEARFRAC(C2165, E2165) * 12, "")</f>
        <v/>
      </c>
      <c r="J2165" s="2">
        <f>IF(I2165="", "", IF(OR(AND(A2165="Listed Equity Shares", I2165&gt;12), AND(A2165="Unlisted Equity Shares", I2165&gt;24)), "Long Term", "Short Term"))</f>
        <v/>
      </c>
      <c r="K2165" s="5">
        <f>IF(J2165="", "", IF(J2165="Long Term", 12.5%,"as per slab"))</f>
        <v/>
      </c>
      <c r="L2165" s="3">
        <f>+IFERROR(IF(J2165="","",H2165*K2165),"as per slab")</f>
        <v/>
      </c>
    </row>
    <row r="2166">
      <c r="A2166" s="7" t="n"/>
      <c r="B2166" s="7" t="n"/>
      <c r="C2166" s="8" t="n"/>
      <c r="D2166" s="9" t="n"/>
      <c r="E2166" s="8" t="n"/>
      <c r="F2166" s="9" t="n"/>
      <c r="G2166" s="9" t="n"/>
      <c r="H2166" s="3">
        <f>IF(AND(D2166&lt;&gt;"",F2166&lt;&gt;""),F2166-D2166-G2166,"")</f>
        <v/>
      </c>
      <c r="I2166" s="14">
        <f>IF(E2166&lt;&gt;"", YEARFRAC(C2166, E2166) * 12, "")</f>
        <v/>
      </c>
      <c r="J2166" s="2">
        <f>IF(I2166="", "", IF(OR(AND(A2166="Listed Equity Shares", I2166&gt;12), AND(A2166="Unlisted Equity Shares", I2166&gt;24)), "Long Term", "Short Term"))</f>
        <v/>
      </c>
      <c r="K2166" s="5">
        <f>IF(J2166="", "", IF(J2166="Long Term", 12.5%,"as per slab"))</f>
        <v/>
      </c>
      <c r="L2166" s="3">
        <f>+IFERROR(IF(J2166="","",H2166*K2166),"as per slab")</f>
        <v/>
      </c>
    </row>
    <row r="2167">
      <c r="A2167" s="7" t="n"/>
      <c r="B2167" s="7" t="n"/>
      <c r="C2167" s="8" t="n"/>
      <c r="D2167" s="9" t="n"/>
      <c r="E2167" s="8" t="n"/>
      <c r="F2167" s="9" t="n"/>
      <c r="G2167" s="9" t="n"/>
      <c r="H2167" s="3">
        <f>IF(AND(D2167&lt;&gt;"",F2167&lt;&gt;""),F2167-D2167-G2167,"")</f>
        <v/>
      </c>
      <c r="I2167" s="14">
        <f>IF(E2167&lt;&gt;"", YEARFRAC(C2167, E2167) * 12, "")</f>
        <v/>
      </c>
      <c r="J2167" s="2">
        <f>IF(I2167="", "", IF(OR(AND(A2167="Listed Equity Shares", I2167&gt;12), AND(A2167="Unlisted Equity Shares", I2167&gt;24)), "Long Term", "Short Term"))</f>
        <v/>
      </c>
      <c r="K2167" s="5">
        <f>IF(J2167="", "", IF(J2167="Long Term", 12.5%,"as per slab"))</f>
        <v/>
      </c>
      <c r="L2167" s="3">
        <f>+IFERROR(IF(J2167="","",H2167*K2167),"as per slab")</f>
        <v/>
      </c>
    </row>
    <row r="2168">
      <c r="A2168" s="7" t="n"/>
      <c r="B2168" s="7" t="n"/>
      <c r="C2168" s="8" t="n"/>
      <c r="D2168" s="9" t="n"/>
      <c r="E2168" s="8" t="n"/>
      <c r="F2168" s="9" t="n"/>
      <c r="G2168" s="9" t="n"/>
      <c r="H2168" s="3">
        <f>IF(AND(D2168&lt;&gt;"",F2168&lt;&gt;""),F2168-D2168-G2168,"")</f>
        <v/>
      </c>
      <c r="I2168" s="14">
        <f>IF(E2168&lt;&gt;"", YEARFRAC(C2168, E2168) * 12, "")</f>
        <v/>
      </c>
      <c r="J2168" s="2">
        <f>IF(I2168="", "", IF(OR(AND(A2168="Listed Equity Shares", I2168&gt;12), AND(A2168="Unlisted Equity Shares", I2168&gt;24)), "Long Term", "Short Term"))</f>
        <v/>
      </c>
      <c r="K2168" s="5">
        <f>IF(J2168="", "", IF(J2168="Long Term", 12.5%,"as per slab"))</f>
        <v/>
      </c>
      <c r="L2168" s="3">
        <f>+IFERROR(IF(J2168="","",H2168*K2168),"as per slab")</f>
        <v/>
      </c>
    </row>
    <row r="2169">
      <c r="A2169" s="7" t="n"/>
      <c r="B2169" s="7" t="n"/>
      <c r="C2169" s="8" t="n"/>
      <c r="D2169" s="9" t="n"/>
      <c r="E2169" s="8" t="n"/>
      <c r="F2169" s="9" t="n"/>
      <c r="G2169" s="9" t="n"/>
      <c r="H2169" s="3">
        <f>IF(AND(D2169&lt;&gt;"",F2169&lt;&gt;""),F2169-D2169-G2169,"")</f>
        <v/>
      </c>
      <c r="I2169" s="14">
        <f>IF(E2169&lt;&gt;"", YEARFRAC(C2169, E2169) * 12, "")</f>
        <v/>
      </c>
      <c r="J2169" s="2">
        <f>IF(I2169="", "", IF(OR(AND(A2169="Listed Equity Shares", I2169&gt;12), AND(A2169="Unlisted Equity Shares", I2169&gt;24)), "Long Term", "Short Term"))</f>
        <v/>
      </c>
      <c r="K2169" s="5">
        <f>IF(J2169="", "", IF(J2169="Long Term", 12.5%,"as per slab"))</f>
        <v/>
      </c>
      <c r="L2169" s="3">
        <f>+IFERROR(IF(J2169="","",H2169*K2169),"as per slab")</f>
        <v/>
      </c>
    </row>
    <row r="2170">
      <c r="A2170" s="7" t="n"/>
      <c r="B2170" s="7" t="n"/>
      <c r="C2170" s="8" t="n"/>
      <c r="D2170" s="9" t="n"/>
      <c r="E2170" s="8" t="n"/>
      <c r="F2170" s="9" t="n"/>
      <c r="G2170" s="9" t="n"/>
      <c r="H2170" s="3">
        <f>IF(AND(D2170&lt;&gt;"",F2170&lt;&gt;""),F2170-D2170-G2170,"")</f>
        <v/>
      </c>
      <c r="I2170" s="14">
        <f>IF(E2170&lt;&gt;"", YEARFRAC(C2170, E2170) * 12, "")</f>
        <v/>
      </c>
      <c r="J2170" s="2">
        <f>IF(I2170="", "", IF(OR(AND(A2170="Listed Equity Shares", I2170&gt;12), AND(A2170="Unlisted Equity Shares", I2170&gt;24)), "Long Term", "Short Term"))</f>
        <v/>
      </c>
      <c r="K2170" s="5">
        <f>IF(J2170="", "", IF(J2170="Long Term", 12.5%,"as per slab"))</f>
        <v/>
      </c>
      <c r="L2170" s="3">
        <f>+IFERROR(IF(J2170="","",H2170*K2170),"as per slab")</f>
        <v/>
      </c>
    </row>
    <row r="2171">
      <c r="A2171" s="7" t="n"/>
      <c r="B2171" s="7" t="n"/>
      <c r="C2171" s="8" t="n"/>
      <c r="D2171" s="9" t="n"/>
      <c r="E2171" s="8" t="n"/>
      <c r="F2171" s="9" t="n"/>
      <c r="G2171" s="9" t="n"/>
      <c r="H2171" s="3">
        <f>IF(AND(D2171&lt;&gt;"",F2171&lt;&gt;""),F2171-D2171-G2171,"")</f>
        <v/>
      </c>
      <c r="I2171" s="14">
        <f>IF(E2171&lt;&gt;"", YEARFRAC(C2171, E2171) * 12, "")</f>
        <v/>
      </c>
      <c r="J2171" s="2">
        <f>IF(I2171="", "", IF(OR(AND(A2171="Listed Equity Shares", I2171&gt;12), AND(A2171="Unlisted Equity Shares", I2171&gt;24)), "Long Term", "Short Term"))</f>
        <v/>
      </c>
      <c r="K2171" s="5">
        <f>IF(J2171="", "", IF(J2171="Long Term", 12.5%,"as per slab"))</f>
        <v/>
      </c>
      <c r="L2171" s="3">
        <f>+IFERROR(IF(J2171="","",H2171*K2171),"as per slab")</f>
        <v/>
      </c>
    </row>
    <row r="2172">
      <c r="A2172" s="7" t="n"/>
      <c r="B2172" s="7" t="n"/>
      <c r="C2172" s="8" t="n"/>
      <c r="D2172" s="9" t="n"/>
      <c r="E2172" s="8" t="n"/>
      <c r="F2172" s="9" t="n"/>
      <c r="G2172" s="9" t="n"/>
      <c r="H2172" s="3">
        <f>IF(AND(D2172&lt;&gt;"",F2172&lt;&gt;""),F2172-D2172-G2172,"")</f>
        <v/>
      </c>
      <c r="I2172" s="14">
        <f>IF(E2172&lt;&gt;"", YEARFRAC(C2172, E2172) * 12, "")</f>
        <v/>
      </c>
      <c r="J2172" s="2">
        <f>IF(I2172="", "", IF(OR(AND(A2172="Listed Equity Shares", I2172&gt;12), AND(A2172="Unlisted Equity Shares", I2172&gt;24)), "Long Term", "Short Term"))</f>
        <v/>
      </c>
      <c r="K2172" s="5">
        <f>IF(J2172="", "", IF(J2172="Long Term", 12.5%,"as per slab"))</f>
        <v/>
      </c>
      <c r="L2172" s="3">
        <f>+IFERROR(IF(J2172="","",H2172*K2172),"as per slab")</f>
        <v/>
      </c>
    </row>
    <row r="2173">
      <c r="A2173" s="7" t="n"/>
      <c r="B2173" s="7" t="n"/>
      <c r="C2173" s="8" t="n"/>
      <c r="D2173" s="9" t="n"/>
      <c r="E2173" s="8" t="n"/>
      <c r="F2173" s="9" t="n"/>
      <c r="G2173" s="9" t="n"/>
      <c r="H2173" s="3">
        <f>IF(AND(D2173&lt;&gt;"",F2173&lt;&gt;""),F2173-D2173-G2173,"")</f>
        <v/>
      </c>
      <c r="I2173" s="14">
        <f>IF(E2173&lt;&gt;"", YEARFRAC(C2173, E2173) * 12, "")</f>
        <v/>
      </c>
      <c r="J2173" s="2">
        <f>IF(I2173="", "", IF(OR(AND(A2173="Listed Equity Shares", I2173&gt;12), AND(A2173="Unlisted Equity Shares", I2173&gt;24)), "Long Term", "Short Term"))</f>
        <v/>
      </c>
      <c r="K2173" s="5">
        <f>IF(J2173="", "", IF(J2173="Long Term", 12.5%,"as per slab"))</f>
        <v/>
      </c>
      <c r="L2173" s="3">
        <f>+IFERROR(IF(J2173="","",H2173*K2173),"as per slab")</f>
        <v/>
      </c>
    </row>
    <row r="2174">
      <c r="A2174" s="7" t="n"/>
      <c r="B2174" s="7" t="n"/>
      <c r="C2174" s="8" t="n"/>
      <c r="D2174" s="9" t="n"/>
      <c r="E2174" s="8" t="n"/>
      <c r="F2174" s="9" t="n"/>
      <c r="G2174" s="9" t="n"/>
      <c r="H2174" s="3">
        <f>IF(AND(D2174&lt;&gt;"",F2174&lt;&gt;""),F2174-D2174-G2174,"")</f>
        <v/>
      </c>
      <c r="I2174" s="14">
        <f>IF(E2174&lt;&gt;"", YEARFRAC(C2174, E2174) * 12, "")</f>
        <v/>
      </c>
      <c r="J2174" s="2">
        <f>IF(I2174="", "", IF(OR(AND(A2174="Listed Equity Shares", I2174&gt;12), AND(A2174="Unlisted Equity Shares", I2174&gt;24)), "Long Term", "Short Term"))</f>
        <v/>
      </c>
      <c r="K2174" s="5">
        <f>IF(J2174="", "", IF(J2174="Long Term", 12.5%,"as per slab"))</f>
        <v/>
      </c>
      <c r="L2174" s="3">
        <f>+IFERROR(IF(J2174="","",H2174*K2174),"as per slab")</f>
        <v/>
      </c>
    </row>
    <row r="2175">
      <c r="A2175" s="7" t="n"/>
      <c r="B2175" s="7" t="n"/>
      <c r="C2175" s="8" t="n"/>
      <c r="D2175" s="9" t="n"/>
      <c r="E2175" s="8" t="n"/>
      <c r="F2175" s="9" t="n"/>
      <c r="G2175" s="9" t="n"/>
      <c r="H2175" s="3">
        <f>IF(AND(D2175&lt;&gt;"",F2175&lt;&gt;""),F2175-D2175-G2175,"")</f>
        <v/>
      </c>
      <c r="I2175" s="14">
        <f>IF(E2175&lt;&gt;"", YEARFRAC(C2175, E2175) * 12, "")</f>
        <v/>
      </c>
      <c r="J2175" s="2">
        <f>IF(I2175="", "", IF(OR(AND(A2175="Listed Equity Shares", I2175&gt;12), AND(A2175="Unlisted Equity Shares", I2175&gt;24)), "Long Term", "Short Term"))</f>
        <v/>
      </c>
      <c r="K2175" s="5">
        <f>IF(J2175="", "", IF(J2175="Long Term", 12.5%,"as per slab"))</f>
        <v/>
      </c>
      <c r="L2175" s="3">
        <f>+IFERROR(IF(J2175="","",H2175*K2175),"as per slab")</f>
        <v/>
      </c>
    </row>
    <row r="2176">
      <c r="A2176" s="7" t="n"/>
      <c r="B2176" s="7" t="n"/>
      <c r="C2176" s="8" t="n"/>
      <c r="D2176" s="9" t="n"/>
      <c r="E2176" s="8" t="n"/>
      <c r="F2176" s="9" t="n"/>
      <c r="G2176" s="9" t="n"/>
      <c r="H2176" s="3">
        <f>IF(AND(D2176&lt;&gt;"",F2176&lt;&gt;""),F2176-D2176-G2176,"")</f>
        <v/>
      </c>
      <c r="I2176" s="14">
        <f>IF(E2176&lt;&gt;"", YEARFRAC(C2176, E2176) * 12, "")</f>
        <v/>
      </c>
      <c r="J2176" s="2">
        <f>IF(I2176="", "", IF(OR(AND(A2176="Listed Equity Shares", I2176&gt;12), AND(A2176="Unlisted Equity Shares", I2176&gt;24)), "Long Term", "Short Term"))</f>
        <v/>
      </c>
      <c r="K2176" s="5">
        <f>IF(J2176="", "", IF(J2176="Long Term", 12.5%,"as per slab"))</f>
        <v/>
      </c>
      <c r="L2176" s="3">
        <f>+IFERROR(IF(J2176="","",H2176*K2176),"as per slab")</f>
        <v/>
      </c>
    </row>
    <row r="2177">
      <c r="A2177" s="7" t="n"/>
      <c r="B2177" s="7" t="n"/>
      <c r="C2177" s="8" t="n"/>
      <c r="D2177" s="9" t="n"/>
      <c r="E2177" s="8" t="n"/>
      <c r="F2177" s="9" t="n"/>
      <c r="G2177" s="9" t="n"/>
      <c r="H2177" s="3">
        <f>IF(AND(D2177&lt;&gt;"",F2177&lt;&gt;""),F2177-D2177-G2177,"")</f>
        <v/>
      </c>
      <c r="I2177" s="14">
        <f>IF(E2177&lt;&gt;"", YEARFRAC(C2177, E2177) * 12, "")</f>
        <v/>
      </c>
      <c r="J2177" s="2">
        <f>IF(I2177="", "", IF(OR(AND(A2177="Listed Equity Shares", I2177&gt;12), AND(A2177="Unlisted Equity Shares", I2177&gt;24)), "Long Term", "Short Term"))</f>
        <v/>
      </c>
      <c r="K2177" s="5">
        <f>IF(J2177="", "", IF(J2177="Long Term", 12.5%,"as per slab"))</f>
        <v/>
      </c>
      <c r="L2177" s="3">
        <f>+IFERROR(IF(J2177="","",H2177*K2177),"as per slab")</f>
        <v/>
      </c>
    </row>
    <row r="2178">
      <c r="A2178" s="7" t="n"/>
      <c r="B2178" s="7" t="n"/>
      <c r="C2178" s="8" t="n"/>
      <c r="D2178" s="9" t="n"/>
      <c r="E2178" s="8" t="n"/>
      <c r="F2178" s="9" t="n"/>
      <c r="G2178" s="9" t="n"/>
      <c r="H2178" s="3">
        <f>IF(AND(D2178&lt;&gt;"",F2178&lt;&gt;""),F2178-D2178-G2178,"")</f>
        <v/>
      </c>
      <c r="I2178" s="14">
        <f>IF(E2178&lt;&gt;"", YEARFRAC(C2178, E2178) * 12, "")</f>
        <v/>
      </c>
      <c r="J2178" s="2">
        <f>IF(I2178="", "", IF(OR(AND(A2178="Listed Equity Shares", I2178&gt;12), AND(A2178="Unlisted Equity Shares", I2178&gt;24)), "Long Term", "Short Term"))</f>
        <v/>
      </c>
      <c r="K2178" s="5">
        <f>IF(J2178="", "", IF(J2178="Long Term", 12.5%,"as per slab"))</f>
        <v/>
      </c>
      <c r="L2178" s="3">
        <f>+IFERROR(IF(J2178="","",H2178*K2178),"as per slab")</f>
        <v/>
      </c>
    </row>
    <row r="2179">
      <c r="A2179" s="7" t="n"/>
      <c r="B2179" s="7" t="n"/>
      <c r="C2179" s="8" t="n"/>
      <c r="D2179" s="9" t="n"/>
      <c r="E2179" s="8" t="n"/>
      <c r="F2179" s="9" t="n"/>
      <c r="G2179" s="9" t="n"/>
      <c r="H2179" s="3">
        <f>IF(AND(D2179&lt;&gt;"",F2179&lt;&gt;""),F2179-D2179-G2179,"")</f>
        <v/>
      </c>
      <c r="I2179" s="14">
        <f>IF(E2179&lt;&gt;"", YEARFRAC(C2179, E2179) * 12, "")</f>
        <v/>
      </c>
      <c r="J2179" s="2">
        <f>IF(I2179="", "", IF(OR(AND(A2179="Listed Equity Shares", I2179&gt;12), AND(A2179="Unlisted Equity Shares", I2179&gt;24)), "Long Term", "Short Term"))</f>
        <v/>
      </c>
      <c r="K2179" s="5">
        <f>IF(J2179="", "", IF(J2179="Long Term", 12.5%,"as per slab"))</f>
        <v/>
      </c>
      <c r="L2179" s="3">
        <f>+IFERROR(IF(J2179="","",H2179*K2179),"as per slab")</f>
        <v/>
      </c>
    </row>
    <row r="2180">
      <c r="A2180" s="7" t="n"/>
      <c r="B2180" s="7" t="n"/>
      <c r="C2180" s="8" t="n"/>
      <c r="D2180" s="9" t="n"/>
      <c r="E2180" s="8" t="n"/>
      <c r="F2180" s="9" t="n"/>
      <c r="G2180" s="9" t="n"/>
      <c r="H2180" s="3">
        <f>IF(AND(D2180&lt;&gt;"",F2180&lt;&gt;""),F2180-D2180-G2180,"")</f>
        <v/>
      </c>
      <c r="I2180" s="14">
        <f>IF(E2180&lt;&gt;"", YEARFRAC(C2180, E2180) * 12, "")</f>
        <v/>
      </c>
      <c r="J2180" s="2">
        <f>IF(I2180="", "", IF(OR(AND(A2180="Listed Equity Shares", I2180&gt;12), AND(A2180="Unlisted Equity Shares", I2180&gt;24)), "Long Term", "Short Term"))</f>
        <v/>
      </c>
      <c r="K2180" s="5">
        <f>IF(J2180="", "", IF(J2180="Long Term", 12.5%,"as per slab"))</f>
        <v/>
      </c>
      <c r="L2180" s="3">
        <f>+IFERROR(IF(J2180="","",H2180*K2180),"as per slab")</f>
        <v/>
      </c>
    </row>
    <row r="2181">
      <c r="A2181" s="7" t="n"/>
      <c r="B2181" s="7" t="n"/>
      <c r="C2181" s="8" t="n"/>
      <c r="D2181" s="9" t="n"/>
      <c r="E2181" s="8" t="n"/>
      <c r="F2181" s="9" t="n"/>
      <c r="G2181" s="9" t="n"/>
      <c r="H2181" s="3">
        <f>IF(AND(D2181&lt;&gt;"",F2181&lt;&gt;""),F2181-D2181-G2181,"")</f>
        <v/>
      </c>
      <c r="I2181" s="14">
        <f>IF(E2181&lt;&gt;"", YEARFRAC(C2181, E2181) * 12, "")</f>
        <v/>
      </c>
      <c r="J2181" s="2">
        <f>IF(I2181="", "", IF(OR(AND(A2181="Listed Equity Shares", I2181&gt;12), AND(A2181="Unlisted Equity Shares", I2181&gt;24)), "Long Term", "Short Term"))</f>
        <v/>
      </c>
      <c r="K2181" s="5">
        <f>IF(J2181="", "", IF(J2181="Long Term", 12.5%,"as per slab"))</f>
        <v/>
      </c>
      <c r="L2181" s="3">
        <f>+IFERROR(IF(J2181="","",H2181*K2181),"as per slab")</f>
        <v/>
      </c>
    </row>
    <row r="2182">
      <c r="A2182" s="7" t="n"/>
      <c r="B2182" s="7" t="n"/>
      <c r="C2182" s="8" t="n"/>
      <c r="D2182" s="9" t="n"/>
      <c r="E2182" s="8" t="n"/>
      <c r="F2182" s="9" t="n"/>
      <c r="G2182" s="9" t="n"/>
      <c r="H2182" s="3">
        <f>IF(AND(D2182&lt;&gt;"",F2182&lt;&gt;""),F2182-D2182-G2182,"")</f>
        <v/>
      </c>
      <c r="I2182" s="14">
        <f>IF(E2182&lt;&gt;"", YEARFRAC(C2182, E2182) * 12, "")</f>
        <v/>
      </c>
      <c r="J2182" s="2">
        <f>IF(I2182="", "", IF(OR(AND(A2182="Listed Equity Shares", I2182&gt;12), AND(A2182="Unlisted Equity Shares", I2182&gt;24)), "Long Term", "Short Term"))</f>
        <v/>
      </c>
      <c r="K2182" s="5">
        <f>IF(J2182="", "", IF(J2182="Long Term", 12.5%,"as per slab"))</f>
        <v/>
      </c>
      <c r="L2182" s="3">
        <f>+IFERROR(IF(J2182="","",H2182*K2182),"as per slab")</f>
        <v/>
      </c>
    </row>
    <row r="2183">
      <c r="A2183" s="7" t="n"/>
      <c r="B2183" s="7" t="n"/>
      <c r="C2183" s="8" t="n"/>
      <c r="D2183" s="9" t="n"/>
      <c r="E2183" s="8" t="n"/>
      <c r="F2183" s="9" t="n"/>
      <c r="G2183" s="9" t="n"/>
      <c r="H2183" s="3">
        <f>IF(AND(D2183&lt;&gt;"",F2183&lt;&gt;""),F2183-D2183-G2183,"")</f>
        <v/>
      </c>
      <c r="I2183" s="14">
        <f>IF(E2183&lt;&gt;"", YEARFRAC(C2183, E2183) * 12, "")</f>
        <v/>
      </c>
      <c r="J2183" s="2">
        <f>IF(I2183="", "", IF(OR(AND(A2183="Listed Equity Shares", I2183&gt;12), AND(A2183="Unlisted Equity Shares", I2183&gt;24)), "Long Term", "Short Term"))</f>
        <v/>
      </c>
      <c r="K2183" s="5">
        <f>IF(J2183="", "", IF(J2183="Long Term", 12.5%,"as per slab"))</f>
        <v/>
      </c>
      <c r="L2183" s="3">
        <f>+IFERROR(IF(J2183="","",H2183*K2183),"as per slab")</f>
        <v/>
      </c>
    </row>
    <row r="2184">
      <c r="A2184" s="7" t="n"/>
      <c r="B2184" s="7" t="n"/>
      <c r="C2184" s="8" t="n"/>
      <c r="D2184" s="9" t="n"/>
      <c r="E2184" s="8" t="n"/>
      <c r="F2184" s="9" t="n"/>
      <c r="G2184" s="9" t="n"/>
      <c r="H2184" s="3">
        <f>IF(AND(D2184&lt;&gt;"",F2184&lt;&gt;""),F2184-D2184-G2184,"")</f>
        <v/>
      </c>
      <c r="I2184" s="14">
        <f>IF(E2184&lt;&gt;"", YEARFRAC(C2184, E2184) * 12, "")</f>
        <v/>
      </c>
      <c r="J2184" s="2">
        <f>IF(I2184="", "", IF(OR(AND(A2184="Listed Equity Shares", I2184&gt;12), AND(A2184="Unlisted Equity Shares", I2184&gt;24)), "Long Term", "Short Term"))</f>
        <v/>
      </c>
      <c r="K2184" s="5">
        <f>IF(J2184="", "", IF(J2184="Long Term", 12.5%,"as per slab"))</f>
        <v/>
      </c>
      <c r="L2184" s="3">
        <f>+IFERROR(IF(J2184="","",H2184*K2184),"as per slab")</f>
        <v/>
      </c>
    </row>
    <row r="2185">
      <c r="A2185" s="7" t="n"/>
      <c r="B2185" s="7" t="n"/>
      <c r="C2185" s="8" t="n"/>
      <c r="D2185" s="9" t="n"/>
      <c r="E2185" s="8" t="n"/>
      <c r="F2185" s="9" t="n"/>
      <c r="G2185" s="9" t="n"/>
      <c r="H2185" s="3">
        <f>IF(AND(D2185&lt;&gt;"",F2185&lt;&gt;""),F2185-D2185-G2185,"")</f>
        <v/>
      </c>
      <c r="I2185" s="14">
        <f>IF(E2185&lt;&gt;"", YEARFRAC(C2185, E2185) * 12, "")</f>
        <v/>
      </c>
      <c r="J2185" s="2">
        <f>IF(I2185="", "", IF(OR(AND(A2185="Listed Equity Shares", I2185&gt;12), AND(A2185="Unlisted Equity Shares", I2185&gt;24)), "Long Term", "Short Term"))</f>
        <v/>
      </c>
      <c r="K2185" s="5">
        <f>IF(J2185="", "", IF(J2185="Long Term", 12.5%,"as per slab"))</f>
        <v/>
      </c>
      <c r="L2185" s="3">
        <f>+IFERROR(IF(J2185="","",H2185*K2185),"as per slab")</f>
        <v/>
      </c>
    </row>
    <row r="2186">
      <c r="A2186" s="7" t="n"/>
      <c r="B2186" s="7" t="n"/>
      <c r="C2186" s="8" t="n"/>
      <c r="D2186" s="9" t="n"/>
      <c r="E2186" s="8" t="n"/>
      <c r="F2186" s="9" t="n"/>
      <c r="G2186" s="9" t="n"/>
      <c r="H2186" s="3">
        <f>IF(AND(D2186&lt;&gt;"",F2186&lt;&gt;""),F2186-D2186-G2186,"")</f>
        <v/>
      </c>
      <c r="I2186" s="14">
        <f>IF(E2186&lt;&gt;"", YEARFRAC(C2186, E2186) * 12, "")</f>
        <v/>
      </c>
      <c r="J2186" s="2">
        <f>IF(I2186="", "", IF(OR(AND(A2186="Listed Equity Shares", I2186&gt;12), AND(A2186="Unlisted Equity Shares", I2186&gt;24)), "Long Term", "Short Term"))</f>
        <v/>
      </c>
      <c r="K2186" s="5">
        <f>IF(J2186="", "", IF(J2186="Long Term", 12.5%,"as per slab"))</f>
        <v/>
      </c>
      <c r="L2186" s="3">
        <f>+IFERROR(IF(J2186="","",H2186*K2186),"as per slab")</f>
        <v/>
      </c>
    </row>
    <row r="2187">
      <c r="A2187" s="7" t="n"/>
      <c r="B2187" s="7" t="n"/>
      <c r="C2187" s="8" t="n"/>
      <c r="D2187" s="9" t="n"/>
      <c r="E2187" s="8" t="n"/>
      <c r="F2187" s="9" t="n"/>
      <c r="G2187" s="9" t="n"/>
      <c r="H2187" s="3">
        <f>IF(AND(D2187&lt;&gt;"",F2187&lt;&gt;""),F2187-D2187-G2187,"")</f>
        <v/>
      </c>
      <c r="I2187" s="14">
        <f>IF(E2187&lt;&gt;"", YEARFRAC(C2187, E2187) * 12, "")</f>
        <v/>
      </c>
      <c r="J2187" s="2">
        <f>IF(I2187="", "", IF(OR(AND(A2187="Listed Equity Shares", I2187&gt;12), AND(A2187="Unlisted Equity Shares", I2187&gt;24)), "Long Term", "Short Term"))</f>
        <v/>
      </c>
      <c r="K2187" s="5">
        <f>IF(J2187="", "", IF(J2187="Long Term", 12.5%,"as per slab"))</f>
        <v/>
      </c>
      <c r="L2187" s="3">
        <f>+IFERROR(IF(J2187="","",H2187*K2187),"as per slab")</f>
        <v/>
      </c>
    </row>
    <row r="2188">
      <c r="A2188" s="7" t="n"/>
      <c r="B2188" s="7" t="n"/>
      <c r="C2188" s="8" t="n"/>
      <c r="D2188" s="9" t="n"/>
      <c r="E2188" s="8" t="n"/>
      <c r="F2188" s="9" t="n"/>
      <c r="G2188" s="9" t="n"/>
      <c r="H2188" s="3">
        <f>IF(AND(D2188&lt;&gt;"",F2188&lt;&gt;""),F2188-D2188-G2188,"")</f>
        <v/>
      </c>
      <c r="I2188" s="14">
        <f>IF(E2188&lt;&gt;"", YEARFRAC(C2188, E2188) * 12, "")</f>
        <v/>
      </c>
      <c r="J2188" s="2">
        <f>IF(I2188="", "", IF(OR(AND(A2188="Listed Equity Shares", I2188&gt;12), AND(A2188="Unlisted Equity Shares", I2188&gt;24)), "Long Term", "Short Term"))</f>
        <v/>
      </c>
      <c r="K2188" s="5">
        <f>IF(J2188="", "", IF(J2188="Long Term", 12.5%,"as per slab"))</f>
        <v/>
      </c>
      <c r="L2188" s="3">
        <f>+IFERROR(IF(J2188="","",H2188*K2188),"as per slab")</f>
        <v/>
      </c>
    </row>
    <row r="2189">
      <c r="A2189" s="7" t="n"/>
      <c r="B2189" s="7" t="n"/>
      <c r="C2189" s="8" t="n"/>
      <c r="D2189" s="9" t="n"/>
      <c r="E2189" s="8" t="n"/>
      <c r="F2189" s="9" t="n"/>
      <c r="G2189" s="9" t="n"/>
      <c r="H2189" s="3">
        <f>IF(AND(D2189&lt;&gt;"",F2189&lt;&gt;""),F2189-D2189-G2189,"")</f>
        <v/>
      </c>
      <c r="I2189" s="14">
        <f>IF(E2189&lt;&gt;"", YEARFRAC(C2189, E2189) * 12, "")</f>
        <v/>
      </c>
      <c r="J2189" s="2">
        <f>IF(I2189="", "", IF(OR(AND(A2189="Listed Equity Shares", I2189&gt;12), AND(A2189="Unlisted Equity Shares", I2189&gt;24)), "Long Term", "Short Term"))</f>
        <v/>
      </c>
      <c r="K2189" s="5">
        <f>IF(J2189="", "", IF(J2189="Long Term", 12.5%,"as per slab"))</f>
        <v/>
      </c>
      <c r="L2189" s="3">
        <f>+IFERROR(IF(J2189="","",H2189*K2189),"as per slab")</f>
        <v/>
      </c>
    </row>
    <row r="2190">
      <c r="A2190" s="7" t="n"/>
      <c r="B2190" s="7" t="n"/>
      <c r="C2190" s="8" t="n"/>
      <c r="D2190" s="9" t="n"/>
      <c r="E2190" s="8" t="n"/>
      <c r="F2190" s="9" t="n"/>
      <c r="G2190" s="9" t="n"/>
      <c r="H2190" s="3">
        <f>IF(AND(D2190&lt;&gt;"",F2190&lt;&gt;""),F2190-D2190-G2190,"")</f>
        <v/>
      </c>
      <c r="I2190" s="14">
        <f>IF(E2190&lt;&gt;"", YEARFRAC(C2190, E2190) * 12, "")</f>
        <v/>
      </c>
      <c r="J2190" s="2">
        <f>IF(I2190="", "", IF(OR(AND(A2190="Listed Equity Shares", I2190&gt;12), AND(A2190="Unlisted Equity Shares", I2190&gt;24)), "Long Term", "Short Term"))</f>
        <v/>
      </c>
      <c r="K2190" s="5">
        <f>IF(J2190="", "", IF(J2190="Long Term", 12.5%,"as per slab"))</f>
        <v/>
      </c>
      <c r="L2190" s="3">
        <f>+IFERROR(IF(J2190="","",H2190*K2190),"as per slab")</f>
        <v/>
      </c>
    </row>
    <row r="2191">
      <c r="A2191" s="7" t="n"/>
      <c r="B2191" s="7" t="n"/>
      <c r="C2191" s="8" t="n"/>
      <c r="D2191" s="9" t="n"/>
      <c r="E2191" s="8" t="n"/>
      <c r="F2191" s="9" t="n"/>
      <c r="G2191" s="9" t="n"/>
      <c r="H2191" s="3">
        <f>IF(AND(D2191&lt;&gt;"",F2191&lt;&gt;""),F2191-D2191-G2191,"")</f>
        <v/>
      </c>
      <c r="I2191" s="14">
        <f>IF(E2191&lt;&gt;"", YEARFRAC(C2191, E2191) * 12, "")</f>
        <v/>
      </c>
      <c r="J2191" s="2">
        <f>IF(I2191="", "", IF(OR(AND(A2191="Listed Equity Shares", I2191&gt;12), AND(A2191="Unlisted Equity Shares", I2191&gt;24)), "Long Term", "Short Term"))</f>
        <v/>
      </c>
      <c r="K2191" s="5">
        <f>IF(J2191="", "", IF(J2191="Long Term", 12.5%,"as per slab"))</f>
        <v/>
      </c>
      <c r="L2191" s="3">
        <f>+IFERROR(IF(J2191="","",H2191*K2191),"as per slab")</f>
        <v/>
      </c>
    </row>
    <row r="2192">
      <c r="A2192" s="7" t="n"/>
      <c r="B2192" s="7" t="n"/>
      <c r="C2192" s="8" t="n"/>
      <c r="D2192" s="9" t="n"/>
      <c r="E2192" s="8" t="n"/>
      <c r="F2192" s="9" t="n"/>
      <c r="G2192" s="9" t="n"/>
      <c r="H2192" s="3">
        <f>IF(AND(D2192&lt;&gt;"",F2192&lt;&gt;""),F2192-D2192-G2192,"")</f>
        <v/>
      </c>
      <c r="I2192" s="14">
        <f>IF(E2192&lt;&gt;"", YEARFRAC(C2192, E2192) * 12, "")</f>
        <v/>
      </c>
      <c r="J2192" s="2">
        <f>IF(I2192="", "", IF(OR(AND(A2192="Listed Equity Shares", I2192&gt;12), AND(A2192="Unlisted Equity Shares", I2192&gt;24)), "Long Term", "Short Term"))</f>
        <v/>
      </c>
      <c r="K2192" s="5">
        <f>IF(J2192="", "", IF(J2192="Long Term", 12.5%,"as per slab"))</f>
        <v/>
      </c>
      <c r="L2192" s="3">
        <f>+IFERROR(IF(J2192="","",H2192*K2192),"as per slab")</f>
        <v/>
      </c>
    </row>
    <row r="2193">
      <c r="A2193" s="7" t="n"/>
      <c r="B2193" s="7" t="n"/>
      <c r="C2193" s="8" t="n"/>
      <c r="D2193" s="9" t="n"/>
      <c r="E2193" s="8" t="n"/>
      <c r="F2193" s="9" t="n"/>
      <c r="G2193" s="9" t="n"/>
      <c r="H2193" s="3">
        <f>IF(AND(D2193&lt;&gt;"",F2193&lt;&gt;""),F2193-D2193-G2193,"")</f>
        <v/>
      </c>
      <c r="I2193" s="14">
        <f>IF(E2193&lt;&gt;"", YEARFRAC(C2193, E2193) * 12, "")</f>
        <v/>
      </c>
      <c r="J2193" s="2">
        <f>IF(I2193="", "", IF(OR(AND(A2193="Listed Equity Shares", I2193&gt;12), AND(A2193="Unlisted Equity Shares", I2193&gt;24)), "Long Term", "Short Term"))</f>
        <v/>
      </c>
      <c r="K2193" s="5">
        <f>IF(J2193="", "", IF(J2193="Long Term", 12.5%,"as per slab"))</f>
        <v/>
      </c>
      <c r="L2193" s="3">
        <f>+IFERROR(IF(J2193="","",H2193*K2193),"as per slab")</f>
        <v/>
      </c>
    </row>
    <row r="2194">
      <c r="A2194" s="7" t="n"/>
      <c r="B2194" s="7" t="n"/>
      <c r="C2194" s="8" t="n"/>
      <c r="D2194" s="9" t="n"/>
      <c r="E2194" s="8" t="n"/>
      <c r="F2194" s="9" t="n"/>
      <c r="G2194" s="9" t="n"/>
      <c r="H2194" s="3">
        <f>IF(AND(D2194&lt;&gt;"",F2194&lt;&gt;""),F2194-D2194-G2194,"")</f>
        <v/>
      </c>
      <c r="I2194" s="14">
        <f>IF(E2194&lt;&gt;"", YEARFRAC(C2194, E2194) * 12, "")</f>
        <v/>
      </c>
      <c r="J2194" s="2">
        <f>IF(I2194="", "", IF(OR(AND(A2194="Listed Equity Shares", I2194&gt;12), AND(A2194="Unlisted Equity Shares", I2194&gt;24)), "Long Term", "Short Term"))</f>
        <v/>
      </c>
      <c r="K2194" s="5">
        <f>IF(J2194="", "", IF(J2194="Long Term", 12.5%,"as per slab"))</f>
        <v/>
      </c>
      <c r="L2194" s="3">
        <f>+IFERROR(IF(J2194="","",H2194*K2194),"as per slab")</f>
        <v/>
      </c>
    </row>
    <row r="2195">
      <c r="A2195" s="7" t="n"/>
      <c r="B2195" s="7" t="n"/>
      <c r="C2195" s="8" t="n"/>
      <c r="D2195" s="9" t="n"/>
      <c r="E2195" s="8" t="n"/>
      <c r="F2195" s="9" t="n"/>
      <c r="G2195" s="9" t="n"/>
      <c r="H2195" s="3">
        <f>IF(AND(D2195&lt;&gt;"",F2195&lt;&gt;""),F2195-D2195-G2195,"")</f>
        <v/>
      </c>
      <c r="I2195" s="14">
        <f>IF(E2195&lt;&gt;"", YEARFRAC(C2195, E2195) * 12, "")</f>
        <v/>
      </c>
      <c r="J2195" s="2">
        <f>IF(I2195="", "", IF(OR(AND(A2195="Listed Equity Shares", I2195&gt;12), AND(A2195="Unlisted Equity Shares", I2195&gt;24)), "Long Term", "Short Term"))</f>
        <v/>
      </c>
      <c r="K2195" s="5">
        <f>IF(J2195="", "", IF(J2195="Long Term", 12.5%,"as per slab"))</f>
        <v/>
      </c>
      <c r="L2195" s="3">
        <f>+IFERROR(IF(J2195="","",H2195*K2195),"as per slab")</f>
        <v/>
      </c>
    </row>
    <row r="2196">
      <c r="A2196" s="7" t="n"/>
      <c r="B2196" s="7" t="n"/>
      <c r="C2196" s="8" t="n"/>
      <c r="D2196" s="9" t="n"/>
      <c r="E2196" s="8" t="n"/>
      <c r="F2196" s="9" t="n"/>
      <c r="G2196" s="9" t="n"/>
      <c r="H2196" s="3">
        <f>IF(AND(D2196&lt;&gt;"",F2196&lt;&gt;""),F2196-D2196-G2196,"")</f>
        <v/>
      </c>
      <c r="I2196" s="14">
        <f>IF(E2196&lt;&gt;"", YEARFRAC(C2196, E2196) * 12, "")</f>
        <v/>
      </c>
      <c r="J2196" s="2">
        <f>IF(I2196="", "", IF(OR(AND(A2196="Listed Equity Shares", I2196&gt;12), AND(A2196="Unlisted Equity Shares", I2196&gt;24)), "Long Term", "Short Term"))</f>
        <v/>
      </c>
      <c r="K2196" s="5">
        <f>IF(J2196="", "", IF(J2196="Long Term", 12.5%,"as per slab"))</f>
        <v/>
      </c>
      <c r="L2196" s="3">
        <f>+IFERROR(IF(J2196="","",H2196*K2196),"as per slab")</f>
        <v/>
      </c>
    </row>
    <row r="2197">
      <c r="A2197" s="7" t="n"/>
      <c r="B2197" s="7" t="n"/>
      <c r="C2197" s="8" t="n"/>
      <c r="D2197" s="9" t="n"/>
      <c r="E2197" s="8" t="n"/>
      <c r="F2197" s="9" t="n"/>
      <c r="G2197" s="9" t="n"/>
      <c r="H2197" s="3">
        <f>IF(AND(D2197&lt;&gt;"",F2197&lt;&gt;""),F2197-D2197-G2197,"")</f>
        <v/>
      </c>
      <c r="I2197" s="14">
        <f>IF(E2197&lt;&gt;"", YEARFRAC(C2197, E2197) * 12, "")</f>
        <v/>
      </c>
      <c r="J2197" s="2">
        <f>IF(I2197="", "", IF(OR(AND(A2197="Listed Equity Shares", I2197&gt;12), AND(A2197="Unlisted Equity Shares", I2197&gt;24)), "Long Term", "Short Term"))</f>
        <v/>
      </c>
      <c r="K2197" s="5">
        <f>IF(J2197="", "", IF(J2197="Long Term", 12.5%,"as per slab"))</f>
        <v/>
      </c>
      <c r="L2197" s="3">
        <f>+IFERROR(IF(J2197="","",H2197*K2197),"as per slab")</f>
        <v/>
      </c>
    </row>
    <row r="2198">
      <c r="A2198" s="7" t="n"/>
      <c r="B2198" s="7" t="n"/>
      <c r="C2198" s="8" t="n"/>
      <c r="D2198" s="9" t="n"/>
      <c r="E2198" s="8" t="n"/>
      <c r="F2198" s="9" t="n"/>
      <c r="G2198" s="9" t="n"/>
      <c r="H2198" s="3">
        <f>IF(AND(D2198&lt;&gt;"",F2198&lt;&gt;""),F2198-D2198-G2198,"")</f>
        <v/>
      </c>
      <c r="I2198" s="14">
        <f>IF(E2198&lt;&gt;"", YEARFRAC(C2198, E2198) * 12, "")</f>
        <v/>
      </c>
      <c r="J2198" s="2">
        <f>IF(I2198="", "", IF(OR(AND(A2198="Listed Equity Shares", I2198&gt;12), AND(A2198="Unlisted Equity Shares", I2198&gt;24)), "Long Term", "Short Term"))</f>
        <v/>
      </c>
      <c r="K2198" s="5">
        <f>IF(J2198="", "", IF(J2198="Long Term", 12.5%,"as per slab"))</f>
        <v/>
      </c>
      <c r="L2198" s="3">
        <f>+IFERROR(IF(J2198="","",H2198*K2198),"as per slab")</f>
        <v/>
      </c>
    </row>
    <row r="2199">
      <c r="A2199" s="7" t="n"/>
      <c r="B2199" s="7" t="n"/>
      <c r="C2199" s="8" t="n"/>
      <c r="D2199" s="9" t="n"/>
      <c r="E2199" s="8" t="n"/>
      <c r="F2199" s="9" t="n"/>
      <c r="G2199" s="9" t="n"/>
      <c r="H2199" s="3">
        <f>IF(AND(D2199&lt;&gt;"",F2199&lt;&gt;""),F2199-D2199-G2199,"")</f>
        <v/>
      </c>
      <c r="I2199" s="14">
        <f>IF(E2199&lt;&gt;"", YEARFRAC(C2199, E2199) * 12, "")</f>
        <v/>
      </c>
      <c r="J2199" s="2">
        <f>IF(I2199="", "", IF(OR(AND(A2199="Listed Equity Shares", I2199&gt;12), AND(A2199="Unlisted Equity Shares", I2199&gt;24)), "Long Term", "Short Term"))</f>
        <v/>
      </c>
      <c r="K2199" s="5">
        <f>IF(J2199="", "", IF(J2199="Long Term", 12.5%,"as per slab"))</f>
        <v/>
      </c>
      <c r="L2199" s="3">
        <f>+IFERROR(IF(J2199="","",H2199*K2199),"as per slab")</f>
        <v/>
      </c>
    </row>
    <row r="2200">
      <c r="A2200" s="7" t="n"/>
      <c r="B2200" s="7" t="n"/>
      <c r="C2200" s="8" t="n"/>
      <c r="D2200" s="9" t="n"/>
      <c r="E2200" s="8" t="n"/>
      <c r="F2200" s="9" t="n"/>
      <c r="G2200" s="9" t="n"/>
      <c r="H2200" s="3">
        <f>IF(AND(D2200&lt;&gt;"",F2200&lt;&gt;""),F2200-D2200-G2200,"")</f>
        <v/>
      </c>
      <c r="I2200" s="14">
        <f>IF(E2200&lt;&gt;"", YEARFRAC(C2200, E2200) * 12, "")</f>
        <v/>
      </c>
      <c r="J2200" s="2">
        <f>IF(I2200="", "", IF(OR(AND(A2200="Listed Equity Shares", I2200&gt;12), AND(A2200="Unlisted Equity Shares", I2200&gt;24)), "Long Term", "Short Term"))</f>
        <v/>
      </c>
      <c r="K2200" s="5">
        <f>IF(J2200="", "", IF(J2200="Long Term", 12.5%,"as per slab"))</f>
        <v/>
      </c>
      <c r="L2200" s="3">
        <f>+IFERROR(IF(J2200="","",H2200*K2200),"as per slab")</f>
        <v/>
      </c>
    </row>
    <row r="2201">
      <c r="A2201" s="7" t="n"/>
      <c r="B2201" s="7" t="n"/>
      <c r="C2201" s="8" t="n"/>
      <c r="D2201" s="9" t="n"/>
      <c r="E2201" s="8" t="n"/>
      <c r="F2201" s="9" t="n"/>
      <c r="G2201" s="9" t="n"/>
      <c r="H2201" s="3">
        <f>IF(AND(D2201&lt;&gt;"",F2201&lt;&gt;""),F2201-D2201-G2201,"")</f>
        <v/>
      </c>
      <c r="I2201" s="14">
        <f>IF(E2201&lt;&gt;"", YEARFRAC(C2201, E2201) * 12, "")</f>
        <v/>
      </c>
      <c r="J2201" s="2">
        <f>IF(I2201="", "", IF(OR(AND(A2201="Listed Equity Shares", I2201&gt;12), AND(A2201="Unlisted Equity Shares", I2201&gt;24)), "Long Term", "Short Term"))</f>
        <v/>
      </c>
      <c r="K2201" s="5">
        <f>IF(J2201="", "", IF(J2201="Long Term", 12.5%,"as per slab"))</f>
        <v/>
      </c>
      <c r="L2201" s="3">
        <f>+IFERROR(IF(J2201="","",H2201*K2201),"as per slab")</f>
        <v/>
      </c>
    </row>
    <row r="2202">
      <c r="A2202" s="7" t="n"/>
      <c r="B2202" s="7" t="n"/>
      <c r="C2202" s="8" t="n"/>
      <c r="D2202" s="9" t="n"/>
      <c r="E2202" s="8" t="n"/>
      <c r="F2202" s="9" t="n"/>
      <c r="G2202" s="9" t="n"/>
      <c r="H2202" s="3">
        <f>IF(AND(D2202&lt;&gt;"",F2202&lt;&gt;""),F2202-D2202-G2202,"")</f>
        <v/>
      </c>
      <c r="I2202" s="14">
        <f>IF(E2202&lt;&gt;"", YEARFRAC(C2202, E2202) * 12, "")</f>
        <v/>
      </c>
      <c r="J2202" s="2">
        <f>IF(I2202="", "", IF(OR(AND(A2202="Listed Equity Shares", I2202&gt;12), AND(A2202="Unlisted Equity Shares", I2202&gt;24)), "Long Term", "Short Term"))</f>
        <v/>
      </c>
      <c r="K2202" s="5">
        <f>IF(J2202="", "", IF(J2202="Long Term", 12.5%,"as per slab"))</f>
        <v/>
      </c>
      <c r="L2202" s="3">
        <f>+IFERROR(IF(J2202="","",H2202*K2202),"as per slab")</f>
        <v/>
      </c>
    </row>
    <row r="2203">
      <c r="A2203" s="7" t="n"/>
      <c r="B2203" s="7" t="n"/>
      <c r="C2203" s="8" t="n"/>
      <c r="D2203" s="9" t="n"/>
      <c r="E2203" s="8" t="n"/>
      <c r="F2203" s="9" t="n"/>
      <c r="G2203" s="9" t="n"/>
      <c r="H2203" s="3">
        <f>IF(AND(D2203&lt;&gt;"",F2203&lt;&gt;""),F2203-D2203-G2203,"")</f>
        <v/>
      </c>
      <c r="I2203" s="14">
        <f>IF(E2203&lt;&gt;"", YEARFRAC(C2203, E2203) * 12, "")</f>
        <v/>
      </c>
      <c r="J2203" s="2">
        <f>IF(I2203="", "", IF(OR(AND(A2203="Listed Equity Shares", I2203&gt;12), AND(A2203="Unlisted Equity Shares", I2203&gt;24)), "Long Term", "Short Term"))</f>
        <v/>
      </c>
      <c r="K2203" s="5">
        <f>IF(J2203="", "", IF(J2203="Long Term", 12.5%,"as per slab"))</f>
        <v/>
      </c>
      <c r="L2203" s="3">
        <f>+IFERROR(IF(J2203="","",H2203*K2203),"as per slab")</f>
        <v/>
      </c>
    </row>
    <row r="2204">
      <c r="A2204" s="7" t="n"/>
      <c r="B2204" s="7" t="n"/>
      <c r="C2204" s="8" t="n"/>
      <c r="D2204" s="9" t="n"/>
      <c r="E2204" s="8" t="n"/>
      <c r="F2204" s="9" t="n"/>
      <c r="G2204" s="9" t="n"/>
      <c r="H2204" s="3">
        <f>IF(AND(D2204&lt;&gt;"",F2204&lt;&gt;""),F2204-D2204-G2204,"")</f>
        <v/>
      </c>
      <c r="I2204" s="14">
        <f>IF(E2204&lt;&gt;"", YEARFRAC(C2204, E2204) * 12, "")</f>
        <v/>
      </c>
      <c r="J2204" s="2">
        <f>IF(I2204="", "", IF(OR(AND(A2204="Listed Equity Shares", I2204&gt;12), AND(A2204="Unlisted Equity Shares", I2204&gt;24)), "Long Term", "Short Term"))</f>
        <v/>
      </c>
      <c r="K2204" s="5">
        <f>IF(J2204="", "", IF(J2204="Long Term", 12.5%,"as per slab"))</f>
        <v/>
      </c>
      <c r="L2204" s="3">
        <f>+IFERROR(IF(J2204="","",H2204*K2204),"as per slab")</f>
        <v/>
      </c>
    </row>
    <row r="2205">
      <c r="A2205" s="7" t="n"/>
      <c r="B2205" s="7" t="n"/>
      <c r="C2205" s="8" t="n"/>
      <c r="D2205" s="9" t="n"/>
      <c r="E2205" s="8" t="n"/>
      <c r="F2205" s="9" t="n"/>
      <c r="G2205" s="9" t="n"/>
      <c r="H2205" s="3">
        <f>IF(AND(D2205&lt;&gt;"",F2205&lt;&gt;""),F2205-D2205-G2205,"")</f>
        <v/>
      </c>
      <c r="I2205" s="14">
        <f>IF(E2205&lt;&gt;"", YEARFRAC(C2205, E2205) * 12, "")</f>
        <v/>
      </c>
      <c r="J2205" s="2">
        <f>IF(I2205="", "", IF(OR(AND(A2205="Listed Equity Shares", I2205&gt;12), AND(A2205="Unlisted Equity Shares", I2205&gt;24)), "Long Term", "Short Term"))</f>
        <v/>
      </c>
      <c r="K2205" s="5">
        <f>IF(J2205="", "", IF(J2205="Long Term", 12.5%,"as per slab"))</f>
        <v/>
      </c>
      <c r="L2205" s="3">
        <f>+IFERROR(IF(J2205="","",H2205*K2205),"as per slab")</f>
        <v/>
      </c>
    </row>
    <row r="2206">
      <c r="A2206" s="7" t="n"/>
      <c r="B2206" s="7" t="n"/>
      <c r="C2206" s="8" t="n"/>
      <c r="D2206" s="9" t="n"/>
      <c r="E2206" s="8" t="n"/>
      <c r="F2206" s="9" t="n"/>
      <c r="G2206" s="9" t="n"/>
      <c r="H2206" s="3">
        <f>IF(AND(D2206&lt;&gt;"",F2206&lt;&gt;""),F2206-D2206-G2206,"")</f>
        <v/>
      </c>
      <c r="I2206" s="14">
        <f>IF(E2206&lt;&gt;"", YEARFRAC(C2206, E2206) * 12, "")</f>
        <v/>
      </c>
      <c r="J2206" s="2">
        <f>IF(I2206="", "", IF(OR(AND(A2206="Listed Equity Shares", I2206&gt;12), AND(A2206="Unlisted Equity Shares", I2206&gt;24)), "Long Term", "Short Term"))</f>
        <v/>
      </c>
      <c r="K2206" s="5">
        <f>IF(J2206="", "", IF(J2206="Long Term", 12.5%,"as per slab"))</f>
        <v/>
      </c>
      <c r="L2206" s="3">
        <f>+IFERROR(IF(J2206="","",H2206*K2206),"as per slab")</f>
        <v/>
      </c>
    </row>
    <row r="2207">
      <c r="A2207" s="7" t="n"/>
      <c r="B2207" s="7" t="n"/>
      <c r="C2207" s="8" t="n"/>
      <c r="D2207" s="9" t="n"/>
      <c r="E2207" s="8" t="n"/>
      <c r="F2207" s="9" t="n"/>
      <c r="G2207" s="9" t="n"/>
      <c r="H2207" s="3">
        <f>IF(AND(D2207&lt;&gt;"",F2207&lt;&gt;""),F2207-D2207-G2207,"")</f>
        <v/>
      </c>
      <c r="I2207" s="14">
        <f>IF(E2207&lt;&gt;"", YEARFRAC(C2207, E2207) * 12, "")</f>
        <v/>
      </c>
      <c r="J2207" s="2">
        <f>IF(I2207="", "", IF(OR(AND(A2207="Listed Equity Shares", I2207&gt;12), AND(A2207="Unlisted Equity Shares", I2207&gt;24)), "Long Term", "Short Term"))</f>
        <v/>
      </c>
      <c r="K2207" s="5">
        <f>IF(J2207="", "", IF(J2207="Long Term", 12.5%,"as per slab"))</f>
        <v/>
      </c>
      <c r="L2207" s="3">
        <f>+IFERROR(IF(J2207="","",H2207*K2207),"as per slab")</f>
        <v/>
      </c>
    </row>
    <row r="2208">
      <c r="A2208" s="7" t="n"/>
      <c r="B2208" s="7" t="n"/>
      <c r="C2208" s="8" t="n"/>
      <c r="D2208" s="9" t="n"/>
      <c r="E2208" s="8" t="n"/>
      <c r="F2208" s="9" t="n"/>
      <c r="G2208" s="9" t="n"/>
      <c r="H2208" s="3">
        <f>IF(AND(D2208&lt;&gt;"",F2208&lt;&gt;""),F2208-D2208-G2208,"")</f>
        <v/>
      </c>
      <c r="I2208" s="14">
        <f>IF(E2208&lt;&gt;"", YEARFRAC(C2208, E2208) * 12, "")</f>
        <v/>
      </c>
      <c r="J2208" s="2">
        <f>IF(I2208="", "", IF(OR(AND(A2208="Listed Equity Shares", I2208&gt;12), AND(A2208="Unlisted Equity Shares", I2208&gt;24)), "Long Term", "Short Term"))</f>
        <v/>
      </c>
      <c r="K2208" s="5">
        <f>IF(J2208="", "", IF(J2208="Long Term", 12.5%,"as per slab"))</f>
        <v/>
      </c>
      <c r="L2208" s="3">
        <f>+IFERROR(IF(J2208="","",H2208*K2208),"as per slab")</f>
        <v/>
      </c>
    </row>
    <row r="2209">
      <c r="A2209" s="7" t="n"/>
      <c r="B2209" s="7" t="n"/>
      <c r="C2209" s="8" t="n"/>
      <c r="D2209" s="9" t="n"/>
      <c r="E2209" s="8" t="n"/>
      <c r="F2209" s="9" t="n"/>
      <c r="G2209" s="9" t="n"/>
      <c r="H2209" s="3">
        <f>IF(AND(D2209&lt;&gt;"",F2209&lt;&gt;""),F2209-D2209-G2209,"")</f>
        <v/>
      </c>
      <c r="I2209" s="14">
        <f>IF(E2209&lt;&gt;"", YEARFRAC(C2209, E2209) * 12, "")</f>
        <v/>
      </c>
      <c r="J2209" s="2">
        <f>IF(I2209="", "", IF(OR(AND(A2209="Listed Equity Shares", I2209&gt;12), AND(A2209="Unlisted Equity Shares", I2209&gt;24)), "Long Term", "Short Term"))</f>
        <v/>
      </c>
      <c r="K2209" s="5">
        <f>IF(J2209="", "", IF(J2209="Long Term", 12.5%,"as per slab"))</f>
        <v/>
      </c>
      <c r="L2209" s="3">
        <f>+IFERROR(IF(J2209="","",H2209*K2209),"as per slab")</f>
        <v/>
      </c>
    </row>
    <row r="2210">
      <c r="A2210" s="7" t="n"/>
      <c r="B2210" s="7" t="n"/>
      <c r="C2210" s="8" t="n"/>
      <c r="D2210" s="9" t="n"/>
      <c r="E2210" s="8" t="n"/>
      <c r="F2210" s="9" t="n"/>
      <c r="G2210" s="9" t="n"/>
      <c r="H2210" s="3">
        <f>IF(AND(D2210&lt;&gt;"",F2210&lt;&gt;""),F2210-D2210-G2210,"")</f>
        <v/>
      </c>
      <c r="I2210" s="14">
        <f>IF(E2210&lt;&gt;"", YEARFRAC(C2210, E2210) * 12, "")</f>
        <v/>
      </c>
      <c r="J2210" s="2">
        <f>IF(I2210="", "", IF(OR(AND(A2210="Listed Equity Shares", I2210&gt;12), AND(A2210="Unlisted Equity Shares", I2210&gt;24)), "Long Term", "Short Term"))</f>
        <v/>
      </c>
      <c r="K2210" s="5">
        <f>IF(J2210="", "", IF(J2210="Long Term", 12.5%,"as per slab"))</f>
        <v/>
      </c>
      <c r="L2210" s="3">
        <f>+IFERROR(IF(J2210="","",H2210*K2210),"as per slab")</f>
        <v/>
      </c>
    </row>
    <row r="2211">
      <c r="A2211" s="7" t="n"/>
      <c r="B2211" s="7" t="n"/>
      <c r="C2211" s="8" t="n"/>
      <c r="D2211" s="9" t="n"/>
      <c r="E2211" s="8" t="n"/>
      <c r="F2211" s="9" t="n"/>
      <c r="G2211" s="9" t="n"/>
      <c r="H2211" s="3">
        <f>IF(AND(D2211&lt;&gt;"",F2211&lt;&gt;""),F2211-D2211-G2211,"")</f>
        <v/>
      </c>
      <c r="I2211" s="14">
        <f>IF(E2211&lt;&gt;"", YEARFRAC(C2211, E2211) * 12, "")</f>
        <v/>
      </c>
      <c r="J2211" s="2">
        <f>IF(I2211="", "", IF(OR(AND(A2211="Listed Equity Shares", I2211&gt;12), AND(A2211="Unlisted Equity Shares", I2211&gt;24)), "Long Term", "Short Term"))</f>
        <v/>
      </c>
      <c r="K2211" s="5">
        <f>IF(J2211="", "", IF(J2211="Long Term", 12.5%,"as per slab"))</f>
        <v/>
      </c>
      <c r="L2211" s="3">
        <f>+IFERROR(IF(J2211="","",H2211*K2211),"as per slab")</f>
        <v/>
      </c>
    </row>
    <row r="2212">
      <c r="A2212" s="7" t="n"/>
      <c r="B2212" s="7" t="n"/>
      <c r="C2212" s="8" t="n"/>
      <c r="D2212" s="9" t="n"/>
      <c r="E2212" s="8" t="n"/>
      <c r="F2212" s="9" t="n"/>
      <c r="G2212" s="9" t="n"/>
      <c r="H2212" s="3">
        <f>IF(AND(D2212&lt;&gt;"",F2212&lt;&gt;""),F2212-D2212-G2212,"")</f>
        <v/>
      </c>
      <c r="I2212" s="14">
        <f>IF(E2212&lt;&gt;"", YEARFRAC(C2212, E2212) * 12, "")</f>
        <v/>
      </c>
      <c r="J2212" s="2">
        <f>IF(I2212="", "", IF(OR(AND(A2212="Listed Equity Shares", I2212&gt;12), AND(A2212="Unlisted Equity Shares", I2212&gt;24)), "Long Term", "Short Term"))</f>
        <v/>
      </c>
      <c r="K2212" s="5">
        <f>IF(J2212="", "", IF(J2212="Long Term", 12.5%,"as per slab"))</f>
        <v/>
      </c>
      <c r="L2212" s="3">
        <f>+IFERROR(IF(J2212="","",H2212*K2212),"as per slab")</f>
        <v/>
      </c>
    </row>
    <row r="2213">
      <c r="A2213" s="7" t="n"/>
      <c r="B2213" s="7" t="n"/>
      <c r="C2213" s="8" t="n"/>
      <c r="D2213" s="9" t="n"/>
      <c r="E2213" s="8" t="n"/>
      <c r="F2213" s="9" t="n"/>
      <c r="G2213" s="9" t="n"/>
      <c r="H2213" s="3">
        <f>IF(AND(D2213&lt;&gt;"",F2213&lt;&gt;""),F2213-D2213-G2213,"")</f>
        <v/>
      </c>
      <c r="I2213" s="14">
        <f>IF(E2213&lt;&gt;"", YEARFRAC(C2213, E2213) * 12, "")</f>
        <v/>
      </c>
      <c r="J2213" s="2">
        <f>IF(I2213="", "", IF(OR(AND(A2213="Listed Equity Shares", I2213&gt;12), AND(A2213="Unlisted Equity Shares", I2213&gt;24)), "Long Term", "Short Term"))</f>
        <v/>
      </c>
      <c r="K2213" s="5">
        <f>IF(J2213="", "", IF(J2213="Long Term", 12.5%,"as per slab"))</f>
        <v/>
      </c>
      <c r="L2213" s="3">
        <f>+IFERROR(IF(J2213="","",H2213*K2213),"as per slab")</f>
        <v/>
      </c>
    </row>
    <row r="2214">
      <c r="A2214" s="7" t="n"/>
      <c r="B2214" s="7" t="n"/>
      <c r="C2214" s="8" t="n"/>
      <c r="D2214" s="9" t="n"/>
      <c r="E2214" s="8" t="n"/>
      <c r="F2214" s="9" t="n"/>
      <c r="G2214" s="9" t="n"/>
      <c r="H2214" s="3">
        <f>IF(AND(D2214&lt;&gt;"",F2214&lt;&gt;""),F2214-D2214-G2214,"")</f>
        <v/>
      </c>
      <c r="I2214" s="14">
        <f>IF(E2214&lt;&gt;"", YEARFRAC(C2214, E2214) * 12, "")</f>
        <v/>
      </c>
      <c r="J2214" s="2">
        <f>IF(I2214="", "", IF(OR(AND(A2214="Listed Equity Shares", I2214&gt;12), AND(A2214="Unlisted Equity Shares", I2214&gt;24)), "Long Term", "Short Term"))</f>
        <v/>
      </c>
      <c r="K2214" s="5">
        <f>IF(J2214="", "", IF(J2214="Long Term", 12.5%,"as per slab"))</f>
        <v/>
      </c>
      <c r="L2214" s="3">
        <f>+IFERROR(IF(J2214="","",H2214*K2214),"as per slab")</f>
        <v/>
      </c>
    </row>
    <row r="2215">
      <c r="A2215" s="7" t="n"/>
      <c r="B2215" s="7" t="n"/>
      <c r="C2215" s="8" t="n"/>
      <c r="D2215" s="9" t="n"/>
      <c r="E2215" s="8" t="n"/>
      <c r="F2215" s="9" t="n"/>
      <c r="G2215" s="9" t="n"/>
      <c r="H2215" s="3">
        <f>IF(AND(D2215&lt;&gt;"",F2215&lt;&gt;""),F2215-D2215-G2215,"")</f>
        <v/>
      </c>
      <c r="I2215" s="14">
        <f>IF(E2215&lt;&gt;"", YEARFRAC(C2215, E2215) * 12, "")</f>
        <v/>
      </c>
      <c r="J2215" s="2">
        <f>IF(I2215="", "", IF(OR(AND(A2215="Listed Equity Shares", I2215&gt;12), AND(A2215="Unlisted Equity Shares", I2215&gt;24)), "Long Term", "Short Term"))</f>
        <v/>
      </c>
      <c r="K2215" s="5">
        <f>IF(J2215="", "", IF(J2215="Long Term", 12.5%,"as per slab"))</f>
        <v/>
      </c>
      <c r="L2215" s="3">
        <f>+IFERROR(IF(J2215="","",H2215*K2215),"as per slab")</f>
        <v/>
      </c>
    </row>
    <row r="2216">
      <c r="A2216" s="7" t="n"/>
      <c r="B2216" s="7" t="n"/>
      <c r="C2216" s="8" t="n"/>
      <c r="D2216" s="9" t="n"/>
      <c r="E2216" s="8" t="n"/>
      <c r="F2216" s="9" t="n"/>
      <c r="G2216" s="9" t="n"/>
      <c r="H2216" s="3">
        <f>IF(AND(D2216&lt;&gt;"",F2216&lt;&gt;""),F2216-D2216-G2216,"")</f>
        <v/>
      </c>
      <c r="I2216" s="14">
        <f>IF(E2216&lt;&gt;"", YEARFRAC(C2216, E2216) * 12, "")</f>
        <v/>
      </c>
      <c r="J2216" s="2">
        <f>IF(I2216="", "", IF(OR(AND(A2216="Listed Equity Shares", I2216&gt;12), AND(A2216="Unlisted Equity Shares", I2216&gt;24)), "Long Term", "Short Term"))</f>
        <v/>
      </c>
      <c r="K2216" s="5">
        <f>IF(J2216="", "", IF(J2216="Long Term", 12.5%,"as per slab"))</f>
        <v/>
      </c>
      <c r="L2216" s="3">
        <f>+IFERROR(IF(J2216="","",H2216*K2216),"as per slab")</f>
        <v/>
      </c>
    </row>
    <row r="2217">
      <c r="A2217" s="7" t="n"/>
      <c r="B2217" s="7" t="n"/>
      <c r="C2217" s="8" t="n"/>
      <c r="D2217" s="9" t="n"/>
      <c r="E2217" s="8" t="n"/>
      <c r="F2217" s="9" t="n"/>
      <c r="G2217" s="9" t="n"/>
      <c r="H2217" s="3">
        <f>IF(AND(D2217&lt;&gt;"",F2217&lt;&gt;""),F2217-D2217-G2217,"")</f>
        <v/>
      </c>
      <c r="I2217" s="14">
        <f>IF(E2217&lt;&gt;"", YEARFRAC(C2217, E2217) * 12, "")</f>
        <v/>
      </c>
      <c r="J2217" s="2">
        <f>IF(I2217="", "", IF(OR(AND(A2217="Listed Equity Shares", I2217&gt;12), AND(A2217="Unlisted Equity Shares", I2217&gt;24)), "Long Term", "Short Term"))</f>
        <v/>
      </c>
      <c r="K2217" s="5">
        <f>IF(J2217="", "", IF(J2217="Long Term", 12.5%,"as per slab"))</f>
        <v/>
      </c>
      <c r="L2217" s="3">
        <f>+IFERROR(IF(J2217="","",H2217*K2217),"as per slab")</f>
        <v/>
      </c>
    </row>
    <row r="2218">
      <c r="A2218" s="7" t="n"/>
      <c r="B2218" s="7" t="n"/>
      <c r="C2218" s="8" t="n"/>
      <c r="D2218" s="9" t="n"/>
      <c r="E2218" s="8" t="n"/>
      <c r="F2218" s="9" t="n"/>
      <c r="G2218" s="9" t="n"/>
      <c r="H2218" s="3">
        <f>IF(AND(D2218&lt;&gt;"",F2218&lt;&gt;""),F2218-D2218-G2218,"")</f>
        <v/>
      </c>
      <c r="I2218" s="14">
        <f>IF(E2218&lt;&gt;"", YEARFRAC(C2218, E2218) * 12, "")</f>
        <v/>
      </c>
      <c r="J2218" s="2">
        <f>IF(I2218="", "", IF(OR(AND(A2218="Listed Equity Shares", I2218&gt;12), AND(A2218="Unlisted Equity Shares", I2218&gt;24)), "Long Term", "Short Term"))</f>
        <v/>
      </c>
      <c r="K2218" s="5">
        <f>IF(J2218="", "", IF(J2218="Long Term", 12.5%,"as per slab"))</f>
        <v/>
      </c>
      <c r="L2218" s="3">
        <f>+IFERROR(IF(J2218="","",H2218*K2218),"as per slab")</f>
        <v/>
      </c>
    </row>
    <row r="2219">
      <c r="A2219" s="7" t="n"/>
      <c r="B2219" s="7" t="n"/>
      <c r="C2219" s="8" t="n"/>
      <c r="D2219" s="9" t="n"/>
      <c r="E2219" s="8" t="n"/>
      <c r="F2219" s="9" t="n"/>
      <c r="G2219" s="9" t="n"/>
      <c r="H2219" s="3">
        <f>IF(AND(D2219&lt;&gt;"",F2219&lt;&gt;""),F2219-D2219-G2219,"")</f>
        <v/>
      </c>
      <c r="I2219" s="14">
        <f>IF(E2219&lt;&gt;"", YEARFRAC(C2219, E2219) * 12, "")</f>
        <v/>
      </c>
      <c r="J2219" s="2">
        <f>IF(I2219="", "", IF(OR(AND(A2219="Listed Equity Shares", I2219&gt;12), AND(A2219="Unlisted Equity Shares", I2219&gt;24)), "Long Term", "Short Term"))</f>
        <v/>
      </c>
      <c r="K2219" s="5">
        <f>IF(J2219="", "", IF(J2219="Long Term", 12.5%,"as per slab"))</f>
        <v/>
      </c>
      <c r="L2219" s="3">
        <f>+IFERROR(IF(J2219="","",H2219*K2219),"as per slab")</f>
        <v/>
      </c>
    </row>
    <row r="2220">
      <c r="A2220" s="7" t="n"/>
      <c r="B2220" s="7" t="n"/>
      <c r="C2220" s="8" t="n"/>
      <c r="D2220" s="9" t="n"/>
      <c r="E2220" s="8" t="n"/>
      <c r="F2220" s="9" t="n"/>
      <c r="G2220" s="9" t="n"/>
      <c r="H2220" s="3">
        <f>IF(AND(D2220&lt;&gt;"",F2220&lt;&gt;""),F2220-D2220-G2220,"")</f>
        <v/>
      </c>
      <c r="I2220" s="14">
        <f>IF(E2220&lt;&gt;"", YEARFRAC(C2220, E2220) * 12, "")</f>
        <v/>
      </c>
      <c r="J2220" s="2">
        <f>IF(I2220="", "", IF(OR(AND(A2220="Listed Equity Shares", I2220&gt;12), AND(A2220="Unlisted Equity Shares", I2220&gt;24)), "Long Term", "Short Term"))</f>
        <v/>
      </c>
      <c r="K2220" s="5">
        <f>IF(J2220="", "", IF(J2220="Long Term", 12.5%,"as per slab"))</f>
        <v/>
      </c>
      <c r="L2220" s="3">
        <f>+IFERROR(IF(J2220="","",H2220*K2220),"as per slab")</f>
        <v/>
      </c>
    </row>
    <row r="2221">
      <c r="A2221" s="7" t="n"/>
      <c r="B2221" s="7" t="n"/>
      <c r="C2221" s="8" t="n"/>
      <c r="D2221" s="9" t="n"/>
      <c r="E2221" s="8" t="n"/>
      <c r="F2221" s="9" t="n"/>
      <c r="G2221" s="9" t="n"/>
      <c r="H2221" s="3">
        <f>IF(AND(D2221&lt;&gt;"",F2221&lt;&gt;""),F2221-D2221-G2221,"")</f>
        <v/>
      </c>
      <c r="I2221" s="14">
        <f>IF(E2221&lt;&gt;"", YEARFRAC(C2221, E2221) * 12, "")</f>
        <v/>
      </c>
      <c r="J2221" s="2">
        <f>IF(I2221="", "", IF(OR(AND(A2221="Listed Equity Shares", I2221&gt;12), AND(A2221="Unlisted Equity Shares", I2221&gt;24)), "Long Term", "Short Term"))</f>
        <v/>
      </c>
      <c r="K2221" s="5">
        <f>IF(J2221="", "", IF(J2221="Long Term", 12.5%,"as per slab"))</f>
        <v/>
      </c>
      <c r="L2221" s="3">
        <f>+IFERROR(IF(J2221="","",H2221*K2221),"as per slab")</f>
        <v/>
      </c>
    </row>
    <row r="2222">
      <c r="A2222" s="7" t="n"/>
      <c r="B2222" s="7" t="n"/>
      <c r="C2222" s="8" t="n"/>
      <c r="D2222" s="9" t="n"/>
      <c r="E2222" s="8" t="n"/>
      <c r="F2222" s="9" t="n"/>
      <c r="G2222" s="9" t="n"/>
      <c r="H2222" s="3">
        <f>IF(AND(D2222&lt;&gt;"",F2222&lt;&gt;""),F2222-D2222-G2222,"")</f>
        <v/>
      </c>
      <c r="I2222" s="14">
        <f>IF(E2222&lt;&gt;"", YEARFRAC(C2222, E2222) * 12, "")</f>
        <v/>
      </c>
      <c r="J2222" s="2">
        <f>IF(I2222="", "", IF(OR(AND(A2222="Listed Equity Shares", I2222&gt;12), AND(A2222="Unlisted Equity Shares", I2222&gt;24)), "Long Term", "Short Term"))</f>
        <v/>
      </c>
      <c r="K2222" s="5">
        <f>IF(J2222="", "", IF(J2222="Long Term", 12.5%,"as per slab"))</f>
        <v/>
      </c>
      <c r="L2222" s="3">
        <f>+IFERROR(IF(J2222="","",H2222*K2222),"as per slab")</f>
        <v/>
      </c>
    </row>
    <row r="2223">
      <c r="A2223" s="7" t="n"/>
      <c r="B2223" s="7" t="n"/>
      <c r="C2223" s="8" t="n"/>
      <c r="D2223" s="9" t="n"/>
      <c r="E2223" s="8" t="n"/>
      <c r="F2223" s="9" t="n"/>
      <c r="G2223" s="9" t="n"/>
      <c r="H2223" s="3">
        <f>IF(AND(D2223&lt;&gt;"",F2223&lt;&gt;""),F2223-D2223-G2223,"")</f>
        <v/>
      </c>
      <c r="I2223" s="14">
        <f>IF(E2223&lt;&gt;"", YEARFRAC(C2223, E2223) * 12, "")</f>
        <v/>
      </c>
      <c r="J2223" s="2">
        <f>IF(I2223="", "", IF(OR(AND(A2223="Listed Equity Shares", I2223&gt;12), AND(A2223="Unlisted Equity Shares", I2223&gt;24)), "Long Term", "Short Term"))</f>
        <v/>
      </c>
      <c r="K2223" s="5">
        <f>IF(J2223="", "", IF(J2223="Long Term", 12.5%,"as per slab"))</f>
        <v/>
      </c>
      <c r="L2223" s="3">
        <f>+IFERROR(IF(J2223="","",H2223*K2223),"as per slab")</f>
        <v/>
      </c>
    </row>
    <row r="2224">
      <c r="A2224" s="7" t="n"/>
      <c r="B2224" s="7" t="n"/>
      <c r="C2224" s="8" t="n"/>
      <c r="D2224" s="9" t="n"/>
      <c r="E2224" s="8" t="n"/>
      <c r="F2224" s="9" t="n"/>
      <c r="G2224" s="9" t="n"/>
      <c r="H2224" s="3">
        <f>IF(AND(D2224&lt;&gt;"",F2224&lt;&gt;""),F2224-D2224-G2224,"")</f>
        <v/>
      </c>
      <c r="I2224" s="14">
        <f>IF(E2224&lt;&gt;"", YEARFRAC(C2224, E2224) * 12, "")</f>
        <v/>
      </c>
      <c r="J2224" s="2">
        <f>IF(I2224="", "", IF(OR(AND(A2224="Listed Equity Shares", I2224&gt;12), AND(A2224="Unlisted Equity Shares", I2224&gt;24)), "Long Term", "Short Term"))</f>
        <v/>
      </c>
      <c r="K2224" s="5">
        <f>IF(J2224="", "", IF(J2224="Long Term", 12.5%,"as per slab"))</f>
        <v/>
      </c>
      <c r="L2224" s="3">
        <f>+IFERROR(IF(J2224="","",H2224*K2224),"as per slab")</f>
        <v/>
      </c>
    </row>
    <row r="2225">
      <c r="A2225" s="7" t="n"/>
      <c r="B2225" s="7" t="n"/>
      <c r="C2225" s="8" t="n"/>
      <c r="D2225" s="9" t="n"/>
      <c r="E2225" s="8" t="n"/>
      <c r="F2225" s="9" t="n"/>
      <c r="G2225" s="9" t="n"/>
      <c r="H2225" s="3">
        <f>IF(AND(D2225&lt;&gt;"",F2225&lt;&gt;""),F2225-D2225-G2225,"")</f>
        <v/>
      </c>
      <c r="I2225" s="14">
        <f>IF(E2225&lt;&gt;"", YEARFRAC(C2225, E2225) * 12, "")</f>
        <v/>
      </c>
      <c r="J2225" s="2">
        <f>IF(I2225="", "", IF(OR(AND(A2225="Listed Equity Shares", I2225&gt;12), AND(A2225="Unlisted Equity Shares", I2225&gt;24)), "Long Term", "Short Term"))</f>
        <v/>
      </c>
      <c r="K2225" s="5">
        <f>IF(J2225="", "", IF(J2225="Long Term", 12.5%,"as per slab"))</f>
        <v/>
      </c>
      <c r="L2225" s="3">
        <f>+IFERROR(IF(J2225="","",H2225*K2225),"as per slab")</f>
        <v/>
      </c>
    </row>
    <row r="2226">
      <c r="A2226" s="7" t="n"/>
      <c r="B2226" s="7" t="n"/>
      <c r="C2226" s="8" t="n"/>
      <c r="D2226" s="9" t="n"/>
      <c r="E2226" s="8" t="n"/>
      <c r="F2226" s="9" t="n"/>
      <c r="G2226" s="9" t="n"/>
      <c r="H2226" s="3">
        <f>IF(AND(D2226&lt;&gt;"",F2226&lt;&gt;""),F2226-D2226-G2226,"")</f>
        <v/>
      </c>
      <c r="I2226" s="14">
        <f>IF(E2226&lt;&gt;"", YEARFRAC(C2226, E2226) * 12, "")</f>
        <v/>
      </c>
      <c r="J2226" s="2">
        <f>IF(I2226="", "", IF(OR(AND(A2226="Listed Equity Shares", I2226&gt;12), AND(A2226="Unlisted Equity Shares", I2226&gt;24)), "Long Term", "Short Term"))</f>
        <v/>
      </c>
      <c r="K2226" s="5">
        <f>IF(J2226="", "", IF(J2226="Long Term", 12.5%,"as per slab"))</f>
        <v/>
      </c>
      <c r="L2226" s="3">
        <f>+IFERROR(IF(J2226="","",H2226*K2226),"as per slab")</f>
        <v/>
      </c>
    </row>
    <row r="2227">
      <c r="A2227" s="7" t="n"/>
      <c r="B2227" s="7" t="n"/>
      <c r="C2227" s="8" t="n"/>
      <c r="D2227" s="9" t="n"/>
      <c r="E2227" s="8" t="n"/>
      <c r="F2227" s="9" t="n"/>
      <c r="G2227" s="9" t="n"/>
      <c r="H2227" s="3">
        <f>IF(AND(D2227&lt;&gt;"",F2227&lt;&gt;""),F2227-D2227-G2227,"")</f>
        <v/>
      </c>
      <c r="I2227" s="14">
        <f>IF(E2227&lt;&gt;"", YEARFRAC(C2227, E2227) * 12, "")</f>
        <v/>
      </c>
      <c r="J2227" s="2">
        <f>IF(I2227="", "", IF(OR(AND(A2227="Listed Equity Shares", I2227&gt;12), AND(A2227="Unlisted Equity Shares", I2227&gt;24)), "Long Term", "Short Term"))</f>
        <v/>
      </c>
      <c r="K2227" s="5">
        <f>IF(J2227="", "", IF(J2227="Long Term", 12.5%,"as per slab"))</f>
        <v/>
      </c>
      <c r="L2227" s="3">
        <f>+IFERROR(IF(J2227="","",H2227*K2227),"as per slab")</f>
        <v/>
      </c>
    </row>
    <row r="2228">
      <c r="A2228" s="7" t="n"/>
      <c r="B2228" s="7" t="n"/>
      <c r="C2228" s="8" t="n"/>
      <c r="D2228" s="9" t="n"/>
      <c r="E2228" s="8" t="n"/>
      <c r="F2228" s="9" t="n"/>
      <c r="G2228" s="9" t="n"/>
      <c r="H2228" s="3">
        <f>IF(AND(D2228&lt;&gt;"",F2228&lt;&gt;""),F2228-D2228-G2228,"")</f>
        <v/>
      </c>
      <c r="I2228" s="14">
        <f>IF(E2228&lt;&gt;"", YEARFRAC(C2228, E2228) * 12, "")</f>
        <v/>
      </c>
      <c r="J2228" s="2">
        <f>IF(I2228="", "", IF(OR(AND(A2228="Listed Equity Shares", I2228&gt;12), AND(A2228="Unlisted Equity Shares", I2228&gt;24)), "Long Term", "Short Term"))</f>
        <v/>
      </c>
      <c r="K2228" s="5">
        <f>IF(J2228="", "", IF(J2228="Long Term", 12.5%,"as per slab"))</f>
        <v/>
      </c>
      <c r="L2228" s="3">
        <f>+IFERROR(IF(J2228="","",H2228*K2228),"as per slab")</f>
        <v/>
      </c>
    </row>
    <row r="2229">
      <c r="A2229" s="7" t="n"/>
      <c r="B2229" s="7" t="n"/>
      <c r="C2229" s="8" t="n"/>
      <c r="D2229" s="9" t="n"/>
      <c r="E2229" s="8" t="n"/>
      <c r="F2229" s="9" t="n"/>
      <c r="G2229" s="9" t="n"/>
      <c r="H2229" s="3">
        <f>IF(AND(D2229&lt;&gt;"",F2229&lt;&gt;""),F2229-D2229-G2229,"")</f>
        <v/>
      </c>
      <c r="I2229" s="14">
        <f>IF(E2229&lt;&gt;"", YEARFRAC(C2229, E2229) * 12, "")</f>
        <v/>
      </c>
      <c r="J2229" s="2">
        <f>IF(I2229="", "", IF(OR(AND(A2229="Listed Equity Shares", I2229&gt;12), AND(A2229="Unlisted Equity Shares", I2229&gt;24)), "Long Term", "Short Term"))</f>
        <v/>
      </c>
      <c r="K2229" s="5">
        <f>IF(J2229="", "", IF(J2229="Long Term", 12.5%,"as per slab"))</f>
        <v/>
      </c>
      <c r="L2229" s="3">
        <f>+IFERROR(IF(J2229="","",H2229*K2229),"as per slab")</f>
        <v/>
      </c>
    </row>
    <row r="2230">
      <c r="A2230" s="7" t="n"/>
      <c r="B2230" s="7" t="n"/>
      <c r="C2230" s="8" t="n"/>
      <c r="D2230" s="9" t="n"/>
      <c r="E2230" s="8" t="n"/>
      <c r="F2230" s="9" t="n"/>
      <c r="G2230" s="9" t="n"/>
      <c r="H2230" s="3">
        <f>IF(AND(D2230&lt;&gt;"",F2230&lt;&gt;""),F2230-D2230-G2230,"")</f>
        <v/>
      </c>
      <c r="I2230" s="14">
        <f>IF(E2230&lt;&gt;"", YEARFRAC(C2230, E2230) * 12, "")</f>
        <v/>
      </c>
      <c r="J2230" s="2">
        <f>IF(I2230="", "", IF(OR(AND(A2230="Listed Equity Shares", I2230&gt;12), AND(A2230="Unlisted Equity Shares", I2230&gt;24)), "Long Term", "Short Term"))</f>
        <v/>
      </c>
      <c r="K2230" s="5">
        <f>IF(J2230="", "", IF(J2230="Long Term", 12.5%,"as per slab"))</f>
        <v/>
      </c>
      <c r="L2230" s="3">
        <f>+IFERROR(IF(J2230="","",H2230*K2230),"as per slab")</f>
        <v/>
      </c>
    </row>
    <row r="2231">
      <c r="A2231" s="7" t="n"/>
      <c r="B2231" s="7" t="n"/>
      <c r="C2231" s="8" t="n"/>
      <c r="D2231" s="9" t="n"/>
      <c r="E2231" s="8" t="n"/>
      <c r="F2231" s="9" t="n"/>
      <c r="G2231" s="9" t="n"/>
      <c r="H2231" s="3">
        <f>IF(AND(D2231&lt;&gt;"",F2231&lt;&gt;""),F2231-D2231-G2231,"")</f>
        <v/>
      </c>
      <c r="I2231" s="14">
        <f>IF(E2231&lt;&gt;"", YEARFRAC(C2231, E2231) * 12, "")</f>
        <v/>
      </c>
      <c r="J2231" s="2">
        <f>IF(I2231="", "", IF(OR(AND(A2231="Listed Equity Shares", I2231&gt;12), AND(A2231="Unlisted Equity Shares", I2231&gt;24)), "Long Term", "Short Term"))</f>
        <v/>
      </c>
      <c r="K2231" s="5">
        <f>IF(J2231="", "", IF(J2231="Long Term", 12.5%,"as per slab"))</f>
        <v/>
      </c>
      <c r="L2231" s="3">
        <f>+IFERROR(IF(J2231="","",H2231*K2231),"as per slab")</f>
        <v/>
      </c>
    </row>
    <row r="2232">
      <c r="A2232" s="7" t="n"/>
      <c r="B2232" s="7" t="n"/>
      <c r="C2232" s="8" t="n"/>
      <c r="D2232" s="9" t="n"/>
      <c r="E2232" s="8" t="n"/>
      <c r="F2232" s="9" t="n"/>
      <c r="G2232" s="9" t="n"/>
      <c r="H2232" s="3">
        <f>IF(AND(D2232&lt;&gt;"",F2232&lt;&gt;""),F2232-D2232-G2232,"")</f>
        <v/>
      </c>
      <c r="I2232" s="14">
        <f>IF(E2232&lt;&gt;"", YEARFRAC(C2232, E2232) * 12, "")</f>
        <v/>
      </c>
      <c r="J2232" s="2">
        <f>IF(I2232="", "", IF(OR(AND(A2232="Listed Equity Shares", I2232&gt;12), AND(A2232="Unlisted Equity Shares", I2232&gt;24)), "Long Term", "Short Term"))</f>
        <v/>
      </c>
      <c r="K2232" s="5">
        <f>IF(J2232="", "", IF(J2232="Long Term", 12.5%,"as per slab"))</f>
        <v/>
      </c>
      <c r="L2232" s="3">
        <f>+IFERROR(IF(J2232="","",H2232*K2232),"as per slab")</f>
        <v/>
      </c>
    </row>
    <row r="2233">
      <c r="A2233" s="7" t="n"/>
      <c r="B2233" s="7" t="n"/>
      <c r="C2233" s="8" t="n"/>
      <c r="D2233" s="9" t="n"/>
      <c r="E2233" s="8" t="n"/>
      <c r="F2233" s="9" t="n"/>
      <c r="G2233" s="9" t="n"/>
      <c r="H2233" s="3">
        <f>IF(AND(D2233&lt;&gt;"",F2233&lt;&gt;""),F2233-D2233-G2233,"")</f>
        <v/>
      </c>
      <c r="I2233" s="14">
        <f>IF(E2233&lt;&gt;"", YEARFRAC(C2233, E2233) * 12, "")</f>
        <v/>
      </c>
      <c r="J2233" s="2">
        <f>IF(I2233="", "", IF(OR(AND(A2233="Listed Equity Shares", I2233&gt;12), AND(A2233="Unlisted Equity Shares", I2233&gt;24)), "Long Term", "Short Term"))</f>
        <v/>
      </c>
      <c r="K2233" s="5">
        <f>IF(J2233="", "", IF(J2233="Long Term", 12.5%,"as per slab"))</f>
        <v/>
      </c>
      <c r="L2233" s="3">
        <f>+IFERROR(IF(J2233="","",H2233*K2233),"as per slab")</f>
        <v/>
      </c>
    </row>
    <row r="2234">
      <c r="A2234" s="7" t="n"/>
      <c r="B2234" s="7" t="n"/>
      <c r="C2234" s="8" t="n"/>
      <c r="D2234" s="9" t="n"/>
      <c r="E2234" s="8" t="n"/>
      <c r="F2234" s="9" t="n"/>
      <c r="G2234" s="9" t="n"/>
      <c r="H2234" s="3">
        <f>IF(AND(D2234&lt;&gt;"",F2234&lt;&gt;""),F2234-D2234-G2234,"")</f>
        <v/>
      </c>
      <c r="I2234" s="14">
        <f>IF(E2234&lt;&gt;"", YEARFRAC(C2234, E2234) * 12, "")</f>
        <v/>
      </c>
      <c r="J2234" s="2">
        <f>IF(I2234="", "", IF(OR(AND(A2234="Listed Equity Shares", I2234&gt;12), AND(A2234="Unlisted Equity Shares", I2234&gt;24)), "Long Term", "Short Term"))</f>
        <v/>
      </c>
      <c r="K2234" s="5">
        <f>IF(J2234="", "", IF(J2234="Long Term", 12.5%,"as per slab"))</f>
        <v/>
      </c>
      <c r="L2234" s="3">
        <f>+IFERROR(IF(J2234="","",H2234*K2234),"as per slab")</f>
        <v/>
      </c>
    </row>
    <row r="2235">
      <c r="A2235" s="7" t="n"/>
      <c r="B2235" s="7" t="n"/>
      <c r="C2235" s="8" t="n"/>
      <c r="D2235" s="9" t="n"/>
      <c r="E2235" s="8" t="n"/>
      <c r="F2235" s="9" t="n"/>
      <c r="G2235" s="9" t="n"/>
      <c r="H2235" s="3">
        <f>IF(AND(D2235&lt;&gt;"",F2235&lt;&gt;""),F2235-D2235-G2235,"")</f>
        <v/>
      </c>
      <c r="I2235" s="14">
        <f>IF(E2235&lt;&gt;"", YEARFRAC(C2235, E2235) * 12, "")</f>
        <v/>
      </c>
      <c r="J2235" s="2">
        <f>IF(I2235="", "", IF(OR(AND(A2235="Listed Equity Shares", I2235&gt;12), AND(A2235="Unlisted Equity Shares", I2235&gt;24)), "Long Term", "Short Term"))</f>
        <v/>
      </c>
      <c r="K2235" s="5">
        <f>IF(J2235="", "", IF(J2235="Long Term", 12.5%,"as per slab"))</f>
        <v/>
      </c>
      <c r="L2235" s="3">
        <f>+IFERROR(IF(J2235="","",H2235*K2235),"as per slab")</f>
        <v/>
      </c>
    </row>
    <row r="2236">
      <c r="A2236" s="7" t="n"/>
      <c r="B2236" s="7" t="n"/>
      <c r="C2236" s="8" t="n"/>
      <c r="D2236" s="9" t="n"/>
      <c r="E2236" s="8" t="n"/>
      <c r="F2236" s="9" t="n"/>
      <c r="G2236" s="9" t="n"/>
      <c r="H2236" s="3">
        <f>IF(AND(D2236&lt;&gt;"",F2236&lt;&gt;""),F2236-D2236-G2236,"")</f>
        <v/>
      </c>
      <c r="I2236" s="14">
        <f>IF(E2236&lt;&gt;"", YEARFRAC(C2236, E2236) * 12, "")</f>
        <v/>
      </c>
      <c r="J2236" s="2">
        <f>IF(I2236="", "", IF(OR(AND(A2236="Listed Equity Shares", I2236&gt;12), AND(A2236="Unlisted Equity Shares", I2236&gt;24)), "Long Term", "Short Term"))</f>
        <v/>
      </c>
      <c r="K2236" s="5">
        <f>IF(J2236="", "", IF(J2236="Long Term", 12.5%,"as per slab"))</f>
        <v/>
      </c>
      <c r="L2236" s="3">
        <f>+IFERROR(IF(J2236="","",H2236*K2236),"as per slab")</f>
        <v/>
      </c>
    </row>
    <row r="2237">
      <c r="A2237" s="7" t="n"/>
      <c r="B2237" s="7" t="n"/>
      <c r="C2237" s="8" t="n"/>
      <c r="D2237" s="9" t="n"/>
      <c r="E2237" s="8" t="n"/>
      <c r="F2237" s="9" t="n"/>
      <c r="G2237" s="9" t="n"/>
      <c r="H2237" s="3">
        <f>IF(AND(D2237&lt;&gt;"",F2237&lt;&gt;""),F2237-D2237-G2237,"")</f>
        <v/>
      </c>
      <c r="I2237" s="14">
        <f>IF(E2237&lt;&gt;"", YEARFRAC(C2237, E2237) * 12, "")</f>
        <v/>
      </c>
      <c r="J2237" s="2">
        <f>IF(I2237="", "", IF(OR(AND(A2237="Listed Equity Shares", I2237&gt;12), AND(A2237="Unlisted Equity Shares", I2237&gt;24)), "Long Term", "Short Term"))</f>
        <v/>
      </c>
      <c r="K2237" s="5">
        <f>IF(J2237="", "", IF(J2237="Long Term", 12.5%,"as per slab"))</f>
        <v/>
      </c>
      <c r="L2237" s="3">
        <f>+IFERROR(IF(J2237="","",H2237*K2237),"as per slab")</f>
        <v/>
      </c>
    </row>
    <row r="2238">
      <c r="A2238" s="7" t="n"/>
      <c r="B2238" s="7" t="n"/>
      <c r="C2238" s="8" t="n"/>
      <c r="D2238" s="9" t="n"/>
      <c r="E2238" s="8" t="n"/>
      <c r="F2238" s="9" t="n"/>
      <c r="G2238" s="9" t="n"/>
      <c r="H2238" s="3">
        <f>IF(AND(D2238&lt;&gt;"",F2238&lt;&gt;""),F2238-D2238-G2238,"")</f>
        <v/>
      </c>
      <c r="I2238" s="14">
        <f>IF(E2238&lt;&gt;"", YEARFRAC(C2238, E2238) * 12, "")</f>
        <v/>
      </c>
      <c r="J2238" s="2">
        <f>IF(I2238="", "", IF(OR(AND(A2238="Listed Equity Shares", I2238&gt;12), AND(A2238="Unlisted Equity Shares", I2238&gt;24)), "Long Term", "Short Term"))</f>
        <v/>
      </c>
      <c r="K2238" s="5">
        <f>IF(J2238="", "", IF(J2238="Long Term", 12.5%,"as per slab"))</f>
        <v/>
      </c>
      <c r="L2238" s="3">
        <f>+IFERROR(IF(J2238="","",H2238*K2238),"as per slab")</f>
        <v/>
      </c>
    </row>
    <row r="2239">
      <c r="A2239" s="7" t="n"/>
      <c r="B2239" s="7" t="n"/>
      <c r="C2239" s="8" t="n"/>
      <c r="D2239" s="9" t="n"/>
      <c r="E2239" s="8" t="n"/>
      <c r="F2239" s="9" t="n"/>
      <c r="G2239" s="9" t="n"/>
      <c r="H2239" s="3">
        <f>IF(AND(D2239&lt;&gt;"",F2239&lt;&gt;""),F2239-D2239-G2239,"")</f>
        <v/>
      </c>
      <c r="I2239" s="14">
        <f>IF(E2239&lt;&gt;"", YEARFRAC(C2239, E2239) * 12, "")</f>
        <v/>
      </c>
      <c r="J2239" s="2">
        <f>IF(I2239="", "", IF(OR(AND(A2239="Listed Equity Shares", I2239&gt;12), AND(A2239="Unlisted Equity Shares", I2239&gt;24)), "Long Term", "Short Term"))</f>
        <v/>
      </c>
      <c r="K2239" s="5">
        <f>IF(J2239="", "", IF(J2239="Long Term", 12.5%,"as per slab"))</f>
        <v/>
      </c>
      <c r="L2239" s="3">
        <f>+IFERROR(IF(J2239="","",H2239*K2239),"as per slab")</f>
        <v/>
      </c>
    </row>
    <row r="2240">
      <c r="A2240" s="7" t="n"/>
      <c r="B2240" s="7" t="n"/>
      <c r="C2240" s="8" t="n"/>
      <c r="D2240" s="9" t="n"/>
      <c r="E2240" s="8" t="n"/>
      <c r="F2240" s="9" t="n"/>
      <c r="G2240" s="9" t="n"/>
      <c r="H2240" s="3">
        <f>IF(AND(D2240&lt;&gt;"",F2240&lt;&gt;""),F2240-D2240-G2240,"")</f>
        <v/>
      </c>
      <c r="I2240" s="14">
        <f>IF(E2240&lt;&gt;"", YEARFRAC(C2240, E2240) * 12, "")</f>
        <v/>
      </c>
      <c r="J2240" s="2">
        <f>IF(I2240="", "", IF(OR(AND(A2240="Listed Equity Shares", I2240&gt;12), AND(A2240="Unlisted Equity Shares", I2240&gt;24)), "Long Term", "Short Term"))</f>
        <v/>
      </c>
      <c r="K2240" s="5">
        <f>IF(J2240="", "", IF(J2240="Long Term", 12.5%,"as per slab"))</f>
        <v/>
      </c>
      <c r="L2240" s="3">
        <f>+IFERROR(IF(J2240="","",H2240*K2240),"as per slab")</f>
        <v/>
      </c>
    </row>
    <row r="2241">
      <c r="A2241" s="7" t="n"/>
      <c r="B2241" s="7" t="n"/>
      <c r="C2241" s="8" t="n"/>
      <c r="D2241" s="9" t="n"/>
      <c r="E2241" s="8" t="n"/>
      <c r="F2241" s="9" t="n"/>
      <c r="G2241" s="9" t="n"/>
      <c r="H2241" s="3">
        <f>IF(AND(D2241&lt;&gt;"",F2241&lt;&gt;""),F2241-D2241-G2241,"")</f>
        <v/>
      </c>
      <c r="I2241" s="14">
        <f>IF(E2241&lt;&gt;"", YEARFRAC(C2241, E2241) * 12, "")</f>
        <v/>
      </c>
      <c r="J2241" s="2">
        <f>IF(I2241="", "", IF(OR(AND(A2241="Listed Equity Shares", I2241&gt;12), AND(A2241="Unlisted Equity Shares", I2241&gt;24)), "Long Term", "Short Term"))</f>
        <v/>
      </c>
      <c r="K2241" s="5">
        <f>IF(J2241="", "", IF(J2241="Long Term", 12.5%,"as per slab"))</f>
        <v/>
      </c>
      <c r="L2241" s="3">
        <f>+IFERROR(IF(J2241="","",H2241*K2241),"as per slab")</f>
        <v/>
      </c>
    </row>
    <row r="2242">
      <c r="A2242" s="7" t="n"/>
      <c r="B2242" s="7" t="n"/>
      <c r="C2242" s="8" t="n"/>
      <c r="D2242" s="9" t="n"/>
      <c r="E2242" s="8" t="n"/>
      <c r="F2242" s="9" t="n"/>
      <c r="G2242" s="9" t="n"/>
      <c r="H2242" s="3">
        <f>IF(AND(D2242&lt;&gt;"",F2242&lt;&gt;""),F2242-D2242-G2242,"")</f>
        <v/>
      </c>
      <c r="I2242" s="14">
        <f>IF(E2242&lt;&gt;"", YEARFRAC(C2242, E2242) * 12, "")</f>
        <v/>
      </c>
      <c r="J2242" s="2">
        <f>IF(I2242="", "", IF(OR(AND(A2242="Listed Equity Shares", I2242&gt;12), AND(A2242="Unlisted Equity Shares", I2242&gt;24)), "Long Term", "Short Term"))</f>
        <v/>
      </c>
      <c r="K2242" s="5">
        <f>IF(J2242="", "", IF(J2242="Long Term", 12.5%,"as per slab"))</f>
        <v/>
      </c>
      <c r="L2242" s="3">
        <f>+IFERROR(IF(J2242="","",H2242*K2242),"as per slab")</f>
        <v/>
      </c>
    </row>
    <row r="2243">
      <c r="A2243" s="7" t="n"/>
      <c r="B2243" s="7" t="n"/>
      <c r="C2243" s="8" t="n"/>
      <c r="D2243" s="9" t="n"/>
      <c r="E2243" s="8" t="n"/>
      <c r="F2243" s="9" t="n"/>
      <c r="G2243" s="9" t="n"/>
      <c r="H2243" s="3">
        <f>IF(AND(D2243&lt;&gt;"",F2243&lt;&gt;""),F2243-D2243-G2243,"")</f>
        <v/>
      </c>
      <c r="I2243" s="14">
        <f>IF(E2243&lt;&gt;"", YEARFRAC(C2243, E2243) * 12, "")</f>
        <v/>
      </c>
      <c r="J2243" s="2">
        <f>IF(I2243="", "", IF(OR(AND(A2243="Listed Equity Shares", I2243&gt;12), AND(A2243="Unlisted Equity Shares", I2243&gt;24)), "Long Term", "Short Term"))</f>
        <v/>
      </c>
      <c r="K2243" s="5">
        <f>IF(J2243="", "", IF(J2243="Long Term", 12.5%,"as per slab"))</f>
        <v/>
      </c>
      <c r="L2243" s="3">
        <f>+IFERROR(IF(J2243="","",H2243*K2243),"as per slab")</f>
        <v/>
      </c>
    </row>
    <row r="2244">
      <c r="A2244" s="7" t="n"/>
      <c r="B2244" s="7" t="n"/>
      <c r="C2244" s="8" t="n"/>
      <c r="D2244" s="9" t="n"/>
      <c r="E2244" s="8" t="n"/>
      <c r="F2244" s="9" t="n"/>
      <c r="G2244" s="9" t="n"/>
      <c r="H2244" s="3">
        <f>IF(AND(D2244&lt;&gt;"",F2244&lt;&gt;""),F2244-D2244-G2244,"")</f>
        <v/>
      </c>
      <c r="I2244" s="14">
        <f>IF(E2244&lt;&gt;"", YEARFRAC(C2244, E2244) * 12, "")</f>
        <v/>
      </c>
      <c r="J2244" s="2">
        <f>IF(I2244="", "", IF(OR(AND(A2244="Listed Equity Shares", I2244&gt;12), AND(A2244="Unlisted Equity Shares", I2244&gt;24)), "Long Term", "Short Term"))</f>
        <v/>
      </c>
      <c r="K2244" s="5">
        <f>IF(J2244="", "", IF(J2244="Long Term", 12.5%,"as per slab"))</f>
        <v/>
      </c>
      <c r="L2244" s="3">
        <f>+IFERROR(IF(J2244="","",H2244*K2244),"as per slab")</f>
        <v/>
      </c>
    </row>
    <row r="2245">
      <c r="A2245" s="7" t="n"/>
      <c r="B2245" s="7" t="n"/>
      <c r="C2245" s="8" t="n"/>
      <c r="D2245" s="9" t="n"/>
      <c r="E2245" s="8" t="n"/>
      <c r="F2245" s="9" t="n"/>
      <c r="G2245" s="9" t="n"/>
      <c r="H2245" s="3">
        <f>IF(AND(D2245&lt;&gt;"",F2245&lt;&gt;""),F2245-D2245-G2245,"")</f>
        <v/>
      </c>
      <c r="I2245" s="14">
        <f>IF(E2245&lt;&gt;"", YEARFRAC(C2245, E2245) * 12, "")</f>
        <v/>
      </c>
      <c r="J2245" s="2">
        <f>IF(I2245="", "", IF(OR(AND(A2245="Listed Equity Shares", I2245&gt;12), AND(A2245="Unlisted Equity Shares", I2245&gt;24)), "Long Term", "Short Term"))</f>
        <v/>
      </c>
      <c r="K2245" s="5">
        <f>IF(J2245="", "", IF(J2245="Long Term", 12.5%,"as per slab"))</f>
        <v/>
      </c>
      <c r="L2245" s="3">
        <f>+IFERROR(IF(J2245="","",H2245*K2245),"as per slab")</f>
        <v/>
      </c>
    </row>
    <row r="2246">
      <c r="A2246" s="7" t="n"/>
      <c r="B2246" s="7" t="n"/>
      <c r="C2246" s="8" t="n"/>
      <c r="D2246" s="9" t="n"/>
      <c r="E2246" s="8" t="n"/>
      <c r="F2246" s="9" t="n"/>
      <c r="G2246" s="9" t="n"/>
      <c r="H2246" s="3">
        <f>IF(AND(D2246&lt;&gt;"",F2246&lt;&gt;""),F2246-D2246-G2246,"")</f>
        <v/>
      </c>
      <c r="I2246" s="14">
        <f>IF(E2246&lt;&gt;"", YEARFRAC(C2246, E2246) * 12, "")</f>
        <v/>
      </c>
      <c r="J2246" s="2">
        <f>IF(I2246="", "", IF(OR(AND(A2246="Listed Equity Shares", I2246&gt;12), AND(A2246="Unlisted Equity Shares", I2246&gt;24)), "Long Term", "Short Term"))</f>
        <v/>
      </c>
      <c r="K2246" s="5">
        <f>IF(J2246="", "", IF(J2246="Long Term", 12.5%,"as per slab"))</f>
        <v/>
      </c>
      <c r="L2246" s="3">
        <f>+IFERROR(IF(J2246="","",H2246*K2246),"as per slab")</f>
        <v/>
      </c>
    </row>
    <row r="2247">
      <c r="A2247" s="7" t="n"/>
      <c r="B2247" s="7" t="n"/>
      <c r="C2247" s="8" t="n"/>
      <c r="D2247" s="9" t="n"/>
      <c r="E2247" s="8" t="n"/>
      <c r="F2247" s="9" t="n"/>
      <c r="G2247" s="9" t="n"/>
      <c r="H2247" s="3">
        <f>IF(AND(D2247&lt;&gt;"",F2247&lt;&gt;""),F2247-D2247-G2247,"")</f>
        <v/>
      </c>
      <c r="I2247" s="14">
        <f>IF(E2247&lt;&gt;"", YEARFRAC(C2247, E2247) * 12, "")</f>
        <v/>
      </c>
      <c r="J2247" s="2">
        <f>IF(I2247="", "", IF(OR(AND(A2247="Listed Equity Shares", I2247&gt;12), AND(A2247="Unlisted Equity Shares", I2247&gt;24)), "Long Term", "Short Term"))</f>
        <v/>
      </c>
      <c r="K2247" s="5">
        <f>IF(J2247="", "", IF(J2247="Long Term", 12.5%,"as per slab"))</f>
        <v/>
      </c>
      <c r="L2247" s="3">
        <f>+IFERROR(IF(J2247="","",H2247*K2247),"as per slab")</f>
        <v/>
      </c>
    </row>
    <row r="2248">
      <c r="A2248" s="7" t="n"/>
      <c r="B2248" s="7" t="n"/>
      <c r="C2248" s="8" t="n"/>
      <c r="D2248" s="9" t="n"/>
      <c r="E2248" s="8" t="n"/>
      <c r="F2248" s="9" t="n"/>
      <c r="G2248" s="9" t="n"/>
      <c r="H2248" s="3">
        <f>IF(AND(D2248&lt;&gt;"",F2248&lt;&gt;""),F2248-D2248-G2248,"")</f>
        <v/>
      </c>
      <c r="I2248" s="14">
        <f>IF(E2248&lt;&gt;"", YEARFRAC(C2248, E2248) * 12, "")</f>
        <v/>
      </c>
      <c r="J2248" s="2">
        <f>IF(I2248="", "", IF(OR(AND(A2248="Listed Equity Shares", I2248&gt;12), AND(A2248="Unlisted Equity Shares", I2248&gt;24)), "Long Term", "Short Term"))</f>
        <v/>
      </c>
      <c r="K2248" s="5">
        <f>IF(J2248="", "", IF(J2248="Long Term", 12.5%,"as per slab"))</f>
        <v/>
      </c>
      <c r="L2248" s="3">
        <f>+IFERROR(IF(J2248="","",H2248*K2248),"as per slab")</f>
        <v/>
      </c>
    </row>
    <row r="2249">
      <c r="A2249" s="7" t="n"/>
      <c r="B2249" s="7" t="n"/>
      <c r="C2249" s="8" t="n"/>
      <c r="D2249" s="9" t="n"/>
      <c r="E2249" s="8" t="n"/>
      <c r="F2249" s="9" t="n"/>
      <c r="G2249" s="9" t="n"/>
      <c r="H2249" s="3">
        <f>IF(AND(D2249&lt;&gt;"",F2249&lt;&gt;""),F2249-D2249-G2249,"")</f>
        <v/>
      </c>
      <c r="I2249" s="14">
        <f>IF(E2249&lt;&gt;"", YEARFRAC(C2249, E2249) * 12, "")</f>
        <v/>
      </c>
      <c r="J2249" s="2">
        <f>IF(I2249="", "", IF(OR(AND(A2249="Listed Equity Shares", I2249&gt;12), AND(A2249="Unlisted Equity Shares", I2249&gt;24)), "Long Term", "Short Term"))</f>
        <v/>
      </c>
      <c r="K2249" s="5">
        <f>IF(J2249="", "", IF(J2249="Long Term", 12.5%,"as per slab"))</f>
        <v/>
      </c>
      <c r="L2249" s="3">
        <f>+IFERROR(IF(J2249="","",H2249*K2249),"as per slab")</f>
        <v/>
      </c>
    </row>
    <row r="2250">
      <c r="A2250" s="7" t="n"/>
      <c r="B2250" s="7" t="n"/>
      <c r="C2250" s="8" t="n"/>
      <c r="D2250" s="9" t="n"/>
      <c r="E2250" s="8" t="n"/>
      <c r="F2250" s="9" t="n"/>
      <c r="G2250" s="9" t="n"/>
      <c r="H2250" s="3">
        <f>IF(AND(D2250&lt;&gt;"",F2250&lt;&gt;""),F2250-D2250-G2250,"")</f>
        <v/>
      </c>
      <c r="I2250" s="14">
        <f>IF(E2250&lt;&gt;"", YEARFRAC(C2250, E2250) * 12, "")</f>
        <v/>
      </c>
      <c r="J2250" s="2">
        <f>IF(I2250="", "", IF(OR(AND(A2250="Listed Equity Shares", I2250&gt;12), AND(A2250="Unlisted Equity Shares", I2250&gt;24)), "Long Term", "Short Term"))</f>
        <v/>
      </c>
      <c r="K2250" s="5">
        <f>IF(J2250="", "", IF(J2250="Long Term", 12.5%,"as per slab"))</f>
        <v/>
      </c>
      <c r="L2250" s="3">
        <f>+IFERROR(IF(J2250="","",H2250*K2250),"as per slab")</f>
        <v/>
      </c>
    </row>
    <row r="2251">
      <c r="A2251" s="7" t="n"/>
      <c r="B2251" s="7" t="n"/>
      <c r="C2251" s="8" t="n"/>
      <c r="D2251" s="9" t="n"/>
      <c r="E2251" s="8" t="n"/>
      <c r="F2251" s="9" t="n"/>
      <c r="G2251" s="9" t="n"/>
      <c r="H2251" s="3">
        <f>IF(AND(D2251&lt;&gt;"",F2251&lt;&gt;""),F2251-D2251-G2251,"")</f>
        <v/>
      </c>
      <c r="I2251" s="14">
        <f>IF(E2251&lt;&gt;"", YEARFRAC(C2251, E2251) * 12, "")</f>
        <v/>
      </c>
      <c r="J2251" s="2">
        <f>IF(I2251="", "", IF(OR(AND(A2251="Listed Equity Shares", I2251&gt;12), AND(A2251="Unlisted Equity Shares", I2251&gt;24)), "Long Term", "Short Term"))</f>
        <v/>
      </c>
      <c r="K2251" s="5">
        <f>IF(J2251="", "", IF(J2251="Long Term", 12.5%,"as per slab"))</f>
        <v/>
      </c>
      <c r="L2251" s="3">
        <f>+IFERROR(IF(J2251="","",H2251*K2251),"as per slab")</f>
        <v/>
      </c>
    </row>
    <row r="2252">
      <c r="A2252" s="7" t="n"/>
      <c r="B2252" s="7" t="n"/>
      <c r="C2252" s="8" t="n"/>
      <c r="D2252" s="9" t="n"/>
      <c r="E2252" s="8" t="n"/>
      <c r="F2252" s="9" t="n"/>
      <c r="G2252" s="9" t="n"/>
      <c r="H2252" s="3">
        <f>IF(AND(D2252&lt;&gt;"",F2252&lt;&gt;""),F2252-D2252-G2252,"")</f>
        <v/>
      </c>
      <c r="I2252" s="14">
        <f>IF(E2252&lt;&gt;"", YEARFRAC(C2252, E2252) * 12, "")</f>
        <v/>
      </c>
      <c r="J2252" s="2">
        <f>IF(I2252="", "", IF(OR(AND(A2252="Listed Equity Shares", I2252&gt;12), AND(A2252="Unlisted Equity Shares", I2252&gt;24)), "Long Term", "Short Term"))</f>
        <v/>
      </c>
      <c r="K2252" s="5">
        <f>IF(J2252="", "", IF(J2252="Long Term", 12.5%,"as per slab"))</f>
        <v/>
      </c>
      <c r="L2252" s="3">
        <f>+IFERROR(IF(J2252="","",H2252*K2252),"as per slab")</f>
        <v/>
      </c>
    </row>
    <row r="2253">
      <c r="A2253" s="7" t="n"/>
      <c r="B2253" s="7" t="n"/>
      <c r="C2253" s="8" t="n"/>
      <c r="D2253" s="9" t="n"/>
      <c r="E2253" s="8" t="n"/>
      <c r="F2253" s="9" t="n"/>
      <c r="G2253" s="9" t="n"/>
      <c r="H2253" s="3">
        <f>IF(AND(D2253&lt;&gt;"",F2253&lt;&gt;""),F2253-D2253-G2253,"")</f>
        <v/>
      </c>
      <c r="I2253" s="14">
        <f>IF(E2253&lt;&gt;"", YEARFRAC(C2253, E2253) * 12, "")</f>
        <v/>
      </c>
      <c r="J2253" s="2">
        <f>IF(I2253="", "", IF(OR(AND(A2253="Listed Equity Shares", I2253&gt;12), AND(A2253="Unlisted Equity Shares", I2253&gt;24)), "Long Term", "Short Term"))</f>
        <v/>
      </c>
      <c r="K2253" s="5">
        <f>IF(J2253="", "", IF(J2253="Long Term", 12.5%,"as per slab"))</f>
        <v/>
      </c>
      <c r="L2253" s="3">
        <f>+IFERROR(IF(J2253="","",H2253*K2253),"as per slab")</f>
        <v/>
      </c>
    </row>
    <row r="2254">
      <c r="A2254" s="7" t="n"/>
      <c r="B2254" s="7" t="n"/>
      <c r="C2254" s="8" t="n"/>
      <c r="D2254" s="9" t="n"/>
      <c r="E2254" s="8" t="n"/>
      <c r="F2254" s="9" t="n"/>
      <c r="G2254" s="9" t="n"/>
      <c r="H2254" s="3">
        <f>IF(AND(D2254&lt;&gt;"",F2254&lt;&gt;""),F2254-D2254-G2254,"")</f>
        <v/>
      </c>
      <c r="I2254" s="14">
        <f>IF(E2254&lt;&gt;"", YEARFRAC(C2254, E2254) * 12, "")</f>
        <v/>
      </c>
      <c r="J2254" s="2">
        <f>IF(I2254="", "", IF(OR(AND(A2254="Listed Equity Shares", I2254&gt;12), AND(A2254="Unlisted Equity Shares", I2254&gt;24)), "Long Term", "Short Term"))</f>
        <v/>
      </c>
      <c r="K2254" s="5">
        <f>IF(J2254="", "", IF(J2254="Long Term", 12.5%,"as per slab"))</f>
        <v/>
      </c>
      <c r="L2254" s="3">
        <f>+IFERROR(IF(J2254="","",H2254*K2254),"as per slab")</f>
        <v/>
      </c>
    </row>
    <row r="2255">
      <c r="A2255" s="7" t="n"/>
      <c r="B2255" s="7" t="n"/>
      <c r="C2255" s="8" t="n"/>
      <c r="D2255" s="9" t="n"/>
      <c r="E2255" s="8" t="n"/>
      <c r="F2255" s="9" t="n"/>
      <c r="G2255" s="9" t="n"/>
      <c r="H2255" s="3">
        <f>IF(AND(D2255&lt;&gt;"",F2255&lt;&gt;""),F2255-D2255-G2255,"")</f>
        <v/>
      </c>
      <c r="I2255" s="14">
        <f>IF(E2255&lt;&gt;"", YEARFRAC(C2255, E2255) * 12, "")</f>
        <v/>
      </c>
      <c r="J2255" s="2">
        <f>IF(I2255="", "", IF(OR(AND(A2255="Listed Equity Shares", I2255&gt;12), AND(A2255="Unlisted Equity Shares", I2255&gt;24)), "Long Term", "Short Term"))</f>
        <v/>
      </c>
      <c r="K2255" s="5">
        <f>IF(J2255="", "", IF(J2255="Long Term", 12.5%,"as per slab"))</f>
        <v/>
      </c>
      <c r="L2255" s="3">
        <f>+IFERROR(IF(J2255="","",H2255*K2255),"as per slab")</f>
        <v/>
      </c>
    </row>
    <row r="2256">
      <c r="A2256" s="7" t="n"/>
      <c r="B2256" s="7" t="n"/>
      <c r="C2256" s="8" t="n"/>
      <c r="D2256" s="9" t="n"/>
      <c r="E2256" s="8" t="n"/>
      <c r="F2256" s="9" t="n"/>
      <c r="G2256" s="9" t="n"/>
      <c r="H2256" s="3">
        <f>IF(AND(D2256&lt;&gt;"",F2256&lt;&gt;""),F2256-D2256-G2256,"")</f>
        <v/>
      </c>
      <c r="I2256" s="14">
        <f>IF(E2256&lt;&gt;"", YEARFRAC(C2256, E2256) * 12, "")</f>
        <v/>
      </c>
      <c r="J2256" s="2">
        <f>IF(I2256="", "", IF(OR(AND(A2256="Listed Equity Shares", I2256&gt;12), AND(A2256="Unlisted Equity Shares", I2256&gt;24)), "Long Term", "Short Term"))</f>
        <v/>
      </c>
      <c r="K2256" s="5">
        <f>IF(J2256="", "", IF(J2256="Long Term", 12.5%,"as per slab"))</f>
        <v/>
      </c>
      <c r="L2256" s="3">
        <f>+IFERROR(IF(J2256="","",H2256*K2256),"as per slab")</f>
        <v/>
      </c>
    </row>
    <row r="2257">
      <c r="A2257" s="7" t="n"/>
      <c r="B2257" s="7" t="n"/>
      <c r="C2257" s="8" t="n"/>
      <c r="D2257" s="9" t="n"/>
      <c r="E2257" s="8" t="n"/>
      <c r="F2257" s="9" t="n"/>
      <c r="G2257" s="9" t="n"/>
      <c r="H2257" s="3">
        <f>IF(AND(D2257&lt;&gt;"",F2257&lt;&gt;""),F2257-D2257-G2257,"")</f>
        <v/>
      </c>
      <c r="I2257" s="14">
        <f>IF(E2257&lt;&gt;"", YEARFRAC(C2257, E2257) * 12, "")</f>
        <v/>
      </c>
      <c r="J2257" s="2">
        <f>IF(I2257="", "", IF(OR(AND(A2257="Listed Equity Shares", I2257&gt;12), AND(A2257="Unlisted Equity Shares", I2257&gt;24)), "Long Term", "Short Term"))</f>
        <v/>
      </c>
      <c r="K2257" s="5">
        <f>IF(J2257="", "", IF(J2257="Long Term", 12.5%,"as per slab"))</f>
        <v/>
      </c>
      <c r="L2257" s="3">
        <f>+IFERROR(IF(J2257="","",H2257*K2257),"as per slab")</f>
        <v/>
      </c>
    </row>
    <row r="2258">
      <c r="A2258" s="7" t="n"/>
      <c r="B2258" s="7" t="n"/>
      <c r="C2258" s="8" t="n"/>
      <c r="D2258" s="9" t="n"/>
      <c r="E2258" s="8" t="n"/>
      <c r="F2258" s="9" t="n"/>
      <c r="G2258" s="9" t="n"/>
      <c r="H2258" s="3">
        <f>IF(AND(D2258&lt;&gt;"",F2258&lt;&gt;""),F2258-D2258-G2258,"")</f>
        <v/>
      </c>
      <c r="I2258" s="14">
        <f>IF(E2258&lt;&gt;"", YEARFRAC(C2258, E2258) * 12, "")</f>
        <v/>
      </c>
      <c r="J2258" s="2">
        <f>IF(I2258="", "", IF(OR(AND(A2258="Listed Equity Shares", I2258&gt;12), AND(A2258="Unlisted Equity Shares", I2258&gt;24)), "Long Term", "Short Term"))</f>
        <v/>
      </c>
      <c r="K2258" s="5">
        <f>IF(J2258="", "", IF(J2258="Long Term", 12.5%,"as per slab"))</f>
        <v/>
      </c>
      <c r="L2258" s="3">
        <f>+IFERROR(IF(J2258="","",H2258*K2258),"as per slab")</f>
        <v/>
      </c>
    </row>
    <row r="2259">
      <c r="A2259" s="7" t="n"/>
      <c r="B2259" s="7" t="n"/>
      <c r="C2259" s="8" t="n"/>
      <c r="D2259" s="9" t="n"/>
      <c r="E2259" s="8" t="n"/>
      <c r="F2259" s="9" t="n"/>
      <c r="G2259" s="9" t="n"/>
      <c r="H2259" s="3">
        <f>IF(AND(D2259&lt;&gt;"",F2259&lt;&gt;""),F2259-D2259-G2259,"")</f>
        <v/>
      </c>
      <c r="I2259" s="14">
        <f>IF(E2259&lt;&gt;"", YEARFRAC(C2259, E2259) * 12, "")</f>
        <v/>
      </c>
      <c r="J2259" s="2">
        <f>IF(I2259="", "", IF(OR(AND(A2259="Listed Equity Shares", I2259&gt;12), AND(A2259="Unlisted Equity Shares", I2259&gt;24)), "Long Term", "Short Term"))</f>
        <v/>
      </c>
      <c r="K2259" s="5">
        <f>IF(J2259="", "", IF(J2259="Long Term", 12.5%,"as per slab"))</f>
        <v/>
      </c>
      <c r="L2259" s="3">
        <f>+IFERROR(IF(J2259="","",H2259*K2259),"as per slab")</f>
        <v/>
      </c>
    </row>
    <row r="2260">
      <c r="A2260" s="7" t="n"/>
      <c r="B2260" s="7" t="n"/>
      <c r="C2260" s="8" t="n"/>
      <c r="D2260" s="9" t="n"/>
      <c r="E2260" s="8" t="n"/>
      <c r="F2260" s="9" t="n"/>
      <c r="G2260" s="9" t="n"/>
      <c r="H2260" s="3">
        <f>IF(AND(D2260&lt;&gt;"",F2260&lt;&gt;""),F2260-D2260-G2260,"")</f>
        <v/>
      </c>
      <c r="I2260" s="14">
        <f>IF(E2260&lt;&gt;"", YEARFRAC(C2260, E2260) * 12, "")</f>
        <v/>
      </c>
      <c r="J2260" s="2">
        <f>IF(I2260="", "", IF(OR(AND(A2260="Listed Equity Shares", I2260&gt;12), AND(A2260="Unlisted Equity Shares", I2260&gt;24)), "Long Term", "Short Term"))</f>
        <v/>
      </c>
      <c r="K2260" s="5">
        <f>IF(J2260="", "", IF(J2260="Long Term", 12.5%,"as per slab"))</f>
        <v/>
      </c>
      <c r="L2260" s="3">
        <f>+IFERROR(IF(J2260="","",H2260*K2260),"as per slab")</f>
        <v/>
      </c>
    </row>
    <row r="2261">
      <c r="A2261" s="7" t="n"/>
      <c r="B2261" s="7" t="n"/>
      <c r="C2261" s="8" t="n"/>
      <c r="D2261" s="9" t="n"/>
      <c r="E2261" s="8" t="n"/>
      <c r="F2261" s="9" t="n"/>
      <c r="G2261" s="9" t="n"/>
      <c r="H2261" s="3">
        <f>IF(AND(D2261&lt;&gt;"",F2261&lt;&gt;""),F2261-D2261-G2261,"")</f>
        <v/>
      </c>
      <c r="I2261" s="14">
        <f>IF(E2261&lt;&gt;"", YEARFRAC(C2261, E2261) * 12, "")</f>
        <v/>
      </c>
      <c r="J2261" s="2">
        <f>IF(I2261="", "", IF(OR(AND(A2261="Listed Equity Shares", I2261&gt;12), AND(A2261="Unlisted Equity Shares", I2261&gt;24)), "Long Term", "Short Term"))</f>
        <v/>
      </c>
      <c r="K2261" s="5">
        <f>IF(J2261="", "", IF(J2261="Long Term", 12.5%,"as per slab"))</f>
        <v/>
      </c>
      <c r="L2261" s="3">
        <f>+IFERROR(IF(J2261="","",H2261*K2261),"as per slab")</f>
        <v/>
      </c>
    </row>
    <row r="2262">
      <c r="A2262" s="7" t="n"/>
      <c r="B2262" s="7" t="n"/>
      <c r="C2262" s="8" t="n"/>
      <c r="D2262" s="9" t="n"/>
      <c r="E2262" s="8" t="n"/>
      <c r="F2262" s="9" t="n"/>
      <c r="G2262" s="9" t="n"/>
      <c r="H2262" s="3">
        <f>IF(AND(D2262&lt;&gt;"",F2262&lt;&gt;""),F2262-D2262-G2262,"")</f>
        <v/>
      </c>
      <c r="I2262" s="14">
        <f>IF(E2262&lt;&gt;"", YEARFRAC(C2262, E2262) * 12, "")</f>
        <v/>
      </c>
      <c r="J2262" s="2">
        <f>IF(I2262="", "", IF(OR(AND(A2262="Listed Equity Shares", I2262&gt;12), AND(A2262="Unlisted Equity Shares", I2262&gt;24)), "Long Term", "Short Term"))</f>
        <v/>
      </c>
      <c r="K2262" s="5">
        <f>IF(J2262="", "", IF(J2262="Long Term", 12.5%,"as per slab"))</f>
        <v/>
      </c>
      <c r="L2262" s="3">
        <f>+IFERROR(IF(J2262="","",H2262*K2262),"as per slab")</f>
        <v/>
      </c>
    </row>
    <row r="2263">
      <c r="A2263" s="7" t="n"/>
      <c r="B2263" s="7" t="n"/>
      <c r="C2263" s="8" t="n"/>
      <c r="D2263" s="9" t="n"/>
      <c r="E2263" s="8" t="n"/>
      <c r="F2263" s="9" t="n"/>
      <c r="G2263" s="9" t="n"/>
      <c r="H2263" s="3">
        <f>IF(AND(D2263&lt;&gt;"",F2263&lt;&gt;""),F2263-D2263-G2263,"")</f>
        <v/>
      </c>
      <c r="I2263" s="14">
        <f>IF(E2263&lt;&gt;"", YEARFRAC(C2263, E2263) * 12, "")</f>
        <v/>
      </c>
      <c r="J2263" s="2">
        <f>IF(I2263="", "", IF(OR(AND(A2263="Listed Equity Shares", I2263&gt;12), AND(A2263="Unlisted Equity Shares", I2263&gt;24)), "Long Term", "Short Term"))</f>
        <v/>
      </c>
      <c r="K2263" s="5">
        <f>IF(J2263="", "", IF(J2263="Long Term", 12.5%,"as per slab"))</f>
        <v/>
      </c>
      <c r="L2263" s="3">
        <f>+IFERROR(IF(J2263="","",H2263*K2263),"as per slab")</f>
        <v/>
      </c>
    </row>
    <row r="2264">
      <c r="A2264" s="7" t="n"/>
      <c r="B2264" s="7" t="n"/>
      <c r="C2264" s="8" t="n"/>
      <c r="D2264" s="9" t="n"/>
      <c r="E2264" s="8" t="n"/>
      <c r="F2264" s="9" t="n"/>
      <c r="G2264" s="9" t="n"/>
      <c r="H2264" s="3">
        <f>IF(AND(D2264&lt;&gt;"",F2264&lt;&gt;""),F2264-D2264-G2264,"")</f>
        <v/>
      </c>
      <c r="I2264" s="14">
        <f>IF(E2264&lt;&gt;"", YEARFRAC(C2264, E2264) * 12, "")</f>
        <v/>
      </c>
      <c r="J2264" s="2">
        <f>IF(I2264="", "", IF(OR(AND(A2264="Listed Equity Shares", I2264&gt;12), AND(A2264="Unlisted Equity Shares", I2264&gt;24)), "Long Term", "Short Term"))</f>
        <v/>
      </c>
      <c r="K2264" s="5">
        <f>IF(J2264="", "", IF(J2264="Long Term", 12.5%,"as per slab"))</f>
        <v/>
      </c>
      <c r="L2264" s="3">
        <f>+IFERROR(IF(J2264="","",H2264*K2264),"as per slab")</f>
        <v/>
      </c>
    </row>
    <row r="2265">
      <c r="A2265" s="7" t="n"/>
      <c r="B2265" s="7" t="n"/>
      <c r="C2265" s="8" t="n"/>
      <c r="D2265" s="9" t="n"/>
      <c r="E2265" s="8" t="n"/>
      <c r="F2265" s="9" t="n"/>
      <c r="G2265" s="9" t="n"/>
      <c r="H2265" s="3">
        <f>IF(AND(D2265&lt;&gt;"",F2265&lt;&gt;""),F2265-D2265-G2265,"")</f>
        <v/>
      </c>
      <c r="I2265" s="14">
        <f>IF(E2265&lt;&gt;"", YEARFRAC(C2265, E2265) * 12, "")</f>
        <v/>
      </c>
      <c r="J2265" s="2">
        <f>IF(I2265="", "", IF(OR(AND(A2265="Listed Equity Shares", I2265&gt;12), AND(A2265="Unlisted Equity Shares", I2265&gt;24)), "Long Term", "Short Term"))</f>
        <v/>
      </c>
      <c r="K2265" s="5">
        <f>IF(J2265="", "", IF(J2265="Long Term", 12.5%,"as per slab"))</f>
        <v/>
      </c>
      <c r="L2265" s="3">
        <f>+IFERROR(IF(J2265="","",H2265*K2265),"as per slab")</f>
        <v/>
      </c>
    </row>
    <row r="2266">
      <c r="A2266" s="7" t="n"/>
      <c r="B2266" s="7" t="n"/>
      <c r="C2266" s="8" t="n"/>
      <c r="D2266" s="9" t="n"/>
      <c r="E2266" s="8" t="n"/>
      <c r="F2266" s="9" t="n"/>
      <c r="G2266" s="9" t="n"/>
      <c r="H2266" s="3">
        <f>IF(AND(D2266&lt;&gt;"",F2266&lt;&gt;""),F2266-D2266-G2266,"")</f>
        <v/>
      </c>
      <c r="I2266" s="14">
        <f>IF(E2266&lt;&gt;"", YEARFRAC(C2266, E2266) * 12, "")</f>
        <v/>
      </c>
      <c r="J2266" s="2">
        <f>IF(I2266="", "", IF(OR(AND(A2266="Listed Equity Shares", I2266&gt;12), AND(A2266="Unlisted Equity Shares", I2266&gt;24)), "Long Term", "Short Term"))</f>
        <v/>
      </c>
      <c r="K2266" s="5">
        <f>IF(J2266="", "", IF(J2266="Long Term", 12.5%,"as per slab"))</f>
        <v/>
      </c>
      <c r="L2266" s="3">
        <f>+IFERROR(IF(J2266="","",H2266*K2266),"as per slab")</f>
        <v/>
      </c>
    </row>
    <row r="2267">
      <c r="A2267" s="7" t="n"/>
      <c r="B2267" s="7" t="n"/>
      <c r="C2267" s="8" t="n"/>
      <c r="D2267" s="9" t="n"/>
      <c r="E2267" s="8" t="n"/>
      <c r="F2267" s="9" t="n"/>
      <c r="G2267" s="9" t="n"/>
      <c r="H2267" s="3">
        <f>IF(AND(D2267&lt;&gt;"",F2267&lt;&gt;""),F2267-D2267-G2267,"")</f>
        <v/>
      </c>
      <c r="I2267" s="14">
        <f>IF(E2267&lt;&gt;"", YEARFRAC(C2267, E2267) * 12, "")</f>
        <v/>
      </c>
      <c r="J2267" s="2">
        <f>IF(I2267="", "", IF(OR(AND(A2267="Listed Equity Shares", I2267&gt;12), AND(A2267="Unlisted Equity Shares", I2267&gt;24)), "Long Term", "Short Term"))</f>
        <v/>
      </c>
      <c r="K2267" s="5">
        <f>IF(J2267="", "", IF(J2267="Long Term", 12.5%,"as per slab"))</f>
        <v/>
      </c>
      <c r="L2267" s="3">
        <f>+IFERROR(IF(J2267="","",H2267*K2267),"as per slab")</f>
        <v/>
      </c>
    </row>
    <row r="2268">
      <c r="A2268" s="7" t="n"/>
      <c r="B2268" s="7" t="n"/>
      <c r="C2268" s="8" t="n"/>
      <c r="D2268" s="9" t="n"/>
      <c r="E2268" s="8" t="n"/>
      <c r="F2268" s="9" t="n"/>
      <c r="G2268" s="9" t="n"/>
      <c r="H2268" s="3">
        <f>IF(AND(D2268&lt;&gt;"",F2268&lt;&gt;""),F2268-D2268-G2268,"")</f>
        <v/>
      </c>
      <c r="I2268" s="14">
        <f>IF(E2268&lt;&gt;"", YEARFRAC(C2268, E2268) * 12, "")</f>
        <v/>
      </c>
      <c r="J2268" s="2">
        <f>IF(I2268="", "", IF(OR(AND(A2268="Listed Equity Shares", I2268&gt;12), AND(A2268="Unlisted Equity Shares", I2268&gt;24)), "Long Term", "Short Term"))</f>
        <v/>
      </c>
      <c r="K2268" s="5">
        <f>IF(J2268="", "", IF(J2268="Long Term", 12.5%,"as per slab"))</f>
        <v/>
      </c>
      <c r="L2268" s="3">
        <f>+IFERROR(IF(J2268="","",H2268*K2268),"as per slab")</f>
        <v/>
      </c>
    </row>
    <row r="2269">
      <c r="A2269" s="7" t="n"/>
      <c r="B2269" s="7" t="n"/>
      <c r="C2269" s="8" t="n"/>
      <c r="D2269" s="9" t="n"/>
      <c r="E2269" s="8" t="n"/>
      <c r="F2269" s="9" t="n"/>
      <c r="G2269" s="9" t="n"/>
      <c r="H2269" s="3">
        <f>IF(AND(D2269&lt;&gt;"",F2269&lt;&gt;""),F2269-D2269-G2269,"")</f>
        <v/>
      </c>
      <c r="I2269" s="14">
        <f>IF(E2269&lt;&gt;"", YEARFRAC(C2269, E2269) * 12, "")</f>
        <v/>
      </c>
      <c r="J2269" s="2">
        <f>IF(I2269="", "", IF(OR(AND(A2269="Listed Equity Shares", I2269&gt;12), AND(A2269="Unlisted Equity Shares", I2269&gt;24)), "Long Term", "Short Term"))</f>
        <v/>
      </c>
      <c r="K2269" s="5">
        <f>IF(J2269="", "", IF(J2269="Long Term", 12.5%,"as per slab"))</f>
        <v/>
      </c>
      <c r="L2269" s="3">
        <f>+IFERROR(IF(J2269="","",H2269*K2269),"as per slab")</f>
        <v/>
      </c>
    </row>
    <row r="2270">
      <c r="A2270" s="7" t="n"/>
      <c r="B2270" s="7" t="n"/>
      <c r="C2270" s="8" t="n"/>
      <c r="D2270" s="9" t="n"/>
      <c r="E2270" s="8" t="n"/>
      <c r="F2270" s="9" t="n"/>
      <c r="G2270" s="9" t="n"/>
      <c r="H2270" s="3">
        <f>IF(AND(D2270&lt;&gt;"",F2270&lt;&gt;""),F2270-D2270-G2270,"")</f>
        <v/>
      </c>
      <c r="I2270" s="14">
        <f>IF(E2270&lt;&gt;"", YEARFRAC(C2270, E2270) * 12, "")</f>
        <v/>
      </c>
      <c r="J2270" s="2">
        <f>IF(I2270="", "", IF(OR(AND(A2270="Listed Equity Shares", I2270&gt;12), AND(A2270="Unlisted Equity Shares", I2270&gt;24)), "Long Term", "Short Term"))</f>
        <v/>
      </c>
      <c r="K2270" s="5">
        <f>IF(J2270="", "", IF(J2270="Long Term", 12.5%,"as per slab"))</f>
        <v/>
      </c>
      <c r="L2270" s="3">
        <f>+IFERROR(IF(J2270="","",H2270*K2270),"as per slab")</f>
        <v/>
      </c>
    </row>
    <row r="2271">
      <c r="A2271" s="7" t="n"/>
      <c r="B2271" s="7" t="n"/>
      <c r="C2271" s="8" t="n"/>
      <c r="D2271" s="9" t="n"/>
      <c r="E2271" s="8" t="n"/>
      <c r="F2271" s="9" t="n"/>
      <c r="G2271" s="9" t="n"/>
      <c r="H2271" s="3">
        <f>IF(AND(D2271&lt;&gt;"",F2271&lt;&gt;""),F2271-D2271-G2271,"")</f>
        <v/>
      </c>
      <c r="I2271" s="14">
        <f>IF(E2271&lt;&gt;"", YEARFRAC(C2271, E2271) * 12, "")</f>
        <v/>
      </c>
      <c r="J2271" s="2">
        <f>IF(I2271="", "", IF(OR(AND(A2271="Listed Equity Shares", I2271&gt;12), AND(A2271="Unlisted Equity Shares", I2271&gt;24)), "Long Term", "Short Term"))</f>
        <v/>
      </c>
      <c r="K2271" s="5">
        <f>IF(J2271="", "", IF(J2271="Long Term", 12.5%,"as per slab"))</f>
        <v/>
      </c>
      <c r="L2271" s="3">
        <f>+IFERROR(IF(J2271="","",H2271*K2271),"as per slab")</f>
        <v/>
      </c>
    </row>
    <row r="2272">
      <c r="A2272" s="7" t="n"/>
      <c r="B2272" s="7" t="n"/>
      <c r="C2272" s="8" t="n"/>
      <c r="D2272" s="9" t="n"/>
      <c r="E2272" s="8" t="n"/>
      <c r="F2272" s="9" t="n"/>
      <c r="G2272" s="9" t="n"/>
      <c r="H2272" s="3">
        <f>IF(AND(D2272&lt;&gt;"",F2272&lt;&gt;""),F2272-D2272-G2272,"")</f>
        <v/>
      </c>
      <c r="I2272" s="14">
        <f>IF(E2272&lt;&gt;"", YEARFRAC(C2272, E2272) * 12, "")</f>
        <v/>
      </c>
      <c r="J2272" s="2">
        <f>IF(I2272="", "", IF(OR(AND(A2272="Listed Equity Shares", I2272&gt;12), AND(A2272="Unlisted Equity Shares", I2272&gt;24)), "Long Term", "Short Term"))</f>
        <v/>
      </c>
      <c r="K2272" s="5">
        <f>IF(J2272="", "", IF(J2272="Long Term", 12.5%,"as per slab"))</f>
        <v/>
      </c>
      <c r="L2272" s="3">
        <f>+IFERROR(IF(J2272="","",H2272*K2272),"as per slab")</f>
        <v/>
      </c>
    </row>
    <row r="2273">
      <c r="A2273" s="7" t="n"/>
      <c r="B2273" s="7" t="n"/>
      <c r="C2273" s="8" t="n"/>
      <c r="D2273" s="9" t="n"/>
      <c r="E2273" s="8" t="n"/>
      <c r="F2273" s="9" t="n"/>
      <c r="G2273" s="9" t="n"/>
      <c r="H2273" s="3">
        <f>IF(AND(D2273&lt;&gt;"",F2273&lt;&gt;""),F2273-D2273-G2273,"")</f>
        <v/>
      </c>
      <c r="I2273" s="14">
        <f>IF(E2273&lt;&gt;"", YEARFRAC(C2273, E2273) * 12, "")</f>
        <v/>
      </c>
      <c r="J2273" s="2">
        <f>IF(I2273="", "", IF(OR(AND(A2273="Listed Equity Shares", I2273&gt;12), AND(A2273="Unlisted Equity Shares", I2273&gt;24)), "Long Term", "Short Term"))</f>
        <v/>
      </c>
      <c r="K2273" s="5">
        <f>IF(J2273="", "", IF(J2273="Long Term", 12.5%,"as per slab"))</f>
        <v/>
      </c>
      <c r="L2273" s="3">
        <f>+IFERROR(IF(J2273="","",H2273*K2273),"as per slab")</f>
        <v/>
      </c>
    </row>
    <row r="2274">
      <c r="A2274" s="7" t="n"/>
      <c r="B2274" s="7" t="n"/>
      <c r="C2274" s="8" t="n"/>
      <c r="D2274" s="9" t="n"/>
      <c r="E2274" s="8" t="n"/>
      <c r="F2274" s="9" t="n"/>
      <c r="G2274" s="9" t="n"/>
      <c r="H2274" s="3">
        <f>IF(AND(D2274&lt;&gt;"",F2274&lt;&gt;""),F2274-D2274-G2274,"")</f>
        <v/>
      </c>
      <c r="I2274" s="14">
        <f>IF(E2274&lt;&gt;"", YEARFRAC(C2274, E2274) * 12, "")</f>
        <v/>
      </c>
      <c r="J2274" s="2">
        <f>IF(I2274="", "", IF(OR(AND(A2274="Listed Equity Shares", I2274&gt;12), AND(A2274="Unlisted Equity Shares", I2274&gt;24)), "Long Term", "Short Term"))</f>
        <v/>
      </c>
      <c r="K2274" s="5">
        <f>IF(J2274="", "", IF(J2274="Long Term", 12.5%,"as per slab"))</f>
        <v/>
      </c>
      <c r="L2274" s="3">
        <f>+IFERROR(IF(J2274="","",H2274*K2274),"as per slab")</f>
        <v/>
      </c>
    </row>
    <row r="2275">
      <c r="A2275" s="7" t="n"/>
      <c r="B2275" s="7" t="n"/>
      <c r="C2275" s="8" t="n"/>
      <c r="D2275" s="9" t="n"/>
      <c r="E2275" s="8" t="n"/>
      <c r="F2275" s="9" t="n"/>
      <c r="G2275" s="9" t="n"/>
      <c r="H2275" s="3">
        <f>IF(AND(D2275&lt;&gt;"",F2275&lt;&gt;""),F2275-D2275-G2275,"")</f>
        <v/>
      </c>
      <c r="I2275" s="14">
        <f>IF(E2275&lt;&gt;"", YEARFRAC(C2275, E2275) * 12, "")</f>
        <v/>
      </c>
      <c r="J2275" s="2">
        <f>IF(I2275="", "", IF(OR(AND(A2275="Listed Equity Shares", I2275&gt;12), AND(A2275="Unlisted Equity Shares", I2275&gt;24)), "Long Term", "Short Term"))</f>
        <v/>
      </c>
      <c r="K2275" s="5">
        <f>IF(J2275="", "", IF(J2275="Long Term", 12.5%,"as per slab"))</f>
        <v/>
      </c>
      <c r="L2275" s="3">
        <f>+IFERROR(IF(J2275="","",H2275*K2275),"as per slab")</f>
        <v/>
      </c>
    </row>
    <row r="2276">
      <c r="A2276" s="7" t="n"/>
      <c r="B2276" s="7" t="n"/>
      <c r="C2276" s="8" t="n"/>
      <c r="D2276" s="9" t="n"/>
      <c r="E2276" s="8" t="n"/>
      <c r="F2276" s="9" t="n"/>
      <c r="G2276" s="9" t="n"/>
      <c r="H2276" s="3">
        <f>IF(AND(D2276&lt;&gt;"",F2276&lt;&gt;""),F2276-D2276-G2276,"")</f>
        <v/>
      </c>
      <c r="I2276" s="14">
        <f>IF(E2276&lt;&gt;"", YEARFRAC(C2276, E2276) * 12, "")</f>
        <v/>
      </c>
      <c r="J2276" s="2">
        <f>IF(I2276="", "", IF(OR(AND(A2276="Listed Equity Shares", I2276&gt;12), AND(A2276="Unlisted Equity Shares", I2276&gt;24)), "Long Term", "Short Term"))</f>
        <v/>
      </c>
      <c r="K2276" s="5">
        <f>IF(J2276="", "", IF(J2276="Long Term", 12.5%,"as per slab"))</f>
        <v/>
      </c>
      <c r="L2276" s="3">
        <f>+IFERROR(IF(J2276="","",H2276*K2276),"as per slab")</f>
        <v/>
      </c>
    </row>
    <row r="2277">
      <c r="A2277" s="7" t="n"/>
      <c r="B2277" s="7" t="n"/>
      <c r="C2277" s="8" t="n"/>
      <c r="D2277" s="9" t="n"/>
      <c r="E2277" s="8" t="n"/>
      <c r="F2277" s="9" t="n"/>
      <c r="G2277" s="9" t="n"/>
      <c r="H2277" s="3">
        <f>IF(AND(D2277&lt;&gt;"",F2277&lt;&gt;""),F2277-D2277-G2277,"")</f>
        <v/>
      </c>
      <c r="I2277" s="14">
        <f>IF(E2277&lt;&gt;"", YEARFRAC(C2277, E2277) * 12, "")</f>
        <v/>
      </c>
      <c r="J2277" s="2">
        <f>IF(I2277="", "", IF(OR(AND(A2277="Listed Equity Shares", I2277&gt;12), AND(A2277="Unlisted Equity Shares", I2277&gt;24)), "Long Term", "Short Term"))</f>
        <v/>
      </c>
      <c r="K2277" s="5">
        <f>IF(J2277="", "", IF(J2277="Long Term", 12.5%,"as per slab"))</f>
        <v/>
      </c>
      <c r="L2277" s="3">
        <f>+IFERROR(IF(J2277="","",H2277*K2277),"as per slab")</f>
        <v/>
      </c>
    </row>
    <row r="2278">
      <c r="A2278" s="7" t="n"/>
      <c r="B2278" s="7" t="n"/>
      <c r="C2278" s="8" t="n"/>
      <c r="D2278" s="9" t="n"/>
      <c r="E2278" s="8" t="n"/>
      <c r="F2278" s="9" t="n"/>
      <c r="G2278" s="9" t="n"/>
      <c r="H2278" s="3">
        <f>IF(AND(D2278&lt;&gt;"",F2278&lt;&gt;""),F2278-D2278-G2278,"")</f>
        <v/>
      </c>
      <c r="I2278" s="14">
        <f>IF(E2278&lt;&gt;"", YEARFRAC(C2278, E2278) * 12, "")</f>
        <v/>
      </c>
      <c r="J2278" s="2">
        <f>IF(I2278="", "", IF(OR(AND(A2278="Listed Equity Shares", I2278&gt;12), AND(A2278="Unlisted Equity Shares", I2278&gt;24)), "Long Term", "Short Term"))</f>
        <v/>
      </c>
      <c r="K2278" s="5">
        <f>IF(J2278="", "", IF(J2278="Long Term", 12.5%,"as per slab"))</f>
        <v/>
      </c>
      <c r="L2278" s="3">
        <f>+IFERROR(IF(J2278="","",H2278*K2278),"as per slab")</f>
        <v/>
      </c>
    </row>
    <row r="2279">
      <c r="A2279" s="7" t="n"/>
      <c r="B2279" s="7" t="n"/>
      <c r="C2279" s="8" t="n"/>
      <c r="D2279" s="9" t="n"/>
      <c r="E2279" s="8" t="n"/>
      <c r="F2279" s="9" t="n"/>
      <c r="G2279" s="9" t="n"/>
      <c r="H2279" s="3">
        <f>IF(AND(D2279&lt;&gt;"",F2279&lt;&gt;""),F2279-D2279-G2279,"")</f>
        <v/>
      </c>
      <c r="I2279" s="14">
        <f>IF(E2279&lt;&gt;"", YEARFRAC(C2279, E2279) * 12, "")</f>
        <v/>
      </c>
      <c r="J2279" s="2">
        <f>IF(I2279="", "", IF(OR(AND(A2279="Listed Equity Shares", I2279&gt;12), AND(A2279="Unlisted Equity Shares", I2279&gt;24)), "Long Term", "Short Term"))</f>
        <v/>
      </c>
      <c r="K2279" s="5">
        <f>IF(J2279="", "", IF(J2279="Long Term", 12.5%,"as per slab"))</f>
        <v/>
      </c>
      <c r="L2279" s="3">
        <f>+IFERROR(IF(J2279="","",H2279*K2279),"as per slab")</f>
        <v/>
      </c>
    </row>
    <row r="2280">
      <c r="A2280" s="7" t="n"/>
      <c r="B2280" s="7" t="n"/>
      <c r="C2280" s="8" t="n"/>
      <c r="D2280" s="9" t="n"/>
      <c r="E2280" s="8" t="n"/>
      <c r="F2280" s="9" t="n"/>
      <c r="G2280" s="9" t="n"/>
      <c r="H2280" s="3">
        <f>IF(AND(D2280&lt;&gt;"",F2280&lt;&gt;""),F2280-D2280-G2280,"")</f>
        <v/>
      </c>
      <c r="I2280" s="14">
        <f>IF(E2280&lt;&gt;"", YEARFRAC(C2280, E2280) * 12, "")</f>
        <v/>
      </c>
      <c r="J2280" s="2">
        <f>IF(I2280="", "", IF(OR(AND(A2280="Listed Equity Shares", I2280&gt;12), AND(A2280="Unlisted Equity Shares", I2280&gt;24)), "Long Term", "Short Term"))</f>
        <v/>
      </c>
      <c r="K2280" s="5">
        <f>IF(J2280="", "", IF(J2280="Long Term", 12.5%,"as per slab"))</f>
        <v/>
      </c>
      <c r="L2280" s="3">
        <f>+IFERROR(IF(J2280="","",H2280*K2280),"as per slab")</f>
        <v/>
      </c>
    </row>
    <row r="2281">
      <c r="A2281" s="7" t="n"/>
      <c r="B2281" s="7" t="n"/>
      <c r="C2281" s="8" t="n"/>
      <c r="D2281" s="9" t="n"/>
      <c r="E2281" s="8" t="n"/>
      <c r="F2281" s="9" t="n"/>
      <c r="G2281" s="9" t="n"/>
      <c r="H2281" s="3">
        <f>IF(AND(D2281&lt;&gt;"",F2281&lt;&gt;""),F2281-D2281-G2281,"")</f>
        <v/>
      </c>
      <c r="I2281" s="14">
        <f>IF(E2281&lt;&gt;"", YEARFRAC(C2281, E2281) * 12, "")</f>
        <v/>
      </c>
      <c r="J2281" s="2">
        <f>IF(I2281="", "", IF(OR(AND(A2281="Listed Equity Shares", I2281&gt;12), AND(A2281="Unlisted Equity Shares", I2281&gt;24)), "Long Term", "Short Term"))</f>
        <v/>
      </c>
      <c r="K2281" s="5">
        <f>IF(J2281="", "", IF(J2281="Long Term", 12.5%,"as per slab"))</f>
        <v/>
      </c>
      <c r="L2281" s="3">
        <f>+IFERROR(IF(J2281="","",H2281*K2281),"as per slab")</f>
        <v/>
      </c>
    </row>
    <row r="2282">
      <c r="A2282" s="7" t="n"/>
      <c r="B2282" s="7" t="n"/>
      <c r="C2282" s="8" t="n"/>
      <c r="D2282" s="9" t="n"/>
      <c r="E2282" s="8" t="n"/>
      <c r="F2282" s="9" t="n"/>
      <c r="G2282" s="9" t="n"/>
      <c r="H2282" s="3">
        <f>IF(AND(D2282&lt;&gt;"",F2282&lt;&gt;""),F2282-D2282-G2282,"")</f>
        <v/>
      </c>
      <c r="I2282" s="14">
        <f>IF(E2282&lt;&gt;"", YEARFRAC(C2282, E2282) * 12, "")</f>
        <v/>
      </c>
      <c r="J2282" s="2">
        <f>IF(I2282="", "", IF(OR(AND(A2282="Listed Equity Shares", I2282&gt;12), AND(A2282="Unlisted Equity Shares", I2282&gt;24)), "Long Term", "Short Term"))</f>
        <v/>
      </c>
      <c r="K2282" s="5">
        <f>IF(J2282="", "", IF(J2282="Long Term", 12.5%,"as per slab"))</f>
        <v/>
      </c>
      <c r="L2282" s="3">
        <f>+IFERROR(IF(J2282="","",H2282*K2282),"as per slab")</f>
        <v/>
      </c>
    </row>
    <row r="2283">
      <c r="A2283" s="7" t="n"/>
      <c r="B2283" s="7" t="n"/>
      <c r="C2283" s="8" t="n"/>
      <c r="D2283" s="9" t="n"/>
      <c r="E2283" s="8" t="n"/>
      <c r="F2283" s="9" t="n"/>
      <c r="G2283" s="9" t="n"/>
      <c r="H2283" s="3">
        <f>IF(AND(D2283&lt;&gt;"",F2283&lt;&gt;""),F2283-D2283-G2283,"")</f>
        <v/>
      </c>
      <c r="I2283" s="14">
        <f>IF(E2283&lt;&gt;"", YEARFRAC(C2283, E2283) * 12, "")</f>
        <v/>
      </c>
      <c r="J2283" s="2">
        <f>IF(I2283="", "", IF(OR(AND(A2283="Listed Equity Shares", I2283&gt;12), AND(A2283="Unlisted Equity Shares", I2283&gt;24)), "Long Term", "Short Term"))</f>
        <v/>
      </c>
      <c r="K2283" s="5">
        <f>IF(J2283="", "", IF(J2283="Long Term", 12.5%,"as per slab"))</f>
        <v/>
      </c>
      <c r="L2283" s="3">
        <f>+IFERROR(IF(J2283="","",H2283*K2283),"as per slab")</f>
        <v/>
      </c>
    </row>
    <row r="2284">
      <c r="A2284" s="7" t="n"/>
      <c r="B2284" s="7" t="n"/>
      <c r="C2284" s="8" t="n"/>
      <c r="D2284" s="9" t="n"/>
      <c r="E2284" s="8" t="n"/>
      <c r="F2284" s="9" t="n"/>
      <c r="G2284" s="9" t="n"/>
      <c r="H2284" s="3">
        <f>IF(AND(D2284&lt;&gt;"",F2284&lt;&gt;""),F2284-D2284-G2284,"")</f>
        <v/>
      </c>
      <c r="I2284" s="14">
        <f>IF(E2284&lt;&gt;"", YEARFRAC(C2284, E2284) * 12, "")</f>
        <v/>
      </c>
      <c r="J2284" s="2">
        <f>IF(I2284="", "", IF(OR(AND(A2284="Listed Equity Shares", I2284&gt;12), AND(A2284="Unlisted Equity Shares", I2284&gt;24)), "Long Term", "Short Term"))</f>
        <v/>
      </c>
      <c r="K2284" s="5">
        <f>IF(J2284="", "", IF(J2284="Long Term", 12.5%,"as per slab"))</f>
        <v/>
      </c>
      <c r="L2284" s="3">
        <f>+IFERROR(IF(J2284="","",H2284*K2284),"as per slab")</f>
        <v/>
      </c>
    </row>
    <row r="2285">
      <c r="A2285" s="7" t="n"/>
      <c r="B2285" s="7" t="n"/>
      <c r="C2285" s="8" t="n"/>
      <c r="D2285" s="9" t="n"/>
      <c r="E2285" s="8" t="n"/>
      <c r="F2285" s="9" t="n"/>
      <c r="G2285" s="9" t="n"/>
      <c r="H2285" s="3">
        <f>IF(AND(D2285&lt;&gt;"",F2285&lt;&gt;""),F2285-D2285-G2285,"")</f>
        <v/>
      </c>
      <c r="I2285" s="14">
        <f>IF(E2285&lt;&gt;"", YEARFRAC(C2285, E2285) * 12, "")</f>
        <v/>
      </c>
      <c r="J2285" s="2">
        <f>IF(I2285="", "", IF(OR(AND(A2285="Listed Equity Shares", I2285&gt;12), AND(A2285="Unlisted Equity Shares", I2285&gt;24)), "Long Term", "Short Term"))</f>
        <v/>
      </c>
      <c r="K2285" s="5">
        <f>IF(J2285="", "", IF(J2285="Long Term", 12.5%,"as per slab"))</f>
        <v/>
      </c>
      <c r="L2285" s="3">
        <f>+IFERROR(IF(J2285="","",H2285*K2285),"as per slab")</f>
        <v/>
      </c>
    </row>
    <row r="2286">
      <c r="A2286" s="7" t="n"/>
      <c r="B2286" s="7" t="n"/>
      <c r="C2286" s="8" t="n"/>
      <c r="D2286" s="9" t="n"/>
      <c r="E2286" s="8" t="n"/>
      <c r="F2286" s="9" t="n"/>
      <c r="G2286" s="9" t="n"/>
      <c r="H2286" s="3">
        <f>IF(AND(D2286&lt;&gt;"",F2286&lt;&gt;""),F2286-D2286-G2286,"")</f>
        <v/>
      </c>
      <c r="I2286" s="14">
        <f>IF(E2286&lt;&gt;"", YEARFRAC(C2286, E2286) * 12, "")</f>
        <v/>
      </c>
      <c r="J2286" s="2">
        <f>IF(I2286="", "", IF(OR(AND(A2286="Listed Equity Shares", I2286&gt;12), AND(A2286="Unlisted Equity Shares", I2286&gt;24)), "Long Term", "Short Term"))</f>
        <v/>
      </c>
      <c r="K2286" s="5">
        <f>IF(J2286="", "", IF(J2286="Long Term", 12.5%,"as per slab"))</f>
        <v/>
      </c>
      <c r="L2286" s="3">
        <f>+IFERROR(IF(J2286="","",H2286*K2286),"as per slab")</f>
        <v/>
      </c>
    </row>
    <row r="2287">
      <c r="A2287" s="7" t="n"/>
      <c r="B2287" s="7" t="n"/>
      <c r="C2287" s="8" t="n"/>
      <c r="D2287" s="9" t="n"/>
      <c r="E2287" s="8" t="n"/>
      <c r="F2287" s="9" t="n"/>
      <c r="G2287" s="9" t="n"/>
      <c r="H2287" s="3">
        <f>IF(AND(D2287&lt;&gt;"",F2287&lt;&gt;""),F2287-D2287-G2287,"")</f>
        <v/>
      </c>
      <c r="I2287" s="14">
        <f>IF(E2287&lt;&gt;"", YEARFRAC(C2287, E2287) * 12, "")</f>
        <v/>
      </c>
      <c r="J2287" s="2">
        <f>IF(I2287="", "", IF(OR(AND(A2287="Listed Equity Shares", I2287&gt;12), AND(A2287="Unlisted Equity Shares", I2287&gt;24)), "Long Term", "Short Term"))</f>
        <v/>
      </c>
      <c r="K2287" s="5">
        <f>IF(J2287="", "", IF(J2287="Long Term", 12.5%,"as per slab"))</f>
        <v/>
      </c>
      <c r="L2287" s="3">
        <f>+IFERROR(IF(J2287="","",H2287*K2287),"as per slab")</f>
        <v/>
      </c>
    </row>
    <row r="2288">
      <c r="A2288" s="7" t="n"/>
      <c r="B2288" s="7" t="n"/>
      <c r="C2288" s="8" t="n"/>
      <c r="D2288" s="9" t="n"/>
      <c r="E2288" s="8" t="n"/>
      <c r="F2288" s="9" t="n"/>
      <c r="G2288" s="9" t="n"/>
      <c r="H2288" s="3">
        <f>IF(AND(D2288&lt;&gt;"",F2288&lt;&gt;""),F2288-D2288-G2288,"")</f>
        <v/>
      </c>
      <c r="I2288" s="14">
        <f>IF(E2288&lt;&gt;"", YEARFRAC(C2288, E2288) * 12, "")</f>
        <v/>
      </c>
      <c r="J2288" s="2">
        <f>IF(I2288="", "", IF(OR(AND(A2288="Listed Equity Shares", I2288&gt;12), AND(A2288="Unlisted Equity Shares", I2288&gt;24)), "Long Term", "Short Term"))</f>
        <v/>
      </c>
      <c r="K2288" s="5">
        <f>IF(J2288="", "", IF(J2288="Long Term", 12.5%,"as per slab"))</f>
        <v/>
      </c>
      <c r="L2288" s="3">
        <f>+IFERROR(IF(J2288="","",H2288*K2288),"as per slab")</f>
        <v/>
      </c>
    </row>
    <row r="2289">
      <c r="A2289" s="7" t="n"/>
      <c r="B2289" s="7" t="n"/>
      <c r="C2289" s="8" t="n"/>
      <c r="D2289" s="9" t="n"/>
      <c r="E2289" s="8" t="n"/>
      <c r="F2289" s="9" t="n"/>
      <c r="G2289" s="9" t="n"/>
      <c r="H2289" s="3">
        <f>IF(AND(D2289&lt;&gt;"",F2289&lt;&gt;""),F2289-D2289-G2289,"")</f>
        <v/>
      </c>
      <c r="I2289" s="14">
        <f>IF(E2289&lt;&gt;"", YEARFRAC(C2289, E2289) * 12, "")</f>
        <v/>
      </c>
      <c r="J2289" s="2">
        <f>IF(I2289="", "", IF(OR(AND(A2289="Listed Equity Shares", I2289&gt;12), AND(A2289="Unlisted Equity Shares", I2289&gt;24)), "Long Term", "Short Term"))</f>
        <v/>
      </c>
      <c r="K2289" s="5">
        <f>IF(J2289="", "", IF(J2289="Long Term", 12.5%,"as per slab"))</f>
        <v/>
      </c>
      <c r="L2289" s="3">
        <f>+IFERROR(IF(J2289="","",H2289*K2289),"as per slab")</f>
        <v/>
      </c>
    </row>
    <row r="2290">
      <c r="A2290" s="7" t="n"/>
      <c r="B2290" s="7" t="n"/>
      <c r="C2290" s="8" t="n"/>
      <c r="D2290" s="9" t="n"/>
      <c r="E2290" s="8" t="n"/>
      <c r="F2290" s="9" t="n"/>
      <c r="G2290" s="9" t="n"/>
      <c r="H2290" s="3">
        <f>IF(AND(D2290&lt;&gt;"",F2290&lt;&gt;""),F2290-D2290-G2290,"")</f>
        <v/>
      </c>
      <c r="I2290" s="14">
        <f>IF(E2290&lt;&gt;"", YEARFRAC(C2290, E2290) * 12, "")</f>
        <v/>
      </c>
      <c r="J2290" s="2">
        <f>IF(I2290="", "", IF(OR(AND(A2290="Listed Equity Shares", I2290&gt;12), AND(A2290="Unlisted Equity Shares", I2290&gt;24)), "Long Term", "Short Term"))</f>
        <v/>
      </c>
      <c r="K2290" s="5">
        <f>IF(J2290="", "", IF(J2290="Long Term", 12.5%,"as per slab"))</f>
        <v/>
      </c>
      <c r="L2290" s="3">
        <f>+IFERROR(IF(J2290="","",H2290*K2290),"as per slab")</f>
        <v/>
      </c>
    </row>
    <row r="2291">
      <c r="A2291" s="7" t="n"/>
      <c r="B2291" s="7" t="n"/>
      <c r="C2291" s="8" t="n"/>
      <c r="D2291" s="9" t="n"/>
      <c r="E2291" s="8" t="n"/>
      <c r="F2291" s="9" t="n"/>
      <c r="G2291" s="9" t="n"/>
      <c r="H2291" s="3">
        <f>IF(AND(D2291&lt;&gt;"",F2291&lt;&gt;""),F2291-D2291-G2291,"")</f>
        <v/>
      </c>
      <c r="I2291" s="14">
        <f>IF(E2291&lt;&gt;"", YEARFRAC(C2291, E2291) * 12, "")</f>
        <v/>
      </c>
      <c r="J2291" s="2">
        <f>IF(I2291="", "", IF(OR(AND(A2291="Listed Equity Shares", I2291&gt;12), AND(A2291="Unlisted Equity Shares", I2291&gt;24)), "Long Term", "Short Term"))</f>
        <v/>
      </c>
      <c r="K2291" s="5">
        <f>IF(J2291="", "", IF(J2291="Long Term", 12.5%,"as per slab"))</f>
        <v/>
      </c>
      <c r="L2291" s="3">
        <f>+IFERROR(IF(J2291="","",H2291*K2291),"as per slab")</f>
        <v/>
      </c>
    </row>
    <row r="2292">
      <c r="A2292" s="7" t="n"/>
      <c r="B2292" s="7" t="n"/>
      <c r="C2292" s="8" t="n"/>
      <c r="D2292" s="9" t="n"/>
      <c r="E2292" s="8" t="n"/>
      <c r="F2292" s="9" t="n"/>
      <c r="G2292" s="9" t="n"/>
      <c r="H2292" s="3">
        <f>IF(AND(D2292&lt;&gt;"",F2292&lt;&gt;""),F2292-D2292-G2292,"")</f>
        <v/>
      </c>
      <c r="I2292" s="14">
        <f>IF(E2292&lt;&gt;"", YEARFRAC(C2292, E2292) * 12, "")</f>
        <v/>
      </c>
      <c r="J2292" s="2">
        <f>IF(I2292="", "", IF(OR(AND(A2292="Listed Equity Shares", I2292&gt;12), AND(A2292="Unlisted Equity Shares", I2292&gt;24)), "Long Term", "Short Term"))</f>
        <v/>
      </c>
      <c r="K2292" s="5">
        <f>IF(J2292="", "", IF(J2292="Long Term", 12.5%,"as per slab"))</f>
        <v/>
      </c>
      <c r="L2292" s="3">
        <f>+IFERROR(IF(J2292="","",H2292*K2292),"as per slab")</f>
        <v/>
      </c>
    </row>
    <row r="2293">
      <c r="A2293" s="7" t="n"/>
      <c r="B2293" s="7" t="n"/>
      <c r="C2293" s="8" t="n"/>
      <c r="D2293" s="9" t="n"/>
      <c r="E2293" s="8" t="n"/>
      <c r="F2293" s="9" t="n"/>
      <c r="G2293" s="9" t="n"/>
      <c r="H2293" s="3">
        <f>IF(AND(D2293&lt;&gt;"",F2293&lt;&gt;""),F2293-D2293-G2293,"")</f>
        <v/>
      </c>
      <c r="I2293" s="14">
        <f>IF(E2293&lt;&gt;"", YEARFRAC(C2293, E2293) * 12, "")</f>
        <v/>
      </c>
      <c r="J2293" s="2">
        <f>IF(I2293="", "", IF(OR(AND(A2293="Listed Equity Shares", I2293&gt;12), AND(A2293="Unlisted Equity Shares", I2293&gt;24)), "Long Term", "Short Term"))</f>
        <v/>
      </c>
      <c r="K2293" s="5">
        <f>IF(J2293="", "", IF(J2293="Long Term", 12.5%,"as per slab"))</f>
        <v/>
      </c>
      <c r="L2293" s="3">
        <f>+IFERROR(IF(J2293="","",H2293*K2293),"as per slab")</f>
        <v/>
      </c>
    </row>
    <row r="2294">
      <c r="A2294" s="7" t="n"/>
      <c r="B2294" s="7" t="n"/>
      <c r="C2294" s="8" t="n"/>
      <c r="D2294" s="9" t="n"/>
      <c r="E2294" s="8" t="n"/>
      <c r="F2294" s="9" t="n"/>
      <c r="G2294" s="9" t="n"/>
      <c r="H2294" s="3">
        <f>IF(AND(D2294&lt;&gt;"",F2294&lt;&gt;""),F2294-D2294-G2294,"")</f>
        <v/>
      </c>
      <c r="I2294" s="14">
        <f>IF(E2294&lt;&gt;"", YEARFRAC(C2294, E2294) * 12, "")</f>
        <v/>
      </c>
      <c r="J2294" s="2">
        <f>IF(I2294="", "", IF(OR(AND(A2294="Listed Equity Shares", I2294&gt;12), AND(A2294="Unlisted Equity Shares", I2294&gt;24)), "Long Term", "Short Term"))</f>
        <v/>
      </c>
      <c r="K2294" s="5">
        <f>IF(J2294="", "", IF(J2294="Long Term", 12.5%,"as per slab"))</f>
        <v/>
      </c>
      <c r="L2294" s="3">
        <f>+IFERROR(IF(J2294="","",H2294*K2294),"as per slab")</f>
        <v/>
      </c>
    </row>
    <row r="2295">
      <c r="A2295" s="7" t="n"/>
      <c r="B2295" s="7" t="n"/>
      <c r="C2295" s="8" t="n"/>
      <c r="D2295" s="9" t="n"/>
      <c r="E2295" s="8" t="n"/>
      <c r="F2295" s="9" t="n"/>
      <c r="G2295" s="9" t="n"/>
      <c r="H2295" s="3">
        <f>IF(AND(D2295&lt;&gt;"",F2295&lt;&gt;""),F2295-D2295-G2295,"")</f>
        <v/>
      </c>
      <c r="I2295" s="14">
        <f>IF(E2295&lt;&gt;"", YEARFRAC(C2295, E2295) * 12, "")</f>
        <v/>
      </c>
      <c r="J2295" s="2">
        <f>IF(I2295="", "", IF(OR(AND(A2295="Listed Equity Shares", I2295&gt;12), AND(A2295="Unlisted Equity Shares", I2295&gt;24)), "Long Term", "Short Term"))</f>
        <v/>
      </c>
      <c r="K2295" s="5">
        <f>IF(J2295="", "", IF(J2295="Long Term", 12.5%,"as per slab"))</f>
        <v/>
      </c>
      <c r="L2295" s="3">
        <f>+IFERROR(IF(J2295="","",H2295*K2295),"as per slab")</f>
        <v/>
      </c>
    </row>
    <row r="2296">
      <c r="A2296" s="7" t="n"/>
      <c r="B2296" s="7" t="n"/>
      <c r="C2296" s="8" t="n"/>
      <c r="D2296" s="9" t="n"/>
      <c r="E2296" s="8" t="n"/>
      <c r="F2296" s="9" t="n"/>
      <c r="G2296" s="9" t="n"/>
      <c r="H2296" s="3">
        <f>IF(AND(D2296&lt;&gt;"",F2296&lt;&gt;""),F2296-D2296-G2296,"")</f>
        <v/>
      </c>
      <c r="I2296" s="14">
        <f>IF(E2296&lt;&gt;"", YEARFRAC(C2296, E2296) * 12, "")</f>
        <v/>
      </c>
      <c r="J2296" s="2">
        <f>IF(I2296="", "", IF(OR(AND(A2296="Listed Equity Shares", I2296&gt;12), AND(A2296="Unlisted Equity Shares", I2296&gt;24)), "Long Term", "Short Term"))</f>
        <v/>
      </c>
      <c r="K2296" s="5">
        <f>IF(J2296="", "", IF(J2296="Long Term", 12.5%,"as per slab"))</f>
        <v/>
      </c>
      <c r="L2296" s="3">
        <f>+IFERROR(IF(J2296="","",H2296*K2296),"as per slab")</f>
        <v/>
      </c>
    </row>
    <row r="2297">
      <c r="A2297" s="7" t="n"/>
      <c r="B2297" s="7" t="n"/>
      <c r="C2297" s="8" t="n"/>
      <c r="D2297" s="9" t="n"/>
      <c r="E2297" s="8" t="n"/>
      <c r="F2297" s="9" t="n"/>
      <c r="G2297" s="9" t="n"/>
      <c r="H2297" s="3">
        <f>IF(AND(D2297&lt;&gt;"",F2297&lt;&gt;""),F2297-D2297-G2297,"")</f>
        <v/>
      </c>
      <c r="I2297" s="14">
        <f>IF(E2297&lt;&gt;"", YEARFRAC(C2297, E2297) * 12, "")</f>
        <v/>
      </c>
      <c r="J2297" s="2">
        <f>IF(I2297="", "", IF(OR(AND(A2297="Listed Equity Shares", I2297&gt;12), AND(A2297="Unlisted Equity Shares", I2297&gt;24)), "Long Term", "Short Term"))</f>
        <v/>
      </c>
      <c r="K2297" s="5">
        <f>IF(J2297="", "", IF(J2297="Long Term", 12.5%,"as per slab"))</f>
        <v/>
      </c>
      <c r="L2297" s="3">
        <f>+IFERROR(IF(J2297="","",H2297*K2297),"as per slab")</f>
        <v/>
      </c>
    </row>
    <row r="2298">
      <c r="A2298" s="7" t="n"/>
      <c r="B2298" s="7" t="n"/>
      <c r="C2298" s="8" t="n"/>
      <c r="D2298" s="9" t="n"/>
      <c r="E2298" s="8" t="n"/>
      <c r="F2298" s="9" t="n"/>
      <c r="G2298" s="9" t="n"/>
      <c r="H2298" s="3">
        <f>IF(AND(D2298&lt;&gt;"",F2298&lt;&gt;""),F2298-D2298-G2298,"")</f>
        <v/>
      </c>
      <c r="I2298" s="14">
        <f>IF(E2298&lt;&gt;"", YEARFRAC(C2298, E2298) * 12, "")</f>
        <v/>
      </c>
      <c r="J2298" s="2">
        <f>IF(I2298="", "", IF(OR(AND(A2298="Listed Equity Shares", I2298&gt;12), AND(A2298="Unlisted Equity Shares", I2298&gt;24)), "Long Term", "Short Term"))</f>
        <v/>
      </c>
      <c r="K2298" s="5">
        <f>IF(J2298="", "", IF(J2298="Long Term", 12.5%,"as per slab"))</f>
        <v/>
      </c>
      <c r="L2298" s="3">
        <f>+IFERROR(IF(J2298="","",H2298*K2298),"as per slab")</f>
        <v/>
      </c>
    </row>
    <row r="2299">
      <c r="A2299" s="7" t="n"/>
      <c r="B2299" s="7" t="n"/>
      <c r="C2299" s="8" t="n"/>
      <c r="D2299" s="9" t="n"/>
      <c r="E2299" s="8" t="n"/>
      <c r="F2299" s="9" t="n"/>
      <c r="G2299" s="9" t="n"/>
      <c r="H2299" s="3">
        <f>IF(AND(D2299&lt;&gt;"",F2299&lt;&gt;""),F2299-D2299-G2299,"")</f>
        <v/>
      </c>
      <c r="I2299" s="14">
        <f>IF(E2299&lt;&gt;"", YEARFRAC(C2299, E2299) * 12, "")</f>
        <v/>
      </c>
      <c r="J2299" s="2">
        <f>IF(I2299="", "", IF(OR(AND(A2299="Listed Equity Shares", I2299&gt;12), AND(A2299="Unlisted Equity Shares", I2299&gt;24)), "Long Term", "Short Term"))</f>
        <v/>
      </c>
      <c r="K2299" s="5">
        <f>IF(J2299="", "", IF(J2299="Long Term", 12.5%,"as per slab"))</f>
        <v/>
      </c>
      <c r="L2299" s="3">
        <f>+IFERROR(IF(J2299="","",H2299*K2299),"as per slab")</f>
        <v/>
      </c>
    </row>
    <row r="2300">
      <c r="A2300" s="7" t="n"/>
      <c r="B2300" s="7" t="n"/>
      <c r="C2300" s="8" t="n"/>
      <c r="D2300" s="9" t="n"/>
      <c r="E2300" s="8" t="n"/>
      <c r="F2300" s="9" t="n"/>
      <c r="G2300" s="9" t="n"/>
      <c r="H2300" s="3">
        <f>IF(AND(D2300&lt;&gt;"",F2300&lt;&gt;""),F2300-D2300-G2300,"")</f>
        <v/>
      </c>
      <c r="I2300" s="14">
        <f>IF(E2300&lt;&gt;"", YEARFRAC(C2300, E2300) * 12, "")</f>
        <v/>
      </c>
      <c r="J2300" s="2">
        <f>IF(I2300="", "", IF(OR(AND(A2300="Listed Equity Shares", I2300&gt;12), AND(A2300="Unlisted Equity Shares", I2300&gt;24)), "Long Term", "Short Term"))</f>
        <v/>
      </c>
      <c r="K2300" s="5">
        <f>IF(J2300="", "", IF(J2300="Long Term", 12.5%,"as per slab"))</f>
        <v/>
      </c>
      <c r="L2300" s="3">
        <f>+IFERROR(IF(J2300="","",H2300*K2300),"as per slab")</f>
        <v/>
      </c>
    </row>
    <row r="2301">
      <c r="A2301" s="7" t="n"/>
      <c r="B2301" s="7" t="n"/>
      <c r="C2301" s="8" t="n"/>
      <c r="D2301" s="9" t="n"/>
      <c r="E2301" s="8" t="n"/>
      <c r="F2301" s="9" t="n"/>
      <c r="G2301" s="9" t="n"/>
      <c r="H2301" s="3">
        <f>IF(AND(D2301&lt;&gt;"",F2301&lt;&gt;""),F2301-D2301-G2301,"")</f>
        <v/>
      </c>
      <c r="I2301" s="14">
        <f>IF(E2301&lt;&gt;"", YEARFRAC(C2301, E2301) * 12, "")</f>
        <v/>
      </c>
      <c r="J2301" s="2">
        <f>IF(I2301="", "", IF(OR(AND(A2301="Listed Equity Shares", I2301&gt;12), AND(A2301="Unlisted Equity Shares", I2301&gt;24)), "Long Term", "Short Term"))</f>
        <v/>
      </c>
      <c r="K2301" s="5">
        <f>IF(J2301="", "", IF(J2301="Long Term", 12.5%,"as per slab"))</f>
        <v/>
      </c>
      <c r="L2301" s="3">
        <f>+IFERROR(IF(J2301="","",H2301*K2301),"as per slab")</f>
        <v/>
      </c>
    </row>
    <row r="2302">
      <c r="A2302" s="7" t="n"/>
      <c r="B2302" s="7" t="n"/>
      <c r="C2302" s="8" t="n"/>
      <c r="D2302" s="9" t="n"/>
      <c r="E2302" s="8" t="n"/>
      <c r="F2302" s="9" t="n"/>
      <c r="G2302" s="9" t="n"/>
      <c r="H2302" s="3">
        <f>IF(AND(D2302&lt;&gt;"",F2302&lt;&gt;""),F2302-D2302-G2302,"")</f>
        <v/>
      </c>
      <c r="I2302" s="14">
        <f>IF(E2302&lt;&gt;"", YEARFRAC(C2302, E2302) * 12, "")</f>
        <v/>
      </c>
      <c r="J2302" s="2">
        <f>IF(I2302="", "", IF(OR(AND(A2302="Listed Equity Shares", I2302&gt;12), AND(A2302="Unlisted Equity Shares", I2302&gt;24)), "Long Term", "Short Term"))</f>
        <v/>
      </c>
      <c r="K2302" s="5">
        <f>IF(J2302="", "", IF(J2302="Long Term", 12.5%,"as per slab"))</f>
        <v/>
      </c>
      <c r="L2302" s="3">
        <f>+IFERROR(IF(J2302="","",H2302*K2302),"as per slab")</f>
        <v/>
      </c>
    </row>
    <row r="2303">
      <c r="A2303" s="7" t="n"/>
      <c r="B2303" s="7" t="n"/>
      <c r="C2303" s="8" t="n"/>
      <c r="D2303" s="9" t="n"/>
      <c r="E2303" s="8" t="n"/>
      <c r="F2303" s="9" t="n"/>
      <c r="G2303" s="9" t="n"/>
      <c r="H2303" s="3">
        <f>IF(AND(D2303&lt;&gt;"",F2303&lt;&gt;""),F2303-D2303-G2303,"")</f>
        <v/>
      </c>
      <c r="I2303" s="14">
        <f>IF(E2303&lt;&gt;"", YEARFRAC(C2303, E2303) * 12, "")</f>
        <v/>
      </c>
      <c r="J2303" s="2">
        <f>IF(I2303="", "", IF(OR(AND(A2303="Listed Equity Shares", I2303&gt;12), AND(A2303="Unlisted Equity Shares", I2303&gt;24)), "Long Term", "Short Term"))</f>
        <v/>
      </c>
      <c r="K2303" s="5">
        <f>IF(J2303="", "", IF(J2303="Long Term", 12.5%,"as per slab"))</f>
        <v/>
      </c>
      <c r="L2303" s="3">
        <f>+IFERROR(IF(J2303="","",H2303*K2303),"as per slab")</f>
        <v/>
      </c>
    </row>
    <row r="2304">
      <c r="A2304" s="7" t="n"/>
      <c r="B2304" s="7" t="n"/>
      <c r="C2304" s="8" t="n"/>
      <c r="D2304" s="9" t="n"/>
      <c r="E2304" s="8" t="n"/>
      <c r="F2304" s="9" t="n"/>
      <c r="G2304" s="9" t="n"/>
      <c r="H2304" s="3">
        <f>IF(AND(D2304&lt;&gt;"",F2304&lt;&gt;""),F2304-D2304-G2304,"")</f>
        <v/>
      </c>
      <c r="I2304" s="14">
        <f>IF(E2304&lt;&gt;"", YEARFRAC(C2304, E2304) * 12, "")</f>
        <v/>
      </c>
      <c r="J2304" s="2">
        <f>IF(I2304="", "", IF(OR(AND(A2304="Listed Equity Shares", I2304&gt;12), AND(A2304="Unlisted Equity Shares", I2304&gt;24)), "Long Term", "Short Term"))</f>
        <v/>
      </c>
      <c r="K2304" s="5">
        <f>IF(J2304="", "", IF(J2304="Long Term", 12.5%,"as per slab"))</f>
        <v/>
      </c>
      <c r="L2304" s="3">
        <f>+IFERROR(IF(J2304="","",H2304*K2304),"as per slab")</f>
        <v/>
      </c>
    </row>
    <row r="2305">
      <c r="A2305" s="7" t="n"/>
      <c r="B2305" s="7" t="n"/>
      <c r="C2305" s="8" t="n"/>
      <c r="D2305" s="9" t="n"/>
      <c r="E2305" s="8" t="n"/>
      <c r="F2305" s="9" t="n"/>
      <c r="G2305" s="9" t="n"/>
      <c r="H2305" s="3">
        <f>IF(AND(D2305&lt;&gt;"",F2305&lt;&gt;""),F2305-D2305-G2305,"")</f>
        <v/>
      </c>
      <c r="I2305" s="14">
        <f>IF(E2305&lt;&gt;"", YEARFRAC(C2305, E2305) * 12, "")</f>
        <v/>
      </c>
      <c r="J2305" s="2">
        <f>IF(I2305="", "", IF(OR(AND(A2305="Listed Equity Shares", I2305&gt;12), AND(A2305="Unlisted Equity Shares", I2305&gt;24)), "Long Term", "Short Term"))</f>
        <v/>
      </c>
      <c r="K2305" s="5">
        <f>IF(J2305="", "", IF(J2305="Long Term", 12.5%,"as per slab"))</f>
        <v/>
      </c>
      <c r="L2305" s="3">
        <f>+IFERROR(IF(J2305="","",H2305*K2305),"as per slab")</f>
        <v/>
      </c>
    </row>
    <row r="2306">
      <c r="A2306" s="7" t="n"/>
      <c r="B2306" s="7" t="n"/>
      <c r="C2306" s="8" t="n"/>
      <c r="D2306" s="9" t="n"/>
      <c r="E2306" s="8" t="n"/>
      <c r="F2306" s="9" t="n"/>
      <c r="G2306" s="9" t="n"/>
      <c r="H2306" s="3">
        <f>IF(AND(D2306&lt;&gt;"",F2306&lt;&gt;""),F2306-D2306-G2306,"")</f>
        <v/>
      </c>
      <c r="I2306" s="14">
        <f>IF(E2306&lt;&gt;"", YEARFRAC(C2306, E2306) * 12, "")</f>
        <v/>
      </c>
      <c r="J2306" s="2">
        <f>IF(I2306="", "", IF(OR(AND(A2306="Listed Equity Shares", I2306&gt;12), AND(A2306="Unlisted Equity Shares", I2306&gt;24)), "Long Term", "Short Term"))</f>
        <v/>
      </c>
      <c r="K2306" s="5">
        <f>IF(J2306="", "", IF(J2306="Long Term", 12.5%,"as per slab"))</f>
        <v/>
      </c>
      <c r="L2306" s="3">
        <f>+IFERROR(IF(J2306="","",H2306*K2306),"as per slab")</f>
        <v/>
      </c>
    </row>
    <row r="2307">
      <c r="A2307" s="7" t="n"/>
      <c r="B2307" s="7" t="n"/>
      <c r="C2307" s="8" t="n"/>
      <c r="D2307" s="9" t="n"/>
      <c r="E2307" s="8" t="n"/>
      <c r="F2307" s="9" t="n"/>
      <c r="G2307" s="9" t="n"/>
      <c r="H2307" s="3">
        <f>IF(AND(D2307&lt;&gt;"",F2307&lt;&gt;""),F2307-D2307-G2307,"")</f>
        <v/>
      </c>
      <c r="I2307" s="14">
        <f>IF(E2307&lt;&gt;"", YEARFRAC(C2307, E2307) * 12, "")</f>
        <v/>
      </c>
      <c r="J2307" s="2">
        <f>IF(I2307="", "", IF(OR(AND(A2307="Listed Equity Shares", I2307&gt;12), AND(A2307="Unlisted Equity Shares", I2307&gt;24)), "Long Term", "Short Term"))</f>
        <v/>
      </c>
      <c r="K2307" s="5">
        <f>IF(J2307="", "", IF(J2307="Long Term", 12.5%,"as per slab"))</f>
        <v/>
      </c>
      <c r="L2307" s="3">
        <f>+IFERROR(IF(J2307="","",H2307*K2307),"as per slab")</f>
        <v/>
      </c>
    </row>
    <row r="2308">
      <c r="A2308" s="7" t="n"/>
      <c r="B2308" s="7" t="n"/>
      <c r="C2308" s="8" t="n"/>
      <c r="D2308" s="9" t="n"/>
      <c r="E2308" s="8" t="n"/>
      <c r="F2308" s="9" t="n"/>
      <c r="G2308" s="9" t="n"/>
      <c r="H2308" s="3">
        <f>IF(AND(D2308&lt;&gt;"",F2308&lt;&gt;""),F2308-D2308-G2308,"")</f>
        <v/>
      </c>
      <c r="I2308" s="14">
        <f>IF(E2308&lt;&gt;"", YEARFRAC(C2308, E2308) * 12, "")</f>
        <v/>
      </c>
      <c r="J2308" s="2">
        <f>IF(I2308="", "", IF(OR(AND(A2308="Listed Equity Shares", I2308&gt;12), AND(A2308="Unlisted Equity Shares", I2308&gt;24)), "Long Term", "Short Term"))</f>
        <v/>
      </c>
      <c r="K2308" s="5">
        <f>IF(J2308="", "", IF(J2308="Long Term", 12.5%,"as per slab"))</f>
        <v/>
      </c>
      <c r="L2308" s="3">
        <f>+IFERROR(IF(J2308="","",H2308*K2308),"as per slab")</f>
        <v/>
      </c>
    </row>
    <row r="2309">
      <c r="A2309" s="7" t="n"/>
      <c r="B2309" s="7" t="n"/>
      <c r="C2309" s="8" t="n"/>
      <c r="D2309" s="9" t="n"/>
      <c r="E2309" s="8" t="n"/>
      <c r="F2309" s="9" t="n"/>
      <c r="G2309" s="9" t="n"/>
      <c r="H2309" s="3">
        <f>IF(AND(D2309&lt;&gt;"",F2309&lt;&gt;""),F2309-D2309-G2309,"")</f>
        <v/>
      </c>
      <c r="I2309" s="14">
        <f>IF(E2309&lt;&gt;"", YEARFRAC(C2309, E2309) * 12, "")</f>
        <v/>
      </c>
      <c r="J2309" s="2">
        <f>IF(I2309="", "", IF(OR(AND(A2309="Listed Equity Shares", I2309&gt;12), AND(A2309="Unlisted Equity Shares", I2309&gt;24)), "Long Term", "Short Term"))</f>
        <v/>
      </c>
      <c r="K2309" s="5">
        <f>IF(J2309="", "", IF(J2309="Long Term", 12.5%,"as per slab"))</f>
        <v/>
      </c>
      <c r="L2309" s="3">
        <f>+IFERROR(IF(J2309="","",H2309*K2309),"as per slab")</f>
        <v/>
      </c>
    </row>
    <row r="2310">
      <c r="A2310" s="7" t="n"/>
      <c r="B2310" s="7" t="n"/>
      <c r="C2310" s="8" t="n"/>
      <c r="D2310" s="9" t="n"/>
      <c r="E2310" s="8" t="n"/>
      <c r="F2310" s="9" t="n"/>
      <c r="G2310" s="9" t="n"/>
      <c r="H2310" s="3">
        <f>IF(AND(D2310&lt;&gt;"",F2310&lt;&gt;""),F2310-D2310-G2310,"")</f>
        <v/>
      </c>
      <c r="I2310" s="14">
        <f>IF(E2310&lt;&gt;"", YEARFRAC(C2310, E2310) * 12, "")</f>
        <v/>
      </c>
      <c r="J2310" s="2">
        <f>IF(I2310="", "", IF(OR(AND(A2310="Listed Equity Shares", I2310&gt;12), AND(A2310="Unlisted Equity Shares", I2310&gt;24)), "Long Term", "Short Term"))</f>
        <v/>
      </c>
      <c r="K2310" s="5">
        <f>IF(J2310="", "", IF(J2310="Long Term", 12.5%,"as per slab"))</f>
        <v/>
      </c>
      <c r="L2310" s="3">
        <f>+IFERROR(IF(J2310="","",H2310*K2310),"as per slab")</f>
        <v/>
      </c>
    </row>
    <row r="2311">
      <c r="A2311" s="7" t="n"/>
      <c r="B2311" s="7" t="n"/>
      <c r="C2311" s="8" t="n"/>
      <c r="D2311" s="9" t="n"/>
      <c r="E2311" s="8" t="n"/>
      <c r="F2311" s="9" t="n"/>
      <c r="G2311" s="9" t="n"/>
      <c r="H2311" s="3">
        <f>IF(AND(D2311&lt;&gt;"",F2311&lt;&gt;""),F2311-D2311-G2311,"")</f>
        <v/>
      </c>
      <c r="I2311" s="14">
        <f>IF(E2311&lt;&gt;"", YEARFRAC(C2311, E2311) * 12, "")</f>
        <v/>
      </c>
      <c r="J2311" s="2">
        <f>IF(I2311="", "", IF(OR(AND(A2311="Listed Equity Shares", I2311&gt;12), AND(A2311="Unlisted Equity Shares", I2311&gt;24)), "Long Term", "Short Term"))</f>
        <v/>
      </c>
      <c r="K2311" s="5">
        <f>IF(J2311="", "", IF(J2311="Long Term", 12.5%,"as per slab"))</f>
        <v/>
      </c>
      <c r="L2311" s="3">
        <f>+IFERROR(IF(J2311="","",H2311*K2311),"as per slab")</f>
        <v/>
      </c>
    </row>
    <row r="2312">
      <c r="A2312" s="7" t="n"/>
      <c r="B2312" s="7" t="n"/>
      <c r="C2312" s="8" t="n"/>
      <c r="D2312" s="9" t="n"/>
      <c r="E2312" s="8" t="n"/>
      <c r="F2312" s="9" t="n"/>
      <c r="G2312" s="9" t="n"/>
      <c r="H2312" s="3">
        <f>IF(AND(D2312&lt;&gt;"",F2312&lt;&gt;""),F2312-D2312-G2312,"")</f>
        <v/>
      </c>
      <c r="I2312" s="14">
        <f>IF(E2312&lt;&gt;"", YEARFRAC(C2312, E2312) * 12, "")</f>
        <v/>
      </c>
      <c r="J2312" s="2">
        <f>IF(I2312="", "", IF(OR(AND(A2312="Listed Equity Shares", I2312&gt;12), AND(A2312="Unlisted Equity Shares", I2312&gt;24)), "Long Term", "Short Term"))</f>
        <v/>
      </c>
      <c r="K2312" s="5">
        <f>IF(J2312="", "", IF(J2312="Long Term", 12.5%,"as per slab"))</f>
        <v/>
      </c>
      <c r="L2312" s="3">
        <f>+IFERROR(IF(J2312="","",H2312*K2312),"as per slab")</f>
        <v/>
      </c>
    </row>
    <row r="2313">
      <c r="A2313" s="7" t="n"/>
      <c r="B2313" s="7" t="n"/>
      <c r="C2313" s="8" t="n"/>
      <c r="D2313" s="9" t="n"/>
      <c r="E2313" s="8" t="n"/>
      <c r="F2313" s="9" t="n"/>
      <c r="G2313" s="9" t="n"/>
      <c r="H2313" s="3">
        <f>IF(AND(D2313&lt;&gt;"",F2313&lt;&gt;""),F2313-D2313-G2313,"")</f>
        <v/>
      </c>
      <c r="I2313" s="14">
        <f>IF(E2313&lt;&gt;"", YEARFRAC(C2313, E2313) * 12, "")</f>
        <v/>
      </c>
      <c r="J2313" s="2">
        <f>IF(I2313="", "", IF(OR(AND(A2313="Listed Equity Shares", I2313&gt;12), AND(A2313="Unlisted Equity Shares", I2313&gt;24)), "Long Term", "Short Term"))</f>
        <v/>
      </c>
      <c r="K2313" s="5">
        <f>IF(J2313="", "", IF(J2313="Long Term", 12.5%,"as per slab"))</f>
        <v/>
      </c>
      <c r="L2313" s="3">
        <f>+IFERROR(IF(J2313="","",H2313*K2313),"as per slab")</f>
        <v/>
      </c>
    </row>
    <row r="2314">
      <c r="A2314" s="7" t="n"/>
      <c r="B2314" s="7" t="n"/>
      <c r="C2314" s="8" t="n"/>
      <c r="D2314" s="9" t="n"/>
      <c r="E2314" s="8" t="n"/>
      <c r="F2314" s="9" t="n"/>
      <c r="G2314" s="9" t="n"/>
      <c r="H2314" s="3">
        <f>IF(AND(D2314&lt;&gt;"",F2314&lt;&gt;""),F2314-D2314-G2314,"")</f>
        <v/>
      </c>
      <c r="I2314" s="14">
        <f>IF(E2314&lt;&gt;"", YEARFRAC(C2314, E2314) * 12, "")</f>
        <v/>
      </c>
      <c r="J2314" s="2">
        <f>IF(I2314="", "", IF(OR(AND(A2314="Listed Equity Shares", I2314&gt;12), AND(A2314="Unlisted Equity Shares", I2314&gt;24)), "Long Term", "Short Term"))</f>
        <v/>
      </c>
      <c r="K2314" s="5">
        <f>IF(J2314="", "", IF(J2314="Long Term", 12.5%,"as per slab"))</f>
        <v/>
      </c>
      <c r="L2314" s="3">
        <f>+IFERROR(IF(J2314="","",H2314*K2314),"as per slab")</f>
        <v/>
      </c>
    </row>
    <row r="2315">
      <c r="A2315" s="7" t="n"/>
      <c r="B2315" s="7" t="n"/>
      <c r="C2315" s="8" t="n"/>
      <c r="D2315" s="9" t="n"/>
      <c r="E2315" s="8" t="n"/>
      <c r="F2315" s="9" t="n"/>
      <c r="G2315" s="9" t="n"/>
      <c r="H2315" s="3">
        <f>IF(AND(D2315&lt;&gt;"",F2315&lt;&gt;""),F2315-D2315-G2315,"")</f>
        <v/>
      </c>
      <c r="I2315" s="14">
        <f>IF(E2315&lt;&gt;"", YEARFRAC(C2315, E2315) * 12, "")</f>
        <v/>
      </c>
      <c r="J2315" s="2">
        <f>IF(I2315="", "", IF(OR(AND(A2315="Listed Equity Shares", I2315&gt;12), AND(A2315="Unlisted Equity Shares", I2315&gt;24)), "Long Term", "Short Term"))</f>
        <v/>
      </c>
      <c r="K2315" s="5">
        <f>IF(J2315="", "", IF(J2315="Long Term", 12.5%,"as per slab"))</f>
        <v/>
      </c>
      <c r="L2315" s="3">
        <f>+IFERROR(IF(J2315="","",H2315*K2315),"as per slab")</f>
        <v/>
      </c>
    </row>
    <row r="2316">
      <c r="A2316" s="7" t="n"/>
      <c r="B2316" s="7" t="n"/>
      <c r="C2316" s="8" t="n"/>
      <c r="D2316" s="9" t="n"/>
      <c r="E2316" s="8" t="n"/>
      <c r="F2316" s="9" t="n"/>
      <c r="G2316" s="9" t="n"/>
      <c r="H2316" s="3">
        <f>IF(AND(D2316&lt;&gt;"",F2316&lt;&gt;""),F2316-D2316-G2316,"")</f>
        <v/>
      </c>
      <c r="I2316" s="14">
        <f>IF(E2316&lt;&gt;"", YEARFRAC(C2316, E2316) * 12, "")</f>
        <v/>
      </c>
      <c r="J2316" s="2">
        <f>IF(I2316="", "", IF(OR(AND(A2316="Listed Equity Shares", I2316&gt;12), AND(A2316="Unlisted Equity Shares", I2316&gt;24)), "Long Term", "Short Term"))</f>
        <v/>
      </c>
      <c r="K2316" s="5">
        <f>IF(J2316="", "", IF(J2316="Long Term", 12.5%,"as per slab"))</f>
        <v/>
      </c>
      <c r="L2316" s="3">
        <f>+IFERROR(IF(J2316="","",H2316*K2316),"as per slab")</f>
        <v/>
      </c>
    </row>
    <row r="2317">
      <c r="A2317" s="7" t="n"/>
      <c r="B2317" s="7" t="n"/>
      <c r="C2317" s="8" t="n"/>
      <c r="D2317" s="9" t="n"/>
      <c r="E2317" s="8" t="n"/>
      <c r="F2317" s="9" t="n"/>
      <c r="G2317" s="9" t="n"/>
      <c r="H2317" s="3">
        <f>IF(AND(D2317&lt;&gt;"",F2317&lt;&gt;""),F2317-D2317-G2317,"")</f>
        <v/>
      </c>
      <c r="I2317" s="14">
        <f>IF(E2317&lt;&gt;"", YEARFRAC(C2317, E2317) * 12, "")</f>
        <v/>
      </c>
      <c r="J2317" s="2">
        <f>IF(I2317="", "", IF(OR(AND(A2317="Listed Equity Shares", I2317&gt;12), AND(A2317="Unlisted Equity Shares", I2317&gt;24)), "Long Term", "Short Term"))</f>
        <v/>
      </c>
      <c r="K2317" s="5">
        <f>IF(J2317="", "", IF(J2317="Long Term", 12.5%,"as per slab"))</f>
        <v/>
      </c>
      <c r="L2317" s="3">
        <f>+IFERROR(IF(J2317="","",H2317*K2317),"as per slab")</f>
        <v/>
      </c>
    </row>
    <row r="2318">
      <c r="A2318" s="7" t="n"/>
      <c r="B2318" s="7" t="n"/>
      <c r="C2318" s="8" t="n"/>
      <c r="D2318" s="9" t="n"/>
      <c r="E2318" s="8" t="n"/>
      <c r="F2318" s="9" t="n"/>
      <c r="G2318" s="9" t="n"/>
      <c r="H2318" s="3">
        <f>IF(AND(D2318&lt;&gt;"",F2318&lt;&gt;""),F2318-D2318-G2318,"")</f>
        <v/>
      </c>
      <c r="I2318" s="14">
        <f>IF(E2318&lt;&gt;"", YEARFRAC(C2318, E2318) * 12, "")</f>
        <v/>
      </c>
      <c r="J2318" s="2">
        <f>IF(I2318="", "", IF(OR(AND(A2318="Listed Equity Shares", I2318&gt;12), AND(A2318="Unlisted Equity Shares", I2318&gt;24)), "Long Term", "Short Term"))</f>
        <v/>
      </c>
      <c r="K2318" s="5">
        <f>IF(J2318="", "", IF(J2318="Long Term", 12.5%,"as per slab"))</f>
        <v/>
      </c>
      <c r="L2318" s="3">
        <f>+IFERROR(IF(J2318="","",H2318*K2318),"as per slab")</f>
        <v/>
      </c>
    </row>
    <row r="2319">
      <c r="A2319" s="7" t="n"/>
      <c r="B2319" s="7" t="n"/>
      <c r="C2319" s="8" t="n"/>
      <c r="D2319" s="9" t="n"/>
      <c r="E2319" s="8" t="n"/>
      <c r="F2319" s="9" t="n"/>
      <c r="G2319" s="9" t="n"/>
      <c r="H2319" s="3">
        <f>IF(AND(D2319&lt;&gt;"",F2319&lt;&gt;""),F2319-D2319-G2319,"")</f>
        <v/>
      </c>
      <c r="I2319" s="14">
        <f>IF(E2319&lt;&gt;"", YEARFRAC(C2319, E2319) * 12, "")</f>
        <v/>
      </c>
      <c r="J2319" s="2">
        <f>IF(I2319="", "", IF(OR(AND(A2319="Listed Equity Shares", I2319&gt;12), AND(A2319="Unlisted Equity Shares", I2319&gt;24)), "Long Term", "Short Term"))</f>
        <v/>
      </c>
      <c r="K2319" s="5">
        <f>IF(J2319="", "", IF(J2319="Long Term", 12.5%,"as per slab"))</f>
        <v/>
      </c>
      <c r="L2319" s="3">
        <f>+IFERROR(IF(J2319="","",H2319*K2319),"as per slab")</f>
        <v/>
      </c>
    </row>
    <row r="2320">
      <c r="A2320" s="7" t="n"/>
      <c r="B2320" s="7" t="n"/>
      <c r="C2320" s="8" t="n"/>
      <c r="D2320" s="9" t="n"/>
      <c r="E2320" s="8" t="n"/>
      <c r="F2320" s="9" t="n"/>
      <c r="G2320" s="9" t="n"/>
      <c r="H2320" s="3">
        <f>IF(AND(D2320&lt;&gt;"",F2320&lt;&gt;""),F2320-D2320-G2320,"")</f>
        <v/>
      </c>
      <c r="I2320" s="14">
        <f>IF(E2320&lt;&gt;"", YEARFRAC(C2320, E2320) * 12, "")</f>
        <v/>
      </c>
      <c r="J2320" s="2">
        <f>IF(I2320="", "", IF(OR(AND(A2320="Listed Equity Shares", I2320&gt;12), AND(A2320="Unlisted Equity Shares", I2320&gt;24)), "Long Term", "Short Term"))</f>
        <v/>
      </c>
      <c r="K2320" s="5">
        <f>IF(J2320="", "", IF(J2320="Long Term", 12.5%,"as per slab"))</f>
        <v/>
      </c>
      <c r="L2320" s="3">
        <f>+IFERROR(IF(J2320="","",H2320*K2320),"as per slab")</f>
        <v/>
      </c>
    </row>
    <row r="2321">
      <c r="A2321" s="7" t="n"/>
      <c r="B2321" s="7" t="n"/>
      <c r="C2321" s="8" t="n"/>
      <c r="D2321" s="9" t="n"/>
      <c r="E2321" s="8" t="n"/>
      <c r="F2321" s="9" t="n"/>
      <c r="G2321" s="9" t="n"/>
      <c r="H2321" s="3">
        <f>IF(AND(D2321&lt;&gt;"",F2321&lt;&gt;""),F2321-D2321-G2321,"")</f>
        <v/>
      </c>
      <c r="I2321" s="14">
        <f>IF(E2321&lt;&gt;"", YEARFRAC(C2321, E2321) * 12, "")</f>
        <v/>
      </c>
      <c r="J2321" s="2">
        <f>IF(I2321="", "", IF(OR(AND(A2321="Listed Equity Shares", I2321&gt;12), AND(A2321="Unlisted Equity Shares", I2321&gt;24)), "Long Term", "Short Term"))</f>
        <v/>
      </c>
      <c r="K2321" s="5">
        <f>IF(J2321="", "", IF(J2321="Long Term", 12.5%,"as per slab"))</f>
        <v/>
      </c>
      <c r="L2321" s="3">
        <f>+IFERROR(IF(J2321="","",H2321*K2321),"as per slab")</f>
        <v/>
      </c>
    </row>
    <row r="2322">
      <c r="A2322" s="7" t="n"/>
      <c r="B2322" s="7" t="n"/>
      <c r="C2322" s="8" t="n"/>
      <c r="D2322" s="9" t="n"/>
      <c r="E2322" s="8" t="n"/>
      <c r="F2322" s="9" t="n"/>
      <c r="G2322" s="9" t="n"/>
      <c r="H2322" s="3">
        <f>IF(AND(D2322&lt;&gt;"",F2322&lt;&gt;""),F2322-D2322-G2322,"")</f>
        <v/>
      </c>
      <c r="I2322" s="14">
        <f>IF(E2322&lt;&gt;"", YEARFRAC(C2322, E2322) * 12, "")</f>
        <v/>
      </c>
      <c r="J2322" s="2">
        <f>IF(I2322="", "", IF(OR(AND(A2322="Listed Equity Shares", I2322&gt;12), AND(A2322="Unlisted Equity Shares", I2322&gt;24)), "Long Term", "Short Term"))</f>
        <v/>
      </c>
      <c r="K2322" s="5">
        <f>IF(J2322="", "", IF(J2322="Long Term", 12.5%,"as per slab"))</f>
        <v/>
      </c>
      <c r="L2322" s="3">
        <f>+IFERROR(IF(J2322="","",H2322*K2322),"as per slab")</f>
        <v/>
      </c>
    </row>
    <row r="2323">
      <c r="A2323" s="7" t="n"/>
      <c r="B2323" s="7" t="n"/>
      <c r="C2323" s="8" t="n"/>
      <c r="D2323" s="9" t="n"/>
      <c r="E2323" s="8" t="n"/>
      <c r="F2323" s="9" t="n"/>
      <c r="G2323" s="9" t="n"/>
      <c r="H2323" s="3">
        <f>IF(AND(D2323&lt;&gt;"",F2323&lt;&gt;""),F2323-D2323-G2323,"")</f>
        <v/>
      </c>
      <c r="I2323" s="14">
        <f>IF(E2323&lt;&gt;"", YEARFRAC(C2323, E2323) * 12, "")</f>
        <v/>
      </c>
      <c r="J2323" s="2">
        <f>IF(I2323="", "", IF(OR(AND(A2323="Listed Equity Shares", I2323&gt;12), AND(A2323="Unlisted Equity Shares", I2323&gt;24)), "Long Term", "Short Term"))</f>
        <v/>
      </c>
      <c r="K2323" s="5">
        <f>IF(J2323="", "", IF(J2323="Long Term", 12.5%,"as per slab"))</f>
        <v/>
      </c>
      <c r="L2323" s="3">
        <f>+IFERROR(IF(J2323="","",H2323*K2323),"as per slab")</f>
        <v/>
      </c>
    </row>
    <row r="2324">
      <c r="A2324" s="7" t="n"/>
      <c r="B2324" s="7" t="n"/>
      <c r="C2324" s="8" t="n"/>
      <c r="D2324" s="9" t="n"/>
      <c r="E2324" s="8" t="n"/>
      <c r="F2324" s="9" t="n"/>
      <c r="G2324" s="9" t="n"/>
      <c r="H2324" s="3">
        <f>IF(AND(D2324&lt;&gt;"",F2324&lt;&gt;""),F2324-D2324-G2324,"")</f>
        <v/>
      </c>
      <c r="I2324" s="14">
        <f>IF(E2324&lt;&gt;"", YEARFRAC(C2324, E2324) * 12, "")</f>
        <v/>
      </c>
      <c r="J2324" s="2">
        <f>IF(I2324="", "", IF(OR(AND(A2324="Listed Equity Shares", I2324&gt;12), AND(A2324="Unlisted Equity Shares", I2324&gt;24)), "Long Term", "Short Term"))</f>
        <v/>
      </c>
      <c r="K2324" s="5">
        <f>IF(J2324="", "", IF(J2324="Long Term", 12.5%,"as per slab"))</f>
        <v/>
      </c>
      <c r="L2324" s="3">
        <f>+IFERROR(IF(J2324="","",H2324*K2324),"as per slab")</f>
        <v/>
      </c>
    </row>
    <row r="2325">
      <c r="A2325" s="7" t="n"/>
      <c r="B2325" s="7" t="n"/>
      <c r="C2325" s="8" t="n"/>
      <c r="D2325" s="9" t="n"/>
      <c r="E2325" s="8" t="n"/>
      <c r="F2325" s="9" t="n"/>
      <c r="G2325" s="9" t="n"/>
      <c r="H2325" s="3">
        <f>IF(AND(D2325&lt;&gt;"",F2325&lt;&gt;""),F2325-D2325-G2325,"")</f>
        <v/>
      </c>
      <c r="I2325" s="14">
        <f>IF(E2325&lt;&gt;"", YEARFRAC(C2325, E2325) * 12, "")</f>
        <v/>
      </c>
      <c r="J2325" s="2">
        <f>IF(I2325="", "", IF(OR(AND(A2325="Listed Equity Shares", I2325&gt;12), AND(A2325="Unlisted Equity Shares", I2325&gt;24)), "Long Term", "Short Term"))</f>
        <v/>
      </c>
      <c r="K2325" s="5">
        <f>IF(J2325="", "", IF(J2325="Long Term", 12.5%,"as per slab"))</f>
        <v/>
      </c>
      <c r="L2325" s="3">
        <f>+IFERROR(IF(J2325="","",H2325*K2325),"as per slab")</f>
        <v/>
      </c>
    </row>
    <row r="2326">
      <c r="A2326" s="7" t="n"/>
      <c r="B2326" s="7" t="n"/>
      <c r="C2326" s="8" t="n"/>
      <c r="D2326" s="9" t="n"/>
      <c r="E2326" s="8" t="n"/>
      <c r="F2326" s="9" t="n"/>
      <c r="G2326" s="9" t="n"/>
      <c r="H2326" s="3">
        <f>IF(AND(D2326&lt;&gt;"",F2326&lt;&gt;""),F2326-D2326-G2326,"")</f>
        <v/>
      </c>
      <c r="I2326" s="14">
        <f>IF(E2326&lt;&gt;"", YEARFRAC(C2326, E2326) * 12, "")</f>
        <v/>
      </c>
      <c r="J2326" s="2">
        <f>IF(I2326="", "", IF(OR(AND(A2326="Listed Equity Shares", I2326&gt;12), AND(A2326="Unlisted Equity Shares", I2326&gt;24)), "Long Term", "Short Term"))</f>
        <v/>
      </c>
      <c r="K2326" s="5">
        <f>IF(J2326="", "", IF(J2326="Long Term", 12.5%,"as per slab"))</f>
        <v/>
      </c>
      <c r="L2326" s="3">
        <f>+IFERROR(IF(J2326="","",H2326*K2326),"as per slab")</f>
        <v/>
      </c>
    </row>
    <row r="2327">
      <c r="A2327" s="7" t="n"/>
      <c r="B2327" s="7" t="n"/>
      <c r="C2327" s="8" t="n"/>
      <c r="D2327" s="9" t="n"/>
      <c r="E2327" s="8" t="n"/>
      <c r="F2327" s="9" t="n"/>
      <c r="G2327" s="9" t="n"/>
      <c r="H2327" s="3">
        <f>IF(AND(D2327&lt;&gt;"",F2327&lt;&gt;""),F2327-D2327-G2327,"")</f>
        <v/>
      </c>
      <c r="I2327" s="14">
        <f>IF(E2327&lt;&gt;"", YEARFRAC(C2327, E2327) * 12, "")</f>
        <v/>
      </c>
      <c r="J2327" s="2">
        <f>IF(I2327="", "", IF(OR(AND(A2327="Listed Equity Shares", I2327&gt;12), AND(A2327="Unlisted Equity Shares", I2327&gt;24)), "Long Term", "Short Term"))</f>
        <v/>
      </c>
      <c r="K2327" s="5">
        <f>IF(J2327="", "", IF(J2327="Long Term", 12.5%,"as per slab"))</f>
        <v/>
      </c>
      <c r="L2327" s="3">
        <f>+IFERROR(IF(J2327="","",H2327*K2327),"as per slab")</f>
        <v/>
      </c>
    </row>
    <row r="2328">
      <c r="A2328" s="7" t="n"/>
      <c r="B2328" s="7" t="n"/>
      <c r="C2328" s="8" t="n"/>
      <c r="D2328" s="9" t="n"/>
      <c r="E2328" s="8" t="n"/>
      <c r="F2328" s="9" t="n"/>
      <c r="G2328" s="9" t="n"/>
      <c r="H2328" s="3">
        <f>IF(AND(D2328&lt;&gt;"",F2328&lt;&gt;""),F2328-D2328-G2328,"")</f>
        <v/>
      </c>
      <c r="I2328" s="14">
        <f>IF(E2328&lt;&gt;"", YEARFRAC(C2328, E2328) * 12, "")</f>
        <v/>
      </c>
      <c r="J2328" s="2">
        <f>IF(I2328="", "", IF(OR(AND(A2328="Listed Equity Shares", I2328&gt;12), AND(A2328="Unlisted Equity Shares", I2328&gt;24)), "Long Term", "Short Term"))</f>
        <v/>
      </c>
      <c r="K2328" s="5">
        <f>IF(J2328="", "", IF(J2328="Long Term", 12.5%,"as per slab"))</f>
        <v/>
      </c>
      <c r="L2328" s="3">
        <f>+IFERROR(IF(J2328="","",H2328*K2328),"as per slab")</f>
        <v/>
      </c>
    </row>
    <row r="2329">
      <c r="A2329" s="7" t="n"/>
      <c r="B2329" s="7" t="n"/>
      <c r="C2329" s="8" t="n"/>
      <c r="D2329" s="9" t="n"/>
      <c r="E2329" s="8" t="n"/>
      <c r="F2329" s="9" t="n"/>
      <c r="G2329" s="9" t="n"/>
      <c r="H2329" s="3">
        <f>IF(AND(D2329&lt;&gt;"",F2329&lt;&gt;""),F2329-D2329-G2329,"")</f>
        <v/>
      </c>
      <c r="I2329" s="14">
        <f>IF(E2329&lt;&gt;"", YEARFRAC(C2329, E2329) * 12, "")</f>
        <v/>
      </c>
      <c r="J2329" s="2">
        <f>IF(I2329="", "", IF(OR(AND(A2329="Listed Equity Shares", I2329&gt;12), AND(A2329="Unlisted Equity Shares", I2329&gt;24)), "Long Term", "Short Term"))</f>
        <v/>
      </c>
      <c r="K2329" s="5">
        <f>IF(J2329="", "", IF(J2329="Long Term", 12.5%,"as per slab"))</f>
        <v/>
      </c>
      <c r="L2329" s="3">
        <f>+IFERROR(IF(J2329="","",H2329*K2329),"as per slab")</f>
        <v/>
      </c>
    </row>
    <row r="2330">
      <c r="A2330" s="7" t="n"/>
      <c r="B2330" s="7" t="n"/>
      <c r="C2330" s="8" t="n"/>
      <c r="D2330" s="9" t="n"/>
      <c r="E2330" s="8" t="n"/>
      <c r="F2330" s="9" t="n"/>
      <c r="G2330" s="9" t="n"/>
      <c r="H2330" s="3">
        <f>IF(AND(D2330&lt;&gt;"",F2330&lt;&gt;""),F2330-D2330-G2330,"")</f>
        <v/>
      </c>
      <c r="I2330" s="14">
        <f>IF(E2330&lt;&gt;"", YEARFRAC(C2330, E2330) * 12, "")</f>
        <v/>
      </c>
      <c r="J2330" s="2">
        <f>IF(I2330="", "", IF(OR(AND(A2330="Listed Equity Shares", I2330&gt;12), AND(A2330="Unlisted Equity Shares", I2330&gt;24)), "Long Term", "Short Term"))</f>
        <v/>
      </c>
      <c r="K2330" s="5">
        <f>IF(J2330="", "", IF(J2330="Long Term", 12.5%,"as per slab"))</f>
        <v/>
      </c>
      <c r="L2330" s="3">
        <f>+IFERROR(IF(J2330="","",H2330*K2330),"as per slab")</f>
        <v/>
      </c>
    </row>
    <row r="2331">
      <c r="A2331" s="7" t="n"/>
      <c r="B2331" s="7" t="n"/>
      <c r="C2331" s="8" t="n"/>
      <c r="D2331" s="9" t="n"/>
      <c r="E2331" s="8" t="n"/>
      <c r="F2331" s="9" t="n"/>
      <c r="G2331" s="9" t="n"/>
      <c r="H2331" s="3">
        <f>IF(AND(D2331&lt;&gt;"",F2331&lt;&gt;""),F2331-D2331-G2331,"")</f>
        <v/>
      </c>
      <c r="I2331" s="14">
        <f>IF(E2331&lt;&gt;"", YEARFRAC(C2331, E2331) * 12, "")</f>
        <v/>
      </c>
      <c r="J2331" s="2">
        <f>IF(I2331="", "", IF(OR(AND(A2331="Listed Equity Shares", I2331&gt;12), AND(A2331="Unlisted Equity Shares", I2331&gt;24)), "Long Term", "Short Term"))</f>
        <v/>
      </c>
      <c r="K2331" s="5">
        <f>IF(J2331="", "", IF(J2331="Long Term", 12.5%,"as per slab"))</f>
        <v/>
      </c>
      <c r="L2331" s="3">
        <f>+IFERROR(IF(J2331="","",H2331*K2331),"as per slab")</f>
        <v/>
      </c>
    </row>
    <row r="2332">
      <c r="A2332" s="7" t="n"/>
      <c r="B2332" s="7" t="n"/>
      <c r="C2332" s="8" t="n"/>
      <c r="D2332" s="9" t="n"/>
      <c r="E2332" s="8" t="n"/>
      <c r="F2332" s="9" t="n"/>
      <c r="G2332" s="9" t="n"/>
      <c r="H2332" s="3">
        <f>IF(AND(D2332&lt;&gt;"",F2332&lt;&gt;""),F2332-D2332-G2332,"")</f>
        <v/>
      </c>
      <c r="I2332" s="14">
        <f>IF(E2332&lt;&gt;"", YEARFRAC(C2332, E2332) * 12, "")</f>
        <v/>
      </c>
      <c r="J2332" s="2">
        <f>IF(I2332="", "", IF(OR(AND(A2332="Listed Equity Shares", I2332&gt;12), AND(A2332="Unlisted Equity Shares", I2332&gt;24)), "Long Term", "Short Term"))</f>
        <v/>
      </c>
      <c r="K2332" s="5">
        <f>IF(J2332="", "", IF(J2332="Long Term", 12.5%,"as per slab"))</f>
        <v/>
      </c>
      <c r="L2332" s="3">
        <f>+IFERROR(IF(J2332="","",H2332*K2332),"as per slab")</f>
        <v/>
      </c>
    </row>
    <row r="2333">
      <c r="A2333" s="7" t="n"/>
      <c r="B2333" s="7" t="n"/>
      <c r="C2333" s="8" t="n"/>
      <c r="D2333" s="9" t="n"/>
      <c r="E2333" s="8" t="n"/>
      <c r="F2333" s="9" t="n"/>
      <c r="G2333" s="9" t="n"/>
      <c r="H2333" s="3">
        <f>IF(AND(D2333&lt;&gt;"",F2333&lt;&gt;""),F2333-D2333-G2333,"")</f>
        <v/>
      </c>
      <c r="I2333" s="14">
        <f>IF(E2333&lt;&gt;"", YEARFRAC(C2333, E2333) * 12, "")</f>
        <v/>
      </c>
      <c r="J2333" s="2">
        <f>IF(I2333="", "", IF(OR(AND(A2333="Listed Equity Shares", I2333&gt;12), AND(A2333="Unlisted Equity Shares", I2333&gt;24)), "Long Term", "Short Term"))</f>
        <v/>
      </c>
      <c r="K2333" s="5">
        <f>IF(J2333="", "", IF(J2333="Long Term", 12.5%,"as per slab"))</f>
        <v/>
      </c>
      <c r="L2333" s="3">
        <f>+IFERROR(IF(J2333="","",H2333*K2333),"as per slab")</f>
        <v/>
      </c>
    </row>
    <row r="2334">
      <c r="A2334" s="7" t="n"/>
      <c r="B2334" s="7" t="n"/>
      <c r="C2334" s="8" t="n"/>
      <c r="D2334" s="9" t="n"/>
      <c r="E2334" s="8" t="n"/>
      <c r="F2334" s="9" t="n"/>
      <c r="G2334" s="9" t="n"/>
      <c r="H2334" s="3">
        <f>IF(AND(D2334&lt;&gt;"",F2334&lt;&gt;""),F2334-D2334-G2334,"")</f>
        <v/>
      </c>
      <c r="I2334" s="14">
        <f>IF(E2334&lt;&gt;"", YEARFRAC(C2334, E2334) * 12, "")</f>
        <v/>
      </c>
      <c r="J2334" s="2">
        <f>IF(I2334="", "", IF(OR(AND(A2334="Listed Equity Shares", I2334&gt;12), AND(A2334="Unlisted Equity Shares", I2334&gt;24)), "Long Term", "Short Term"))</f>
        <v/>
      </c>
      <c r="K2334" s="5">
        <f>IF(J2334="", "", IF(J2334="Long Term", 12.5%,"as per slab"))</f>
        <v/>
      </c>
      <c r="L2334" s="3">
        <f>+IFERROR(IF(J2334="","",H2334*K2334),"as per slab")</f>
        <v/>
      </c>
    </row>
    <row r="2335">
      <c r="A2335" s="7" t="n"/>
      <c r="B2335" s="7" t="n"/>
      <c r="C2335" s="8" t="n"/>
      <c r="D2335" s="9" t="n"/>
      <c r="E2335" s="8" t="n"/>
      <c r="F2335" s="9" t="n"/>
      <c r="G2335" s="9" t="n"/>
      <c r="H2335" s="3">
        <f>IF(AND(D2335&lt;&gt;"",F2335&lt;&gt;""),F2335-D2335-G2335,"")</f>
        <v/>
      </c>
      <c r="I2335" s="14">
        <f>IF(E2335&lt;&gt;"", YEARFRAC(C2335, E2335) * 12, "")</f>
        <v/>
      </c>
      <c r="J2335" s="2">
        <f>IF(I2335="", "", IF(OR(AND(A2335="Listed Equity Shares", I2335&gt;12), AND(A2335="Unlisted Equity Shares", I2335&gt;24)), "Long Term", "Short Term"))</f>
        <v/>
      </c>
      <c r="K2335" s="5">
        <f>IF(J2335="", "", IF(J2335="Long Term", 12.5%,"as per slab"))</f>
        <v/>
      </c>
      <c r="L2335" s="3">
        <f>+IFERROR(IF(J2335="","",H2335*K2335),"as per slab")</f>
        <v/>
      </c>
    </row>
    <row r="2336">
      <c r="A2336" s="7" t="n"/>
      <c r="B2336" s="7" t="n"/>
      <c r="C2336" s="8" t="n"/>
      <c r="D2336" s="9" t="n"/>
      <c r="E2336" s="8" t="n"/>
      <c r="F2336" s="9" t="n"/>
      <c r="G2336" s="9" t="n"/>
      <c r="H2336" s="3">
        <f>IF(AND(D2336&lt;&gt;"",F2336&lt;&gt;""),F2336-D2336-G2336,"")</f>
        <v/>
      </c>
      <c r="I2336" s="14">
        <f>IF(E2336&lt;&gt;"", YEARFRAC(C2336, E2336) * 12, "")</f>
        <v/>
      </c>
      <c r="J2336" s="2">
        <f>IF(I2336="", "", IF(OR(AND(A2336="Listed Equity Shares", I2336&gt;12), AND(A2336="Unlisted Equity Shares", I2336&gt;24)), "Long Term", "Short Term"))</f>
        <v/>
      </c>
      <c r="K2336" s="5">
        <f>IF(J2336="", "", IF(J2336="Long Term", 12.5%,"as per slab"))</f>
        <v/>
      </c>
      <c r="L2336" s="3">
        <f>+IFERROR(IF(J2336="","",H2336*K2336),"as per slab")</f>
        <v/>
      </c>
    </row>
    <row r="2337">
      <c r="A2337" s="7" t="n"/>
      <c r="B2337" s="7" t="n"/>
      <c r="C2337" s="8" t="n"/>
      <c r="D2337" s="9" t="n"/>
      <c r="E2337" s="8" t="n"/>
      <c r="F2337" s="9" t="n"/>
      <c r="G2337" s="9" t="n"/>
      <c r="H2337" s="3">
        <f>IF(AND(D2337&lt;&gt;"",F2337&lt;&gt;""),F2337-D2337-G2337,"")</f>
        <v/>
      </c>
      <c r="I2337" s="14">
        <f>IF(E2337&lt;&gt;"", YEARFRAC(C2337, E2337) * 12, "")</f>
        <v/>
      </c>
      <c r="J2337" s="2">
        <f>IF(I2337="", "", IF(OR(AND(A2337="Listed Equity Shares", I2337&gt;12), AND(A2337="Unlisted Equity Shares", I2337&gt;24)), "Long Term", "Short Term"))</f>
        <v/>
      </c>
      <c r="K2337" s="5">
        <f>IF(J2337="", "", IF(J2337="Long Term", 12.5%,"as per slab"))</f>
        <v/>
      </c>
      <c r="L2337" s="3">
        <f>+IFERROR(IF(J2337="","",H2337*K2337),"as per slab")</f>
        <v/>
      </c>
    </row>
    <row r="2338">
      <c r="A2338" s="7" t="n"/>
      <c r="B2338" s="7" t="n"/>
      <c r="C2338" s="8" t="n"/>
      <c r="D2338" s="9" t="n"/>
      <c r="E2338" s="8" t="n"/>
      <c r="F2338" s="9" t="n"/>
      <c r="G2338" s="9" t="n"/>
      <c r="H2338" s="3">
        <f>IF(AND(D2338&lt;&gt;"",F2338&lt;&gt;""),F2338-D2338-G2338,"")</f>
        <v/>
      </c>
      <c r="I2338" s="14">
        <f>IF(E2338&lt;&gt;"", YEARFRAC(C2338, E2338) * 12, "")</f>
        <v/>
      </c>
      <c r="J2338" s="2">
        <f>IF(I2338="", "", IF(OR(AND(A2338="Listed Equity Shares", I2338&gt;12), AND(A2338="Unlisted Equity Shares", I2338&gt;24)), "Long Term", "Short Term"))</f>
        <v/>
      </c>
      <c r="K2338" s="5">
        <f>IF(J2338="", "", IF(J2338="Long Term", 12.5%,"as per slab"))</f>
        <v/>
      </c>
      <c r="L2338" s="3">
        <f>+IFERROR(IF(J2338="","",H2338*K2338),"as per slab")</f>
        <v/>
      </c>
    </row>
    <row r="2339">
      <c r="A2339" s="7" t="n"/>
      <c r="B2339" s="7" t="n"/>
      <c r="C2339" s="8" t="n"/>
      <c r="D2339" s="9" t="n"/>
      <c r="E2339" s="8" t="n"/>
      <c r="F2339" s="9" t="n"/>
      <c r="G2339" s="9" t="n"/>
      <c r="H2339" s="3">
        <f>IF(AND(D2339&lt;&gt;"",F2339&lt;&gt;""),F2339-D2339-G2339,"")</f>
        <v/>
      </c>
      <c r="I2339" s="14">
        <f>IF(E2339&lt;&gt;"", YEARFRAC(C2339, E2339) * 12, "")</f>
        <v/>
      </c>
      <c r="J2339" s="2">
        <f>IF(I2339="", "", IF(OR(AND(A2339="Listed Equity Shares", I2339&gt;12), AND(A2339="Unlisted Equity Shares", I2339&gt;24)), "Long Term", "Short Term"))</f>
        <v/>
      </c>
      <c r="K2339" s="5">
        <f>IF(J2339="", "", IF(J2339="Long Term", 12.5%,"as per slab"))</f>
        <v/>
      </c>
      <c r="L2339" s="3">
        <f>+IFERROR(IF(J2339="","",H2339*K2339),"as per slab")</f>
        <v/>
      </c>
    </row>
    <row r="2340">
      <c r="A2340" s="7" t="n"/>
      <c r="B2340" s="7" t="n"/>
      <c r="C2340" s="8" t="n"/>
      <c r="D2340" s="9" t="n"/>
      <c r="E2340" s="8" t="n"/>
      <c r="F2340" s="9" t="n"/>
      <c r="G2340" s="9" t="n"/>
      <c r="H2340" s="3">
        <f>IF(AND(D2340&lt;&gt;"",F2340&lt;&gt;""),F2340-D2340-G2340,"")</f>
        <v/>
      </c>
      <c r="I2340" s="14">
        <f>IF(E2340&lt;&gt;"", YEARFRAC(C2340, E2340) * 12, "")</f>
        <v/>
      </c>
      <c r="J2340" s="2">
        <f>IF(I2340="", "", IF(OR(AND(A2340="Listed Equity Shares", I2340&gt;12), AND(A2340="Unlisted Equity Shares", I2340&gt;24)), "Long Term", "Short Term"))</f>
        <v/>
      </c>
      <c r="K2340" s="5">
        <f>IF(J2340="", "", IF(J2340="Long Term", 12.5%,"as per slab"))</f>
        <v/>
      </c>
      <c r="L2340" s="3">
        <f>+IFERROR(IF(J2340="","",H2340*K2340),"as per slab")</f>
        <v/>
      </c>
    </row>
    <row r="2341">
      <c r="A2341" s="7" t="n"/>
      <c r="B2341" s="7" t="n"/>
      <c r="C2341" s="8" t="n"/>
      <c r="D2341" s="9" t="n"/>
      <c r="E2341" s="8" t="n"/>
      <c r="F2341" s="9" t="n"/>
      <c r="G2341" s="9" t="n"/>
      <c r="H2341" s="3">
        <f>IF(AND(D2341&lt;&gt;"",F2341&lt;&gt;""),F2341-D2341-G2341,"")</f>
        <v/>
      </c>
      <c r="I2341" s="14">
        <f>IF(E2341&lt;&gt;"", YEARFRAC(C2341, E2341) * 12, "")</f>
        <v/>
      </c>
      <c r="J2341" s="2">
        <f>IF(I2341="", "", IF(OR(AND(A2341="Listed Equity Shares", I2341&gt;12), AND(A2341="Unlisted Equity Shares", I2341&gt;24)), "Long Term", "Short Term"))</f>
        <v/>
      </c>
      <c r="K2341" s="5">
        <f>IF(J2341="", "", IF(J2341="Long Term", 12.5%,"as per slab"))</f>
        <v/>
      </c>
      <c r="L2341" s="3">
        <f>+IFERROR(IF(J2341="","",H2341*K2341),"as per slab")</f>
        <v/>
      </c>
    </row>
    <row r="2342">
      <c r="A2342" s="7" t="n"/>
      <c r="B2342" s="7" t="n"/>
      <c r="C2342" s="8" t="n"/>
      <c r="D2342" s="9" t="n"/>
      <c r="E2342" s="8" t="n"/>
      <c r="F2342" s="9" t="n"/>
      <c r="G2342" s="9" t="n"/>
      <c r="H2342" s="3">
        <f>IF(AND(D2342&lt;&gt;"",F2342&lt;&gt;""),F2342-D2342-G2342,"")</f>
        <v/>
      </c>
      <c r="I2342" s="14">
        <f>IF(E2342&lt;&gt;"", YEARFRAC(C2342, E2342) * 12, "")</f>
        <v/>
      </c>
      <c r="J2342" s="2">
        <f>IF(I2342="", "", IF(OR(AND(A2342="Listed Equity Shares", I2342&gt;12), AND(A2342="Unlisted Equity Shares", I2342&gt;24)), "Long Term", "Short Term"))</f>
        <v/>
      </c>
      <c r="K2342" s="5">
        <f>IF(J2342="", "", IF(J2342="Long Term", 12.5%,"as per slab"))</f>
        <v/>
      </c>
      <c r="L2342" s="3">
        <f>+IFERROR(IF(J2342="","",H2342*K2342),"as per slab")</f>
        <v/>
      </c>
    </row>
    <row r="2343">
      <c r="A2343" s="7" t="n"/>
      <c r="B2343" s="7" t="n"/>
      <c r="C2343" s="8" t="n"/>
      <c r="D2343" s="9" t="n"/>
      <c r="E2343" s="8" t="n"/>
      <c r="F2343" s="9" t="n"/>
      <c r="G2343" s="9" t="n"/>
      <c r="H2343" s="3">
        <f>IF(AND(D2343&lt;&gt;"",F2343&lt;&gt;""),F2343-D2343-G2343,"")</f>
        <v/>
      </c>
      <c r="I2343" s="14">
        <f>IF(E2343&lt;&gt;"", YEARFRAC(C2343, E2343) * 12, "")</f>
        <v/>
      </c>
      <c r="J2343" s="2">
        <f>IF(I2343="", "", IF(OR(AND(A2343="Listed Equity Shares", I2343&gt;12), AND(A2343="Unlisted Equity Shares", I2343&gt;24)), "Long Term", "Short Term"))</f>
        <v/>
      </c>
      <c r="K2343" s="5">
        <f>IF(J2343="", "", IF(J2343="Long Term", 12.5%,"as per slab"))</f>
        <v/>
      </c>
      <c r="L2343" s="3">
        <f>+IFERROR(IF(J2343="","",H2343*K2343),"as per slab")</f>
        <v/>
      </c>
    </row>
    <row r="2344">
      <c r="A2344" s="7" t="n"/>
      <c r="B2344" s="7" t="n"/>
      <c r="C2344" s="8" t="n"/>
      <c r="D2344" s="9" t="n"/>
      <c r="E2344" s="8" t="n"/>
      <c r="F2344" s="9" t="n"/>
      <c r="G2344" s="9" t="n"/>
      <c r="H2344" s="3">
        <f>IF(AND(D2344&lt;&gt;"",F2344&lt;&gt;""),F2344-D2344-G2344,"")</f>
        <v/>
      </c>
      <c r="I2344" s="14">
        <f>IF(E2344&lt;&gt;"", YEARFRAC(C2344, E2344) * 12, "")</f>
        <v/>
      </c>
      <c r="J2344" s="2">
        <f>IF(I2344="", "", IF(OR(AND(A2344="Listed Equity Shares", I2344&gt;12), AND(A2344="Unlisted Equity Shares", I2344&gt;24)), "Long Term", "Short Term"))</f>
        <v/>
      </c>
      <c r="K2344" s="5">
        <f>IF(J2344="", "", IF(J2344="Long Term", 12.5%,"as per slab"))</f>
        <v/>
      </c>
      <c r="L2344" s="3">
        <f>+IFERROR(IF(J2344="","",H2344*K2344),"as per slab")</f>
        <v/>
      </c>
    </row>
    <row r="2345">
      <c r="A2345" s="7" t="n"/>
      <c r="B2345" s="7" t="n"/>
      <c r="C2345" s="8" t="n"/>
      <c r="D2345" s="9" t="n"/>
      <c r="E2345" s="8" t="n"/>
      <c r="F2345" s="9" t="n"/>
      <c r="G2345" s="9" t="n"/>
      <c r="H2345" s="3">
        <f>IF(AND(D2345&lt;&gt;"",F2345&lt;&gt;""),F2345-D2345-G2345,"")</f>
        <v/>
      </c>
      <c r="I2345" s="14">
        <f>IF(E2345&lt;&gt;"", YEARFRAC(C2345, E2345) * 12, "")</f>
        <v/>
      </c>
      <c r="J2345" s="2">
        <f>IF(I2345="", "", IF(OR(AND(A2345="Listed Equity Shares", I2345&gt;12), AND(A2345="Unlisted Equity Shares", I2345&gt;24)), "Long Term", "Short Term"))</f>
        <v/>
      </c>
      <c r="K2345" s="5">
        <f>IF(J2345="", "", IF(J2345="Long Term", 12.5%,"as per slab"))</f>
        <v/>
      </c>
      <c r="L2345" s="3">
        <f>+IFERROR(IF(J2345="","",H2345*K2345),"as per slab")</f>
        <v/>
      </c>
    </row>
    <row r="2346">
      <c r="A2346" s="7" t="n"/>
      <c r="B2346" s="7" t="n"/>
      <c r="C2346" s="8" t="n"/>
      <c r="D2346" s="9" t="n"/>
      <c r="E2346" s="8" t="n"/>
      <c r="F2346" s="9" t="n"/>
      <c r="G2346" s="9" t="n"/>
      <c r="H2346" s="3">
        <f>IF(AND(D2346&lt;&gt;"",F2346&lt;&gt;""),F2346-D2346-G2346,"")</f>
        <v/>
      </c>
      <c r="I2346" s="14">
        <f>IF(E2346&lt;&gt;"", YEARFRAC(C2346, E2346) * 12, "")</f>
        <v/>
      </c>
      <c r="J2346" s="2">
        <f>IF(I2346="", "", IF(OR(AND(A2346="Listed Equity Shares", I2346&gt;12), AND(A2346="Unlisted Equity Shares", I2346&gt;24)), "Long Term", "Short Term"))</f>
        <v/>
      </c>
      <c r="K2346" s="5">
        <f>IF(J2346="", "", IF(J2346="Long Term", 12.5%,"as per slab"))</f>
        <v/>
      </c>
      <c r="L2346" s="3">
        <f>+IFERROR(IF(J2346="","",H2346*K2346),"as per slab")</f>
        <v/>
      </c>
    </row>
    <row r="2347">
      <c r="A2347" s="7" t="n"/>
      <c r="B2347" s="7" t="n"/>
      <c r="C2347" s="8" t="n"/>
      <c r="D2347" s="9" t="n"/>
      <c r="E2347" s="8" t="n"/>
      <c r="F2347" s="9" t="n"/>
      <c r="G2347" s="9" t="n"/>
      <c r="H2347" s="3">
        <f>IF(AND(D2347&lt;&gt;"",F2347&lt;&gt;""),F2347-D2347-G2347,"")</f>
        <v/>
      </c>
      <c r="I2347" s="14">
        <f>IF(E2347&lt;&gt;"", YEARFRAC(C2347, E2347) * 12, "")</f>
        <v/>
      </c>
      <c r="J2347" s="2">
        <f>IF(I2347="", "", IF(OR(AND(A2347="Listed Equity Shares", I2347&gt;12), AND(A2347="Unlisted Equity Shares", I2347&gt;24)), "Long Term", "Short Term"))</f>
        <v/>
      </c>
      <c r="K2347" s="5">
        <f>IF(J2347="", "", IF(J2347="Long Term", 12.5%,"as per slab"))</f>
        <v/>
      </c>
      <c r="L2347" s="3">
        <f>+IFERROR(IF(J2347="","",H2347*K2347),"as per slab")</f>
        <v/>
      </c>
    </row>
    <row r="2348">
      <c r="A2348" s="7" t="n"/>
      <c r="B2348" s="7" t="n"/>
      <c r="C2348" s="8" t="n"/>
      <c r="D2348" s="9" t="n"/>
      <c r="E2348" s="8" t="n"/>
      <c r="F2348" s="9" t="n"/>
      <c r="G2348" s="9" t="n"/>
      <c r="H2348" s="3">
        <f>IF(AND(D2348&lt;&gt;"",F2348&lt;&gt;""),F2348-D2348-G2348,"")</f>
        <v/>
      </c>
      <c r="I2348" s="14">
        <f>IF(E2348&lt;&gt;"", YEARFRAC(C2348, E2348) * 12, "")</f>
        <v/>
      </c>
      <c r="J2348" s="2">
        <f>IF(I2348="", "", IF(OR(AND(A2348="Listed Equity Shares", I2348&gt;12), AND(A2348="Unlisted Equity Shares", I2348&gt;24)), "Long Term", "Short Term"))</f>
        <v/>
      </c>
      <c r="K2348" s="5">
        <f>IF(J2348="", "", IF(J2348="Long Term", 12.5%,"as per slab"))</f>
        <v/>
      </c>
      <c r="L2348" s="3">
        <f>+IFERROR(IF(J2348="","",H2348*K2348),"as per slab")</f>
        <v/>
      </c>
    </row>
    <row r="2349">
      <c r="A2349" s="7" t="n"/>
      <c r="B2349" s="7" t="n"/>
      <c r="C2349" s="8" t="n"/>
      <c r="D2349" s="9" t="n"/>
      <c r="E2349" s="8" t="n"/>
      <c r="F2349" s="9" t="n"/>
      <c r="G2349" s="9" t="n"/>
      <c r="H2349" s="3">
        <f>IF(AND(D2349&lt;&gt;"",F2349&lt;&gt;""),F2349-D2349-G2349,"")</f>
        <v/>
      </c>
      <c r="I2349" s="14">
        <f>IF(E2349&lt;&gt;"", YEARFRAC(C2349, E2349) * 12, "")</f>
        <v/>
      </c>
      <c r="J2349" s="2">
        <f>IF(I2349="", "", IF(OR(AND(A2349="Listed Equity Shares", I2349&gt;12), AND(A2349="Unlisted Equity Shares", I2349&gt;24)), "Long Term", "Short Term"))</f>
        <v/>
      </c>
      <c r="K2349" s="5">
        <f>IF(J2349="", "", IF(J2349="Long Term", 12.5%,"as per slab"))</f>
        <v/>
      </c>
      <c r="L2349" s="3">
        <f>+IFERROR(IF(J2349="","",H2349*K2349),"as per slab")</f>
        <v/>
      </c>
    </row>
    <row r="2350">
      <c r="A2350" s="7" t="n"/>
      <c r="B2350" s="7" t="n"/>
      <c r="C2350" s="8" t="n"/>
      <c r="D2350" s="9" t="n"/>
      <c r="E2350" s="8" t="n"/>
      <c r="F2350" s="9" t="n"/>
      <c r="G2350" s="9" t="n"/>
      <c r="H2350" s="3">
        <f>IF(AND(D2350&lt;&gt;"",F2350&lt;&gt;""),F2350-D2350-G2350,"")</f>
        <v/>
      </c>
      <c r="I2350" s="14">
        <f>IF(E2350&lt;&gt;"", YEARFRAC(C2350, E2350) * 12, "")</f>
        <v/>
      </c>
      <c r="J2350" s="2">
        <f>IF(I2350="", "", IF(OR(AND(A2350="Listed Equity Shares", I2350&gt;12), AND(A2350="Unlisted Equity Shares", I2350&gt;24)), "Long Term", "Short Term"))</f>
        <v/>
      </c>
      <c r="K2350" s="5">
        <f>IF(J2350="", "", IF(J2350="Long Term", 12.5%,"as per slab"))</f>
        <v/>
      </c>
      <c r="L2350" s="3">
        <f>+IFERROR(IF(J2350="","",H2350*K2350),"as per slab")</f>
        <v/>
      </c>
    </row>
    <row r="2351">
      <c r="A2351" s="7" t="n"/>
      <c r="B2351" s="7" t="n"/>
      <c r="C2351" s="8" t="n"/>
      <c r="D2351" s="9" t="n"/>
      <c r="E2351" s="8" t="n"/>
      <c r="F2351" s="9" t="n"/>
      <c r="G2351" s="9" t="n"/>
      <c r="H2351" s="3">
        <f>IF(AND(D2351&lt;&gt;"",F2351&lt;&gt;""),F2351-D2351-G2351,"")</f>
        <v/>
      </c>
      <c r="I2351" s="14">
        <f>IF(E2351&lt;&gt;"", YEARFRAC(C2351, E2351) * 12, "")</f>
        <v/>
      </c>
      <c r="J2351" s="2">
        <f>IF(I2351="", "", IF(OR(AND(A2351="Listed Equity Shares", I2351&gt;12), AND(A2351="Unlisted Equity Shares", I2351&gt;24)), "Long Term", "Short Term"))</f>
        <v/>
      </c>
      <c r="K2351" s="5">
        <f>IF(J2351="", "", IF(J2351="Long Term", 12.5%,"as per slab"))</f>
        <v/>
      </c>
      <c r="L2351" s="3">
        <f>+IFERROR(IF(J2351="","",H2351*K2351),"as per slab")</f>
        <v/>
      </c>
    </row>
    <row r="2352">
      <c r="A2352" s="7" t="n"/>
      <c r="B2352" s="7" t="n"/>
      <c r="C2352" s="8" t="n"/>
      <c r="D2352" s="9" t="n"/>
      <c r="E2352" s="8" t="n"/>
      <c r="F2352" s="9" t="n"/>
      <c r="G2352" s="9" t="n"/>
      <c r="H2352" s="3">
        <f>IF(AND(D2352&lt;&gt;"",F2352&lt;&gt;""),F2352-D2352-G2352,"")</f>
        <v/>
      </c>
      <c r="I2352" s="14">
        <f>IF(E2352&lt;&gt;"", YEARFRAC(C2352, E2352) * 12, "")</f>
        <v/>
      </c>
      <c r="J2352" s="2">
        <f>IF(I2352="", "", IF(OR(AND(A2352="Listed Equity Shares", I2352&gt;12), AND(A2352="Unlisted Equity Shares", I2352&gt;24)), "Long Term", "Short Term"))</f>
        <v/>
      </c>
      <c r="K2352" s="5">
        <f>IF(J2352="", "", IF(J2352="Long Term", 12.5%,"as per slab"))</f>
        <v/>
      </c>
      <c r="L2352" s="3">
        <f>+IFERROR(IF(J2352="","",H2352*K2352),"as per slab")</f>
        <v/>
      </c>
    </row>
    <row r="2353">
      <c r="A2353" s="7" t="n"/>
      <c r="B2353" s="7" t="n"/>
      <c r="C2353" s="8" t="n"/>
      <c r="D2353" s="9" t="n"/>
      <c r="E2353" s="8" t="n"/>
      <c r="F2353" s="9" t="n"/>
      <c r="G2353" s="9" t="n"/>
      <c r="H2353" s="3">
        <f>IF(AND(D2353&lt;&gt;"",F2353&lt;&gt;""),F2353-D2353-G2353,"")</f>
        <v/>
      </c>
      <c r="I2353" s="14">
        <f>IF(E2353&lt;&gt;"", YEARFRAC(C2353, E2353) * 12, "")</f>
        <v/>
      </c>
      <c r="J2353" s="2">
        <f>IF(I2353="", "", IF(OR(AND(A2353="Listed Equity Shares", I2353&gt;12), AND(A2353="Unlisted Equity Shares", I2353&gt;24)), "Long Term", "Short Term"))</f>
        <v/>
      </c>
      <c r="K2353" s="5">
        <f>IF(J2353="", "", IF(J2353="Long Term", 12.5%,"as per slab"))</f>
        <v/>
      </c>
      <c r="L2353" s="3">
        <f>+IFERROR(IF(J2353="","",H2353*K2353),"as per slab")</f>
        <v/>
      </c>
    </row>
    <row r="2354">
      <c r="A2354" s="7" t="n"/>
      <c r="B2354" s="7" t="n"/>
      <c r="C2354" s="8" t="n"/>
      <c r="D2354" s="9" t="n"/>
      <c r="E2354" s="8" t="n"/>
      <c r="F2354" s="9" t="n"/>
      <c r="G2354" s="9" t="n"/>
      <c r="H2354" s="3">
        <f>IF(AND(D2354&lt;&gt;"",F2354&lt;&gt;""),F2354-D2354-G2354,"")</f>
        <v/>
      </c>
      <c r="I2354" s="14">
        <f>IF(E2354&lt;&gt;"", YEARFRAC(C2354, E2354) * 12, "")</f>
        <v/>
      </c>
      <c r="J2354" s="2">
        <f>IF(I2354="", "", IF(OR(AND(A2354="Listed Equity Shares", I2354&gt;12), AND(A2354="Unlisted Equity Shares", I2354&gt;24)), "Long Term", "Short Term"))</f>
        <v/>
      </c>
      <c r="K2354" s="5">
        <f>IF(J2354="", "", IF(J2354="Long Term", 12.5%,"as per slab"))</f>
        <v/>
      </c>
      <c r="L2354" s="3">
        <f>+IFERROR(IF(J2354="","",H2354*K2354),"as per slab")</f>
        <v/>
      </c>
    </row>
    <row r="2355">
      <c r="A2355" s="7" t="n"/>
      <c r="B2355" s="7" t="n"/>
      <c r="C2355" s="8" t="n"/>
      <c r="D2355" s="9" t="n"/>
      <c r="E2355" s="8" t="n"/>
      <c r="F2355" s="9" t="n"/>
      <c r="G2355" s="9" t="n"/>
      <c r="H2355" s="3">
        <f>IF(AND(D2355&lt;&gt;"",F2355&lt;&gt;""),F2355-D2355-G2355,"")</f>
        <v/>
      </c>
      <c r="I2355" s="14">
        <f>IF(E2355&lt;&gt;"", YEARFRAC(C2355, E2355) * 12, "")</f>
        <v/>
      </c>
      <c r="J2355" s="2">
        <f>IF(I2355="", "", IF(OR(AND(A2355="Listed Equity Shares", I2355&gt;12), AND(A2355="Unlisted Equity Shares", I2355&gt;24)), "Long Term", "Short Term"))</f>
        <v/>
      </c>
      <c r="K2355" s="5">
        <f>IF(J2355="", "", IF(J2355="Long Term", 12.5%,"as per slab"))</f>
        <v/>
      </c>
      <c r="L2355" s="3">
        <f>+IFERROR(IF(J2355="","",H2355*K2355),"as per slab")</f>
        <v/>
      </c>
    </row>
    <row r="2356">
      <c r="A2356" s="7" t="n"/>
      <c r="B2356" s="7" t="n"/>
      <c r="C2356" s="8" t="n"/>
      <c r="D2356" s="9" t="n"/>
      <c r="E2356" s="8" t="n"/>
      <c r="F2356" s="9" t="n"/>
      <c r="G2356" s="9" t="n"/>
      <c r="H2356" s="3">
        <f>IF(AND(D2356&lt;&gt;"",F2356&lt;&gt;""),F2356-D2356-G2356,"")</f>
        <v/>
      </c>
      <c r="I2356" s="14">
        <f>IF(E2356&lt;&gt;"", YEARFRAC(C2356, E2356) * 12, "")</f>
        <v/>
      </c>
      <c r="J2356" s="2">
        <f>IF(I2356="", "", IF(OR(AND(A2356="Listed Equity Shares", I2356&gt;12), AND(A2356="Unlisted Equity Shares", I2356&gt;24)), "Long Term", "Short Term"))</f>
        <v/>
      </c>
      <c r="K2356" s="5">
        <f>IF(J2356="", "", IF(J2356="Long Term", 12.5%,"as per slab"))</f>
        <v/>
      </c>
      <c r="L2356" s="3">
        <f>+IFERROR(IF(J2356="","",H2356*K2356),"as per slab")</f>
        <v/>
      </c>
    </row>
    <row r="2357">
      <c r="A2357" s="7" t="n"/>
      <c r="B2357" s="7" t="n"/>
      <c r="C2357" s="8" t="n"/>
      <c r="D2357" s="9" t="n"/>
      <c r="E2357" s="8" t="n"/>
      <c r="F2357" s="9" t="n"/>
      <c r="G2357" s="9" t="n"/>
      <c r="H2357" s="3">
        <f>IF(AND(D2357&lt;&gt;"",F2357&lt;&gt;""),F2357-D2357-G2357,"")</f>
        <v/>
      </c>
      <c r="I2357" s="14">
        <f>IF(E2357&lt;&gt;"", YEARFRAC(C2357, E2357) * 12, "")</f>
        <v/>
      </c>
      <c r="J2357" s="2">
        <f>IF(I2357="", "", IF(OR(AND(A2357="Listed Equity Shares", I2357&gt;12), AND(A2357="Unlisted Equity Shares", I2357&gt;24)), "Long Term", "Short Term"))</f>
        <v/>
      </c>
      <c r="K2357" s="5">
        <f>IF(J2357="", "", IF(J2357="Long Term", 12.5%,"as per slab"))</f>
        <v/>
      </c>
      <c r="L2357" s="3">
        <f>+IFERROR(IF(J2357="","",H2357*K2357),"as per slab")</f>
        <v/>
      </c>
    </row>
    <row r="2358">
      <c r="A2358" s="7" t="n"/>
      <c r="B2358" s="7" t="n"/>
      <c r="C2358" s="8" t="n"/>
      <c r="D2358" s="9" t="n"/>
      <c r="E2358" s="8" t="n"/>
      <c r="F2358" s="9" t="n"/>
      <c r="G2358" s="9" t="n"/>
      <c r="H2358" s="3">
        <f>IF(AND(D2358&lt;&gt;"",F2358&lt;&gt;""),F2358-D2358-G2358,"")</f>
        <v/>
      </c>
      <c r="I2358" s="14">
        <f>IF(E2358&lt;&gt;"", YEARFRAC(C2358, E2358) * 12, "")</f>
        <v/>
      </c>
      <c r="J2358" s="2">
        <f>IF(I2358="", "", IF(OR(AND(A2358="Listed Equity Shares", I2358&gt;12), AND(A2358="Unlisted Equity Shares", I2358&gt;24)), "Long Term", "Short Term"))</f>
        <v/>
      </c>
      <c r="K2358" s="5">
        <f>IF(J2358="", "", IF(J2358="Long Term", 12.5%,"as per slab"))</f>
        <v/>
      </c>
      <c r="L2358" s="3">
        <f>+IFERROR(IF(J2358="","",H2358*K2358),"as per slab")</f>
        <v/>
      </c>
    </row>
    <row r="2359">
      <c r="A2359" s="7" t="n"/>
      <c r="B2359" s="7" t="n"/>
      <c r="C2359" s="8" t="n"/>
      <c r="D2359" s="9" t="n"/>
      <c r="E2359" s="8" t="n"/>
      <c r="F2359" s="9" t="n"/>
      <c r="G2359" s="9" t="n"/>
      <c r="H2359" s="3">
        <f>IF(AND(D2359&lt;&gt;"",F2359&lt;&gt;""),F2359-D2359-G2359,"")</f>
        <v/>
      </c>
      <c r="I2359" s="14">
        <f>IF(E2359&lt;&gt;"", YEARFRAC(C2359, E2359) * 12, "")</f>
        <v/>
      </c>
      <c r="J2359" s="2">
        <f>IF(I2359="", "", IF(OR(AND(A2359="Listed Equity Shares", I2359&gt;12), AND(A2359="Unlisted Equity Shares", I2359&gt;24)), "Long Term", "Short Term"))</f>
        <v/>
      </c>
      <c r="K2359" s="5">
        <f>IF(J2359="", "", IF(J2359="Long Term", 12.5%,"as per slab"))</f>
        <v/>
      </c>
      <c r="L2359" s="3">
        <f>+IFERROR(IF(J2359="","",H2359*K2359),"as per slab")</f>
        <v/>
      </c>
    </row>
    <row r="2360">
      <c r="A2360" s="7" t="n"/>
      <c r="B2360" s="7" t="n"/>
      <c r="C2360" s="8" t="n"/>
      <c r="D2360" s="9" t="n"/>
      <c r="E2360" s="8" t="n"/>
      <c r="F2360" s="9" t="n"/>
      <c r="G2360" s="9" t="n"/>
      <c r="H2360" s="3">
        <f>IF(AND(D2360&lt;&gt;"",F2360&lt;&gt;""),F2360-D2360-G2360,"")</f>
        <v/>
      </c>
      <c r="I2360" s="14">
        <f>IF(E2360&lt;&gt;"", YEARFRAC(C2360, E2360) * 12, "")</f>
        <v/>
      </c>
      <c r="J2360" s="2">
        <f>IF(I2360="", "", IF(OR(AND(A2360="Listed Equity Shares", I2360&gt;12), AND(A2360="Unlisted Equity Shares", I2360&gt;24)), "Long Term", "Short Term"))</f>
        <v/>
      </c>
      <c r="K2360" s="5">
        <f>IF(J2360="", "", IF(J2360="Long Term", 12.5%,"as per slab"))</f>
        <v/>
      </c>
      <c r="L2360" s="3">
        <f>+IFERROR(IF(J2360="","",H2360*K2360),"as per slab")</f>
        <v/>
      </c>
    </row>
    <row r="2361">
      <c r="A2361" s="7" t="n"/>
      <c r="B2361" s="7" t="n"/>
      <c r="C2361" s="8" t="n"/>
      <c r="D2361" s="9" t="n"/>
      <c r="E2361" s="8" t="n"/>
      <c r="F2361" s="9" t="n"/>
      <c r="G2361" s="9" t="n"/>
      <c r="H2361" s="3">
        <f>IF(AND(D2361&lt;&gt;"",F2361&lt;&gt;""),F2361-D2361-G2361,"")</f>
        <v/>
      </c>
      <c r="I2361" s="14">
        <f>IF(E2361&lt;&gt;"", YEARFRAC(C2361, E2361) * 12, "")</f>
        <v/>
      </c>
      <c r="J2361" s="2">
        <f>IF(I2361="", "", IF(OR(AND(A2361="Listed Equity Shares", I2361&gt;12), AND(A2361="Unlisted Equity Shares", I2361&gt;24)), "Long Term", "Short Term"))</f>
        <v/>
      </c>
      <c r="K2361" s="5">
        <f>IF(J2361="", "", IF(J2361="Long Term", 12.5%,"as per slab"))</f>
        <v/>
      </c>
      <c r="L2361" s="3">
        <f>+IFERROR(IF(J2361="","",H2361*K2361),"as per slab")</f>
        <v/>
      </c>
    </row>
    <row r="2362">
      <c r="A2362" s="7" t="n"/>
      <c r="B2362" s="7" t="n"/>
      <c r="C2362" s="8" t="n"/>
      <c r="D2362" s="9" t="n"/>
      <c r="E2362" s="8" t="n"/>
      <c r="F2362" s="9" t="n"/>
      <c r="G2362" s="9" t="n"/>
      <c r="H2362" s="3">
        <f>IF(AND(D2362&lt;&gt;"",F2362&lt;&gt;""),F2362-D2362-G2362,"")</f>
        <v/>
      </c>
      <c r="I2362" s="14">
        <f>IF(E2362&lt;&gt;"", YEARFRAC(C2362, E2362) * 12, "")</f>
        <v/>
      </c>
      <c r="J2362" s="2">
        <f>IF(I2362="", "", IF(OR(AND(A2362="Listed Equity Shares", I2362&gt;12), AND(A2362="Unlisted Equity Shares", I2362&gt;24)), "Long Term", "Short Term"))</f>
        <v/>
      </c>
      <c r="K2362" s="5">
        <f>IF(J2362="", "", IF(J2362="Long Term", 12.5%,"as per slab"))</f>
        <v/>
      </c>
      <c r="L2362" s="3">
        <f>+IFERROR(IF(J2362="","",H2362*K2362),"as per slab")</f>
        <v/>
      </c>
    </row>
    <row r="2363">
      <c r="A2363" s="7" t="n"/>
      <c r="B2363" s="7" t="n"/>
      <c r="C2363" s="8" t="n"/>
      <c r="D2363" s="9" t="n"/>
      <c r="E2363" s="8" t="n"/>
      <c r="F2363" s="9" t="n"/>
      <c r="G2363" s="9" t="n"/>
      <c r="H2363" s="3">
        <f>IF(AND(D2363&lt;&gt;"",F2363&lt;&gt;""),F2363-D2363-G2363,"")</f>
        <v/>
      </c>
      <c r="I2363" s="14">
        <f>IF(E2363&lt;&gt;"", YEARFRAC(C2363, E2363) * 12, "")</f>
        <v/>
      </c>
      <c r="J2363" s="2">
        <f>IF(I2363="", "", IF(OR(AND(A2363="Listed Equity Shares", I2363&gt;12), AND(A2363="Unlisted Equity Shares", I2363&gt;24)), "Long Term", "Short Term"))</f>
        <v/>
      </c>
      <c r="K2363" s="5">
        <f>IF(J2363="", "", IF(J2363="Long Term", 12.5%,"as per slab"))</f>
        <v/>
      </c>
      <c r="L2363" s="3">
        <f>+IFERROR(IF(J2363="","",H2363*K2363),"as per slab")</f>
        <v/>
      </c>
    </row>
    <row r="2364">
      <c r="A2364" s="7" t="n"/>
      <c r="B2364" s="7" t="n"/>
      <c r="C2364" s="8" t="n"/>
      <c r="D2364" s="9" t="n"/>
      <c r="E2364" s="8" t="n"/>
      <c r="F2364" s="9" t="n"/>
      <c r="G2364" s="9" t="n"/>
      <c r="H2364" s="3">
        <f>IF(AND(D2364&lt;&gt;"",F2364&lt;&gt;""),F2364-D2364-G2364,"")</f>
        <v/>
      </c>
      <c r="I2364" s="14">
        <f>IF(E2364&lt;&gt;"", YEARFRAC(C2364, E2364) * 12, "")</f>
        <v/>
      </c>
      <c r="J2364" s="2">
        <f>IF(I2364="", "", IF(OR(AND(A2364="Listed Equity Shares", I2364&gt;12), AND(A2364="Unlisted Equity Shares", I2364&gt;24)), "Long Term", "Short Term"))</f>
        <v/>
      </c>
      <c r="K2364" s="5">
        <f>IF(J2364="", "", IF(J2364="Long Term", 12.5%,"as per slab"))</f>
        <v/>
      </c>
      <c r="L2364" s="3">
        <f>+IFERROR(IF(J2364="","",H2364*K2364),"as per slab")</f>
        <v/>
      </c>
    </row>
    <row r="2365">
      <c r="A2365" s="7" t="n"/>
      <c r="B2365" s="7" t="n"/>
      <c r="C2365" s="8" t="n"/>
      <c r="D2365" s="9" t="n"/>
      <c r="E2365" s="8" t="n"/>
      <c r="F2365" s="9" t="n"/>
      <c r="G2365" s="9" t="n"/>
      <c r="H2365" s="3">
        <f>IF(AND(D2365&lt;&gt;"",F2365&lt;&gt;""),F2365-D2365-G2365,"")</f>
        <v/>
      </c>
      <c r="I2365" s="14">
        <f>IF(E2365&lt;&gt;"", YEARFRAC(C2365, E2365) * 12, "")</f>
        <v/>
      </c>
      <c r="J2365" s="2">
        <f>IF(I2365="", "", IF(OR(AND(A2365="Listed Equity Shares", I2365&gt;12), AND(A2365="Unlisted Equity Shares", I2365&gt;24)), "Long Term", "Short Term"))</f>
        <v/>
      </c>
      <c r="K2365" s="5">
        <f>IF(J2365="", "", IF(J2365="Long Term", 12.5%,"as per slab"))</f>
        <v/>
      </c>
      <c r="L2365" s="3">
        <f>+IFERROR(IF(J2365="","",H2365*K2365),"as per slab")</f>
        <v/>
      </c>
    </row>
    <row r="2366">
      <c r="A2366" s="7" t="n"/>
      <c r="B2366" s="7" t="n"/>
      <c r="C2366" s="8" t="n"/>
      <c r="D2366" s="9" t="n"/>
      <c r="E2366" s="8" t="n"/>
      <c r="F2366" s="9" t="n"/>
      <c r="G2366" s="9" t="n"/>
      <c r="H2366" s="3">
        <f>IF(AND(D2366&lt;&gt;"",F2366&lt;&gt;""),F2366-D2366-G2366,"")</f>
        <v/>
      </c>
      <c r="I2366" s="14">
        <f>IF(E2366&lt;&gt;"", YEARFRAC(C2366, E2366) * 12, "")</f>
        <v/>
      </c>
      <c r="J2366" s="2">
        <f>IF(I2366="", "", IF(OR(AND(A2366="Listed Equity Shares", I2366&gt;12), AND(A2366="Unlisted Equity Shares", I2366&gt;24)), "Long Term", "Short Term"))</f>
        <v/>
      </c>
      <c r="K2366" s="5">
        <f>IF(J2366="", "", IF(J2366="Long Term", 12.5%,"as per slab"))</f>
        <v/>
      </c>
      <c r="L2366" s="3">
        <f>+IFERROR(IF(J2366="","",H2366*K2366),"as per slab")</f>
        <v/>
      </c>
    </row>
    <row r="2367">
      <c r="A2367" s="7" t="n"/>
      <c r="B2367" s="7" t="n"/>
      <c r="C2367" s="8" t="n"/>
      <c r="D2367" s="9" t="n"/>
      <c r="E2367" s="8" t="n"/>
      <c r="F2367" s="9" t="n"/>
      <c r="G2367" s="9" t="n"/>
      <c r="H2367" s="3">
        <f>IF(AND(D2367&lt;&gt;"",F2367&lt;&gt;""),F2367-D2367-G2367,"")</f>
        <v/>
      </c>
      <c r="I2367" s="14">
        <f>IF(E2367&lt;&gt;"", YEARFRAC(C2367, E2367) * 12, "")</f>
        <v/>
      </c>
      <c r="J2367" s="2">
        <f>IF(I2367="", "", IF(OR(AND(A2367="Listed Equity Shares", I2367&gt;12), AND(A2367="Unlisted Equity Shares", I2367&gt;24)), "Long Term", "Short Term"))</f>
        <v/>
      </c>
      <c r="K2367" s="5">
        <f>IF(J2367="", "", IF(J2367="Long Term", 12.5%,"as per slab"))</f>
        <v/>
      </c>
      <c r="L2367" s="3">
        <f>+IFERROR(IF(J2367="","",H2367*K2367),"as per slab")</f>
        <v/>
      </c>
    </row>
    <row r="2368">
      <c r="A2368" s="7" t="n"/>
      <c r="B2368" s="7" t="n"/>
      <c r="C2368" s="8" t="n"/>
      <c r="D2368" s="9" t="n"/>
      <c r="E2368" s="8" t="n"/>
      <c r="F2368" s="9" t="n"/>
      <c r="G2368" s="9" t="n"/>
      <c r="H2368" s="3">
        <f>IF(AND(D2368&lt;&gt;"",F2368&lt;&gt;""),F2368-D2368-G2368,"")</f>
        <v/>
      </c>
      <c r="I2368" s="14">
        <f>IF(E2368&lt;&gt;"", YEARFRAC(C2368, E2368) * 12, "")</f>
        <v/>
      </c>
      <c r="J2368" s="2">
        <f>IF(I2368="", "", IF(OR(AND(A2368="Listed Equity Shares", I2368&gt;12), AND(A2368="Unlisted Equity Shares", I2368&gt;24)), "Long Term", "Short Term"))</f>
        <v/>
      </c>
      <c r="K2368" s="5">
        <f>IF(J2368="", "", IF(J2368="Long Term", 12.5%,"as per slab"))</f>
        <v/>
      </c>
      <c r="L2368" s="3">
        <f>+IFERROR(IF(J2368="","",H2368*K2368),"as per slab")</f>
        <v/>
      </c>
    </row>
    <row r="2369">
      <c r="A2369" s="7" t="n"/>
      <c r="B2369" s="7" t="n"/>
      <c r="C2369" s="8" t="n"/>
      <c r="D2369" s="9" t="n"/>
      <c r="E2369" s="8" t="n"/>
      <c r="F2369" s="9" t="n"/>
      <c r="G2369" s="9" t="n"/>
      <c r="H2369" s="3">
        <f>IF(AND(D2369&lt;&gt;"",F2369&lt;&gt;""),F2369-D2369-G2369,"")</f>
        <v/>
      </c>
      <c r="I2369" s="14">
        <f>IF(E2369&lt;&gt;"", YEARFRAC(C2369, E2369) * 12, "")</f>
        <v/>
      </c>
      <c r="J2369" s="2">
        <f>IF(I2369="", "", IF(OR(AND(A2369="Listed Equity Shares", I2369&gt;12), AND(A2369="Unlisted Equity Shares", I2369&gt;24)), "Long Term", "Short Term"))</f>
        <v/>
      </c>
      <c r="K2369" s="5">
        <f>IF(J2369="", "", IF(J2369="Long Term", 12.5%,"as per slab"))</f>
        <v/>
      </c>
      <c r="L2369" s="3">
        <f>+IFERROR(IF(J2369="","",H2369*K2369),"as per slab")</f>
        <v/>
      </c>
    </row>
    <row r="2370">
      <c r="A2370" s="7" t="n"/>
      <c r="B2370" s="7" t="n"/>
      <c r="C2370" s="8" t="n"/>
      <c r="D2370" s="9" t="n"/>
      <c r="E2370" s="8" t="n"/>
      <c r="F2370" s="9" t="n"/>
      <c r="G2370" s="9" t="n"/>
      <c r="H2370" s="3">
        <f>IF(AND(D2370&lt;&gt;"",F2370&lt;&gt;""),F2370-D2370-G2370,"")</f>
        <v/>
      </c>
      <c r="I2370" s="14">
        <f>IF(E2370&lt;&gt;"", YEARFRAC(C2370, E2370) * 12, "")</f>
        <v/>
      </c>
      <c r="J2370" s="2">
        <f>IF(I2370="", "", IF(OR(AND(A2370="Listed Equity Shares", I2370&gt;12), AND(A2370="Unlisted Equity Shares", I2370&gt;24)), "Long Term", "Short Term"))</f>
        <v/>
      </c>
      <c r="K2370" s="5">
        <f>IF(J2370="", "", IF(J2370="Long Term", 12.5%,"as per slab"))</f>
        <v/>
      </c>
      <c r="L2370" s="3">
        <f>+IFERROR(IF(J2370="","",H2370*K2370),"as per slab")</f>
        <v/>
      </c>
    </row>
    <row r="2371">
      <c r="A2371" s="7" t="n"/>
      <c r="B2371" s="7" t="n"/>
      <c r="C2371" s="8" t="n"/>
      <c r="D2371" s="9" t="n"/>
      <c r="E2371" s="8" t="n"/>
      <c r="F2371" s="9" t="n"/>
      <c r="G2371" s="9" t="n"/>
      <c r="H2371" s="3">
        <f>IF(AND(D2371&lt;&gt;"",F2371&lt;&gt;""),F2371-D2371-G2371,"")</f>
        <v/>
      </c>
      <c r="I2371" s="14">
        <f>IF(E2371&lt;&gt;"", YEARFRAC(C2371, E2371) * 12, "")</f>
        <v/>
      </c>
      <c r="J2371" s="2">
        <f>IF(I2371="", "", IF(OR(AND(A2371="Listed Equity Shares", I2371&gt;12), AND(A2371="Unlisted Equity Shares", I2371&gt;24)), "Long Term", "Short Term"))</f>
        <v/>
      </c>
      <c r="K2371" s="5">
        <f>IF(J2371="", "", IF(J2371="Long Term", 12.5%,"as per slab"))</f>
        <v/>
      </c>
      <c r="L2371" s="3">
        <f>+IFERROR(IF(J2371="","",H2371*K2371),"as per slab")</f>
        <v/>
      </c>
    </row>
    <row r="2372">
      <c r="A2372" s="7" t="n"/>
      <c r="B2372" s="7" t="n"/>
      <c r="C2372" s="8" t="n"/>
      <c r="D2372" s="9" t="n"/>
      <c r="E2372" s="8" t="n"/>
      <c r="F2372" s="9" t="n"/>
      <c r="G2372" s="9" t="n"/>
      <c r="H2372" s="3">
        <f>IF(AND(D2372&lt;&gt;"",F2372&lt;&gt;""),F2372-D2372-G2372,"")</f>
        <v/>
      </c>
      <c r="I2372" s="14">
        <f>IF(E2372&lt;&gt;"", YEARFRAC(C2372, E2372) * 12, "")</f>
        <v/>
      </c>
      <c r="J2372" s="2">
        <f>IF(I2372="", "", IF(OR(AND(A2372="Listed Equity Shares", I2372&gt;12), AND(A2372="Unlisted Equity Shares", I2372&gt;24)), "Long Term", "Short Term"))</f>
        <v/>
      </c>
      <c r="K2372" s="5">
        <f>IF(J2372="", "", IF(J2372="Long Term", 12.5%,"as per slab"))</f>
        <v/>
      </c>
      <c r="L2372" s="3">
        <f>+IFERROR(IF(J2372="","",H2372*K2372),"as per slab")</f>
        <v/>
      </c>
    </row>
    <row r="2373">
      <c r="A2373" s="7" t="n"/>
      <c r="B2373" s="7" t="n"/>
      <c r="C2373" s="8" t="n"/>
      <c r="D2373" s="9" t="n"/>
      <c r="E2373" s="8" t="n"/>
      <c r="F2373" s="9" t="n"/>
      <c r="G2373" s="9" t="n"/>
      <c r="H2373" s="3">
        <f>IF(AND(D2373&lt;&gt;"",F2373&lt;&gt;""),F2373-D2373-G2373,"")</f>
        <v/>
      </c>
      <c r="I2373" s="14">
        <f>IF(E2373&lt;&gt;"", YEARFRAC(C2373, E2373) * 12, "")</f>
        <v/>
      </c>
      <c r="J2373" s="2">
        <f>IF(I2373="", "", IF(OR(AND(A2373="Listed Equity Shares", I2373&gt;12), AND(A2373="Unlisted Equity Shares", I2373&gt;24)), "Long Term", "Short Term"))</f>
        <v/>
      </c>
      <c r="K2373" s="5">
        <f>IF(J2373="", "", IF(J2373="Long Term", 12.5%,"as per slab"))</f>
        <v/>
      </c>
      <c r="L2373" s="3">
        <f>+IFERROR(IF(J2373="","",H2373*K2373),"as per slab")</f>
        <v/>
      </c>
    </row>
    <row r="2374">
      <c r="A2374" s="7" t="n"/>
      <c r="B2374" s="7" t="n"/>
      <c r="C2374" s="8" t="n"/>
      <c r="D2374" s="9" t="n"/>
      <c r="E2374" s="8" t="n"/>
      <c r="F2374" s="9" t="n"/>
      <c r="G2374" s="9" t="n"/>
      <c r="H2374" s="3">
        <f>IF(AND(D2374&lt;&gt;"",F2374&lt;&gt;""),F2374-D2374-G2374,"")</f>
        <v/>
      </c>
      <c r="I2374" s="14">
        <f>IF(E2374&lt;&gt;"", YEARFRAC(C2374, E2374) * 12, "")</f>
        <v/>
      </c>
      <c r="J2374" s="2">
        <f>IF(I2374="", "", IF(OR(AND(A2374="Listed Equity Shares", I2374&gt;12), AND(A2374="Unlisted Equity Shares", I2374&gt;24)), "Long Term", "Short Term"))</f>
        <v/>
      </c>
      <c r="K2374" s="5">
        <f>IF(J2374="", "", IF(J2374="Long Term", 12.5%,"as per slab"))</f>
        <v/>
      </c>
      <c r="L2374" s="3">
        <f>+IFERROR(IF(J2374="","",H2374*K2374),"as per slab")</f>
        <v/>
      </c>
    </row>
    <row r="2375">
      <c r="A2375" s="7" t="n"/>
      <c r="B2375" s="7" t="n"/>
      <c r="C2375" s="8" t="n"/>
      <c r="D2375" s="9" t="n"/>
      <c r="E2375" s="8" t="n"/>
      <c r="F2375" s="9" t="n"/>
      <c r="G2375" s="9" t="n"/>
      <c r="H2375" s="3">
        <f>IF(AND(D2375&lt;&gt;"",F2375&lt;&gt;""),F2375-D2375-G2375,"")</f>
        <v/>
      </c>
      <c r="I2375" s="14">
        <f>IF(E2375&lt;&gt;"", YEARFRAC(C2375, E2375) * 12, "")</f>
        <v/>
      </c>
      <c r="J2375" s="2">
        <f>IF(I2375="", "", IF(OR(AND(A2375="Listed Equity Shares", I2375&gt;12), AND(A2375="Unlisted Equity Shares", I2375&gt;24)), "Long Term", "Short Term"))</f>
        <v/>
      </c>
      <c r="K2375" s="5">
        <f>IF(J2375="", "", IF(J2375="Long Term", 12.5%,"as per slab"))</f>
        <v/>
      </c>
      <c r="L2375" s="3">
        <f>+IFERROR(IF(J2375="","",H2375*K2375),"as per slab")</f>
        <v/>
      </c>
    </row>
    <row r="2376">
      <c r="A2376" s="7" t="n"/>
      <c r="B2376" s="7" t="n"/>
      <c r="C2376" s="8" t="n"/>
      <c r="D2376" s="9" t="n"/>
      <c r="E2376" s="8" t="n"/>
      <c r="F2376" s="9" t="n"/>
      <c r="G2376" s="9" t="n"/>
      <c r="H2376" s="3">
        <f>IF(AND(D2376&lt;&gt;"",F2376&lt;&gt;""),F2376-D2376-G2376,"")</f>
        <v/>
      </c>
      <c r="I2376" s="14">
        <f>IF(E2376&lt;&gt;"", YEARFRAC(C2376, E2376) * 12, "")</f>
        <v/>
      </c>
      <c r="J2376" s="2">
        <f>IF(I2376="", "", IF(OR(AND(A2376="Listed Equity Shares", I2376&gt;12), AND(A2376="Unlisted Equity Shares", I2376&gt;24)), "Long Term", "Short Term"))</f>
        <v/>
      </c>
      <c r="K2376" s="5">
        <f>IF(J2376="", "", IF(J2376="Long Term", 12.5%,"as per slab"))</f>
        <v/>
      </c>
      <c r="L2376" s="3">
        <f>+IFERROR(IF(J2376="","",H2376*K2376),"as per slab")</f>
        <v/>
      </c>
    </row>
    <row r="2377">
      <c r="A2377" s="7" t="n"/>
      <c r="B2377" s="7" t="n"/>
      <c r="C2377" s="8" t="n"/>
      <c r="D2377" s="9" t="n"/>
      <c r="E2377" s="8" t="n"/>
      <c r="F2377" s="9" t="n"/>
      <c r="G2377" s="9" t="n"/>
      <c r="H2377" s="3">
        <f>IF(AND(D2377&lt;&gt;"",F2377&lt;&gt;""),F2377-D2377-G2377,"")</f>
        <v/>
      </c>
      <c r="I2377" s="14">
        <f>IF(E2377&lt;&gt;"", YEARFRAC(C2377, E2377) * 12, "")</f>
        <v/>
      </c>
      <c r="J2377" s="2">
        <f>IF(I2377="", "", IF(OR(AND(A2377="Listed Equity Shares", I2377&gt;12), AND(A2377="Unlisted Equity Shares", I2377&gt;24)), "Long Term", "Short Term"))</f>
        <v/>
      </c>
      <c r="K2377" s="5">
        <f>IF(J2377="", "", IF(J2377="Long Term", 12.5%,"as per slab"))</f>
        <v/>
      </c>
      <c r="L2377" s="3">
        <f>+IFERROR(IF(J2377="","",H2377*K2377),"as per slab")</f>
        <v/>
      </c>
    </row>
    <row r="2378">
      <c r="A2378" s="7" t="n"/>
      <c r="B2378" s="7" t="n"/>
      <c r="C2378" s="8" t="n"/>
      <c r="D2378" s="9" t="n"/>
      <c r="E2378" s="8" t="n"/>
      <c r="F2378" s="9" t="n"/>
      <c r="G2378" s="9" t="n"/>
      <c r="H2378" s="3">
        <f>IF(AND(D2378&lt;&gt;"",F2378&lt;&gt;""),F2378-D2378-G2378,"")</f>
        <v/>
      </c>
      <c r="I2378" s="14">
        <f>IF(E2378&lt;&gt;"", YEARFRAC(C2378, E2378) * 12, "")</f>
        <v/>
      </c>
      <c r="J2378" s="2">
        <f>IF(I2378="", "", IF(OR(AND(A2378="Listed Equity Shares", I2378&gt;12), AND(A2378="Unlisted Equity Shares", I2378&gt;24)), "Long Term", "Short Term"))</f>
        <v/>
      </c>
      <c r="K2378" s="5">
        <f>IF(J2378="", "", IF(J2378="Long Term", 12.5%,"as per slab"))</f>
        <v/>
      </c>
      <c r="L2378" s="3">
        <f>+IFERROR(IF(J2378="","",H2378*K2378),"as per slab")</f>
        <v/>
      </c>
    </row>
    <row r="2379">
      <c r="A2379" s="7" t="n"/>
      <c r="B2379" s="7" t="n"/>
      <c r="C2379" s="8" t="n"/>
      <c r="D2379" s="9" t="n"/>
      <c r="E2379" s="8" t="n"/>
      <c r="F2379" s="9" t="n"/>
      <c r="G2379" s="9" t="n"/>
      <c r="H2379" s="3">
        <f>IF(AND(D2379&lt;&gt;"",F2379&lt;&gt;""),F2379-D2379-G2379,"")</f>
        <v/>
      </c>
      <c r="I2379" s="14">
        <f>IF(E2379&lt;&gt;"", YEARFRAC(C2379, E2379) * 12, "")</f>
        <v/>
      </c>
      <c r="J2379" s="2">
        <f>IF(I2379="", "", IF(OR(AND(A2379="Listed Equity Shares", I2379&gt;12), AND(A2379="Unlisted Equity Shares", I2379&gt;24)), "Long Term", "Short Term"))</f>
        <v/>
      </c>
      <c r="K2379" s="5">
        <f>IF(J2379="", "", IF(J2379="Long Term", 12.5%,"as per slab"))</f>
        <v/>
      </c>
      <c r="L2379" s="3">
        <f>+IFERROR(IF(J2379="","",H2379*K2379),"as per slab")</f>
        <v/>
      </c>
    </row>
    <row r="2380">
      <c r="A2380" s="7" t="n"/>
      <c r="B2380" s="7" t="n"/>
      <c r="C2380" s="8" t="n"/>
      <c r="D2380" s="9" t="n"/>
      <c r="E2380" s="8" t="n"/>
      <c r="F2380" s="9" t="n"/>
      <c r="G2380" s="9" t="n"/>
      <c r="H2380" s="3">
        <f>IF(AND(D2380&lt;&gt;"",F2380&lt;&gt;""),F2380-D2380-G2380,"")</f>
        <v/>
      </c>
      <c r="I2380" s="14">
        <f>IF(E2380&lt;&gt;"", YEARFRAC(C2380, E2380) * 12, "")</f>
        <v/>
      </c>
      <c r="J2380" s="2">
        <f>IF(I2380="", "", IF(OR(AND(A2380="Listed Equity Shares", I2380&gt;12), AND(A2380="Unlisted Equity Shares", I2380&gt;24)), "Long Term", "Short Term"))</f>
        <v/>
      </c>
      <c r="K2380" s="5">
        <f>IF(J2380="", "", IF(J2380="Long Term", 12.5%,"as per slab"))</f>
        <v/>
      </c>
      <c r="L2380" s="3">
        <f>+IFERROR(IF(J2380="","",H2380*K2380),"as per slab")</f>
        <v/>
      </c>
    </row>
    <row r="2381">
      <c r="A2381" s="7" t="n"/>
      <c r="B2381" s="7" t="n"/>
      <c r="C2381" s="8" t="n"/>
      <c r="D2381" s="9" t="n"/>
      <c r="E2381" s="8" t="n"/>
      <c r="F2381" s="9" t="n"/>
      <c r="G2381" s="9" t="n"/>
      <c r="H2381" s="3">
        <f>IF(AND(D2381&lt;&gt;"",F2381&lt;&gt;""),F2381-D2381-G2381,"")</f>
        <v/>
      </c>
      <c r="I2381" s="14">
        <f>IF(E2381&lt;&gt;"", YEARFRAC(C2381, E2381) * 12, "")</f>
        <v/>
      </c>
      <c r="J2381" s="2">
        <f>IF(I2381="", "", IF(OR(AND(A2381="Listed Equity Shares", I2381&gt;12), AND(A2381="Unlisted Equity Shares", I2381&gt;24)), "Long Term", "Short Term"))</f>
        <v/>
      </c>
      <c r="K2381" s="5">
        <f>IF(J2381="", "", IF(J2381="Long Term", 12.5%,"as per slab"))</f>
        <v/>
      </c>
      <c r="L2381" s="3">
        <f>+IFERROR(IF(J2381="","",H2381*K2381),"as per slab")</f>
        <v/>
      </c>
    </row>
    <row r="2382">
      <c r="A2382" s="7" t="n"/>
      <c r="B2382" s="7" t="n"/>
      <c r="C2382" s="8" t="n"/>
      <c r="D2382" s="9" t="n"/>
      <c r="E2382" s="8" t="n"/>
      <c r="F2382" s="9" t="n"/>
      <c r="G2382" s="9" t="n"/>
      <c r="H2382" s="3">
        <f>IF(AND(D2382&lt;&gt;"",F2382&lt;&gt;""),F2382-D2382-G2382,"")</f>
        <v/>
      </c>
      <c r="I2382" s="14">
        <f>IF(E2382&lt;&gt;"", YEARFRAC(C2382, E2382) * 12, "")</f>
        <v/>
      </c>
      <c r="J2382" s="2">
        <f>IF(I2382="", "", IF(OR(AND(A2382="Listed Equity Shares", I2382&gt;12), AND(A2382="Unlisted Equity Shares", I2382&gt;24)), "Long Term", "Short Term"))</f>
        <v/>
      </c>
      <c r="K2382" s="5">
        <f>IF(J2382="", "", IF(J2382="Long Term", 12.5%,"as per slab"))</f>
        <v/>
      </c>
      <c r="L2382" s="3">
        <f>+IFERROR(IF(J2382="","",H2382*K2382),"as per slab")</f>
        <v/>
      </c>
    </row>
    <row r="2383">
      <c r="A2383" s="7" t="n"/>
      <c r="B2383" s="7" t="n"/>
      <c r="C2383" s="8" t="n"/>
      <c r="D2383" s="9" t="n"/>
      <c r="E2383" s="8" t="n"/>
      <c r="F2383" s="9" t="n"/>
      <c r="G2383" s="9" t="n"/>
      <c r="H2383" s="3">
        <f>IF(AND(D2383&lt;&gt;"",F2383&lt;&gt;""),F2383-D2383-G2383,"")</f>
        <v/>
      </c>
      <c r="I2383" s="14">
        <f>IF(E2383&lt;&gt;"", YEARFRAC(C2383, E2383) * 12, "")</f>
        <v/>
      </c>
      <c r="J2383" s="2">
        <f>IF(I2383="", "", IF(OR(AND(A2383="Listed Equity Shares", I2383&gt;12), AND(A2383="Unlisted Equity Shares", I2383&gt;24)), "Long Term", "Short Term"))</f>
        <v/>
      </c>
      <c r="K2383" s="5">
        <f>IF(J2383="", "", IF(J2383="Long Term", 12.5%,"as per slab"))</f>
        <v/>
      </c>
      <c r="L2383" s="3">
        <f>+IFERROR(IF(J2383="","",H2383*K2383),"as per slab")</f>
        <v/>
      </c>
    </row>
    <row r="2384">
      <c r="A2384" s="7" t="n"/>
      <c r="B2384" s="7" t="n"/>
      <c r="C2384" s="8" t="n"/>
      <c r="D2384" s="9" t="n"/>
      <c r="E2384" s="8" t="n"/>
      <c r="F2384" s="9" t="n"/>
      <c r="G2384" s="9" t="n"/>
      <c r="H2384" s="3">
        <f>IF(AND(D2384&lt;&gt;"",F2384&lt;&gt;""),F2384-D2384-G2384,"")</f>
        <v/>
      </c>
      <c r="I2384" s="14">
        <f>IF(E2384&lt;&gt;"", YEARFRAC(C2384, E2384) * 12, "")</f>
        <v/>
      </c>
      <c r="J2384" s="2">
        <f>IF(I2384="", "", IF(OR(AND(A2384="Listed Equity Shares", I2384&gt;12), AND(A2384="Unlisted Equity Shares", I2384&gt;24)), "Long Term", "Short Term"))</f>
        <v/>
      </c>
      <c r="K2384" s="5">
        <f>IF(J2384="", "", IF(J2384="Long Term", 12.5%,"as per slab"))</f>
        <v/>
      </c>
      <c r="L2384" s="3">
        <f>+IFERROR(IF(J2384="","",H2384*K2384),"as per slab")</f>
        <v/>
      </c>
    </row>
    <row r="2385">
      <c r="A2385" s="7" t="n"/>
      <c r="B2385" s="7" t="n"/>
      <c r="C2385" s="8" t="n"/>
      <c r="D2385" s="9" t="n"/>
      <c r="E2385" s="8" t="n"/>
      <c r="F2385" s="9" t="n"/>
      <c r="G2385" s="9" t="n"/>
      <c r="H2385" s="3">
        <f>IF(AND(D2385&lt;&gt;"",F2385&lt;&gt;""),F2385-D2385-G2385,"")</f>
        <v/>
      </c>
      <c r="I2385" s="14">
        <f>IF(E2385&lt;&gt;"", YEARFRAC(C2385, E2385) * 12, "")</f>
        <v/>
      </c>
      <c r="J2385" s="2">
        <f>IF(I2385="", "", IF(OR(AND(A2385="Listed Equity Shares", I2385&gt;12), AND(A2385="Unlisted Equity Shares", I2385&gt;24)), "Long Term", "Short Term"))</f>
        <v/>
      </c>
      <c r="K2385" s="5">
        <f>IF(J2385="", "", IF(J2385="Long Term", 12.5%,"as per slab"))</f>
        <v/>
      </c>
      <c r="L2385" s="3">
        <f>+IFERROR(IF(J2385="","",H2385*K2385),"as per slab")</f>
        <v/>
      </c>
    </row>
    <row r="2386">
      <c r="A2386" s="7" t="n"/>
      <c r="B2386" s="7" t="n"/>
      <c r="C2386" s="8" t="n"/>
      <c r="D2386" s="9" t="n"/>
      <c r="E2386" s="8" t="n"/>
      <c r="F2386" s="9" t="n"/>
      <c r="G2386" s="9" t="n"/>
      <c r="H2386" s="3">
        <f>IF(AND(D2386&lt;&gt;"",F2386&lt;&gt;""),F2386-D2386-G2386,"")</f>
        <v/>
      </c>
      <c r="I2386" s="14">
        <f>IF(E2386&lt;&gt;"", YEARFRAC(C2386, E2386) * 12, "")</f>
        <v/>
      </c>
      <c r="J2386" s="2">
        <f>IF(I2386="", "", IF(OR(AND(A2386="Listed Equity Shares", I2386&gt;12), AND(A2386="Unlisted Equity Shares", I2386&gt;24)), "Long Term", "Short Term"))</f>
        <v/>
      </c>
      <c r="K2386" s="5">
        <f>IF(J2386="", "", IF(J2386="Long Term", 12.5%,"as per slab"))</f>
        <v/>
      </c>
      <c r="L2386" s="3">
        <f>+IFERROR(IF(J2386="","",H2386*K2386),"as per slab")</f>
        <v/>
      </c>
    </row>
    <row r="2387">
      <c r="A2387" s="7" t="n"/>
      <c r="B2387" s="7" t="n"/>
      <c r="C2387" s="8" t="n"/>
      <c r="D2387" s="9" t="n"/>
      <c r="E2387" s="8" t="n"/>
      <c r="F2387" s="9" t="n"/>
      <c r="G2387" s="9" t="n"/>
      <c r="H2387" s="3">
        <f>IF(AND(D2387&lt;&gt;"",F2387&lt;&gt;""),F2387-D2387-G2387,"")</f>
        <v/>
      </c>
      <c r="I2387" s="14">
        <f>IF(E2387&lt;&gt;"", YEARFRAC(C2387, E2387) * 12, "")</f>
        <v/>
      </c>
      <c r="J2387" s="2">
        <f>IF(I2387="", "", IF(OR(AND(A2387="Listed Equity Shares", I2387&gt;12), AND(A2387="Unlisted Equity Shares", I2387&gt;24)), "Long Term", "Short Term"))</f>
        <v/>
      </c>
      <c r="K2387" s="5">
        <f>IF(J2387="", "", IF(J2387="Long Term", 12.5%,"as per slab"))</f>
        <v/>
      </c>
      <c r="L2387" s="3">
        <f>+IFERROR(IF(J2387="","",H2387*K2387),"as per slab")</f>
        <v/>
      </c>
    </row>
    <row r="2388">
      <c r="A2388" s="7" t="n"/>
      <c r="B2388" s="7" t="n"/>
      <c r="C2388" s="8" t="n"/>
      <c r="D2388" s="9" t="n"/>
      <c r="E2388" s="8" t="n"/>
      <c r="F2388" s="9" t="n"/>
      <c r="G2388" s="9" t="n"/>
      <c r="H2388" s="3">
        <f>IF(AND(D2388&lt;&gt;"",F2388&lt;&gt;""),F2388-D2388-G2388,"")</f>
        <v/>
      </c>
      <c r="I2388" s="14">
        <f>IF(E2388&lt;&gt;"", YEARFRAC(C2388, E2388) * 12, "")</f>
        <v/>
      </c>
      <c r="J2388" s="2">
        <f>IF(I2388="", "", IF(OR(AND(A2388="Listed Equity Shares", I2388&gt;12), AND(A2388="Unlisted Equity Shares", I2388&gt;24)), "Long Term", "Short Term"))</f>
        <v/>
      </c>
      <c r="K2388" s="5">
        <f>IF(J2388="", "", IF(J2388="Long Term", 12.5%,"as per slab"))</f>
        <v/>
      </c>
      <c r="L2388" s="3">
        <f>+IFERROR(IF(J2388="","",H2388*K2388),"as per slab")</f>
        <v/>
      </c>
    </row>
    <row r="2389">
      <c r="A2389" s="7" t="n"/>
      <c r="B2389" s="7" t="n"/>
      <c r="C2389" s="8" t="n"/>
      <c r="D2389" s="9" t="n"/>
      <c r="E2389" s="8" t="n"/>
      <c r="F2389" s="9" t="n"/>
      <c r="G2389" s="9" t="n"/>
      <c r="H2389" s="3">
        <f>IF(AND(D2389&lt;&gt;"",F2389&lt;&gt;""),F2389-D2389-G2389,"")</f>
        <v/>
      </c>
      <c r="I2389" s="14">
        <f>IF(E2389&lt;&gt;"", YEARFRAC(C2389, E2389) * 12, "")</f>
        <v/>
      </c>
      <c r="J2389" s="2">
        <f>IF(I2389="", "", IF(OR(AND(A2389="Listed Equity Shares", I2389&gt;12), AND(A2389="Unlisted Equity Shares", I2389&gt;24)), "Long Term", "Short Term"))</f>
        <v/>
      </c>
      <c r="K2389" s="5">
        <f>IF(J2389="", "", IF(J2389="Long Term", 12.5%,"as per slab"))</f>
        <v/>
      </c>
      <c r="L2389" s="3">
        <f>+IFERROR(IF(J2389="","",H2389*K2389),"as per slab")</f>
        <v/>
      </c>
    </row>
    <row r="2390">
      <c r="A2390" s="7" t="n"/>
      <c r="B2390" s="7" t="n"/>
      <c r="C2390" s="8" t="n"/>
      <c r="D2390" s="9" t="n"/>
      <c r="E2390" s="8" t="n"/>
      <c r="F2390" s="9" t="n"/>
      <c r="G2390" s="9" t="n"/>
      <c r="H2390" s="3">
        <f>IF(AND(D2390&lt;&gt;"",F2390&lt;&gt;""),F2390-D2390-G2390,"")</f>
        <v/>
      </c>
      <c r="I2390" s="14">
        <f>IF(E2390&lt;&gt;"", YEARFRAC(C2390, E2390) * 12, "")</f>
        <v/>
      </c>
      <c r="J2390" s="2">
        <f>IF(I2390="", "", IF(OR(AND(A2390="Listed Equity Shares", I2390&gt;12), AND(A2390="Unlisted Equity Shares", I2390&gt;24)), "Long Term", "Short Term"))</f>
        <v/>
      </c>
      <c r="K2390" s="5">
        <f>IF(J2390="", "", IF(J2390="Long Term", 12.5%,"as per slab"))</f>
        <v/>
      </c>
      <c r="L2390" s="3">
        <f>+IFERROR(IF(J2390="","",H2390*K2390),"as per slab")</f>
        <v/>
      </c>
    </row>
    <row r="2391">
      <c r="A2391" s="7" t="n"/>
      <c r="B2391" s="7" t="n"/>
      <c r="C2391" s="8" t="n"/>
      <c r="D2391" s="9" t="n"/>
      <c r="E2391" s="8" t="n"/>
      <c r="F2391" s="9" t="n"/>
      <c r="G2391" s="9" t="n"/>
      <c r="H2391" s="3">
        <f>IF(AND(D2391&lt;&gt;"",F2391&lt;&gt;""),F2391-D2391-G2391,"")</f>
        <v/>
      </c>
      <c r="I2391" s="14">
        <f>IF(E2391&lt;&gt;"", YEARFRAC(C2391, E2391) * 12, "")</f>
        <v/>
      </c>
      <c r="J2391" s="2">
        <f>IF(I2391="", "", IF(OR(AND(A2391="Listed Equity Shares", I2391&gt;12), AND(A2391="Unlisted Equity Shares", I2391&gt;24)), "Long Term", "Short Term"))</f>
        <v/>
      </c>
      <c r="K2391" s="5">
        <f>IF(J2391="", "", IF(J2391="Long Term", 12.5%,"as per slab"))</f>
        <v/>
      </c>
      <c r="L2391" s="3">
        <f>+IFERROR(IF(J2391="","",H2391*K2391),"as per slab")</f>
        <v/>
      </c>
    </row>
    <row r="2392">
      <c r="A2392" s="7" t="n"/>
      <c r="B2392" s="7" t="n"/>
      <c r="C2392" s="8" t="n"/>
      <c r="D2392" s="9" t="n"/>
      <c r="E2392" s="8" t="n"/>
      <c r="F2392" s="9" t="n"/>
      <c r="G2392" s="9" t="n"/>
      <c r="H2392" s="3">
        <f>IF(AND(D2392&lt;&gt;"",F2392&lt;&gt;""),F2392-D2392-G2392,"")</f>
        <v/>
      </c>
      <c r="I2392" s="14">
        <f>IF(E2392&lt;&gt;"", YEARFRAC(C2392, E2392) * 12, "")</f>
        <v/>
      </c>
      <c r="J2392" s="2">
        <f>IF(I2392="", "", IF(OR(AND(A2392="Listed Equity Shares", I2392&gt;12), AND(A2392="Unlisted Equity Shares", I2392&gt;24)), "Long Term", "Short Term"))</f>
        <v/>
      </c>
      <c r="K2392" s="5">
        <f>IF(J2392="", "", IF(J2392="Long Term", 12.5%,"as per slab"))</f>
        <v/>
      </c>
      <c r="L2392" s="3">
        <f>+IFERROR(IF(J2392="","",H2392*K2392),"as per slab")</f>
        <v/>
      </c>
    </row>
    <row r="2393">
      <c r="A2393" s="7" t="n"/>
      <c r="B2393" s="7" t="n"/>
      <c r="C2393" s="8" t="n"/>
      <c r="D2393" s="9" t="n"/>
      <c r="E2393" s="8" t="n"/>
      <c r="F2393" s="9" t="n"/>
      <c r="G2393" s="9" t="n"/>
      <c r="H2393" s="3">
        <f>IF(AND(D2393&lt;&gt;"",F2393&lt;&gt;""),F2393-D2393-G2393,"")</f>
        <v/>
      </c>
      <c r="I2393" s="14">
        <f>IF(E2393&lt;&gt;"", YEARFRAC(C2393, E2393) * 12, "")</f>
        <v/>
      </c>
      <c r="J2393" s="2">
        <f>IF(I2393="", "", IF(OR(AND(A2393="Listed Equity Shares", I2393&gt;12), AND(A2393="Unlisted Equity Shares", I2393&gt;24)), "Long Term", "Short Term"))</f>
        <v/>
      </c>
      <c r="K2393" s="5">
        <f>IF(J2393="", "", IF(J2393="Long Term", 12.5%,"as per slab"))</f>
        <v/>
      </c>
      <c r="L2393" s="3">
        <f>+IFERROR(IF(J2393="","",H2393*K2393),"as per slab")</f>
        <v/>
      </c>
    </row>
    <row r="2394">
      <c r="A2394" s="7" t="n"/>
      <c r="B2394" s="7" t="n"/>
      <c r="C2394" s="8" t="n"/>
      <c r="D2394" s="9" t="n"/>
      <c r="E2394" s="8" t="n"/>
      <c r="F2394" s="9" t="n"/>
      <c r="G2394" s="9" t="n"/>
      <c r="H2394" s="3">
        <f>IF(AND(D2394&lt;&gt;"",F2394&lt;&gt;""),F2394-D2394-G2394,"")</f>
        <v/>
      </c>
      <c r="I2394" s="14">
        <f>IF(E2394&lt;&gt;"", YEARFRAC(C2394, E2394) * 12, "")</f>
        <v/>
      </c>
      <c r="J2394" s="2">
        <f>IF(I2394="", "", IF(OR(AND(A2394="Listed Equity Shares", I2394&gt;12), AND(A2394="Unlisted Equity Shares", I2394&gt;24)), "Long Term", "Short Term"))</f>
        <v/>
      </c>
      <c r="K2394" s="5">
        <f>IF(J2394="", "", IF(J2394="Long Term", 12.5%,"as per slab"))</f>
        <v/>
      </c>
      <c r="L2394" s="3">
        <f>+IFERROR(IF(J2394="","",H2394*K2394),"as per slab")</f>
        <v/>
      </c>
    </row>
    <row r="2395">
      <c r="A2395" s="7" t="n"/>
      <c r="B2395" s="7" t="n"/>
      <c r="C2395" s="8" t="n"/>
      <c r="D2395" s="9" t="n"/>
      <c r="E2395" s="8" t="n"/>
      <c r="F2395" s="9" t="n"/>
      <c r="G2395" s="9" t="n"/>
      <c r="H2395" s="3">
        <f>IF(AND(D2395&lt;&gt;"",F2395&lt;&gt;""),F2395-D2395-G2395,"")</f>
        <v/>
      </c>
      <c r="I2395" s="14">
        <f>IF(E2395&lt;&gt;"", YEARFRAC(C2395, E2395) * 12, "")</f>
        <v/>
      </c>
      <c r="J2395" s="2">
        <f>IF(I2395="", "", IF(OR(AND(A2395="Listed Equity Shares", I2395&gt;12), AND(A2395="Unlisted Equity Shares", I2395&gt;24)), "Long Term", "Short Term"))</f>
        <v/>
      </c>
      <c r="K2395" s="5">
        <f>IF(J2395="", "", IF(J2395="Long Term", 12.5%,"as per slab"))</f>
        <v/>
      </c>
      <c r="L2395" s="3">
        <f>+IFERROR(IF(J2395="","",H2395*K2395),"as per slab")</f>
        <v/>
      </c>
    </row>
    <row r="2396">
      <c r="A2396" s="7" t="n"/>
      <c r="B2396" s="7" t="n"/>
      <c r="C2396" s="8" t="n"/>
      <c r="D2396" s="9" t="n"/>
      <c r="E2396" s="8" t="n"/>
      <c r="F2396" s="9" t="n"/>
      <c r="G2396" s="9" t="n"/>
      <c r="H2396" s="3">
        <f>IF(AND(D2396&lt;&gt;"",F2396&lt;&gt;""),F2396-D2396-G2396,"")</f>
        <v/>
      </c>
      <c r="I2396" s="14">
        <f>IF(E2396&lt;&gt;"", YEARFRAC(C2396, E2396) * 12, "")</f>
        <v/>
      </c>
      <c r="J2396" s="2">
        <f>IF(I2396="", "", IF(OR(AND(A2396="Listed Equity Shares", I2396&gt;12), AND(A2396="Unlisted Equity Shares", I2396&gt;24)), "Long Term", "Short Term"))</f>
        <v/>
      </c>
      <c r="K2396" s="5">
        <f>IF(J2396="", "", IF(J2396="Long Term", 12.5%,"as per slab"))</f>
        <v/>
      </c>
      <c r="L2396" s="3">
        <f>+IFERROR(IF(J2396="","",H2396*K2396),"as per slab")</f>
        <v/>
      </c>
    </row>
    <row r="2397">
      <c r="A2397" s="7" t="n"/>
      <c r="B2397" s="7" t="n"/>
      <c r="C2397" s="8" t="n"/>
      <c r="D2397" s="9" t="n"/>
      <c r="E2397" s="8" t="n"/>
      <c r="F2397" s="9" t="n"/>
      <c r="G2397" s="9" t="n"/>
      <c r="H2397" s="3">
        <f>IF(AND(D2397&lt;&gt;"",F2397&lt;&gt;""),F2397-D2397-G2397,"")</f>
        <v/>
      </c>
      <c r="I2397" s="14">
        <f>IF(E2397&lt;&gt;"", YEARFRAC(C2397, E2397) * 12, "")</f>
        <v/>
      </c>
      <c r="J2397" s="2">
        <f>IF(I2397="", "", IF(OR(AND(A2397="Listed Equity Shares", I2397&gt;12), AND(A2397="Unlisted Equity Shares", I2397&gt;24)), "Long Term", "Short Term"))</f>
        <v/>
      </c>
      <c r="K2397" s="5">
        <f>IF(J2397="", "", IF(J2397="Long Term", 12.5%,"as per slab"))</f>
        <v/>
      </c>
      <c r="L2397" s="3">
        <f>+IFERROR(IF(J2397="","",H2397*K2397),"as per slab")</f>
        <v/>
      </c>
    </row>
    <row r="2398">
      <c r="A2398" s="7" t="n"/>
      <c r="B2398" s="7" t="n"/>
      <c r="C2398" s="8" t="n"/>
      <c r="D2398" s="9" t="n"/>
      <c r="E2398" s="8" t="n"/>
      <c r="F2398" s="9" t="n"/>
      <c r="G2398" s="9" t="n"/>
      <c r="H2398" s="3">
        <f>IF(AND(D2398&lt;&gt;"",F2398&lt;&gt;""),F2398-D2398-G2398,"")</f>
        <v/>
      </c>
      <c r="I2398" s="14">
        <f>IF(E2398&lt;&gt;"", YEARFRAC(C2398, E2398) * 12, "")</f>
        <v/>
      </c>
      <c r="J2398" s="2">
        <f>IF(I2398="", "", IF(OR(AND(A2398="Listed Equity Shares", I2398&gt;12), AND(A2398="Unlisted Equity Shares", I2398&gt;24)), "Long Term", "Short Term"))</f>
        <v/>
      </c>
      <c r="K2398" s="5">
        <f>IF(J2398="", "", IF(J2398="Long Term", 12.5%,"as per slab"))</f>
        <v/>
      </c>
      <c r="L2398" s="3">
        <f>+IFERROR(IF(J2398="","",H2398*K2398),"as per slab")</f>
        <v/>
      </c>
    </row>
    <row r="2399">
      <c r="A2399" s="7" t="n"/>
      <c r="B2399" s="7" t="n"/>
      <c r="C2399" s="8" t="n"/>
      <c r="D2399" s="9" t="n"/>
      <c r="E2399" s="8" t="n"/>
      <c r="F2399" s="9" t="n"/>
      <c r="G2399" s="9" t="n"/>
      <c r="H2399" s="3">
        <f>IF(AND(D2399&lt;&gt;"",F2399&lt;&gt;""),F2399-D2399-G2399,"")</f>
        <v/>
      </c>
      <c r="I2399" s="14">
        <f>IF(E2399&lt;&gt;"", YEARFRAC(C2399, E2399) * 12, "")</f>
        <v/>
      </c>
      <c r="J2399" s="2">
        <f>IF(I2399="", "", IF(OR(AND(A2399="Listed Equity Shares", I2399&gt;12), AND(A2399="Unlisted Equity Shares", I2399&gt;24)), "Long Term", "Short Term"))</f>
        <v/>
      </c>
      <c r="K2399" s="5">
        <f>IF(J2399="", "", IF(J2399="Long Term", 12.5%,"as per slab"))</f>
        <v/>
      </c>
      <c r="L2399" s="3">
        <f>+IFERROR(IF(J2399="","",H2399*K2399),"as per slab")</f>
        <v/>
      </c>
    </row>
    <row r="2400">
      <c r="A2400" s="7" t="n"/>
      <c r="B2400" s="7" t="n"/>
      <c r="C2400" s="8" t="n"/>
      <c r="D2400" s="9" t="n"/>
      <c r="E2400" s="8" t="n"/>
      <c r="F2400" s="9" t="n"/>
      <c r="G2400" s="9" t="n"/>
      <c r="H2400" s="3">
        <f>IF(AND(D2400&lt;&gt;"",F2400&lt;&gt;""),F2400-D2400-G2400,"")</f>
        <v/>
      </c>
      <c r="I2400" s="14">
        <f>IF(E2400&lt;&gt;"", YEARFRAC(C2400, E2400) * 12, "")</f>
        <v/>
      </c>
      <c r="J2400" s="2">
        <f>IF(I2400="", "", IF(OR(AND(A2400="Listed Equity Shares", I2400&gt;12), AND(A2400="Unlisted Equity Shares", I2400&gt;24)), "Long Term", "Short Term"))</f>
        <v/>
      </c>
      <c r="K2400" s="5">
        <f>IF(J2400="", "", IF(J2400="Long Term", 12.5%,"as per slab"))</f>
        <v/>
      </c>
      <c r="L2400" s="3">
        <f>+IFERROR(IF(J2400="","",H2400*K2400),"as per slab")</f>
        <v/>
      </c>
    </row>
    <row r="2401">
      <c r="A2401" s="7" t="n"/>
      <c r="B2401" s="7" t="n"/>
      <c r="C2401" s="8" t="n"/>
      <c r="D2401" s="9" t="n"/>
      <c r="E2401" s="8" t="n"/>
      <c r="F2401" s="9" t="n"/>
      <c r="G2401" s="9" t="n"/>
      <c r="H2401" s="3">
        <f>IF(AND(D2401&lt;&gt;"",F2401&lt;&gt;""),F2401-D2401-G2401,"")</f>
        <v/>
      </c>
      <c r="I2401" s="14">
        <f>IF(E2401&lt;&gt;"", YEARFRAC(C2401, E2401) * 12, "")</f>
        <v/>
      </c>
      <c r="J2401" s="2">
        <f>IF(I2401="", "", IF(OR(AND(A2401="Listed Equity Shares", I2401&gt;12), AND(A2401="Unlisted Equity Shares", I2401&gt;24)), "Long Term", "Short Term"))</f>
        <v/>
      </c>
      <c r="K2401" s="5">
        <f>IF(J2401="", "", IF(J2401="Long Term", 12.5%,"as per slab"))</f>
        <v/>
      </c>
      <c r="L2401" s="3">
        <f>+IFERROR(IF(J2401="","",H2401*K2401),"as per slab")</f>
        <v/>
      </c>
    </row>
    <row r="2402">
      <c r="A2402" s="7" t="n"/>
      <c r="B2402" s="7" t="n"/>
      <c r="C2402" s="8" t="n"/>
      <c r="D2402" s="9" t="n"/>
      <c r="E2402" s="8" t="n"/>
      <c r="F2402" s="9" t="n"/>
      <c r="G2402" s="9" t="n"/>
      <c r="H2402" s="3">
        <f>IF(AND(D2402&lt;&gt;"",F2402&lt;&gt;""),F2402-D2402-G2402,"")</f>
        <v/>
      </c>
      <c r="I2402" s="14">
        <f>IF(E2402&lt;&gt;"", YEARFRAC(C2402, E2402) * 12, "")</f>
        <v/>
      </c>
      <c r="J2402" s="2">
        <f>IF(I2402="", "", IF(OR(AND(A2402="Listed Equity Shares", I2402&gt;12), AND(A2402="Unlisted Equity Shares", I2402&gt;24)), "Long Term", "Short Term"))</f>
        <v/>
      </c>
      <c r="K2402" s="5">
        <f>IF(J2402="", "", IF(J2402="Long Term", 12.5%,"as per slab"))</f>
        <v/>
      </c>
      <c r="L2402" s="3">
        <f>+IFERROR(IF(J2402="","",H2402*K2402),"as per slab")</f>
        <v/>
      </c>
    </row>
    <row r="2403">
      <c r="A2403" s="7" t="n"/>
      <c r="B2403" s="7" t="n"/>
      <c r="C2403" s="8" t="n"/>
      <c r="D2403" s="9" t="n"/>
      <c r="E2403" s="8" t="n"/>
      <c r="F2403" s="9" t="n"/>
      <c r="G2403" s="9" t="n"/>
      <c r="H2403" s="3">
        <f>IF(AND(D2403&lt;&gt;"",F2403&lt;&gt;""),F2403-D2403-G2403,"")</f>
        <v/>
      </c>
      <c r="I2403" s="14">
        <f>IF(E2403&lt;&gt;"", YEARFRAC(C2403, E2403) * 12, "")</f>
        <v/>
      </c>
      <c r="J2403" s="2">
        <f>IF(I2403="", "", IF(OR(AND(A2403="Listed Equity Shares", I2403&gt;12), AND(A2403="Unlisted Equity Shares", I2403&gt;24)), "Long Term", "Short Term"))</f>
        <v/>
      </c>
      <c r="K2403" s="5">
        <f>IF(J2403="", "", IF(J2403="Long Term", 12.5%,"as per slab"))</f>
        <v/>
      </c>
      <c r="L2403" s="3">
        <f>+IFERROR(IF(J2403="","",H2403*K2403),"as per slab")</f>
        <v/>
      </c>
    </row>
    <row r="2404">
      <c r="A2404" s="7" t="n"/>
      <c r="B2404" s="7" t="n"/>
      <c r="C2404" s="8" t="n"/>
      <c r="D2404" s="9" t="n"/>
      <c r="E2404" s="8" t="n"/>
      <c r="F2404" s="9" t="n"/>
      <c r="G2404" s="9" t="n"/>
      <c r="H2404" s="3">
        <f>IF(AND(D2404&lt;&gt;"",F2404&lt;&gt;""),F2404-D2404-G2404,"")</f>
        <v/>
      </c>
      <c r="I2404" s="14">
        <f>IF(E2404&lt;&gt;"", YEARFRAC(C2404, E2404) * 12, "")</f>
        <v/>
      </c>
      <c r="J2404" s="2">
        <f>IF(I2404="", "", IF(OR(AND(A2404="Listed Equity Shares", I2404&gt;12), AND(A2404="Unlisted Equity Shares", I2404&gt;24)), "Long Term", "Short Term"))</f>
        <v/>
      </c>
      <c r="K2404" s="5">
        <f>IF(J2404="", "", IF(J2404="Long Term", 12.5%,"as per slab"))</f>
        <v/>
      </c>
      <c r="L2404" s="3">
        <f>+IFERROR(IF(J2404="","",H2404*K2404),"as per slab")</f>
        <v/>
      </c>
    </row>
    <row r="2405">
      <c r="A2405" s="7" t="n"/>
      <c r="B2405" s="7" t="n"/>
      <c r="C2405" s="8" t="n"/>
      <c r="D2405" s="9" t="n"/>
      <c r="E2405" s="8" t="n"/>
      <c r="F2405" s="9" t="n"/>
      <c r="G2405" s="9" t="n"/>
      <c r="H2405" s="3">
        <f>IF(AND(D2405&lt;&gt;"",F2405&lt;&gt;""),F2405-D2405-G2405,"")</f>
        <v/>
      </c>
      <c r="I2405" s="14">
        <f>IF(E2405&lt;&gt;"", YEARFRAC(C2405, E2405) * 12, "")</f>
        <v/>
      </c>
      <c r="J2405" s="2">
        <f>IF(I2405="", "", IF(OR(AND(A2405="Listed Equity Shares", I2405&gt;12), AND(A2405="Unlisted Equity Shares", I2405&gt;24)), "Long Term", "Short Term"))</f>
        <v/>
      </c>
      <c r="K2405" s="5">
        <f>IF(J2405="", "", IF(J2405="Long Term", 12.5%,"as per slab"))</f>
        <v/>
      </c>
      <c r="L2405" s="3">
        <f>+IFERROR(IF(J2405="","",H2405*K2405),"as per slab")</f>
        <v/>
      </c>
    </row>
    <row r="2406">
      <c r="A2406" s="7" t="n"/>
      <c r="B2406" s="7" t="n"/>
      <c r="C2406" s="8" t="n"/>
      <c r="D2406" s="9" t="n"/>
      <c r="E2406" s="8" t="n"/>
      <c r="F2406" s="9" t="n"/>
      <c r="G2406" s="9" t="n"/>
      <c r="H2406" s="3">
        <f>IF(AND(D2406&lt;&gt;"",F2406&lt;&gt;""),F2406-D2406-G2406,"")</f>
        <v/>
      </c>
      <c r="I2406" s="14">
        <f>IF(E2406&lt;&gt;"", YEARFRAC(C2406, E2406) * 12, "")</f>
        <v/>
      </c>
      <c r="J2406" s="2">
        <f>IF(I2406="", "", IF(OR(AND(A2406="Listed Equity Shares", I2406&gt;12), AND(A2406="Unlisted Equity Shares", I2406&gt;24)), "Long Term", "Short Term"))</f>
        <v/>
      </c>
      <c r="K2406" s="5">
        <f>IF(J2406="", "", IF(J2406="Long Term", 12.5%,"as per slab"))</f>
        <v/>
      </c>
      <c r="L2406" s="3">
        <f>+IFERROR(IF(J2406="","",H2406*K2406),"as per slab")</f>
        <v/>
      </c>
    </row>
    <row r="2407">
      <c r="A2407" s="7" t="n"/>
      <c r="B2407" s="7" t="n"/>
      <c r="C2407" s="8" t="n"/>
      <c r="D2407" s="9" t="n"/>
      <c r="E2407" s="8" t="n"/>
      <c r="F2407" s="9" t="n"/>
      <c r="G2407" s="9" t="n"/>
      <c r="H2407" s="3">
        <f>IF(AND(D2407&lt;&gt;"",F2407&lt;&gt;""),F2407-D2407-G2407,"")</f>
        <v/>
      </c>
      <c r="I2407" s="14">
        <f>IF(E2407&lt;&gt;"", YEARFRAC(C2407, E2407) * 12, "")</f>
        <v/>
      </c>
      <c r="J2407" s="2">
        <f>IF(I2407="", "", IF(OR(AND(A2407="Listed Equity Shares", I2407&gt;12), AND(A2407="Unlisted Equity Shares", I2407&gt;24)), "Long Term", "Short Term"))</f>
        <v/>
      </c>
      <c r="K2407" s="5">
        <f>IF(J2407="", "", IF(J2407="Long Term", 12.5%,"as per slab"))</f>
        <v/>
      </c>
      <c r="L2407" s="3">
        <f>+IFERROR(IF(J2407="","",H2407*K2407),"as per slab")</f>
        <v/>
      </c>
    </row>
    <row r="2408">
      <c r="A2408" s="7" t="n"/>
      <c r="B2408" s="7" t="n"/>
      <c r="C2408" s="8" t="n"/>
      <c r="D2408" s="9" t="n"/>
      <c r="E2408" s="8" t="n"/>
      <c r="F2408" s="9" t="n"/>
      <c r="G2408" s="9" t="n"/>
      <c r="H2408" s="3">
        <f>IF(AND(D2408&lt;&gt;"",F2408&lt;&gt;""),F2408-D2408-G2408,"")</f>
        <v/>
      </c>
      <c r="I2408" s="14">
        <f>IF(E2408&lt;&gt;"", YEARFRAC(C2408, E2408) * 12, "")</f>
        <v/>
      </c>
      <c r="J2408" s="2">
        <f>IF(I2408="", "", IF(OR(AND(A2408="Listed Equity Shares", I2408&gt;12), AND(A2408="Unlisted Equity Shares", I2408&gt;24)), "Long Term", "Short Term"))</f>
        <v/>
      </c>
      <c r="K2408" s="5">
        <f>IF(J2408="", "", IF(J2408="Long Term", 12.5%,"as per slab"))</f>
        <v/>
      </c>
      <c r="L2408" s="3">
        <f>+IFERROR(IF(J2408="","",H2408*K2408),"as per slab")</f>
        <v/>
      </c>
    </row>
    <row r="2409">
      <c r="A2409" s="7" t="n"/>
      <c r="B2409" s="7" t="n"/>
      <c r="C2409" s="8" t="n"/>
      <c r="D2409" s="9" t="n"/>
      <c r="E2409" s="8" t="n"/>
      <c r="F2409" s="9" t="n"/>
      <c r="G2409" s="9" t="n"/>
      <c r="H2409" s="3">
        <f>IF(AND(D2409&lt;&gt;"",F2409&lt;&gt;""),F2409-D2409-G2409,"")</f>
        <v/>
      </c>
      <c r="I2409" s="14">
        <f>IF(E2409&lt;&gt;"", YEARFRAC(C2409, E2409) * 12, "")</f>
        <v/>
      </c>
      <c r="J2409" s="2">
        <f>IF(I2409="", "", IF(OR(AND(A2409="Listed Equity Shares", I2409&gt;12), AND(A2409="Unlisted Equity Shares", I2409&gt;24)), "Long Term", "Short Term"))</f>
        <v/>
      </c>
      <c r="K2409" s="5">
        <f>IF(J2409="", "", IF(J2409="Long Term", 12.5%,"as per slab"))</f>
        <v/>
      </c>
      <c r="L2409" s="3">
        <f>+IFERROR(IF(J2409="","",H2409*K2409),"as per slab")</f>
        <v/>
      </c>
    </row>
    <row r="2410">
      <c r="A2410" s="7" t="n"/>
      <c r="B2410" s="7" t="n"/>
      <c r="C2410" s="8" t="n"/>
      <c r="D2410" s="9" t="n"/>
      <c r="E2410" s="8" t="n"/>
      <c r="F2410" s="9" t="n"/>
      <c r="G2410" s="9" t="n"/>
      <c r="H2410" s="3">
        <f>IF(AND(D2410&lt;&gt;"",F2410&lt;&gt;""),F2410-D2410-G2410,"")</f>
        <v/>
      </c>
      <c r="I2410" s="14">
        <f>IF(E2410&lt;&gt;"", YEARFRAC(C2410, E2410) * 12, "")</f>
        <v/>
      </c>
      <c r="J2410" s="2">
        <f>IF(I2410="", "", IF(OR(AND(A2410="Listed Equity Shares", I2410&gt;12), AND(A2410="Unlisted Equity Shares", I2410&gt;24)), "Long Term", "Short Term"))</f>
        <v/>
      </c>
      <c r="K2410" s="5">
        <f>IF(J2410="", "", IF(J2410="Long Term", 12.5%,"as per slab"))</f>
        <v/>
      </c>
      <c r="L2410" s="3">
        <f>+IFERROR(IF(J2410="","",H2410*K2410),"as per slab")</f>
        <v/>
      </c>
    </row>
    <row r="2411">
      <c r="A2411" s="7" t="n"/>
      <c r="B2411" s="7" t="n"/>
      <c r="C2411" s="8" t="n"/>
      <c r="D2411" s="9" t="n"/>
      <c r="E2411" s="8" t="n"/>
      <c r="F2411" s="9" t="n"/>
      <c r="G2411" s="9" t="n"/>
      <c r="H2411" s="3">
        <f>IF(AND(D2411&lt;&gt;"",F2411&lt;&gt;""),F2411-D2411-G2411,"")</f>
        <v/>
      </c>
      <c r="I2411" s="14">
        <f>IF(E2411&lt;&gt;"", YEARFRAC(C2411, E2411) * 12, "")</f>
        <v/>
      </c>
      <c r="J2411" s="2">
        <f>IF(I2411="", "", IF(OR(AND(A2411="Listed Equity Shares", I2411&gt;12), AND(A2411="Unlisted Equity Shares", I2411&gt;24)), "Long Term", "Short Term"))</f>
        <v/>
      </c>
      <c r="K2411" s="5">
        <f>IF(J2411="", "", IF(J2411="Long Term", 12.5%,"as per slab"))</f>
        <v/>
      </c>
      <c r="L2411" s="3">
        <f>+IFERROR(IF(J2411="","",H2411*K2411),"as per slab")</f>
        <v/>
      </c>
    </row>
    <row r="2412">
      <c r="A2412" s="7" t="n"/>
      <c r="B2412" s="7" t="n"/>
      <c r="C2412" s="8" t="n"/>
      <c r="D2412" s="9" t="n"/>
      <c r="E2412" s="8" t="n"/>
      <c r="F2412" s="9" t="n"/>
      <c r="G2412" s="9" t="n"/>
      <c r="H2412" s="3">
        <f>IF(AND(D2412&lt;&gt;"",F2412&lt;&gt;""),F2412-D2412-G2412,"")</f>
        <v/>
      </c>
      <c r="I2412" s="14">
        <f>IF(E2412&lt;&gt;"", YEARFRAC(C2412, E2412) * 12, "")</f>
        <v/>
      </c>
      <c r="J2412" s="2">
        <f>IF(I2412="", "", IF(OR(AND(A2412="Listed Equity Shares", I2412&gt;12), AND(A2412="Unlisted Equity Shares", I2412&gt;24)), "Long Term", "Short Term"))</f>
        <v/>
      </c>
      <c r="K2412" s="5">
        <f>IF(J2412="", "", IF(J2412="Long Term", 12.5%,"as per slab"))</f>
        <v/>
      </c>
      <c r="L2412" s="3">
        <f>+IFERROR(IF(J2412="","",H2412*K2412),"as per slab")</f>
        <v/>
      </c>
    </row>
    <row r="2413">
      <c r="A2413" s="7" t="n"/>
      <c r="B2413" s="7" t="n"/>
      <c r="C2413" s="8" t="n"/>
      <c r="D2413" s="9" t="n"/>
      <c r="E2413" s="8" t="n"/>
      <c r="F2413" s="9" t="n"/>
      <c r="G2413" s="9" t="n"/>
      <c r="H2413" s="3">
        <f>IF(AND(D2413&lt;&gt;"",F2413&lt;&gt;""),F2413-D2413-G2413,"")</f>
        <v/>
      </c>
      <c r="I2413" s="14">
        <f>IF(E2413&lt;&gt;"", YEARFRAC(C2413, E2413) * 12, "")</f>
        <v/>
      </c>
      <c r="J2413" s="2">
        <f>IF(I2413="", "", IF(OR(AND(A2413="Listed Equity Shares", I2413&gt;12), AND(A2413="Unlisted Equity Shares", I2413&gt;24)), "Long Term", "Short Term"))</f>
        <v/>
      </c>
      <c r="K2413" s="5">
        <f>IF(J2413="", "", IF(J2413="Long Term", 12.5%,"as per slab"))</f>
        <v/>
      </c>
      <c r="L2413" s="3">
        <f>+IFERROR(IF(J2413="","",H2413*K2413),"as per slab")</f>
        <v/>
      </c>
    </row>
    <row r="2414">
      <c r="A2414" s="7" t="n"/>
      <c r="B2414" s="7" t="n"/>
      <c r="C2414" s="8" t="n"/>
      <c r="D2414" s="9" t="n"/>
      <c r="E2414" s="8" t="n"/>
      <c r="F2414" s="9" t="n"/>
      <c r="G2414" s="9" t="n"/>
      <c r="H2414" s="3">
        <f>IF(AND(D2414&lt;&gt;"",F2414&lt;&gt;""),F2414-D2414-G2414,"")</f>
        <v/>
      </c>
      <c r="I2414" s="14">
        <f>IF(E2414&lt;&gt;"", YEARFRAC(C2414, E2414) * 12, "")</f>
        <v/>
      </c>
      <c r="J2414" s="2">
        <f>IF(I2414="", "", IF(OR(AND(A2414="Listed Equity Shares", I2414&gt;12), AND(A2414="Unlisted Equity Shares", I2414&gt;24)), "Long Term", "Short Term"))</f>
        <v/>
      </c>
      <c r="K2414" s="5">
        <f>IF(J2414="", "", IF(J2414="Long Term", 12.5%,"as per slab"))</f>
        <v/>
      </c>
      <c r="L2414" s="3">
        <f>+IFERROR(IF(J2414="","",H2414*K2414),"as per slab")</f>
        <v/>
      </c>
    </row>
    <row r="2415">
      <c r="A2415" s="7" t="n"/>
      <c r="B2415" s="7" t="n"/>
      <c r="C2415" s="8" t="n"/>
      <c r="D2415" s="9" t="n"/>
      <c r="E2415" s="8" t="n"/>
      <c r="F2415" s="9" t="n"/>
      <c r="G2415" s="9" t="n"/>
      <c r="H2415" s="3">
        <f>IF(AND(D2415&lt;&gt;"",F2415&lt;&gt;""),F2415-D2415-G2415,"")</f>
        <v/>
      </c>
      <c r="I2415" s="14">
        <f>IF(E2415&lt;&gt;"", YEARFRAC(C2415, E2415) * 12, "")</f>
        <v/>
      </c>
      <c r="J2415" s="2">
        <f>IF(I2415="", "", IF(OR(AND(A2415="Listed Equity Shares", I2415&gt;12), AND(A2415="Unlisted Equity Shares", I2415&gt;24)), "Long Term", "Short Term"))</f>
        <v/>
      </c>
      <c r="K2415" s="5">
        <f>IF(J2415="", "", IF(J2415="Long Term", 12.5%,"as per slab"))</f>
        <v/>
      </c>
      <c r="L2415" s="3">
        <f>+IFERROR(IF(J2415="","",H2415*K2415),"as per slab")</f>
        <v/>
      </c>
    </row>
    <row r="2416">
      <c r="A2416" s="7" t="n"/>
      <c r="B2416" s="7" t="n"/>
      <c r="C2416" s="8" t="n"/>
      <c r="D2416" s="9" t="n"/>
      <c r="E2416" s="8" t="n"/>
      <c r="F2416" s="9" t="n"/>
      <c r="G2416" s="9" t="n"/>
      <c r="H2416" s="3">
        <f>IF(AND(D2416&lt;&gt;"",F2416&lt;&gt;""),F2416-D2416-G2416,"")</f>
        <v/>
      </c>
      <c r="I2416" s="14">
        <f>IF(E2416&lt;&gt;"", YEARFRAC(C2416, E2416) * 12, "")</f>
        <v/>
      </c>
      <c r="J2416" s="2">
        <f>IF(I2416="", "", IF(OR(AND(A2416="Listed Equity Shares", I2416&gt;12), AND(A2416="Unlisted Equity Shares", I2416&gt;24)), "Long Term", "Short Term"))</f>
        <v/>
      </c>
      <c r="K2416" s="5">
        <f>IF(J2416="", "", IF(J2416="Long Term", 12.5%,"as per slab"))</f>
        <v/>
      </c>
      <c r="L2416" s="3">
        <f>+IFERROR(IF(J2416="","",H2416*K2416),"as per slab")</f>
        <v/>
      </c>
    </row>
    <row r="2417">
      <c r="A2417" s="7" t="n"/>
      <c r="B2417" s="7" t="n"/>
      <c r="C2417" s="8" t="n"/>
      <c r="D2417" s="9" t="n"/>
      <c r="E2417" s="8" t="n"/>
      <c r="F2417" s="9" t="n"/>
      <c r="G2417" s="9" t="n"/>
      <c r="H2417" s="3">
        <f>IF(AND(D2417&lt;&gt;"",F2417&lt;&gt;""),F2417-D2417-G2417,"")</f>
        <v/>
      </c>
      <c r="I2417" s="14">
        <f>IF(E2417&lt;&gt;"", YEARFRAC(C2417, E2417) * 12, "")</f>
        <v/>
      </c>
      <c r="J2417" s="2">
        <f>IF(I2417="", "", IF(OR(AND(A2417="Listed Equity Shares", I2417&gt;12), AND(A2417="Unlisted Equity Shares", I2417&gt;24)), "Long Term", "Short Term"))</f>
        <v/>
      </c>
      <c r="K2417" s="5">
        <f>IF(J2417="", "", IF(J2417="Long Term", 12.5%,"as per slab"))</f>
        <v/>
      </c>
      <c r="L2417" s="3">
        <f>+IFERROR(IF(J2417="","",H2417*K2417),"as per slab")</f>
        <v/>
      </c>
    </row>
    <row r="2418">
      <c r="A2418" s="7" t="n"/>
      <c r="B2418" s="7" t="n"/>
      <c r="C2418" s="8" t="n"/>
      <c r="D2418" s="9" t="n"/>
      <c r="E2418" s="8" t="n"/>
      <c r="F2418" s="9" t="n"/>
      <c r="G2418" s="9" t="n"/>
      <c r="H2418" s="3">
        <f>IF(AND(D2418&lt;&gt;"",F2418&lt;&gt;""),F2418-D2418-G2418,"")</f>
        <v/>
      </c>
      <c r="I2418" s="14">
        <f>IF(E2418&lt;&gt;"", YEARFRAC(C2418, E2418) * 12, "")</f>
        <v/>
      </c>
      <c r="J2418" s="2">
        <f>IF(I2418="", "", IF(OR(AND(A2418="Listed Equity Shares", I2418&gt;12), AND(A2418="Unlisted Equity Shares", I2418&gt;24)), "Long Term", "Short Term"))</f>
        <v/>
      </c>
      <c r="K2418" s="5">
        <f>IF(J2418="", "", IF(J2418="Long Term", 12.5%,"as per slab"))</f>
        <v/>
      </c>
      <c r="L2418" s="3">
        <f>+IFERROR(IF(J2418="","",H2418*K2418),"as per slab")</f>
        <v/>
      </c>
    </row>
    <row r="2419">
      <c r="A2419" s="7" t="n"/>
      <c r="B2419" s="7" t="n"/>
      <c r="C2419" s="8" t="n"/>
      <c r="D2419" s="9" t="n"/>
      <c r="E2419" s="8" t="n"/>
      <c r="F2419" s="9" t="n"/>
      <c r="G2419" s="9" t="n"/>
      <c r="H2419" s="3">
        <f>IF(AND(D2419&lt;&gt;"",F2419&lt;&gt;""),F2419-D2419-G2419,"")</f>
        <v/>
      </c>
      <c r="I2419" s="14">
        <f>IF(E2419&lt;&gt;"", YEARFRAC(C2419, E2419) * 12, "")</f>
        <v/>
      </c>
      <c r="J2419" s="2">
        <f>IF(I2419="", "", IF(OR(AND(A2419="Listed Equity Shares", I2419&gt;12), AND(A2419="Unlisted Equity Shares", I2419&gt;24)), "Long Term", "Short Term"))</f>
        <v/>
      </c>
      <c r="K2419" s="5">
        <f>IF(J2419="", "", IF(J2419="Long Term", 12.5%,"as per slab"))</f>
        <v/>
      </c>
      <c r="L2419" s="3">
        <f>+IFERROR(IF(J2419="","",H2419*K2419),"as per slab")</f>
        <v/>
      </c>
    </row>
    <row r="2420">
      <c r="A2420" s="7" t="n"/>
      <c r="B2420" s="7" t="n"/>
      <c r="C2420" s="8" t="n"/>
      <c r="D2420" s="9" t="n"/>
      <c r="E2420" s="8" t="n"/>
      <c r="F2420" s="9" t="n"/>
      <c r="G2420" s="9" t="n"/>
      <c r="H2420" s="3">
        <f>IF(AND(D2420&lt;&gt;"",F2420&lt;&gt;""),F2420-D2420-G2420,"")</f>
        <v/>
      </c>
      <c r="I2420" s="14">
        <f>IF(E2420&lt;&gt;"", YEARFRAC(C2420, E2420) * 12, "")</f>
        <v/>
      </c>
      <c r="J2420" s="2">
        <f>IF(I2420="", "", IF(OR(AND(A2420="Listed Equity Shares", I2420&gt;12), AND(A2420="Unlisted Equity Shares", I2420&gt;24)), "Long Term", "Short Term"))</f>
        <v/>
      </c>
      <c r="K2420" s="5">
        <f>IF(J2420="", "", IF(J2420="Long Term", 12.5%,"as per slab"))</f>
        <v/>
      </c>
      <c r="L2420" s="3">
        <f>+IFERROR(IF(J2420="","",H2420*K2420),"as per slab")</f>
        <v/>
      </c>
    </row>
    <row r="2421">
      <c r="A2421" s="7" t="n"/>
      <c r="B2421" s="7" t="n"/>
      <c r="C2421" s="8" t="n"/>
      <c r="D2421" s="9" t="n"/>
      <c r="E2421" s="8" t="n"/>
      <c r="F2421" s="9" t="n"/>
      <c r="G2421" s="9" t="n"/>
      <c r="H2421" s="3">
        <f>IF(AND(D2421&lt;&gt;"",F2421&lt;&gt;""),F2421-D2421-G2421,"")</f>
        <v/>
      </c>
      <c r="I2421" s="14">
        <f>IF(E2421&lt;&gt;"", YEARFRAC(C2421, E2421) * 12, "")</f>
        <v/>
      </c>
      <c r="J2421" s="2">
        <f>IF(I2421="", "", IF(OR(AND(A2421="Listed Equity Shares", I2421&gt;12), AND(A2421="Unlisted Equity Shares", I2421&gt;24)), "Long Term", "Short Term"))</f>
        <v/>
      </c>
      <c r="K2421" s="5">
        <f>IF(J2421="", "", IF(J2421="Long Term", 12.5%,"as per slab"))</f>
        <v/>
      </c>
      <c r="L2421" s="3">
        <f>+IFERROR(IF(J2421="","",H2421*K2421),"as per slab")</f>
        <v/>
      </c>
    </row>
    <row r="2422">
      <c r="A2422" s="7" t="n"/>
      <c r="B2422" s="7" t="n"/>
      <c r="C2422" s="8" t="n"/>
      <c r="D2422" s="9" t="n"/>
      <c r="E2422" s="8" t="n"/>
      <c r="F2422" s="9" t="n"/>
      <c r="G2422" s="9" t="n"/>
      <c r="H2422" s="3">
        <f>IF(AND(D2422&lt;&gt;"",F2422&lt;&gt;""),F2422-D2422-G2422,"")</f>
        <v/>
      </c>
      <c r="I2422" s="14">
        <f>IF(E2422&lt;&gt;"", YEARFRAC(C2422, E2422) * 12, "")</f>
        <v/>
      </c>
      <c r="J2422" s="2">
        <f>IF(I2422="", "", IF(OR(AND(A2422="Listed Equity Shares", I2422&gt;12), AND(A2422="Unlisted Equity Shares", I2422&gt;24)), "Long Term", "Short Term"))</f>
        <v/>
      </c>
      <c r="K2422" s="5">
        <f>IF(J2422="", "", IF(J2422="Long Term", 12.5%,"as per slab"))</f>
        <v/>
      </c>
      <c r="L2422" s="3">
        <f>+IFERROR(IF(J2422="","",H2422*K2422),"as per slab")</f>
        <v/>
      </c>
    </row>
    <row r="2423">
      <c r="A2423" s="7" t="n"/>
      <c r="B2423" s="7" t="n"/>
      <c r="C2423" s="8" t="n"/>
      <c r="D2423" s="9" t="n"/>
      <c r="E2423" s="8" t="n"/>
      <c r="F2423" s="9" t="n"/>
      <c r="G2423" s="9" t="n"/>
      <c r="H2423" s="3">
        <f>IF(AND(D2423&lt;&gt;"",F2423&lt;&gt;""),F2423-D2423-G2423,"")</f>
        <v/>
      </c>
      <c r="I2423" s="14">
        <f>IF(E2423&lt;&gt;"", YEARFRAC(C2423, E2423) * 12, "")</f>
        <v/>
      </c>
      <c r="J2423" s="2">
        <f>IF(I2423="", "", IF(OR(AND(A2423="Listed Equity Shares", I2423&gt;12), AND(A2423="Unlisted Equity Shares", I2423&gt;24)), "Long Term", "Short Term"))</f>
        <v/>
      </c>
      <c r="K2423" s="5">
        <f>IF(J2423="", "", IF(J2423="Long Term", 12.5%,"as per slab"))</f>
        <v/>
      </c>
      <c r="L2423" s="3">
        <f>+IFERROR(IF(J2423="","",H2423*K2423),"as per slab")</f>
        <v/>
      </c>
    </row>
    <row r="2424">
      <c r="A2424" s="7" t="n"/>
      <c r="B2424" s="7" t="n"/>
      <c r="C2424" s="8" t="n"/>
      <c r="D2424" s="9" t="n"/>
      <c r="E2424" s="8" t="n"/>
      <c r="F2424" s="9" t="n"/>
      <c r="G2424" s="9" t="n"/>
      <c r="H2424" s="3">
        <f>IF(AND(D2424&lt;&gt;"",F2424&lt;&gt;""),F2424-D2424-G2424,"")</f>
        <v/>
      </c>
      <c r="I2424" s="14">
        <f>IF(E2424&lt;&gt;"", YEARFRAC(C2424, E2424) * 12, "")</f>
        <v/>
      </c>
      <c r="J2424" s="2">
        <f>IF(I2424="", "", IF(OR(AND(A2424="Listed Equity Shares", I2424&gt;12), AND(A2424="Unlisted Equity Shares", I2424&gt;24)), "Long Term", "Short Term"))</f>
        <v/>
      </c>
      <c r="K2424" s="5">
        <f>IF(J2424="", "", IF(J2424="Long Term", 12.5%,"as per slab"))</f>
        <v/>
      </c>
      <c r="L2424" s="3">
        <f>+IFERROR(IF(J2424="","",H2424*K2424),"as per slab")</f>
        <v/>
      </c>
    </row>
    <row r="2425">
      <c r="A2425" s="7" t="n"/>
      <c r="B2425" s="7" t="n"/>
      <c r="C2425" s="8" t="n"/>
      <c r="D2425" s="9" t="n"/>
      <c r="E2425" s="8" t="n"/>
      <c r="F2425" s="9" t="n"/>
      <c r="G2425" s="9" t="n"/>
      <c r="H2425" s="3">
        <f>IF(AND(D2425&lt;&gt;"",F2425&lt;&gt;""),F2425-D2425-G2425,"")</f>
        <v/>
      </c>
      <c r="I2425" s="14">
        <f>IF(E2425&lt;&gt;"", YEARFRAC(C2425, E2425) * 12, "")</f>
        <v/>
      </c>
      <c r="J2425" s="2">
        <f>IF(I2425="", "", IF(OR(AND(A2425="Listed Equity Shares", I2425&gt;12), AND(A2425="Unlisted Equity Shares", I2425&gt;24)), "Long Term", "Short Term"))</f>
        <v/>
      </c>
      <c r="K2425" s="5">
        <f>IF(J2425="", "", IF(J2425="Long Term", 12.5%,"as per slab"))</f>
        <v/>
      </c>
      <c r="L2425" s="3">
        <f>+IFERROR(IF(J2425="","",H2425*K2425),"as per slab")</f>
        <v/>
      </c>
    </row>
    <row r="2426">
      <c r="A2426" s="7" t="n"/>
      <c r="B2426" s="7" t="n"/>
      <c r="C2426" s="8" t="n"/>
      <c r="D2426" s="9" t="n"/>
      <c r="E2426" s="8" t="n"/>
      <c r="F2426" s="9" t="n"/>
      <c r="G2426" s="9" t="n"/>
      <c r="H2426" s="3">
        <f>IF(AND(D2426&lt;&gt;"",F2426&lt;&gt;""),F2426-D2426-G2426,"")</f>
        <v/>
      </c>
      <c r="I2426" s="14">
        <f>IF(E2426&lt;&gt;"", YEARFRAC(C2426, E2426) * 12, "")</f>
        <v/>
      </c>
      <c r="J2426" s="2">
        <f>IF(I2426="", "", IF(OR(AND(A2426="Listed Equity Shares", I2426&gt;12), AND(A2426="Unlisted Equity Shares", I2426&gt;24)), "Long Term", "Short Term"))</f>
        <v/>
      </c>
      <c r="K2426" s="5">
        <f>IF(J2426="", "", IF(J2426="Long Term", 12.5%,"as per slab"))</f>
        <v/>
      </c>
      <c r="L2426" s="3">
        <f>+IFERROR(IF(J2426="","",H2426*K2426),"as per slab")</f>
        <v/>
      </c>
    </row>
    <row r="2427">
      <c r="A2427" s="7" t="n"/>
      <c r="B2427" s="7" t="n"/>
      <c r="C2427" s="8" t="n"/>
      <c r="D2427" s="9" t="n"/>
      <c r="E2427" s="8" t="n"/>
      <c r="F2427" s="9" t="n"/>
      <c r="G2427" s="9" t="n"/>
      <c r="H2427" s="3">
        <f>IF(AND(D2427&lt;&gt;"",F2427&lt;&gt;""),F2427-D2427-G2427,"")</f>
        <v/>
      </c>
      <c r="I2427" s="14">
        <f>IF(E2427&lt;&gt;"", YEARFRAC(C2427, E2427) * 12, "")</f>
        <v/>
      </c>
      <c r="J2427" s="2">
        <f>IF(I2427="", "", IF(OR(AND(A2427="Listed Equity Shares", I2427&gt;12), AND(A2427="Unlisted Equity Shares", I2427&gt;24)), "Long Term", "Short Term"))</f>
        <v/>
      </c>
      <c r="K2427" s="5">
        <f>IF(J2427="", "", IF(J2427="Long Term", 12.5%,"as per slab"))</f>
        <v/>
      </c>
      <c r="L2427" s="3">
        <f>+IFERROR(IF(J2427="","",H2427*K2427),"as per slab")</f>
        <v/>
      </c>
    </row>
    <row r="2428">
      <c r="A2428" s="7" t="n"/>
      <c r="B2428" s="7" t="n"/>
      <c r="C2428" s="8" t="n"/>
      <c r="D2428" s="9" t="n"/>
      <c r="E2428" s="8" t="n"/>
      <c r="F2428" s="9" t="n"/>
      <c r="G2428" s="9" t="n"/>
      <c r="H2428" s="3">
        <f>IF(AND(D2428&lt;&gt;"",F2428&lt;&gt;""),F2428-D2428-G2428,"")</f>
        <v/>
      </c>
      <c r="I2428" s="14">
        <f>IF(E2428&lt;&gt;"", YEARFRAC(C2428, E2428) * 12, "")</f>
        <v/>
      </c>
      <c r="J2428" s="2">
        <f>IF(I2428="", "", IF(OR(AND(A2428="Listed Equity Shares", I2428&gt;12), AND(A2428="Unlisted Equity Shares", I2428&gt;24)), "Long Term", "Short Term"))</f>
        <v/>
      </c>
      <c r="K2428" s="5">
        <f>IF(J2428="", "", IF(J2428="Long Term", 12.5%,"as per slab"))</f>
        <v/>
      </c>
      <c r="L2428" s="3">
        <f>+IFERROR(IF(J2428="","",H2428*K2428),"as per slab")</f>
        <v/>
      </c>
    </row>
    <row r="2429">
      <c r="A2429" s="7" t="n"/>
      <c r="B2429" s="7" t="n"/>
      <c r="C2429" s="8" t="n"/>
      <c r="D2429" s="9" t="n"/>
      <c r="E2429" s="8" t="n"/>
      <c r="F2429" s="9" t="n"/>
      <c r="G2429" s="9" t="n"/>
      <c r="H2429" s="3">
        <f>IF(AND(D2429&lt;&gt;"",F2429&lt;&gt;""),F2429-D2429-G2429,"")</f>
        <v/>
      </c>
      <c r="I2429" s="14">
        <f>IF(E2429&lt;&gt;"", YEARFRAC(C2429, E2429) * 12, "")</f>
        <v/>
      </c>
      <c r="J2429" s="2">
        <f>IF(I2429="", "", IF(OR(AND(A2429="Listed Equity Shares", I2429&gt;12), AND(A2429="Unlisted Equity Shares", I2429&gt;24)), "Long Term", "Short Term"))</f>
        <v/>
      </c>
      <c r="K2429" s="5">
        <f>IF(J2429="", "", IF(J2429="Long Term", 12.5%,"as per slab"))</f>
        <v/>
      </c>
      <c r="L2429" s="3">
        <f>+IFERROR(IF(J2429="","",H2429*K2429),"as per slab")</f>
        <v/>
      </c>
    </row>
    <row r="2430">
      <c r="A2430" s="7" t="n"/>
      <c r="B2430" s="7" t="n"/>
      <c r="C2430" s="8" t="n"/>
      <c r="D2430" s="9" t="n"/>
      <c r="E2430" s="8" t="n"/>
      <c r="F2430" s="9" t="n"/>
      <c r="G2430" s="9" t="n"/>
      <c r="H2430" s="3">
        <f>IF(AND(D2430&lt;&gt;"",F2430&lt;&gt;""),F2430-D2430-G2430,"")</f>
        <v/>
      </c>
      <c r="I2430" s="14">
        <f>IF(E2430&lt;&gt;"", YEARFRAC(C2430, E2430) * 12, "")</f>
        <v/>
      </c>
      <c r="J2430" s="2">
        <f>IF(I2430="", "", IF(OR(AND(A2430="Listed Equity Shares", I2430&gt;12), AND(A2430="Unlisted Equity Shares", I2430&gt;24)), "Long Term", "Short Term"))</f>
        <v/>
      </c>
      <c r="K2430" s="5">
        <f>IF(J2430="", "", IF(J2430="Long Term", 12.5%,"as per slab"))</f>
        <v/>
      </c>
      <c r="L2430" s="3">
        <f>+IFERROR(IF(J2430="","",H2430*K2430),"as per slab")</f>
        <v/>
      </c>
    </row>
    <row r="2431">
      <c r="A2431" s="7" t="n"/>
      <c r="B2431" s="7" t="n"/>
      <c r="C2431" s="8" t="n"/>
      <c r="D2431" s="9" t="n"/>
      <c r="E2431" s="8" t="n"/>
      <c r="F2431" s="9" t="n"/>
      <c r="G2431" s="9" t="n"/>
      <c r="H2431" s="3">
        <f>IF(AND(D2431&lt;&gt;"",F2431&lt;&gt;""),F2431-D2431-G2431,"")</f>
        <v/>
      </c>
      <c r="I2431" s="14">
        <f>IF(E2431&lt;&gt;"", YEARFRAC(C2431, E2431) * 12, "")</f>
        <v/>
      </c>
      <c r="J2431" s="2">
        <f>IF(I2431="", "", IF(OR(AND(A2431="Listed Equity Shares", I2431&gt;12), AND(A2431="Unlisted Equity Shares", I2431&gt;24)), "Long Term", "Short Term"))</f>
        <v/>
      </c>
      <c r="K2431" s="5">
        <f>IF(J2431="", "", IF(J2431="Long Term", 12.5%,"as per slab"))</f>
        <v/>
      </c>
      <c r="L2431" s="3">
        <f>+IFERROR(IF(J2431="","",H2431*K2431),"as per slab")</f>
        <v/>
      </c>
    </row>
    <row r="2432">
      <c r="A2432" s="7" t="n"/>
      <c r="B2432" s="7" t="n"/>
      <c r="C2432" s="8" t="n"/>
      <c r="D2432" s="9" t="n"/>
      <c r="E2432" s="8" t="n"/>
      <c r="F2432" s="9" t="n"/>
      <c r="G2432" s="9" t="n"/>
      <c r="H2432" s="3">
        <f>IF(AND(D2432&lt;&gt;"",F2432&lt;&gt;""),F2432-D2432-G2432,"")</f>
        <v/>
      </c>
      <c r="I2432" s="14">
        <f>IF(E2432&lt;&gt;"", YEARFRAC(C2432, E2432) * 12, "")</f>
        <v/>
      </c>
      <c r="J2432" s="2">
        <f>IF(I2432="", "", IF(OR(AND(A2432="Listed Equity Shares", I2432&gt;12), AND(A2432="Unlisted Equity Shares", I2432&gt;24)), "Long Term", "Short Term"))</f>
        <v/>
      </c>
      <c r="K2432" s="5">
        <f>IF(J2432="", "", IF(J2432="Long Term", 12.5%,"as per slab"))</f>
        <v/>
      </c>
      <c r="L2432" s="3">
        <f>+IFERROR(IF(J2432="","",H2432*K2432),"as per slab")</f>
        <v/>
      </c>
    </row>
    <row r="2433">
      <c r="A2433" s="7" t="n"/>
      <c r="B2433" s="7" t="n"/>
      <c r="C2433" s="8" t="n"/>
      <c r="D2433" s="9" t="n"/>
      <c r="E2433" s="8" t="n"/>
      <c r="F2433" s="9" t="n"/>
      <c r="G2433" s="9" t="n"/>
      <c r="H2433" s="3">
        <f>IF(AND(D2433&lt;&gt;"",F2433&lt;&gt;""),F2433-D2433-G2433,"")</f>
        <v/>
      </c>
      <c r="I2433" s="14">
        <f>IF(E2433&lt;&gt;"", YEARFRAC(C2433, E2433) * 12, "")</f>
        <v/>
      </c>
      <c r="J2433" s="2">
        <f>IF(I2433="", "", IF(OR(AND(A2433="Listed Equity Shares", I2433&gt;12), AND(A2433="Unlisted Equity Shares", I2433&gt;24)), "Long Term", "Short Term"))</f>
        <v/>
      </c>
      <c r="K2433" s="5">
        <f>IF(J2433="", "", IF(J2433="Long Term", 12.5%,"as per slab"))</f>
        <v/>
      </c>
      <c r="L2433" s="3">
        <f>+IFERROR(IF(J2433="","",H2433*K2433),"as per slab")</f>
        <v/>
      </c>
    </row>
    <row r="2434">
      <c r="A2434" s="7" t="n"/>
      <c r="B2434" s="7" t="n"/>
      <c r="C2434" s="8" t="n"/>
      <c r="D2434" s="9" t="n"/>
      <c r="E2434" s="8" t="n"/>
      <c r="F2434" s="9" t="n"/>
      <c r="G2434" s="9" t="n"/>
      <c r="H2434" s="3">
        <f>IF(AND(D2434&lt;&gt;"",F2434&lt;&gt;""),F2434-D2434-G2434,"")</f>
        <v/>
      </c>
      <c r="I2434" s="14">
        <f>IF(E2434&lt;&gt;"", YEARFRAC(C2434, E2434) * 12, "")</f>
        <v/>
      </c>
      <c r="J2434" s="2">
        <f>IF(I2434="", "", IF(OR(AND(A2434="Listed Equity Shares", I2434&gt;12), AND(A2434="Unlisted Equity Shares", I2434&gt;24)), "Long Term", "Short Term"))</f>
        <v/>
      </c>
      <c r="K2434" s="5">
        <f>IF(J2434="", "", IF(J2434="Long Term", 12.5%,"as per slab"))</f>
        <v/>
      </c>
      <c r="L2434" s="3">
        <f>+IFERROR(IF(J2434="","",H2434*K2434),"as per slab")</f>
        <v/>
      </c>
    </row>
    <row r="2435">
      <c r="A2435" s="7" t="n"/>
      <c r="B2435" s="7" t="n"/>
      <c r="C2435" s="8" t="n"/>
      <c r="D2435" s="9" t="n"/>
      <c r="E2435" s="8" t="n"/>
      <c r="F2435" s="9" t="n"/>
      <c r="G2435" s="9" t="n"/>
      <c r="H2435" s="3">
        <f>IF(AND(D2435&lt;&gt;"",F2435&lt;&gt;""),F2435-D2435-G2435,"")</f>
        <v/>
      </c>
      <c r="I2435" s="14">
        <f>IF(E2435&lt;&gt;"", YEARFRAC(C2435, E2435) * 12, "")</f>
        <v/>
      </c>
      <c r="J2435" s="2">
        <f>IF(I2435="", "", IF(OR(AND(A2435="Listed Equity Shares", I2435&gt;12), AND(A2435="Unlisted Equity Shares", I2435&gt;24)), "Long Term", "Short Term"))</f>
        <v/>
      </c>
      <c r="K2435" s="5">
        <f>IF(J2435="", "", IF(J2435="Long Term", 12.5%,"as per slab"))</f>
        <v/>
      </c>
      <c r="L2435" s="3">
        <f>+IFERROR(IF(J2435="","",H2435*K2435),"as per slab")</f>
        <v/>
      </c>
    </row>
    <row r="2436">
      <c r="A2436" s="7" t="n"/>
      <c r="B2436" s="7" t="n"/>
      <c r="C2436" s="8" t="n"/>
      <c r="D2436" s="9" t="n"/>
      <c r="E2436" s="8" t="n"/>
      <c r="F2436" s="9" t="n"/>
      <c r="G2436" s="9" t="n"/>
      <c r="H2436" s="3">
        <f>IF(AND(D2436&lt;&gt;"",F2436&lt;&gt;""),F2436-D2436-G2436,"")</f>
        <v/>
      </c>
      <c r="I2436" s="14">
        <f>IF(E2436&lt;&gt;"", YEARFRAC(C2436, E2436) * 12, "")</f>
        <v/>
      </c>
      <c r="J2436" s="2">
        <f>IF(I2436="", "", IF(OR(AND(A2436="Listed Equity Shares", I2436&gt;12), AND(A2436="Unlisted Equity Shares", I2436&gt;24)), "Long Term", "Short Term"))</f>
        <v/>
      </c>
      <c r="K2436" s="5">
        <f>IF(J2436="", "", IF(J2436="Long Term", 12.5%,"as per slab"))</f>
        <v/>
      </c>
      <c r="L2436" s="3">
        <f>+IFERROR(IF(J2436="","",H2436*K2436),"as per slab")</f>
        <v/>
      </c>
    </row>
    <row r="2437">
      <c r="A2437" s="7" t="n"/>
      <c r="B2437" s="7" t="n"/>
      <c r="C2437" s="8" t="n"/>
      <c r="D2437" s="9" t="n"/>
      <c r="E2437" s="8" t="n"/>
      <c r="F2437" s="9" t="n"/>
      <c r="G2437" s="9" t="n"/>
      <c r="H2437" s="3">
        <f>IF(AND(D2437&lt;&gt;"",F2437&lt;&gt;""),F2437-D2437-G2437,"")</f>
        <v/>
      </c>
      <c r="I2437" s="14">
        <f>IF(E2437&lt;&gt;"", YEARFRAC(C2437, E2437) * 12, "")</f>
        <v/>
      </c>
      <c r="J2437" s="2">
        <f>IF(I2437="", "", IF(OR(AND(A2437="Listed Equity Shares", I2437&gt;12), AND(A2437="Unlisted Equity Shares", I2437&gt;24)), "Long Term", "Short Term"))</f>
        <v/>
      </c>
      <c r="K2437" s="5">
        <f>IF(J2437="", "", IF(J2437="Long Term", 12.5%,"as per slab"))</f>
        <v/>
      </c>
      <c r="L2437" s="3">
        <f>+IFERROR(IF(J2437="","",H2437*K2437),"as per slab")</f>
        <v/>
      </c>
    </row>
    <row r="2438">
      <c r="A2438" s="7" t="n"/>
      <c r="B2438" s="7" t="n"/>
      <c r="C2438" s="8" t="n"/>
      <c r="D2438" s="9" t="n"/>
      <c r="E2438" s="8" t="n"/>
      <c r="F2438" s="9" t="n"/>
      <c r="G2438" s="9" t="n"/>
      <c r="H2438" s="3">
        <f>IF(AND(D2438&lt;&gt;"",F2438&lt;&gt;""),F2438-D2438-G2438,"")</f>
        <v/>
      </c>
      <c r="I2438" s="14">
        <f>IF(E2438&lt;&gt;"", YEARFRAC(C2438, E2438) * 12, "")</f>
        <v/>
      </c>
      <c r="J2438" s="2">
        <f>IF(I2438="", "", IF(OR(AND(A2438="Listed Equity Shares", I2438&gt;12), AND(A2438="Unlisted Equity Shares", I2438&gt;24)), "Long Term", "Short Term"))</f>
        <v/>
      </c>
      <c r="K2438" s="5">
        <f>IF(J2438="", "", IF(J2438="Long Term", 12.5%,"as per slab"))</f>
        <v/>
      </c>
      <c r="L2438" s="3">
        <f>+IFERROR(IF(J2438="","",H2438*K2438),"as per slab")</f>
        <v/>
      </c>
    </row>
    <row r="2439">
      <c r="A2439" s="7" t="n"/>
      <c r="B2439" s="7" t="n"/>
      <c r="C2439" s="8" t="n"/>
      <c r="D2439" s="9" t="n"/>
      <c r="E2439" s="8" t="n"/>
      <c r="F2439" s="9" t="n"/>
      <c r="G2439" s="9" t="n"/>
      <c r="H2439" s="3">
        <f>IF(AND(D2439&lt;&gt;"",F2439&lt;&gt;""),F2439-D2439-G2439,"")</f>
        <v/>
      </c>
      <c r="I2439" s="14">
        <f>IF(E2439&lt;&gt;"", YEARFRAC(C2439, E2439) * 12, "")</f>
        <v/>
      </c>
      <c r="J2439" s="2">
        <f>IF(I2439="", "", IF(OR(AND(A2439="Listed Equity Shares", I2439&gt;12), AND(A2439="Unlisted Equity Shares", I2439&gt;24)), "Long Term", "Short Term"))</f>
        <v/>
      </c>
      <c r="K2439" s="5">
        <f>IF(J2439="", "", IF(J2439="Long Term", 12.5%,"as per slab"))</f>
        <v/>
      </c>
      <c r="L2439" s="3">
        <f>+IFERROR(IF(J2439="","",H2439*K2439),"as per slab")</f>
        <v/>
      </c>
    </row>
    <row r="2440">
      <c r="A2440" s="7" t="n"/>
      <c r="B2440" s="7" t="n"/>
      <c r="C2440" s="8" t="n"/>
      <c r="D2440" s="9" t="n"/>
      <c r="E2440" s="8" t="n"/>
      <c r="F2440" s="9" t="n"/>
      <c r="G2440" s="9" t="n"/>
      <c r="H2440" s="3">
        <f>IF(AND(D2440&lt;&gt;"",F2440&lt;&gt;""),F2440-D2440-G2440,"")</f>
        <v/>
      </c>
      <c r="I2440" s="14">
        <f>IF(E2440&lt;&gt;"", YEARFRAC(C2440, E2440) * 12, "")</f>
        <v/>
      </c>
      <c r="J2440" s="2">
        <f>IF(I2440="", "", IF(OR(AND(A2440="Listed Equity Shares", I2440&gt;12), AND(A2440="Unlisted Equity Shares", I2440&gt;24)), "Long Term", "Short Term"))</f>
        <v/>
      </c>
      <c r="K2440" s="5">
        <f>IF(J2440="", "", IF(J2440="Long Term", 12.5%,"as per slab"))</f>
        <v/>
      </c>
      <c r="L2440" s="3">
        <f>+IFERROR(IF(J2440="","",H2440*K2440),"as per slab")</f>
        <v/>
      </c>
    </row>
    <row r="2441">
      <c r="A2441" s="7" t="n"/>
      <c r="B2441" s="7" t="n"/>
      <c r="C2441" s="8" t="n"/>
      <c r="D2441" s="9" t="n"/>
      <c r="E2441" s="8" t="n"/>
      <c r="F2441" s="9" t="n"/>
      <c r="G2441" s="9" t="n"/>
      <c r="H2441" s="3">
        <f>IF(AND(D2441&lt;&gt;"",F2441&lt;&gt;""),F2441-D2441-G2441,"")</f>
        <v/>
      </c>
      <c r="I2441" s="14">
        <f>IF(E2441&lt;&gt;"", YEARFRAC(C2441, E2441) * 12, "")</f>
        <v/>
      </c>
      <c r="J2441" s="2">
        <f>IF(I2441="", "", IF(OR(AND(A2441="Listed Equity Shares", I2441&gt;12), AND(A2441="Unlisted Equity Shares", I2441&gt;24)), "Long Term", "Short Term"))</f>
        <v/>
      </c>
      <c r="K2441" s="5">
        <f>IF(J2441="", "", IF(J2441="Long Term", 12.5%,"as per slab"))</f>
        <v/>
      </c>
      <c r="L2441" s="3">
        <f>+IFERROR(IF(J2441="","",H2441*K2441),"as per slab")</f>
        <v/>
      </c>
    </row>
    <row r="2442">
      <c r="A2442" s="7" t="n"/>
      <c r="B2442" s="7" t="n"/>
      <c r="C2442" s="8" t="n"/>
      <c r="D2442" s="9" t="n"/>
      <c r="E2442" s="8" t="n"/>
      <c r="F2442" s="9" t="n"/>
      <c r="G2442" s="9" t="n"/>
      <c r="H2442" s="3">
        <f>IF(AND(D2442&lt;&gt;"",F2442&lt;&gt;""),F2442-D2442-G2442,"")</f>
        <v/>
      </c>
      <c r="I2442" s="14">
        <f>IF(E2442&lt;&gt;"", YEARFRAC(C2442, E2442) * 12, "")</f>
        <v/>
      </c>
      <c r="J2442" s="2">
        <f>IF(I2442="", "", IF(OR(AND(A2442="Listed Equity Shares", I2442&gt;12), AND(A2442="Unlisted Equity Shares", I2442&gt;24)), "Long Term", "Short Term"))</f>
        <v/>
      </c>
      <c r="K2442" s="5">
        <f>IF(J2442="", "", IF(J2442="Long Term", 12.5%,"as per slab"))</f>
        <v/>
      </c>
      <c r="L2442" s="3">
        <f>+IFERROR(IF(J2442="","",H2442*K2442),"as per slab")</f>
        <v/>
      </c>
    </row>
    <row r="2443">
      <c r="A2443" s="7" t="n"/>
      <c r="B2443" s="7" t="n"/>
      <c r="C2443" s="8" t="n"/>
      <c r="D2443" s="9" t="n"/>
      <c r="E2443" s="8" t="n"/>
      <c r="F2443" s="9" t="n"/>
      <c r="G2443" s="9" t="n"/>
      <c r="H2443" s="3">
        <f>IF(AND(D2443&lt;&gt;"",F2443&lt;&gt;""),F2443-D2443-G2443,"")</f>
        <v/>
      </c>
      <c r="I2443" s="14">
        <f>IF(E2443&lt;&gt;"", YEARFRAC(C2443, E2443) * 12, "")</f>
        <v/>
      </c>
      <c r="J2443" s="2">
        <f>IF(I2443="", "", IF(OR(AND(A2443="Listed Equity Shares", I2443&gt;12), AND(A2443="Unlisted Equity Shares", I2443&gt;24)), "Long Term", "Short Term"))</f>
        <v/>
      </c>
      <c r="K2443" s="5">
        <f>IF(J2443="", "", IF(J2443="Long Term", 12.5%,"as per slab"))</f>
        <v/>
      </c>
      <c r="L2443" s="3">
        <f>+IFERROR(IF(J2443="","",H2443*K2443),"as per slab")</f>
        <v/>
      </c>
    </row>
    <row r="2444">
      <c r="A2444" s="7" t="n"/>
      <c r="B2444" s="7" t="n"/>
      <c r="C2444" s="8" t="n"/>
      <c r="D2444" s="9" t="n"/>
      <c r="E2444" s="8" t="n"/>
      <c r="F2444" s="9" t="n"/>
      <c r="G2444" s="9" t="n"/>
      <c r="H2444" s="3">
        <f>IF(AND(D2444&lt;&gt;"",F2444&lt;&gt;""),F2444-D2444-G2444,"")</f>
        <v/>
      </c>
      <c r="I2444" s="14">
        <f>IF(E2444&lt;&gt;"", YEARFRAC(C2444, E2444) * 12, "")</f>
        <v/>
      </c>
      <c r="J2444" s="2">
        <f>IF(I2444="", "", IF(OR(AND(A2444="Listed Equity Shares", I2444&gt;12), AND(A2444="Unlisted Equity Shares", I2444&gt;24)), "Long Term", "Short Term"))</f>
        <v/>
      </c>
      <c r="K2444" s="5">
        <f>IF(J2444="", "", IF(J2444="Long Term", 12.5%,"as per slab"))</f>
        <v/>
      </c>
      <c r="L2444" s="3">
        <f>+IFERROR(IF(J2444="","",H2444*K2444),"as per slab")</f>
        <v/>
      </c>
    </row>
    <row r="2445">
      <c r="A2445" s="7" t="n"/>
      <c r="B2445" s="7" t="n"/>
      <c r="C2445" s="8" t="n"/>
      <c r="D2445" s="9" t="n"/>
      <c r="E2445" s="8" t="n"/>
      <c r="F2445" s="9" t="n"/>
      <c r="G2445" s="9" t="n"/>
      <c r="H2445" s="3">
        <f>IF(AND(D2445&lt;&gt;"",F2445&lt;&gt;""),F2445-D2445-G2445,"")</f>
        <v/>
      </c>
      <c r="I2445" s="14">
        <f>IF(E2445&lt;&gt;"", YEARFRAC(C2445, E2445) * 12, "")</f>
        <v/>
      </c>
      <c r="J2445" s="2">
        <f>IF(I2445="", "", IF(OR(AND(A2445="Listed Equity Shares", I2445&gt;12), AND(A2445="Unlisted Equity Shares", I2445&gt;24)), "Long Term", "Short Term"))</f>
        <v/>
      </c>
      <c r="K2445" s="5">
        <f>IF(J2445="", "", IF(J2445="Long Term", 12.5%,"as per slab"))</f>
        <v/>
      </c>
      <c r="L2445" s="3">
        <f>+IFERROR(IF(J2445="","",H2445*K2445),"as per slab")</f>
        <v/>
      </c>
    </row>
    <row r="2446">
      <c r="A2446" s="7" t="n"/>
      <c r="B2446" s="7" t="n"/>
      <c r="C2446" s="8" t="n"/>
      <c r="D2446" s="9" t="n"/>
      <c r="E2446" s="8" t="n"/>
      <c r="F2446" s="9" t="n"/>
      <c r="G2446" s="9" t="n"/>
      <c r="H2446" s="3">
        <f>IF(AND(D2446&lt;&gt;"",F2446&lt;&gt;""),F2446-D2446-G2446,"")</f>
        <v/>
      </c>
      <c r="I2446" s="14">
        <f>IF(E2446&lt;&gt;"", YEARFRAC(C2446, E2446) * 12, "")</f>
        <v/>
      </c>
      <c r="J2446" s="2">
        <f>IF(I2446="", "", IF(OR(AND(A2446="Listed Equity Shares", I2446&gt;12), AND(A2446="Unlisted Equity Shares", I2446&gt;24)), "Long Term", "Short Term"))</f>
        <v/>
      </c>
      <c r="K2446" s="5">
        <f>IF(J2446="", "", IF(J2446="Long Term", 12.5%,"as per slab"))</f>
        <v/>
      </c>
      <c r="L2446" s="3">
        <f>+IFERROR(IF(J2446="","",H2446*K2446),"as per slab")</f>
        <v/>
      </c>
    </row>
    <row r="2447">
      <c r="A2447" s="7" t="n"/>
      <c r="B2447" s="7" t="n"/>
      <c r="C2447" s="8" t="n"/>
      <c r="D2447" s="9" t="n"/>
      <c r="E2447" s="8" t="n"/>
      <c r="F2447" s="9" t="n"/>
      <c r="G2447" s="9" t="n"/>
      <c r="H2447" s="3">
        <f>IF(AND(D2447&lt;&gt;"",F2447&lt;&gt;""),F2447-D2447-G2447,"")</f>
        <v/>
      </c>
      <c r="I2447" s="14">
        <f>IF(E2447&lt;&gt;"", YEARFRAC(C2447, E2447) * 12, "")</f>
        <v/>
      </c>
      <c r="J2447" s="2">
        <f>IF(I2447="", "", IF(OR(AND(A2447="Listed Equity Shares", I2447&gt;12), AND(A2447="Unlisted Equity Shares", I2447&gt;24)), "Long Term", "Short Term"))</f>
        <v/>
      </c>
      <c r="K2447" s="5">
        <f>IF(J2447="", "", IF(J2447="Long Term", 12.5%,"as per slab"))</f>
        <v/>
      </c>
      <c r="L2447" s="3">
        <f>+IFERROR(IF(J2447="","",H2447*K2447),"as per slab")</f>
        <v/>
      </c>
    </row>
    <row r="2448">
      <c r="A2448" s="7" t="n"/>
      <c r="B2448" s="7" t="n"/>
      <c r="C2448" s="8" t="n"/>
      <c r="D2448" s="9" t="n"/>
      <c r="E2448" s="8" t="n"/>
      <c r="F2448" s="9" t="n"/>
      <c r="G2448" s="9" t="n"/>
      <c r="H2448" s="3">
        <f>IF(AND(D2448&lt;&gt;"",F2448&lt;&gt;""),F2448-D2448-G2448,"")</f>
        <v/>
      </c>
      <c r="I2448" s="14">
        <f>IF(E2448&lt;&gt;"", YEARFRAC(C2448, E2448) * 12, "")</f>
        <v/>
      </c>
      <c r="J2448" s="2">
        <f>IF(I2448="", "", IF(OR(AND(A2448="Listed Equity Shares", I2448&gt;12), AND(A2448="Unlisted Equity Shares", I2448&gt;24)), "Long Term", "Short Term"))</f>
        <v/>
      </c>
      <c r="K2448" s="5">
        <f>IF(J2448="", "", IF(J2448="Long Term", 12.5%,"as per slab"))</f>
        <v/>
      </c>
      <c r="L2448" s="3">
        <f>+IFERROR(IF(J2448="","",H2448*K2448),"as per slab")</f>
        <v/>
      </c>
    </row>
    <row r="2449">
      <c r="A2449" s="7" t="n"/>
      <c r="B2449" s="7" t="n"/>
      <c r="C2449" s="8" t="n"/>
      <c r="D2449" s="9" t="n"/>
      <c r="E2449" s="8" t="n"/>
      <c r="F2449" s="9" t="n"/>
      <c r="G2449" s="9" t="n"/>
      <c r="H2449" s="3">
        <f>IF(AND(D2449&lt;&gt;"",F2449&lt;&gt;""),F2449-D2449-G2449,"")</f>
        <v/>
      </c>
      <c r="I2449" s="14">
        <f>IF(E2449&lt;&gt;"", YEARFRAC(C2449, E2449) * 12, "")</f>
        <v/>
      </c>
      <c r="J2449" s="2">
        <f>IF(I2449="", "", IF(OR(AND(A2449="Listed Equity Shares", I2449&gt;12), AND(A2449="Unlisted Equity Shares", I2449&gt;24)), "Long Term", "Short Term"))</f>
        <v/>
      </c>
      <c r="K2449" s="5">
        <f>IF(J2449="", "", IF(J2449="Long Term", 12.5%,"as per slab"))</f>
        <v/>
      </c>
      <c r="L2449" s="3">
        <f>+IFERROR(IF(J2449="","",H2449*K2449),"as per slab")</f>
        <v/>
      </c>
    </row>
    <row r="2450">
      <c r="A2450" s="7" t="n"/>
      <c r="B2450" s="7" t="n"/>
      <c r="C2450" s="8" t="n"/>
      <c r="D2450" s="9" t="n"/>
      <c r="E2450" s="8" t="n"/>
      <c r="F2450" s="9" t="n"/>
      <c r="G2450" s="9" t="n"/>
      <c r="H2450" s="3">
        <f>IF(AND(D2450&lt;&gt;"",F2450&lt;&gt;""),F2450-D2450-G2450,"")</f>
        <v/>
      </c>
      <c r="I2450" s="14">
        <f>IF(E2450&lt;&gt;"", YEARFRAC(C2450, E2450) * 12, "")</f>
        <v/>
      </c>
      <c r="J2450" s="2">
        <f>IF(I2450="", "", IF(OR(AND(A2450="Listed Equity Shares", I2450&gt;12), AND(A2450="Unlisted Equity Shares", I2450&gt;24)), "Long Term", "Short Term"))</f>
        <v/>
      </c>
      <c r="K2450" s="5">
        <f>IF(J2450="", "", IF(J2450="Long Term", 12.5%,"as per slab"))</f>
        <v/>
      </c>
      <c r="L2450" s="3">
        <f>+IFERROR(IF(J2450="","",H2450*K2450),"as per slab")</f>
        <v/>
      </c>
    </row>
    <row r="2451">
      <c r="A2451" s="7" t="n"/>
      <c r="B2451" s="7" t="n"/>
      <c r="C2451" s="8" t="n"/>
      <c r="D2451" s="9" t="n"/>
      <c r="E2451" s="8" t="n"/>
      <c r="F2451" s="9" t="n"/>
      <c r="G2451" s="9" t="n"/>
      <c r="H2451" s="3">
        <f>IF(AND(D2451&lt;&gt;"",F2451&lt;&gt;""),F2451-D2451-G2451,"")</f>
        <v/>
      </c>
      <c r="I2451" s="14">
        <f>IF(E2451&lt;&gt;"", YEARFRAC(C2451, E2451) * 12, "")</f>
        <v/>
      </c>
      <c r="J2451" s="2">
        <f>IF(I2451="", "", IF(OR(AND(A2451="Listed Equity Shares", I2451&gt;12), AND(A2451="Unlisted Equity Shares", I2451&gt;24)), "Long Term", "Short Term"))</f>
        <v/>
      </c>
      <c r="K2451" s="5">
        <f>IF(J2451="", "", IF(J2451="Long Term", 12.5%,"as per slab"))</f>
        <v/>
      </c>
      <c r="L2451" s="3">
        <f>+IFERROR(IF(J2451="","",H2451*K2451),"as per slab")</f>
        <v/>
      </c>
    </row>
    <row r="2452">
      <c r="A2452" s="7" t="n"/>
      <c r="B2452" s="7" t="n"/>
      <c r="C2452" s="8" t="n"/>
      <c r="D2452" s="9" t="n"/>
      <c r="E2452" s="8" t="n"/>
      <c r="F2452" s="9" t="n"/>
      <c r="G2452" s="9" t="n"/>
      <c r="H2452" s="3">
        <f>IF(AND(D2452&lt;&gt;"",F2452&lt;&gt;""),F2452-D2452-G2452,"")</f>
        <v/>
      </c>
      <c r="I2452" s="14">
        <f>IF(E2452&lt;&gt;"", YEARFRAC(C2452, E2452) * 12, "")</f>
        <v/>
      </c>
      <c r="J2452" s="2">
        <f>IF(I2452="", "", IF(OR(AND(A2452="Listed Equity Shares", I2452&gt;12), AND(A2452="Unlisted Equity Shares", I2452&gt;24)), "Long Term", "Short Term"))</f>
        <v/>
      </c>
      <c r="K2452" s="5">
        <f>IF(J2452="", "", IF(J2452="Long Term", 12.5%,"as per slab"))</f>
        <v/>
      </c>
      <c r="L2452" s="3">
        <f>+IFERROR(IF(J2452="","",H2452*K2452),"as per slab")</f>
        <v/>
      </c>
    </row>
    <row r="2453">
      <c r="A2453" s="7" t="n"/>
      <c r="B2453" s="7" t="n"/>
      <c r="C2453" s="8" t="n"/>
      <c r="D2453" s="9" t="n"/>
      <c r="E2453" s="8" t="n"/>
      <c r="F2453" s="9" t="n"/>
      <c r="G2453" s="9" t="n"/>
      <c r="H2453" s="3">
        <f>IF(AND(D2453&lt;&gt;"",F2453&lt;&gt;""),F2453-D2453-G2453,"")</f>
        <v/>
      </c>
      <c r="I2453" s="14">
        <f>IF(E2453&lt;&gt;"", YEARFRAC(C2453, E2453) * 12, "")</f>
        <v/>
      </c>
      <c r="J2453" s="2">
        <f>IF(I2453="", "", IF(OR(AND(A2453="Listed Equity Shares", I2453&gt;12), AND(A2453="Unlisted Equity Shares", I2453&gt;24)), "Long Term", "Short Term"))</f>
        <v/>
      </c>
      <c r="K2453" s="5">
        <f>IF(J2453="", "", IF(J2453="Long Term", 12.5%,"as per slab"))</f>
        <v/>
      </c>
      <c r="L2453" s="3">
        <f>+IFERROR(IF(J2453="","",H2453*K2453),"as per slab")</f>
        <v/>
      </c>
    </row>
    <row r="2454">
      <c r="A2454" s="7" t="n"/>
      <c r="B2454" s="7" t="n"/>
      <c r="C2454" s="8" t="n"/>
      <c r="D2454" s="9" t="n"/>
      <c r="E2454" s="8" t="n"/>
      <c r="F2454" s="9" t="n"/>
      <c r="G2454" s="9" t="n"/>
      <c r="H2454" s="3">
        <f>IF(AND(D2454&lt;&gt;"",F2454&lt;&gt;""),F2454-D2454-G2454,"")</f>
        <v/>
      </c>
      <c r="I2454" s="14">
        <f>IF(E2454&lt;&gt;"", YEARFRAC(C2454, E2454) * 12, "")</f>
        <v/>
      </c>
      <c r="J2454" s="2">
        <f>IF(I2454="", "", IF(OR(AND(A2454="Listed Equity Shares", I2454&gt;12), AND(A2454="Unlisted Equity Shares", I2454&gt;24)), "Long Term", "Short Term"))</f>
        <v/>
      </c>
      <c r="K2454" s="5">
        <f>IF(J2454="", "", IF(J2454="Long Term", 12.5%,"as per slab"))</f>
        <v/>
      </c>
      <c r="L2454" s="3">
        <f>+IFERROR(IF(J2454="","",H2454*K2454),"as per slab")</f>
        <v/>
      </c>
    </row>
    <row r="2455">
      <c r="A2455" s="7" t="n"/>
      <c r="B2455" s="7" t="n"/>
      <c r="C2455" s="8" t="n"/>
      <c r="D2455" s="9" t="n"/>
      <c r="E2455" s="8" t="n"/>
      <c r="F2455" s="9" t="n"/>
      <c r="G2455" s="9" t="n"/>
      <c r="H2455" s="3">
        <f>IF(AND(D2455&lt;&gt;"",F2455&lt;&gt;""),F2455-D2455-G2455,"")</f>
        <v/>
      </c>
      <c r="I2455" s="14">
        <f>IF(E2455&lt;&gt;"", YEARFRAC(C2455, E2455) * 12, "")</f>
        <v/>
      </c>
      <c r="J2455" s="2">
        <f>IF(I2455="", "", IF(OR(AND(A2455="Listed Equity Shares", I2455&gt;12), AND(A2455="Unlisted Equity Shares", I2455&gt;24)), "Long Term", "Short Term"))</f>
        <v/>
      </c>
      <c r="K2455" s="5">
        <f>IF(J2455="", "", IF(J2455="Long Term", 12.5%,"as per slab"))</f>
        <v/>
      </c>
      <c r="L2455" s="3">
        <f>+IFERROR(IF(J2455="","",H2455*K2455),"as per slab")</f>
        <v/>
      </c>
    </row>
    <row r="2456">
      <c r="A2456" s="7" t="n"/>
      <c r="B2456" s="7" t="n"/>
      <c r="C2456" s="8" t="n"/>
      <c r="D2456" s="9" t="n"/>
      <c r="E2456" s="8" t="n"/>
      <c r="F2456" s="9" t="n"/>
      <c r="G2456" s="9" t="n"/>
      <c r="H2456" s="3">
        <f>IF(AND(D2456&lt;&gt;"",F2456&lt;&gt;""),F2456-D2456-G2456,"")</f>
        <v/>
      </c>
      <c r="I2456" s="14">
        <f>IF(E2456&lt;&gt;"", YEARFRAC(C2456, E2456) * 12, "")</f>
        <v/>
      </c>
      <c r="J2456" s="2">
        <f>IF(I2456="", "", IF(OR(AND(A2456="Listed Equity Shares", I2456&gt;12), AND(A2456="Unlisted Equity Shares", I2456&gt;24)), "Long Term", "Short Term"))</f>
        <v/>
      </c>
      <c r="K2456" s="5">
        <f>IF(J2456="", "", IF(J2456="Long Term", 12.5%,"as per slab"))</f>
        <v/>
      </c>
      <c r="L2456" s="3">
        <f>+IFERROR(IF(J2456="","",H2456*K2456),"as per slab")</f>
        <v/>
      </c>
    </row>
    <row r="2457">
      <c r="A2457" s="7" t="n"/>
      <c r="B2457" s="7" t="n"/>
      <c r="C2457" s="8" t="n"/>
      <c r="D2457" s="9" t="n"/>
      <c r="E2457" s="8" t="n"/>
      <c r="F2457" s="9" t="n"/>
      <c r="G2457" s="9" t="n"/>
      <c r="H2457" s="3">
        <f>IF(AND(D2457&lt;&gt;"",F2457&lt;&gt;""),F2457-D2457-G2457,"")</f>
        <v/>
      </c>
      <c r="I2457" s="14">
        <f>IF(E2457&lt;&gt;"", YEARFRAC(C2457, E2457) * 12, "")</f>
        <v/>
      </c>
      <c r="J2457" s="2">
        <f>IF(I2457="", "", IF(OR(AND(A2457="Listed Equity Shares", I2457&gt;12), AND(A2457="Unlisted Equity Shares", I2457&gt;24)), "Long Term", "Short Term"))</f>
        <v/>
      </c>
      <c r="K2457" s="5">
        <f>IF(J2457="", "", IF(J2457="Long Term", 12.5%,"as per slab"))</f>
        <v/>
      </c>
      <c r="L2457" s="3">
        <f>+IFERROR(IF(J2457="","",H2457*K2457),"as per slab")</f>
        <v/>
      </c>
    </row>
    <row r="2458">
      <c r="A2458" s="7" t="n"/>
      <c r="B2458" s="7" t="n"/>
      <c r="C2458" s="8" t="n"/>
      <c r="D2458" s="9" t="n"/>
      <c r="E2458" s="8" t="n"/>
      <c r="F2458" s="9" t="n"/>
      <c r="G2458" s="9" t="n"/>
      <c r="H2458" s="3">
        <f>IF(AND(D2458&lt;&gt;"",F2458&lt;&gt;""),F2458-D2458-G2458,"")</f>
        <v/>
      </c>
      <c r="I2458" s="14">
        <f>IF(E2458&lt;&gt;"", YEARFRAC(C2458, E2458) * 12, "")</f>
        <v/>
      </c>
      <c r="J2458" s="2">
        <f>IF(I2458="", "", IF(OR(AND(A2458="Listed Equity Shares", I2458&gt;12), AND(A2458="Unlisted Equity Shares", I2458&gt;24)), "Long Term", "Short Term"))</f>
        <v/>
      </c>
      <c r="K2458" s="5">
        <f>IF(J2458="", "", IF(J2458="Long Term", 12.5%,"as per slab"))</f>
        <v/>
      </c>
      <c r="L2458" s="3">
        <f>+IFERROR(IF(J2458="","",H2458*K2458),"as per slab")</f>
        <v/>
      </c>
    </row>
    <row r="2459">
      <c r="A2459" s="7" t="n"/>
      <c r="B2459" s="7" t="n"/>
      <c r="C2459" s="8" t="n"/>
      <c r="D2459" s="9" t="n"/>
      <c r="E2459" s="8" t="n"/>
      <c r="F2459" s="9" t="n"/>
      <c r="G2459" s="9" t="n"/>
      <c r="H2459" s="3">
        <f>IF(AND(D2459&lt;&gt;"",F2459&lt;&gt;""),F2459-D2459-G2459,"")</f>
        <v/>
      </c>
      <c r="I2459" s="14">
        <f>IF(E2459&lt;&gt;"", YEARFRAC(C2459, E2459) * 12, "")</f>
        <v/>
      </c>
      <c r="J2459" s="2">
        <f>IF(I2459="", "", IF(OR(AND(A2459="Listed Equity Shares", I2459&gt;12), AND(A2459="Unlisted Equity Shares", I2459&gt;24)), "Long Term", "Short Term"))</f>
        <v/>
      </c>
      <c r="K2459" s="5">
        <f>IF(J2459="", "", IF(J2459="Long Term", 12.5%,"as per slab"))</f>
        <v/>
      </c>
      <c r="L2459" s="3">
        <f>+IFERROR(IF(J2459="","",H2459*K2459),"as per slab")</f>
        <v/>
      </c>
    </row>
    <row r="2460">
      <c r="A2460" s="7" t="n"/>
      <c r="B2460" s="7" t="n"/>
      <c r="C2460" s="8" t="n"/>
      <c r="D2460" s="9" t="n"/>
      <c r="E2460" s="8" t="n"/>
      <c r="F2460" s="9" t="n"/>
      <c r="G2460" s="9" t="n"/>
      <c r="H2460" s="3">
        <f>IF(AND(D2460&lt;&gt;"",F2460&lt;&gt;""),F2460-D2460-G2460,"")</f>
        <v/>
      </c>
      <c r="I2460" s="14">
        <f>IF(E2460&lt;&gt;"", YEARFRAC(C2460, E2460) * 12, "")</f>
        <v/>
      </c>
      <c r="J2460" s="2">
        <f>IF(I2460="", "", IF(OR(AND(A2460="Listed Equity Shares", I2460&gt;12), AND(A2460="Unlisted Equity Shares", I2460&gt;24)), "Long Term", "Short Term"))</f>
        <v/>
      </c>
      <c r="K2460" s="5">
        <f>IF(J2460="", "", IF(J2460="Long Term", 12.5%,"as per slab"))</f>
        <v/>
      </c>
      <c r="L2460" s="3">
        <f>+IFERROR(IF(J2460="","",H2460*K2460),"as per slab")</f>
        <v/>
      </c>
    </row>
    <row r="2461">
      <c r="A2461" s="7" t="n"/>
      <c r="B2461" s="7" t="n"/>
      <c r="C2461" s="8" t="n"/>
      <c r="D2461" s="9" t="n"/>
      <c r="E2461" s="8" t="n"/>
      <c r="F2461" s="9" t="n"/>
      <c r="G2461" s="9" t="n"/>
      <c r="H2461" s="3">
        <f>IF(AND(D2461&lt;&gt;"",F2461&lt;&gt;""),F2461-D2461-G2461,"")</f>
        <v/>
      </c>
      <c r="I2461" s="14">
        <f>IF(E2461&lt;&gt;"", YEARFRAC(C2461, E2461) * 12, "")</f>
        <v/>
      </c>
      <c r="J2461" s="2">
        <f>IF(I2461="", "", IF(OR(AND(A2461="Listed Equity Shares", I2461&gt;12), AND(A2461="Unlisted Equity Shares", I2461&gt;24)), "Long Term", "Short Term"))</f>
        <v/>
      </c>
      <c r="K2461" s="5">
        <f>IF(J2461="", "", IF(J2461="Long Term", 12.5%,"as per slab"))</f>
        <v/>
      </c>
      <c r="L2461" s="3">
        <f>+IFERROR(IF(J2461="","",H2461*K2461),"as per slab")</f>
        <v/>
      </c>
    </row>
    <row r="2462">
      <c r="A2462" s="7" t="n"/>
      <c r="B2462" s="7" t="n"/>
      <c r="C2462" s="8" t="n"/>
      <c r="D2462" s="9" t="n"/>
      <c r="E2462" s="8" t="n"/>
      <c r="F2462" s="9" t="n"/>
      <c r="G2462" s="9" t="n"/>
      <c r="H2462" s="3">
        <f>IF(AND(D2462&lt;&gt;"",F2462&lt;&gt;""),F2462-D2462-G2462,"")</f>
        <v/>
      </c>
      <c r="I2462" s="14">
        <f>IF(E2462&lt;&gt;"", YEARFRAC(C2462, E2462) * 12, "")</f>
        <v/>
      </c>
      <c r="J2462" s="2">
        <f>IF(I2462="", "", IF(OR(AND(A2462="Listed Equity Shares", I2462&gt;12), AND(A2462="Unlisted Equity Shares", I2462&gt;24)), "Long Term", "Short Term"))</f>
        <v/>
      </c>
      <c r="K2462" s="5">
        <f>IF(J2462="", "", IF(J2462="Long Term", 12.5%,"as per slab"))</f>
        <v/>
      </c>
      <c r="L2462" s="3">
        <f>+IFERROR(IF(J2462="","",H2462*K2462),"as per slab")</f>
        <v/>
      </c>
    </row>
    <row r="2463">
      <c r="A2463" s="7" t="n"/>
      <c r="B2463" s="7" t="n"/>
      <c r="C2463" s="8" t="n"/>
      <c r="D2463" s="9" t="n"/>
      <c r="E2463" s="8" t="n"/>
      <c r="F2463" s="9" t="n"/>
      <c r="G2463" s="9" t="n"/>
      <c r="H2463" s="3">
        <f>IF(AND(D2463&lt;&gt;"",F2463&lt;&gt;""),F2463-D2463-G2463,"")</f>
        <v/>
      </c>
      <c r="I2463" s="14">
        <f>IF(E2463&lt;&gt;"", YEARFRAC(C2463, E2463) * 12, "")</f>
        <v/>
      </c>
      <c r="J2463" s="2">
        <f>IF(I2463="", "", IF(OR(AND(A2463="Listed Equity Shares", I2463&gt;12), AND(A2463="Unlisted Equity Shares", I2463&gt;24)), "Long Term", "Short Term"))</f>
        <v/>
      </c>
      <c r="K2463" s="5">
        <f>IF(J2463="", "", IF(J2463="Long Term", 12.5%,"as per slab"))</f>
        <v/>
      </c>
      <c r="L2463" s="3">
        <f>+IFERROR(IF(J2463="","",H2463*K2463),"as per slab")</f>
        <v/>
      </c>
    </row>
    <row r="2464">
      <c r="A2464" s="7" t="n"/>
      <c r="B2464" s="7" t="n"/>
      <c r="C2464" s="8" t="n"/>
      <c r="D2464" s="9" t="n"/>
      <c r="E2464" s="8" t="n"/>
      <c r="F2464" s="9" t="n"/>
      <c r="G2464" s="9" t="n"/>
      <c r="H2464" s="3">
        <f>IF(AND(D2464&lt;&gt;"",F2464&lt;&gt;""),F2464-D2464-G2464,"")</f>
        <v/>
      </c>
      <c r="I2464" s="14">
        <f>IF(E2464&lt;&gt;"", YEARFRAC(C2464, E2464) * 12, "")</f>
        <v/>
      </c>
      <c r="J2464" s="2">
        <f>IF(I2464="", "", IF(OR(AND(A2464="Listed Equity Shares", I2464&gt;12), AND(A2464="Unlisted Equity Shares", I2464&gt;24)), "Long Term", "Short Term"))</f>
        <v/>
      </c>
      <c r="K2464" s="5">
        <f>IF(J2464="", "", IF(J2464="Long Term", 12.5%,"as per slab"))</f>
        <v/>
      </c>
      <c r="L2464" s="3">
        <f>+IFERROR(IF(J2464="","",H2464*K2464),"as per slab")</f>
        <v/>
      </c>
    </row>
    <row r="2465">
      <c r="A2465" s="7" t="n"/>
      <c r="B2465" s="7" t="n"/>
      <c r="C2465" s="8" t="n"/>
      <c r="D2465" s="9" t="n"/>
      <c r="E2465" s="8" t="n"/>
      <c r="F2465" s="9" t="n"/>
      <c r="G2465" s="9" t="n"/>
      <c r="H2465" s="3">
        <f>IF(AND(D2465&lt;&gt;"",F2465&lt;&gt;""),F2465-D2465-G2465,"")</f>
        <v/>
      </c>
      <c r="I2465" s="14">
        <f>IF(E2465&lt;&gt;"", YEARFRAC(C2465, E2465) * 12, "")</f>
        <v/>
      </c>
      <c r="J2465" s="2">
        <f>IF(I2465="", "", IF(OR(AND(A2465="Listed Equity Shares", I2465&gt;12), AND(A2465="Unlisted Equity Shares", I2465&gt;24)), "Long Term", "Short Term"))</f>
        <v/>
      </c>
      <c r="K2465" s="5">
        <f>IF(J2465="", "", IF(J2465="Long Term", 12.5%,"as per slab"))</f>
        <v/>
      </c>
      <c r="L2465" s="3">
        <f>+IFERROR(IF(J2465="","",H2465*K2465),"as per slab")</f>
        <v/>
      </c>
    </row>
    <row r="2466">
      <c r="A2466" s="7" t="n"/>
      <c r="B2466" s="7" t="n"/>
      <c r="C2466" s="8" t="n"/>
      <c r="D2466" s="9" t="n"/>
      <c r="E2466" s="8" t="n"/>
      <c r="F2466" s="9" t="n"/>
      <c r="G2466" s="9" t="n"/>
      <c r="H2466" s="3">
        <f>IF(AND(D2466&lt;&gt;"",F2466&lt;&gt;""),F2466-D2466-G2466,"")</f>
        <v/>
      </c>
      <c r="I2466" s="14">
        <f>IF(E2466&lt;&gt;"", YEARFRAC(C2466, E2466) * 12, "")</f>
        <v/>
      </c>
      <c r="J2466" s="2">
        <f>IF(I2466="", "", IF(OR(AND(A2466="Listed Equity Shares", I2466&gt;12), AND(A2466="Unlisted Equity Shares", I2466&gt;24)), "Long Term", "Short Term"))</f>
        <v/>
      </c>
      <c r="K2466" s="5">
        <f>IF(J2466="", "", IF(J2466="Long Term", 12.5%,"as per slab"))</f>
        <v/>
      </c>
      <c r="L2466" s="3">
        <f>+IFERROR(IF(J2466="","",H2466*K2466),"as per slab")</f>
        <v/>
      </c>
    </row>
    <row r="2467">
      <c r="A2467" s="7" t="n"/>
      <c r="B2467" s="7" t="n"/>
      <c r="C2467" s="8" t="n"/>
      <c r="D2467" s="9" t="n"/>
      <c r="E2467" s="8" t="n"/>
      <c r="F2467" s="9" t="n"/>
      <c r="G2467" s="9" t="n"/>
      <c r="H2467" s="3">
        <f>IF(AND(D2467&lt;&gt;"",F2467&lt;&gt;""),F2467-D2467-G2467,"")</f>
        <v/>
      </c>
      <c r="I2467" s="14">
        <f>IF(E2467&lt;&gt;"", YEARFRAC(C2467, E2467) * 12, "")</f>
        <v/>
      </c>
      <c r="J2467" s="2">
        <f>IF(I2467="", "", IF(OR(AND(A2467="Listed Equity Shares", I2467&gt;12), AND(A2467="Unlisted Equity Shares", I2467&gt;24)), "Long Term", "Short Term"))</f>
        <v/>
      </c>
      <c r="K2467" s="5">
        <f>IF(J2467="", "", IF(J2467="Long Term", 12.5%,"as per slab"))</f>
        <v/>
      </c>
      <c r="L2467" s="3">
        <f>+IFERROR(IF(J2467="","",H2467*K2467),"as per slab")</f>
        <v/>
      </c>
    </row>
    <row r="2468">
      <c r="A2468" s="7" t="n"/>
      <c r="B2468" s="7" t="n"/>
      <c r="C2468" s="8" t="n"/>
      <c r="D2468" s="9" t="n"/>
      <c r="E2468" s="8" t="n"/>
      <c r="F2468" s="9" t="n"/>
      <c r="G2468" s="9" t="n"/>
      <c r="H2468" s="3">
        <f>IF(AND(D2468&lt;&gt;"",F2468&lt;&gt;""),F2468-D2468-G2468,"")</f>
        <v/>
      </c>
      <c r="I2468" s="14">
        <f>IF(E2468&lt;&gt;"", YEARFRAC(C2468, E2468) * 12, "")</f>
        <v/>
      </c>
      <c r="J2468" s="2">
        <f>IF(I2468="", "", IF(OR(AND(A2468="Listed Equity Shares", I2468&gt;12), AND(A2468="Unlisted Equity Shares", I2468&gt;24)), "Long Term", "Short Term"))</f>
        <v/>
      </c>
      <c r="K2468" s="5">
        <f>IF(J2468="", "", IF(J2468="Long Term", 12.5%,"as per slab"))</f>
        <v/>
      </c>
      <c r="L2468" s="3">
        <f>+IFERROR(IF(J2468="","",H2468*K2468),"as per slab")</f>
        <v/>
      </c>
    </row>
    <row r="2469">
      <c r="A2469" s="7" t="n"/>
      <c r="B2469" s="7" t="n"/>
      <c r="C2469" s="8" t="n"/>
      <c r="D2469" s="9" t="n"/>
      <c r="E2469" s="8" t="n"/>
      <c r="F2469" s="9" t="n"/>
      <c r="G2469" s="9" t="n"/>
      <c r="H2469" s="3">
        <f>IF(AND(D2469&lt;&gt;"",F2469&lt;&gt;""),F2469-D2469-G2469,"")</f>
        <v/>
      </c>
      <c r="I2469" s="14">
        <f>IF(E2469&lt;&gt;"", YEARFRAC(C2469, E2469) * 12, "")</f>
        <v/>
      </c>
      <c r="J2469" s="2">
        <f>IF(I2469="", "", IF(OR(AND(A2469="Listed Equity Shares", I2469&gt;12), AND(A2469="Unlisted Equity Shares", I2469&gt;24)), "Long Term", "Short Term"))</f>
        <v/>
      </c>
      <c r="K2469" s="5">
        <f>IF(J2469="", "", IF(J2469="Long Term", 12.5%,"as per slab"))</f>
        <v/>
      </c>
      <c r="L2469" s="3">
        <f>+IFERROR(IF(J2469="","",H2469*K2469),"as per slab")</f>
        <v/>
      </c>
    </row>
    <row r="2470">
      <c r="A2470" s="7" t="n"/>
      <c r="B2470" s="7" t="n"/>
      <c r="C2470" s="8" t="n"/>
      <c r="D2470" s="9" t="n"/>
      <c r="E2470" s="8" t="n"/>
      <c r="F2470" s="9" t="n"/>
      <c r="G2470" s="9" t="n"/>
      <c r="H2470" s="3">
        <f>IF(AND(D2470&lt;&gt;"",F2470&lt;&gt;""),F2470-D2470-G2470,"")</f>
        <v/>
      </c>
      <c r="I2470" s="14">
        <f>IF(E2470&lt;&gt;"", YEARFRAC(C2470, E2470) * 12, "")</f>
        <v/>
      </c>
      <c r="J2470" s="2">
        <f>IF(I2470="", "", IF(OR(AND(A2470="Listed Equity Shares", I2470&gt;12), AND(A2470="Unlisted Equity Shares", I2470&gt;24)), "Long Term", "Short Term"))</f>
        <v/>
      </c>
      <c r="K2470" s="5">
        <f>IF(J2470="", "", IF(J2470="Long Term", 12.5%,"as per slab"))</f>
        <v/>
      </c>
      <c r="L2470" s="3">
        <f>+IFERROR(IF(J2470="","",H2470*K2470),"as per slab")</f>
        <v/>
      </c>
    </row>
    <row r="2471">
      <c r="A2471" s="7" t="n"/>
      <c r="B2471" s="7" t="n"/>
      <c r="C2471" s="8" t="n"/>
      <c r="D2471" s="9" t="n"/>
      <c r="E2471" s="8" t="n"/>
      <c r="F2471" s="9" t="n"/>
      <c r="G2471" s="9" t="n"/>
      <c r="H2471" s="3">
        <f>IF(AND(D2471&lt;&gt;"",F2471&lt;&gt;""),F2471-D2471-G2471,"")</f>
        <v/>
      </c>
      <c r="I2471" s="14">
        <f>IF(E2471&lt;&gt;"", YEARFRAC(C2471, E2471) * 12, "")</f>
        <v/>
      </c>
      <c r="J2471" s="2">
        <f>IF(I2471="", "", IF(OR(AND(A2471="Listed Equity Shares", I2471&gt;12), AND(A2471="Unlisted Equity Shares", I2471&gt;24)), "Long Term", "Short Term"))</f>
        <v/>
      </c>
      <c r="K2471" s="5">
        <f>IF(J2471="", "", IF(J2471="Long Term", 12.5%,"as per slab"))</f>
        <v/>
      </c>
      <c r="L2471" s="3">
        <f>+IFERROR(IF(J2471="","",H2471*K2471),"as per slab")</f>
        <v/>
      </c>
    </row>
    <row r="2472">
      <c r="A2472" s="7" t="n"/>
      <c r="B2472" s="7" t="n"/>
      <c r="C2472" s="8" t="n"/>
      <c r="D2472" s="9" t="n"/>
      <c r="E2472" s="8" t="n"/>
      <c r="F2472" s="9" t="n"/>
      <c r="G2472" s="9" t="n"/>
      <c r="H2472" s="3">
        <f>IF(AND(D2472&lt;&gt;"",F2472&lt;&gt;""),F2472-D2472-G2472,"")</f>
        <v/>
      </c>
      <c r="I2472" s="14">
        <f>IF(E2472&lt;&gt;"", YEARFRAC(C2472, E2472) * 12, "")</f>
        <v/>
      </c>
      <c r="J2472" s="2">
        <f>IF(I2472="", "", IF(OR(AND(A2472="Listed Equity Shares", I2472&gt;12), AND(A2472="Unlisted Equity Shares", I2472&gt;24)), "Long Term", "Short Term"))</f>
        <v/>
      </c>
      <c r="K2472" s="5">
        <f>IF(J2472="", "", IF(J2472="Long Term", 12.5%,"as per slab"))</f>
        <v/>
      </c>
      <c r="L2472" s="3">
        <f>+IFERROR(IF(J2472="","",H2472*K2472),"as per slab")</f>
        <v/>
      </c>
    </row>
    <row r="2473">
      <c r="A2473" s="7" t="n"/>
      <c r="B2473" s="7" t="n"/>
      <c r="C2473" s="8" t="n"/>
      <c r="D2473" s="9" t="n"/>
      <c r="E2473" s="8" t="n"/>
      <c r="F2473" s="9" t="n"/>
      <c r="G2473" s="9" t="n"/>
      <c r="H2473" s="3">
        <f>IF(AND(D2473&lt;&gt;"",F2473&lt;&gt;""),F2473-D2473-G2473,"")</f>
        <v/>
      </c>
      <c r="I2473" s="14">
        <f>IF(E2473&lt;&gt;"", YEARFRAC(C2473, E2473) * 12, "")</f>
        <v/>
      </c>
      <c r="J2473" s="2">
        <f>IF(I2473="", "", IF(OR(AND(A2473="Listed Equity Shares", I2473&gt;12), AND(A2473="Unlisted Equity Shares", I2473&gt;24)), "Long Term", "Short Term"))</f>
        <v/>
      </c>
      <c r="K2473" s="5">
        <f>IF(J2473="", "", IF(J2473="Long Term", 12.5%,"as per slab"))</f>
        <v/>
      </c>
      <c r="L2473" s="3">
        <f>+IFERROR(IF(J2473="","",H2473*K2473),"as per slab")</f>
        <v/>
      </c>
    </row>
    <row r="2474">
      <c r="A2474" s="7" t="n"/>
      <c r="B2474" s="7" t="n"/>
      <c r="C2474" s="8" t="n"/>
      <c r="D2474" s="9" t="n"/>
      <c r="E2474" s="8" t="n"/>
      <c r="F2474" s="9" t="n"/>
      <c r="G2474" s="9" t="n"/>
      <c r="H2474" s="3">
        <f>IF(AND(D2474&lt;&gt;"",F2474&lt;&gt;""),F2474-D2474-G2474,"")</f>
        <v/>
      </c>
      <c r="I2474" s="14">
        <f>IF(E2474&lt;&gt;"", YEARFRAC(C2474, E2474) * 12, "")</f>
        <v/>
      </c>
      <c r="J2474" s="2">
        <f>IF(I2474="", "", IF(OR(AND(A2474="Listed Equity Shares", I2474&gt;12), AND(A2474="Unlisted Equity Shares", I2474&gt;24)), "Long Term", "Short Term"))</f>
        <v/>
      </c>
      <c r="K2474" s="5">
        <f>IF(J2474="", "", IF(J2474="Long Term", 12.5%,"as per slab"))</f>
        <v/>
      </c>
      <c r="L2474" s="3">
        <f>+IFERROR(IF(J2474="","",H2474*K2474),"as per slab")</f>
        <v/>
      </c>
    </row>
    <row r="2475">
      <c r="A2475" s="7" t="n"/>
      <c r="B2475" s="7" t="n"/>
      <c r="C2475" s="8" t="n"/>
      <c r="D2475" s="9" t="n"/>
      <c r="E2475" s="8" t="n"/>
      <c r="F2475" s="9" t="n"/>
      <c r="G2475" s="9" t="n"/>
      <c r="H2475" s="3">
        <f>IF(AND(D2475&lt;&gt;"",F2475&lt;&gt;""),F2475-D2475-G2475,"")</f>
        <v/>
      </c>
      <c r="I2475" s="14">
        <f>IF(E2475&lt;&gt;"", YEARFRAC(C2475, E2475) * 12, "")</f>
        <v/>
      </c>
      <c r="J2475" s="2">
        <f>IF(I2475="", "", IF(OR(AND(A2475="Listed Equity Shares", I2475&gt;12), AND(A2475="Unlisted Equity Shares", I2475&gt;24)), "Long Term", "Short Term"))</f>
        <v/>
      </c>
      <c r="K2475" s="5">
        <f>IF(J2475="", "", IF(J2475="Long Term", 12.5%,"as per slab"))</f>
        <v/>
      </c>
      <c r="L2475" s="3">
        <f>+IFERROR(IF(J2475="","",H2475*K2475),"as per slab")</f>
        <v/>
      </c>
    </row>
    <row r="2476">
      <c r="A2476" s="7" t="n"/>
      <c r="B2476" s="7" t="n"/>
      <c r="C2476" s="8" t="n"/>
      <c r="D2476" s="9" t="n"/>
      <c r="E2476" s="8" t="n"/>
      <c r="F2476" s="9" t="n"/>
      <c r="G2476" s="9" t="n"/>
      <c r="H2476" s="3">
        <f>IF(AND(D2476&lt;&gt;"",F2476&lt;&gt;""),F2476-D2476-G2476,"")</f>
        <v/>
      </c>
      <c r="I2476" s="14">
        <f>IF(E2476&lt;&gt;"", YEARFRAC(C2476, E2476) * 12, "")</f>
        <v/>
      </c>
      <c r="J2476" s="2">
        <f>IF(I2476="", "", IF(OR(AND(A2476="Listed Equity Shares", I2476&gt;12), AND(A2476="Unlisted Equity Shares", I2476&gt;24)), "Long Term", "Short Term"))</f>
        <v/>
      </c>
      <c r="K2476" s="5">
        <f>IF(J2476="", "", IF(J2476="Long Term", 12.5%,"as per slab"))</f>
        <v/>
      </c>
      <c r="L2476" s="3">
        <f>+IFERROR(IF(J2476="","",H2476*K2476),"as per slab")</f>
        <v/>
      </c>
    </row>
    <row r="2477">
      <c r="A2477" s="7" t="n"/>
      <c r="B2477" s="7" t="n"/>
      <c r="C2477" s="8" t="n"/>
      <c r="D2477" s="9" t="n"/>
      <c r="E2477" s="8" t="n"/>
      <c r="F2477" s="9" t="n"/>
      <c r="G2477" s="9" t="n"/>
      <c r="H2477" s="3">
        <f>IF(AND(D2477&lt;&gt;"",F2477&lt;&gt;""),F2477-D2477-G2477,"")</f>
        <v/>
      </c>
      <c r="I2477" s="14">
        <f>IF(E2477&lt;&gt;"", YEARFRAC(C2477, E2477) * 12, "")</f>
        <v/>
      </c>
      <c r="J2477" s="2">
        <f>IF(I2477="", "", IF(OR(AND(A2477="Listed Equity Shares", I2477&gt;12), AND(A2477="Unlisted Equity Shares", I2477&gt;24)), "Long Term", "Short Term"))</f>
        <v/>
      </c>
      <c r="K2477" s="5">
        <f>IF(J2477="", "", IF(J2477="Long Term", 12.5%,"as per slab"))</f>
        <v/>
      </c>
      <c r="L2477" s="3">
        <f>+IFERROR(IF(J2477="","",H2477*K2477),"as per slab")</f>
        <v/>
      </c>
    </row>
    <row r="2478">
      <c r="A2478" s="7" t="n"/>
      <c r="B2478" s="7" t="n"/>
      <c r="C2478" s="8" t="n"/>
      <c r="D2478" s="9" t="n"/>
      <c r="E2478" s="8" t="n"/>
      <c r="F2478" s="9" t="n"/>
      <c r="G2478" s="9" t="n"/>
      <c r="H2478" s="3">
        <f>IF(AND(D2478&lt;&gt;"",F2478&lt;&gt;""),F2478-D2478-G2478,"")</f>
        <v/>
      </c>
      <c r="I2478" s="14">
        <f>IF(E2478&lt;&gt;"", YEARFRAC(C2478, E2478) * 12, "")</f>
        <v/>
      </c>
      <c r="J2478" s="2">
        <f>IF(I2478="", "", IF(OR(AND(A2478="Listed Equity Shares", I2478&gt;12), AND(A2478="Unlisted Equity Shares", I2478&gt;24)), "Long Term", "Short Term"))</f>
        <v/>
      </c>
      <c r="K2478" s="5">
        <f>IF(J2478="", "", IF(J2478="Long Term", 12.5%,"as per slab"))</f>
        <v/>
      </c>
      <c r="L2478" s="3">
        <f>+IFERROR(IF(J2478="","",H2478*K2478),"as per slab")</f>
        <v/>
      </c>
    </row>
    <row r="2479">
      <c r="A2479" s="7" t="n"/>
      <c r="B2479" s="7" t="n"/>
      <c r="C2479" s="8" t="n"/>
      <c r="D2479" s="9" t="n"/>
      <c r="E2479" s="8" t="n"/>
      <c r="F2479" s="9" t="n"/>
      <c r="G2479" s="9" t="n"/>
      <c r="H2479" s="3">
        <f>IF(AND(D2479&lt;&gt;"",F2479&lt;&gt;""),F2479-D2479-G2479,"")</f>
        <v/>
      </c>
      <c r="I2479" s="14">
        <f>IF(E2479&lt;&gt;"", YEARFRAC(C2479, E2479) * 12, "")</f>
        <v/>
      </c>
      <c r="J2479" s="2">
        <f>IF(I2479="", "", IF(OR(AND(A2479="Listed Equity Shares", I2479&gt;12), AND(A2479="Unlisted Equity Shares", I2479&gt;24)), "Long Term", "Short Term"))</f>
        <v/>
      </c>
      <c r="K2479" s="5">
        <f>IF(J2479="", "", IF(J2479="Long Term", 12.5%,"as per slab"))</f>
        <v/>
      </c>
      <c r="L2479" s="3">
        <f>+IFERROR(IF(J2479="","",H2479*K2479),"as per slab")</f>
        <v/>
      </c>
    </row>
    <row r="2480">
      <c r="A2480" s="7" t="n"/>
      <c r="B2480" s="7" t="n"/>
      <c r="C2480" s="8" t="n"/>
      <c r="D2480" s="9" t="n"/>
      <c r="E2480" s="8" t="n"/>
      <c r="F2480" s="9" t="n"/>
      <c r="G2480" s="9" t="n"/>
      <c r="H2480" s="3">
        <f>IF(AND(D2480&lt;&gt;"",F2480&lt;&gt;""),F2480-D2480-G2480,"")</f>
        <v/>
      </c>
      <c r="I2480" s="14">
        <f>IF(E2480&lt;&gt;"", YEARFRAC(C2480, E2480) * 12, "")</f>
        <v/>
      </c>
      <c r="J2480" s="2">
        <f>IF(I2480="", "", IF(OR(AND(A2480="Listed Equity Shares", I2480&gt;12), AND(A2480="Unlisted Equity Shares", I2480&gt;24)), "Long Term", "Short Term"))</f>
        <v/>
      </c>
      <c r="K2480" s="5">
        <f>IF(J2480="", "", IF(J2480="Long Term", 12.5%,"as per slab"))</f>
        <v/>
      </c>
      <c r="L2480" s="3">
        <f>+IFERROR(IF(J2480="","",H2480*K2480),"as per slab")</f>
        <v/>
      </c>
    </row>
    <row r="2481">
      <c r="A2481" s="7" t="n"/>
      <c r="B2481" s="7" t="n"/>
      <c r="C2481" s="8" t="n"/>
      <c r="D2481" s="9" t="n"/>
      <c r="E2481" s="8" t="n"/>
      <c r="F2481" s="9" t="n"/>
      <c r="G2481" s="9" t="n"/>
      <c r="H2481" s="3">
        <f>IF(AND(D2481&lt;&gt;"",F2481&lt;&gt;""),F2481-D2481-G2481,"")</f>
        <v/>
      </c>
      <c r="I2481" s="14">
        <f>IF(E2481&lt;&gt;"", YEARFRAC(C2481, E2481) * 12, "")</f>
        <v/>
      </c>
      <c r="J2481" s="2">
        <f>IF(I2481="", "", IF(OR(AND(A2481="Listed Equity Shares", I2481&gt;12), AND(A2481="Unlisted Equity Shares", I2481&gt;24)), "Long Term", "Short Term"))</f>
        <v/>
      </c>
      <c r="K2481" s="5">
        <f>IF(J2481="", "", IF(J2481="Long Term", 12.5%,"as per slab"))</f>
        <v/>
      </c>
      <c r="L2481" s="3">
        <f>+IFERROR(IF(J2481="","",H2481*K2481),"as per slab")</f>
        <v/>
      </c>
    </row>
    <row r="2482">
      <c r="A2482" s="7" t="n"/>
      <c r="B2482" s="7" t="n"/>
      <c r="C2482" s="8" t="n"/>
      <c r="D2482" s="9" t="n"/>
      <c r="E2482" s="8" t="n"/>
      <c r="F2482" s="9" t="n"/>
      <c r="G2482" s="9" t="n"/>
      <c r="H2482" s="3">
        <f>IF(AND(D2482&lt;&gt;"",F2482&lt;&gt;""),F2482-D2482-G2482,"")</f>
        <v/>
      </c>
      <c r="I2482" s="14">
        <f>IF(E2482&lt;&gt;"", YEARFRAC(C2482, E2482) * 12, "")</f>
        <v/>
      </c>
      <c r="J2482" s="2">
        <f>IF(I2482="", "", IF(OR(AND(A2482="Listed Equity Shares", I2482&gt;12), AND(A2482="Unlisted Equity Shares", I2482&gt;24)), "Long Term", "Short Term"))</f>
        <v/>
      </c>
      <c r="K2482" s="5">
        <f>IF(J2482="", "", IF(J2482="Long Term", 12.5%,"as per slab"))</f>
        <v/>
      </c>
      <c r="L2482" s="3">
        <f>+IFERROR(IF(J2482="","",H2482*K2482),"as per slab")</f>
        <v/>
      </c>
    </row>
    <row r="2483">
      <c r="A2483" s="7" t="n"/>
      <c r="B2483" s="7" t="n"/>
      <c r="C2483" s="8" t="n"/>
      <c r="D2483" s="9" t="n"/>
      <c r="E2483" s="8" t="n"/>
      <c r="F2483" s="9" t="n"/>
      <c r="G2483" s="9" t="n"/>
      <c r="H2483" s="3">
        <f>IF(AND(D2483&lt;&gt;"",F2483&lt;&gt;""),F2483-D2483-G2483,"")</f>
        <v/>
      </c>
      <c r="I2483" s="14">
        <f>IF(E2483&lt;&gt;"", YEARFRAC(C2483, E2483) * 12, "")</f>
        <v/>
      </c>
      <c r="J2483" s="2">
        <f>IF(I2483="", "", IF(OR(AND(A2483="Listed Equity Shares", I2483&gt;12), AND(A2483="Unlisted Equity Shares", I2483&gt;24)), "Long Term", "Short Term"))</f>
        <v/>
      </c>
      <c r="K2483" s="5">
        <f>IF(J2483="", "", IF(J2483="Long Term", 12.5%,"as per slab"))</f>
        <v/>
      </c>
      <c r="L2483" s="3">
        <f>+IFERROR(IF(J2483="","",H2483*K2483),"as per slab")</f>
        <v/>
      </c>
    </row>
    <row r="2484">
      <c r="A2484" s="7" t="n"/>
      <c r="B2484" s="7" t="n"/>
      <c r="C2484" s="8" t="n"/>
      <c r="D2484" s="9" t="n"/>
      <c r="E2484" s="8" t="n"/>
      <c r="F2484" s="9" t="n"/>
      <c r="G2484" s="9" t="n"/>
      <c r="H2484" s="3">
        <f>IF(AND(D2484&lt;&gt;"",F2484&lt;&gt;""),F2484-D2484-G2484,"")</f>
        <v/>
      </c>
      <c r="I2484" s="14">
        <f>IF(E2484&lt;&gt;"", YEARFRAC(C2484, E2484) * 12, "")</f>
        <v/>
      </c>
      <c r="J2484" s="2">
        <f>IF(I2484="", "", IF(OR(AND(A2484="Listed Equity Shares", I2484&gt;12), AND(A2484="Unlisted Equity Shares", I2484&gt;24)), "Long Term", "Short Term"))</f>
        <v/>
      </c>
      <c r="K2484" s="5">
        <f>IF(J2484="", "", IF(J2484="Long Term", 12.5%,"as per slab"))</f>
        <v/>
      </c>
      <c r="L2484" s="3">
        <f>+IFERROR(IF(J2484="","",H2484*K2484),"as per slab")</f>
        <v/>
      </c>
    </row>
    <row r="2485">
      <c r="A2485" s="7" t="n"/>
      <c r="B2485" s="7" t="n"/>
      <c r="C2485" s="8" t="n"/>
      <c r="D2485" s="9" t="n"/>
      <c r="E2485" s="8" t="n"/>
      <c r="F2485" s="9" t="n"/>
      <c r="G2485" s="9" t="n"/>
      <c r="H2485" s="3">
        <f>IF(AND(D2485&lt;&gt;"",F2485&lt;&gt;""),F2485-D2485-G2485,"")</f>
        <v/>
      </c>
      <c r="I2485" s="14">
        <f>IF(E2485&lt;&gt;"", YEARFRAC(C2485, E2485) * 12, "")</f>
        <v/>
      </c>
      <c r="J2485" s="2">
        <f>IF(I2485="", "", IF(OR(AND(A2485="Listed Equity Shares", I2485&gt;12), AND(A2485="Unlisted Equity Shares", I2485&gt;24)), "Long Term", "Short Term"))</f>
        <v/>
      </c>
      <c r="K2485" s="5">
        <f>IF(J2485="", "", IF(J2485="Long Term", 12.5%,"as per slab"))</f>
        <v/>
      </c>
      <c r="L2485" s="3">
        <f>+IFERROR(IF(J2485="","",H2485*K2485),"as per slab")</f>
        <v/>
      </c>
    </row>
    <row r="2486">
      <c r="A2486" s="7" t="n"/>
      <c r="B2486" s="7" t="n"/>
      <c r="C2486" s="8" t="n"/>
      <c r="D2486" s="9" t="n"/>
      <c r="E2486" s="8" t="n"/>
      <c r="F2486" s="9" t="n"/>
      <c r="G2486" s="9" t="n"/>
      <c r="H2486" s="3">
        <f>IF(AND(D2486&lt;&gt;"",F2486&lt;&gt;""),F2486-D2486-G2486,"")</f>
        <v/>
      </c>
      <c r="I2486" s="14">
        <f>IF(E2486&lt;&gt;"", YEARFRAC(C2486, E2486) * 12, "")</f>
        <v/>
      </c>
      <c r="J2486" s="2">
        <f>IF(I2486="", "", IF(OR(AND(A2486="Listed Equity Shares", I2486&gt;12), AND(A2486="Unlisted Equity Shares", I2486&gt;24)), "Long Term", "Short Term"))</f>
        <v/>
      </c>
      <c r="K2486" s="5">
        <f>IF(J2486="", "", IF(J2486="Long Term", 12.5%,"as per slab"))</f>
        <v/>
      </c>
      <c r="L2486" s="3">
        <f>+IFERROR(IF(J2486="","",H2486*K2486),"as per slab")</f>
        <v/>
      </c>
    </row>
    <row r="2487">
      <c r="A2487" s="7" t="n"/>
      <c r="B2487" s="7" t="n"/>
      <c r="C2487" s="8" t="n"/>
      <c r="D2487" s="9" t="n"/>
      <c r="E2487" s="8" t="n"/>
      <c r="F2487" s="9" t="n"/>
      <c r="G2487" s="9" t="n"/>
      <c r="H2487" s="3">
        <f>IF(AND(D2487&lt;&gt;"",F2487&lt;&gt;""),F2487-D2487-G2487,"")</f>
        <v/>
      </c>
      <c r="I2487" s="14">
        <f>IF(E2487&lt;&gt;"", YEARFRAC(C2487, E2487) * 12, "")</f>
        <v/>
      </c>
      <c r="J2487" s="2">
        <f>IF(I2487="", "", IF(OR(AND(A2487="Listed Equity Shares", I2487&gt;12), AND(A2487="Unlisted Equity Shares", I2487&gt;24)), "Long Term", "Short Term"))</f>
        <v/>
      </c>
      <c r="K2487" s="5">
        <f>IF(J2487="", "", IF(J2487="Long Term", 12.5%,"as per slab"))</f>
        <v/>
      </c>
      <c r="L2487" s="3">
        <f>+IFERROR(IF(J2487="","",H2487*K2487),"as per slab")</f>
        <v/>
      </c>
    </row>
    <row r="2488">
      <c r="A2488" s="7" t="n"/>
      <c r="B2488" s="7" t="n"/>
      <c r="C2488" s="8" t="n"/>
      <c r="D2488" s="9" t="n"/>
      <c r="E2488" s="8" t="n"/>
      <c r="F2488" s="9" t="n"/>
      <c r="G2488" s="9" t="n"/>
      <c r="H2488" s="3">
        <f>IF(AND(D2488&lt;&gt;"",F2488&lt;&gt;""),F2488-D2488-G2488,"")</f>
        <v/>
      </c>
      <c r="I2488" s="14">
        <f>IF(E2488&lt;&gt;"", YEARFRAC(C2488, E2488) * 12, "")</f>
        <v/>
      </c>
      <c r="J2488" s="2">
        <f>IF(I2488="", "", IF(OR(AND(A2488="Listed Equity Shares", I2488&gt;12), AND(A2488="Unlisted Equity Shares", I2488&gt;24)), "Long Term", "Short Term"))</f>
        <v/>
      </c>
      <c r="K2488" s="5">
        <f>IF(J2488="", "", IF(J2488="Long Term", 12.5%,"as per slab"))</f>
        <v/>
      </c>
      <c r="L2488" s="3">
        <f>+IFERROR(IF(J2488="","",H2488*K2488),"as per slab")</f>
        <v/>
      </c>
    </row>
    <row r="2489">
      <c r="A2489" s="7" t="n"/>
      <c r="B2489" s="7" t="n"/>
      <c r="C2489" s="8" t="n"/>
      <c r="D2489" s="9" t="n"/>
      <c r="E2489" s="8" t="n"/>
      <c r="F2489" s="9" t="n"/>
      <c r="G2489" s="9" t="n"/>
      <c r="H2489" s="3">
        <f>IF(AND(D2489&lt;&gt;"",F2489&lt;&gt;""),F2489-D2489-G2489,"")</f>
        <v/>
      </c>
      <c r="I2489" s="14">
        <f>IF(E2489&lt;&gt;"", YEARFRAC(C2489, E2489) * 12, "")</f>
        <v/>
      </c>
      <c r="J2489" s="2">
        <f>IF(I2489="", "", IF(OR(AND(A2489="Listed Equity Shares", I2489&gt;12), AND(A2489="Unlisted Equity Shares", I2489&gt;24)), "Long Term", "Short Term"))</f>
        <v/>
      </c>
      <c r="K2489" s="5">
        <f>IF(J2489="", "", IF(J2489="Long Term", 12.5%,"as per slab"))</f>
        <v/>
      </c>
      <c r="L2489" s="3">
        <f>+IFERROR(IF(J2489="","",H2489*K2489),"as per slab")</f>
        <v/>
      </c>
    </row>
    <row r="2490">
      <c r="A2490" s="7" t="n"/>
      <c r="B2490" s="7" t="n"/>
      <c r="C2490" s="8" t="n"/>
      <c r="D2490" s="9" t="n"/>
      <c r="E2490" s="8" t="n"/>
      <c r="F2490" s="9" t="n"/>
      <c r="G2490" s="9" t="n"/>
      <c r="H2490" s="3">
        <f>IF(AND(D2490&lt;&gt;"",F2490&lt;&gt;""),F2490-D2490-G2490,"")</f>
        <v/>
      </c>
      <c r="I2490" s="14">
        <f>IF(E2490&lt;&gt;"", YEARFRAC(C2490, E2490) * 12, "")</f>
        <v/>
      </c>
      <c r="J2490" s="2">
        <f>IF(I2490="", "", IF(OR(AND(A2490="Listed Equity Shares", I2490&gt;12), AND(A2490="Unlisted Equity Shares", I2490&gt;24)), "Long Term", "Short Term"))</f>
        <v/>
      </c>
      <c r="K2490" s="5">
        <f>IF(J2490="", "", IF(J2490="Long Term", 12.5%,"as per slab"))</f>
        <v/>
      </c>
      <c r="L2490" s="3">
        <f>+IFERROR(IF(J2490="","",H2490*K2490),"as per slab")</f>
        <v/>
      </c>
    </row>
    <row r="2491">
      <c r="A2491" s="7" t="n"/>
      <c r="B2491" s="7" t="n"/>
      <c r="C2491" s="8" t="n"/>
      <c r="D2491" s="9" t="n"/>
      <c r="E2491" s="8" t="n"/>
      <c r="F2491" s="9" t="n"/>
      <c r="G2491" s="9" t="n"/>
      <c r="H2491" s="3">
        <f>IF(AND(D2491&lt;&gt;"",F2491&lt;&gt;""),F2491-D2491-G2491,"")</f>
        <v/>
      </c>
      <c r="I2491" s="14">
        <f>IF(E2491&lt;&gt;"", YEARFRAC(C2491, E2491) * 12, "")</f>
        <v/>
      </c>
      <c r="J2491" s="2">
        <f>IF(I2491="", "", IF(OR(AND(A2491="Listed Equity Shares", I2491&gt;12), AND(A2491="Unlisted Equity Shares", I2491&gt;24)), "Long Term", "Short Term"))</f>
        <v/>
      </c>
      <c r="K2491" s="5">
        <f>IF(J2491="", "", IF(J2491="Long Term", 12.5%,"as per slab"))</f>
        <v/>
      </c>
      <c r="L2491" s="3">
        <f>+IFERROR(IF(J2491="","",H2491*K2491),"as per slab")</f>
        <v/>
      </c>
    </row>
    <row r="2492">
      <c r="A2492" s="7" t="n"/>
      <c r="B2492" s="7" t="n"/>
      <c r="C2492" s="8" t="n"/>
      <c r="D2492" s="9" t="n"/>
      <c r="E2492" s="8" t="n"/>
      <c r="F2492" s="9" t="n"/>
      <c r="G2492" s="9" t="n"/>
      <c r="H2492" s="3">
        <f>IF(AND(D2492&lt;&gt;"",F2492&lt;&gt;""),F2492-D2492-G2492,"")</f>
        <v/>
      </c>
      <c r="I2492" s="14">
        <f>IF(E2492&lt;&gt;"", YEARFRAC(C2492, E2492) * 12, "")</f>
        <v/>
      </c>
      <c r="J2492" s="2">
        <f>IF(I2492="", "", IF(OR(AND(A2492="Listed Equity Shares", I2492&gt;12), AND(A2492="Unlisted Equity Shares", I2492&gt;24)), "Long Term", "Short Term"))</f>
        <v/>
      </c>
      <c r="K2492" s="5">
        <f>IF(J2492="", "", IF(J2492="Long Term", 12.5%,"as per slab"))</f>
        <v/>
      </c>
      <c r="L2492" s="3">
        <f>+IFERROR(IF(J2492="","",H2492*K2492),"as per slab")</f>
        <v/>
      </c>
    </row>
    <row r="2493">
      <c r="A2493" s="7" t="n"/>
      <c r="B2493" s="7" t="n"/>
      <c r="C2493" s="8" t="n"/>
      <c r="D2493" s="9" t="n"/>
      <c r="E2493" s="8" t="n"/>
      <c r="F2493" s="9" t="n"/>
      <c r="G2493" s="9" t="n"/>
      <c r="H2493" s="3">
        <f>IF(AND(D2493&lt;&gt;"",F2493&lt;&gt;""),F2493-D2493-G2493,"")</f>
        <v/>
      </c>
      <c r="I2493" s="14">
        <f>IF(E2493&lt;&gt;"", YEARFRAC(C2493, E2493) * 12, "")</f>
        <v/>
      </c>
      <c r="J2493" s="2">
        <f>IF(I2493="", "", IF(OR(AND(A2493="Listed Equity Shares", I2493&gt;12), AND(A2493="Unlisted Equity Shares", I2493&gt;24)), "Long Term", "Short Term"))</f>
        <v/>
      </c>
      <c r="K2493" s="5">
        <f>IF(J2493="", "", IF(J2493="Long Term", 12.5%,"as per slab"))</f>
        <v/>
      </c>
      <c r="L2493" s="3">
        <f>+IFERROR(IF(J2493="","",H2493*K2493),"as per slab")</f>
        <v/>
      </c>
    </row>
    <row r="2494">
      <c r="A2494" s="7" t="n"/>
      <c r="B2494" s="7" t="n"/>
      <c r="C2494" s="8" t="n"/>
      <c r="D2494" s="9" t="n"/>
      <c r="E2494" s="8" t="n"/>
      <c r="F2494" s="9" t="n"/>
      <c r="G2494" s="9" t="n"/>
      <c r="H2494" s="3">
        <f>IF(AND(D2494&lt;&gt;"",F2494&lt;&gt;""),F2494-D2494-G2494,"")</f>
        <v/>
      </c>
      <c r="I2494" s="14">
        <f>IF(E2494&lt;&gt;"", YEARFRAC(C2494, E2494) * 12, "")</f>
        <v/>
      </c>
      <c r="J2494" s="2">
        <f>IF(I2494="", "", IF(OR(AND(A2494="Listed Equity Shares", I2494&gt;12), AND(A2494="Unlisted Equity Shares", I2494&gt;24)), "Long Term", "Short Term"))</f>
        <v/>
      </c>
      <c r="K2494" s="5">
        <f>IF(J2494="", "", IF(J2494="Long Term", 12.5%,"as per slab"))</f>
        <v/>
      </c>
      <c r="L2494" s="3">
        <f>+IFERROR(IF(J2494="","",H2494*K2494),"as per slab")</f>
        <v/>
      </c>
    </row>
    <row r="2495">
      <c r="A2495" s="7" t="n"/>
      <c r="B2495" s="7" t="n"/>
      <c r="C2495" s="8" t="n"/>
      <c r="D2495" s="9" t="n"/>
      <c r="E2495" s="8" t="n"/>
      <c r="F2495" s="9" t="n"/>
      <c r="G2495" s="9" t="n"/>
      <c r="H2495" s="3">
        <f>IF(AND(D2495&lt;&gt;"",F2495&lt;&gt;""),F2495-D2495-G2495,"")</f>
        <v/>
      </c>
      <c r="I2495" s="14">
        <f>IF(E2495&lt;&gt;"", YEARFRAC(C2495, E2495) * 12, "")</f>
        <v/>
      </c>
      <c r="J2495" s="2">
        <f>IF(I2495="", "", IF(OR(AND(A2495="Listed Equity Shares", I2495&gt;12), AND(A2495="Unlisted Equity Shares", I2495&gt;24)), "Long Term", "Short Term"))</f>
        <v/>
      </c>
      <c r="K2495" s="5">
        <f>IF(J2495="", "", IF(J2495="Long Term", 12.5%,"as per slab"))</f>
        <v/>
      </c>
      <c r="L2495" s="3">
        <f>+IFERROR(IF(J2495="","",H2495*K2495),"as per slab")</f>
        <v/>
      </c>
    </row>
    <row r="2496">
      <c r="A2496" s="7" t="n"/>
      <c r="B2496" s="7" t="n"/>
      <c r="C2496" s="8" t="n"/>
      <c r="D2496" s="9" t="n"/>
      <c r="E2496" s="8" t="n"/>
      <c r="F2496" s="9" t="n"/>
      <c r="G2496" s="9" t="n"/>
      <c r="H2496" s="3">
        <f>IF(AND(D2496&lt;&gt;"",F2496&lt;&gt;""),F2496-D2496-G2496,"")</f>
        <v/>
      </c>
      <c r="I2496" s="14">
        <f>IF(E2496&lt;&gt;"", YEARFRAC(C2496, E2496) * 12, "")</f>
        <v/>
      </c>
      <c r="J2496" s="2">
        <f>IF(I2496="", "", IF(OR(AND(A2496="Listed Equity Shares", I2496&gt;12), AND(A2496="Unlisted Equity Shares", I2496&gt;24)), "Long Term", "Short Term"))</f>
        <v/>
      </c>
      <c r="K2496" s="5">
        <f>IF(J2496="", "", IF(J2496="Long Term", 12.5%,"as per slab"))</f>
        <v/>
      </c>
      <c r="L2496" s="3">
        <f>+IFERROR(IF(J2496="","",H2496*K2496),"as per slab")</f>
        <v/>
      </c>
    </row>
    <row r="2497">
      <c r="A2497" s="7" t="n"/>
      <c r="B2497" s="7" t="n"/>
      <c r="C2497" s="8" t="n"/>
      <c r="D2497" s="9" t="n"/>
      <c r="E2497" s="8" t="n"/>
      <c r="F2497" s="9" t="n"/>
      <c r="G2497" s="9" t="n"/>
      <c r="H2497" s="3">
        <f>IF(AND(D2497&lt;&gt;"",F2497&lt;&gt;""),F2497-D2497-G2497,"")</f>
        <v/>
      </c>
      <c r="I2497" s="14">
        <f>IF(E2497&lt;&gt;"", YEARFRAC(C2497, E2497) * 12, "")</f>
        <v/>
      </c>
      <c r="J2497" s="2">
        <f>IF(I2497="", "", IF(OR(AND(A2497="Listed Equity Shares", I2497&gt;12), AND(A2497="Unlisted Equity Shares", I2497&gt;24)), "Long Term", "Short Term"))</f>
        <v/>
      </c>
      <c r="K2497" s="5">
        <f>IF(J2497="", "", IF(J2497="Long Term", 12.5%,"as per slab"))</f>
        <v/>
      </c>
      <c r="L2497" s="3">
        <f>+IFERROR(IF(J2497="","",H2497*K2497),"as per slab")</f>
        <v/>
      </c>
    </row>
    <row r="2498">
      <c r="A2498" s="7" t="n"/>
      <c r="B2498" s="7" t="n"/>
      <c r="C2498" s="8" t="n"/>
      <c r="D2498" s="9" t="n"/>
      <c r="E2498" s="8" t="n"/>
      <c r="F2498" s="9" t="n"/>
      <c r="G2498" s="9" t="n"/>
      <c r="H2498" s="3">
        <f>IF(AND(D2498&lt;&gt;"",F2498&lt;&gt;""),F2498-D2498-G2498,"")</f>
        <v/>
      </c>
      <c r="I2498" s="14">
        <f>IF(E2498&lt;&gt;"", YEARFRAC(C2498, E2498) * 12, "")</f>
        <v/>
      </c>
      <c r="J2498" s="2">
        <f>IF(I2498="", "", IF(OR(AND(A2498="Listed Equity Shares", I2498&gt;12), AND(A2498="Unlisted Equity Shares", I2498&gt;24)), "Long Term", "Short Term"))</f>
        <v/>
      </c>
      <c r="K2498" s="5">
        <f>IF(J2498="", "", IF(J2498="Long Term", 12.5%,"as per slab"))</f>
        <v/>
      </c>
      <c r="L2498" s="3">
        <f>+IFERROR(IF(J2498="","",H2498*K2498),"as per slab")</f>
        <v/>
      </c>
    </row>
    <row r="2499">
      <c r="A2499" s="7" t="n"/>
      <c r="B2499" s="7" t="n"/>
      <c r="C2499" s="8" t="n"/>
      <c r="D2499" s="9" t="n"/>
      <c r="E2499" s="8" t="n"/>
      <c r="F2499" s="9" t="n"/>
      <c r="G2499" s="9" t="n"/>
      <c r="H2499" s="3">
        <f>IF(AND(D2499&lt;&gt;"",F2499&lt;&gt;""),F2499-D2499-G2499,"")</f>
        <v/>
      </c>
      <c r="I2499" s="14">
        <f>IF(E2499&lt;&gt;"", YEARFRAC(C2499, E2499) * 12, "")</f>
        <v/>
      </c>
      <c r="J2499" s="2">
        <f>IF(I2499="", "", IF(OR(AND(A2499="Listed Equity Shares", I2499&gt;12), AND(A2499="Unlisted Equity Shares", I2499&gt;24)), "Long Term", "Short Term"))</f>
        <v/>
      </c>
      <c r="K2499" s="5">
        <f>IF(J2499="", "", IF(J2499="Long Term", 12.5%,"as per slab"))</f>
        <v/>
      </c>
      <c r="L2499" s="3">
        <f>+IFERROR(IF(J2499="","",H2499*K2499),"as per slab")</f>
        <v/>
      </c>
    </row>
    <row r="2500">
      <c r="A2500" s="7" t="n"/>
      <c r="B2500" s="7" t="n"/>
      <c r="C2500" s="8" t="n"/>
      <c r="D2500" s="9" t="n"/>
      <c r="E2500" s="8" t="n"/>
      <c r="F2500" s="9" t="n"/>
      <c r="G2500" s="9" t="n"/>
      <c r="H2500" s="3">
        <f>IF(AND(D2500&lt;&gt;"",F2500&lt;&gt;""),F2500-D2500-G2500,"")</f>
        <v/>
      </c>
      <c r="I2500" s="14">
        <f>IF(E2500&lt;&gt;"", YEARFRAC(C2500, E2500) * 12, "")</f>
        <v/>
      </c>
      <c r="J2500" s="2">
        <f>IF(I2500="", "", IF(OR(AND(A2500="Listed Equity Shares", I2500&gt;12), AND(A2500="Unlisted Equity Shares", I2500&gt;24)), "Long Term", "Short Term"))</f>
        <v/>
      </c>
      <c r="K2500" s="5">
        <f>IF(J2500="", "", IF(J2500="Long Term", 12.5%,"as per slab"))</f>
        <v/>
      </c>
      <c r="L2500" s="3">
        <f>+IFERROR(IF(J2500="","",H2500*K2500),"as per slab")</f>
        <v/>
      </c>
    </row>
    <row r="2501">
      <c r="A2501" s="7" t="n"/>
      <c r="B2501" s="7" t="n"/>
      <c r="C2501" s="8" t="n"/>
      <c r="D2501" s="9" t="n"/>
      <c r="E2501" s="8" t="n"/>
      <c r="F2501" s="9" t="n"/>
      <c r="G2501" s="9" t="n"/>
      <c r="H2501" s="3">
        <f>IF(AND(D2501&lt;&gt;"",F2501&lt;&gt;""),F2501-D2501-G2501,"")</f>
        <v/>
      </c>
      <c r="I2501" s="14">
        <f>IF(E2501&lt;&gt;"", YEARFRAC(C2501, E2501) * 12, "")</f>
        <v/>
      </c>
      <c r="J2501" s="2">
        <f>IF(I2501="", "", IF(OR(AND(A2501="Listed Equity Shares", I2501&gt;12), AND(A2501="Unlisted Equity Shares", I2501&gt;24)), "Long Term", "Short Term"))</f>
        <v/>
      </c>
      <c r="K2501" s="5">
        <f>IF(J2501="", "", IF(J2501="Long Term", 12.5%,"as per slab"))</f>
        <v/>
      </c>
      <c r="L2501" s="3">
        <f>+IFERROR(IF(J2501="","",H2501*K2501),"as per slab")</f>
        <v/>
      </c>
    </row>
    <row r="2502">
      <c r="A2502" s="7" t="n"/>
      <c r="B2502" s="7" t="n"/>
      <c r="C2502" s="8" t="n"/>
      <c r="D2502" s="9" t="n"/>
      <c r="E2502" s="8" t="n"/>
      <c r="F2502" s="9" t="n"/>
      <c r="G2502" s="9" t="n"/>
      <c r="H2502" s="3">
        <f>IF(AND(D2502&lt;&gt;"",F2502&lt;&gt;""),F2502-D2502-G2502,"")</f>
        <v/>
      </c>
      <c r="I2502" s="14">
        <f>IF(E2502&lt;&gt;"", YEARFRAC(C2502, E2502) * 12, "")</f>
        <v/>
      </c>
      <c r="J2502" s="2">
        <f>IF(I2502="", "", IF(OR(AND(A2502="Listed Equity Shares", I2502&gt;12), AND(A2502="Unlisted Equity Shares", I2502&gt;24)), "Long Term", "Short Term"))</f>
        <v/>
      </c>
      <c r="K2502" s="5">
        <f>IF(J2502="", "", IF(J2502="Long Term", 12.5%,"as per slab"))</f>
        <v/>
      </c>
      <c r="L2502" s="3">
        <f>+IFERROR(IF(J2502="","",H2502*K2502),"as per slab")</f>
        <v/>
      </c>
    </row>
    <row r="2503">
      <c r="A2503" s="7" t="n"/>
      <c r="B2503" s="7" t="n"/>
      <c r="C2503" s="8" t="n"/>
      <c r="D2503" s="9" t="n"/>
      <c r="E2503" s="8" t="n"/>
      <c r="F2503" s="9" t="n"/>
      <c r="G2503" s="9" t="n"/>
      <c r="H2503" s="3">
        <f>IF(AND(D2503&lt;&gt;"",F2503&lt;&gt;""),F2503-D2503-G2503,"")</f>
        <v/>
      </c>
      <c r="I2503" s="14">
        <f>IF(E2503&lt;&gt;"", YEARFRAC(C2503, E2503) * 12, "")</f>
        <v/>
      </c>
      <c r="J2503" s="2">
        <f>IF(I2503="", "", IF(OR(AND(A2503="Listed Equity Shares", I2503&gt;12), AND(A2503="Unlisted Equity Shares", I2503&gt;24)), "Long Term", "Short Term"))</f>
        <v/>
      </c>
      <c r="K2503" s="5">
        <f>IF(J2503="", "", IF(J2503="Long Term", 12.5%,"as per slab"))</f>
        <v/>
      </c>
      <c r="L2503" s="3">
        <f>+IFERROR(IF(J2503="","",H2503*K2503),"as per slab")</f>
        <v/>
      </c>
    </row>
    <row r="2504">
      <c r="A2504" s="7" t="n"/>
      <c r="B2504" s="7" t="n"/>
      <c r="C2504" s="8" t="n"/>
      <c r="D2504" s="9" t="n"/>
      <c r="E2504" s="8" t="n"/>
      <c r="F2504" s="9" t="n"/>
      <c r="G2504" s="9" t="n"/>
      <c r="H2504" s="3">
        <f>IF(AND(D2504&lt;&gt;"",F2504&lt;&gt;""),F2504-D2504-G2504,"")</f>
        <v/>
      </c>
      <c r="I2504" s="14">
        <f>IF(E2504&lt;&gt;"", YEARFRAC(C2504, E2504) * 12, "")</f>
        <v/>
      </c>
      <c r="J2504" s="2">
        <f>IF(I2504="", "", IF(OR(AND(A2504="Listed Equity Shares", I2504&gt;12), AND(A2504="Unlisted Equity Shares", I2504&gt;24)), "Long Term", "Short Term"))</f>
        <v/>
      </c>
      <c r="K2504" s="5">
        <f>IF(J2504="", "", IF(J2504="Long Term", 12.5%,"as per slab"))</f>
        <v/>
      </c>
      <c r="L2504" s="3">
        <f>+IFERROR(IF(J2504="","",H2504*K2504),"as per slab")</f>
        <v/>
      </c>
    </row>
    <row r="2505">
      <c r="A2505" s="7" t="n"/>
      <c r="B2505" s="7" t="n"/>
      <c r="C2505" s="8" t="n"/>
      <c r="D2505" s="9" t="n"/>
      <c r="E2505" s="8" t="n"/>
      <c r="F2505" s="9" t="n"/>
      <c r="G2505" s="9" t="n"/>
      <c r="H2505" s="3">
        <f>IF(AND(D2505&lt;&gt;"",F2505&lt;&gt;""),F2505-D2505-G2505,"")</f>
        <v/>
      </c>
      <c r="I2505" s="14">
        <f>IF(E2505&lt;&gt;"", YEARFRAC(C2505, E2505) * 12, "")</f>
        <v/>
      </c>
      <c r="J2505" s="2">
        <f>IF(I2505="", "", IF(OR(AND(A2505="Listed Equity Shares", I2505&gt;12), AND(A2505="Unlisted Equity Shares", I2505&gt;24)), "Long Term", "Short Term"))</f>
        <v/>
      </c>
      <c r="K2505" s="5">
        <f>IF(J2505="", "", IF(J2505="Long Term", 12.5%,"as per slab"))</f>
        <v/>
      </c>
      <c r="L2505" s="3">
        <f>+IFERROR(IF(J2505="","",H2505*K2505),"as per slab")</f>
        <v/>
      </c>
    </row>
    <row r="2506">
      <c r="A2506" s="7" t="n"/>
      <c r="B2506" s="7" t="n"/>
      <c r="C2506" s="8" t="n"/>
      <c r="D2506" s="9" t="n"/>
      <c r="E2506" s="8" t="n"/>
      <c r="F2506" s="9" t="n"/>
      <c r="G2506" s="9" t="n"/>
      <c r="H2506" s="3">
        <f>IF(AND(D2506&lt;&gt;"",F2506&lt;&gt;""),F2506-D2506-G2506,"")</f>
        <v/>
      </c>
      <c r="I2506" s="14">
        <f>IF(E2506&lt;&gt;"", YEARFRAC(C2506, E2506) * 12, "")</f>
        <v/>
      </c>
      <c r="J2506" s="2">
        <f>IF(I2506="", "", IF(OR(AND(A2506="Listed Equity Shares", I2506&gt;12), AND(A2506="Unlisted Equity Shares", I2506&gt;24)), "Long Term", "Short Term"))</f>
        <v/>
      </c>
      <c r="K2506" s="5">
        <f>IF(J2506="", "", IF(J2506="Long Term", 12.5%,"as per slab"))</f>
        <v/>
      </c>
      <c r="L2506" s="3">
        <f>+IFERROR(IF(J2506="","",H2506*K2506),"as per slab")</f>
        <v/>
      </c>
    </row>
    <row r="2507">
      <c r="A2507" s="7" t="n"/>
      <c r="B2507" s="7" t="n"/>
      <c r="C2507" s="8" t="n"/>
      <c r="D2507" s="9" t="n"/>
      <c r="E2507" s="8" t="n"/>
      <c r="F2507" s="9" t="n"/>
      <c r="G2507" s="9" t="n"/>
      <c r="H2507" s="3">
        <f>IF(AND(D2507&lt;&gt;"",F2507&lt;&gt;""),F2507-D2507-G2507,"")</f>
        <v/>
      </c>
      <c r="I2507" s="14">
        <f>IF(E2507&lt;&gt;"", YEARFRAC(C2507, E2507) * 12, "")</f>
        <v/>
      </c>
      <c r="J2507" s="2">
        <f>IF(I2507="", "", IF(OR(AND(A2507="Listed Equity Shares", I2507&gt;12), AND(A2507="Unlisted Equity Shares", I2507&gt;24)), "Long Term", "Short Term"))</f>
        <v/>
      </c>
      <c r="K2507" s="5">
        <f>IF(J2507="", "", IF(J2507="Long Term", 12.5%,"as per slab"))</f>
        <v/>
      </c>
      <c r="L2507" s="3">
        <f>+IFERROR(IF(J2507="","",H2507*K2507),"as per slab")</f>
        <v/>
      </c>
    </row>
    <row r="2508">
      <c r="A2508" s="7" t="n"/>
      <c r="B2508" s="7" t="n"/>
      <c r="C2508" s="8" t="n"/>
      <c r="D2508" s="9" t="n"/>
      <c r="E2508" s="8" t="n"/>
      <c r="F2508" s="9" t="n"/>
      <c r="G2508" s="9" t="n"/>
      <c r="H2508" s="3">
        <f>IF(AND(D2508&lt;&gt;"",F2508&lt;&gt;""),F2508-D2508-G2508,"")</f>
        <v/>
      </c>
      <c r="I2508" s="14">
        <f>IF(E2508&lt;&gt;"", YEARFRAC(C2508, E2508) * 12, "")</f>
        <v/>
      </c>
      <c r="J2508" s="2">
        <f>IF(I2508="", "", IF(OR(AND(A2508="Listed Equity Shares", I2508&gt;12), AND(A2508="Unlisted Equity Shares", I2508&gt;24)), "Long Term", "Short Term"))</f>
        <v/>
      </c>
      <c r="K2508" s="5">
        <f>IF(J2508="", "", IF(J2508="Long Term", 12.5%,"as per slab"))</f>
        <v/>
      </c>
      <c r="L2508" s="3">
        <f>+IFERROR(IF(J2508="","",H2508*K2508),"as per slab")</f>
        <v/>
      </c>
    </row>
    <row r="2509">
      <c r="A2509" s="7" t="n"/>
      <c r="B2509" s="7" t="n"/>
      <c r="C2509" s="8" t="n"/>
      <c r="D2509" s="9" t="n"/>
      <c r="E2509" s="8" t="n"/>
      <c r="F2509" s="9" t="n"/>
      <c r="G2509" s="9" t="n"/>
      <c r="H2509" s="3">
        <f>IF(AND(D2509&lt;&gt;"",F2509&lt;&gt;""),F2509-D2509-G2509,"")</f>
        <v/>
      </c>
      <c r="I2509" s="14">
        <f>IF(E2509&lt;&gt;"", YEARFRAC(C2509, E2509) * 12, "")</f>
        <v/>
      </c>
      <c r="J2509" s="2">
        <f>IF(I2509="", "", IF(OR(AND(A2509="Listed Equity Shares", I2509&gt;12), AND(A2509="Unlisted Equity Shares", I2509&gt;24)), "Long Term", "Short Term"))</f>
        <v/>
      </c>
      <c r="K2509" s="5">
        <f>IF(J2509="", "", IF(J2509="Long Term", 12.5%,"as per slab"))</f>
        <v/>
      </c>
      <c r="L2509" s="3">
        <f>+IFERROR(IF(J2509="","",H2509*K2509),"as per slab")</f>
        <v/>
      </c>
    </row>
    <row r="2510">
      <c r="A2510" s="7" t="n"/>
      <c r="B2510" s="7" t="n"/>
      <c r="C2510" s="8" t="n"/>
      <c r="D2510" s="9" t="n"/>
      <c r="E2510" s="8" t="n"/>
      <c r="F2510" s="9" t="n"/>
      <c r="G2510" s="9" t="n"/>
      <c r="H2510" s="3">
        <f>IF(AND(D2510&lt;&gt;"",F2510&lt;&gt;""),F2510-D2510-G2510,"")</f>
        <v/>
      </c>
      <c r="I2510" s="14">
        <f>IF(E2510&lt;&gt;"", YEARFRAC(C2510, E2510) * 12, "")</f>
        <v/>
      </c>
      <c r="J2510" s="2">
        <f>IF(I2510="", "", IF(OR(AND(A2510="Listed Equity Shares", I2510&gt;12), AND(A2510="Unlisted Equity Shares", I2510&gt;24)), "Long Term", "Short Term"))</f>
        <v/>
      </c>
      <c r="K2510" s="5">
        <f>IF(J2510="", "", IF(J2510="Long Term", 12.5%,"as per slab"))</f>
        <v/>
      </c>
      <c r="L2510" s="3">
        <f>+IFERROR(IF(J2510="","",H2510*K2510),"as per slab")</f>
        <v/>
      </c>
    </row>
    <row r="2511">
      <c r="A2511" s="7" t="n"/>
      <c r="B2511" s="7" t="n"/>
      <c r="C2511" s="8" t="n"/>
      <c r="D2511" s="9" t="n"/>
      <c r="E2511" s="8" t="n"/>
      <c r="F2511" s="9" t="n"/>
      <c r="G2511" s="9" t="n"/>
      <c r="H2511" s="3">
        <f>IF(AND(D2511&lt;&gt;"",F2511&lt;&gt;""),F2511-D2511-G2511,"")</f>
        <v/>
      </c>
      <c r="I2511" s="14">
        <f>IF(E2511&lt;&gt;"", YEARFRAC(C2511, E2511) * 12, "")</f>
        <v/>
      </c>
      <c r="J2511" s="2">
        <f>IF(I2511="", "", IF(OR(AND(A2511="Listed Equity Shares", I2511&gt;12), AND(A2511="Unlisted Equity Shares", I2511&gt;24)), "Long Term", "Short Term"))</f>
        <v/>
      </c>
      <c r="K2511" s="5">
        <f>IF(J2511="", "", IF(J2511="Long Term", 12.5%,"as per slab"))</f>
        <v/>
      </c>
      <c r="L2511" s="3">
        <f>+IFERROR(IF(J2511="","",H2511*K2511),"as per slab")</f>
        <v/>
      </c>
    </row>
    <row r="2512">
      <c r="A2512" s="7" t="n"/>
      <c r="B2512" s="7" t="n"/>
      <c r="C2512" s="8" t="n"/>
      <c r="D2512" s="9" t="n"/>
      <c r="E2512" s="8" t="n"/>
      <c r="F2512" s="9" t="n"/>
      <c r="G2512" s="9" t="n"/>
      <c r="H2512" s="3">
        <f>IF(AND(D2512&lt;&gt;"",F2512&lt;&gt;""),F2512-D2512-G2512,"")</f>
        <v/>
      </c>
      <c r="I2512" s="14">
        <f>IF(E2512&lt;&gt;"", YEARFRAC(C2512, E2512) * 12, "")</f>
        <v/>
      </c>
      <c r="J2512" s="2">
        <f>IF(I2512="", "", IF(OR(AND(A2512="Listed Equity Shares", I2512&gt;12), AND(A2512="Unlisted Equity Shares", I2512&gt;24)), "Long Term", "Short Term"))</f>
        <v/>
      </c>
      <c r="K2512" s="5">
        <f>IF(J2512="", "", IF(J2512="Long Term", 12.5%,"as per slab"))</f>
        <v/>
      </c>
      <c r="L2512" s="3">
        <f>+IFERROR(IF(J2512="","",H2512*K2512),"as per slab")</f>
        <v/>
      </c>
    </row>
    <row r="2513">
      <c r="A2513" s="7" t="n"/>
      <c r="B2513" s="7" t="n"/>
      <c r="C2513" s="8" t="n"/>
      <c r="D2513" s="9" t="n"/>
      <c r="E2513" s="8" t="n"/>
      <c r="F2513" s="9" t="n"/>
      <c r="G2513" s="9" t="n"/>
      <c r="H2513" s="3">
        <f>IF(AND(D2513&lt;&gt;"",F2513&lt;&gt;""),F2513-D2513-G2513,"")</f>
        <v/>
      </c>
      <c r="I2513" s="14">
        <f>IF(E2513&lt;&gt;"", YEARFRAC(C2513, E2513) * 12, "")</f>
        <v/>
      </c>
      <c r="J2513" s="2">
        <f>IF(I2513="", "", IF(OR(AND(A2513="Listed Equity Shares", I2513&gt;12), AND(A2513="Unlisted Equity Shares", I2513&gt;24)), "Long Term", "Short Term"))</f>
        <v/>
      </c>
      <c r="K2513" s="5">
        <f>IF(J2513="", "", IF(J2513="Long Term", 12.5%,"as per slab"))</f>
        <v/>
      </c>
      <c r="L2513" s="3">
        <f>+IFERROR(IF(J2513="","",H2513*K2513),"as per slab")</f>
        <v/>
      </c>
    </row>
    <row r="2514">
      <c r="A2514" s="7" t="n"/>
      <c r="B2514" s="7" t="n"/>
      <c r="C2514" s="8" t="n"/>
      <c r="D2514" s="9" t="n"/>
      <c r="E2514" s="8" t="n"/>
      <c r="F2514" s="9" t="n"/>
      <c r="G2514" s="9" t="n"/>
      <c r="H2514" s="3">
        <f>IF(AND(D2514&lt;&gt;"",F2514&lt;&gt;""),F2514-D2514-G2514,"")</f>
        <v/>
      </c>
      <c r="I2514" s="14">
        <f>IF(E2514&lt;&gt;"", YEARFRAC(C2514, E2514) * 12, "")</f>
        <v/>
      </c>
      <c r="J2514" s="2">
        <f>IF(I2514="", "", IF(OR(AND(A2514="Listed Equity Shares", I2514&gt;12), AND(A2514="Unlisted Equity Shares", I2514&gt;24)), "Long Term", "Short Term"))</f>
        <v/>
      </c>
      <c r="K2514" s="5">
        <f>IF(J2514="", "", IF(J2514="Long Term", 12.5%,"as per slab"))</f>
        <v/>
      </c>
      <c r="L2514" s="3">
        <f>+IFERROR(IF(J2514="","",H2514*K2514),"as per slab")</f>
        <v/>
      </c>
    </row>
    <row r="2515">
      <c r="A2515" s="7" t="n"/>
      <c r="B2515" s="7" t="n"/>
      <c r="C2515" s="8" t="n"/>
      <c r="D2515" s="9" t="n"/>
      <c r="E2515" s="8" t="n"/>
      <c r="F2515" s="9" t="n"/>
      <c r="G2515" s="9" t="n"/>
      <c r="H2515" s="3">
        <f>IF(AND(D2515&lt;&gt;"",F2515&lt;&gt;""),F2515-D2515-G2515,"")</f>
        <v/>
      </c>
      <c r="I2515" s="14">
        <f>IF(E2515&lt;&gt;"", YEARFRAC(C2515, E2515) * 12, "")</f>
        <v/>
      </c>
      <c r="J2515" s="2">
        <f>IF(I2515="", "", IF(OR(AND(A2515="Listed Equity Shares", I2515&gt;12), AND(A2515="Unlisted Equity Shares", I2515&gt;24)), "Long Term", "Short Term"))</f>
        <v/>
      </c>
      <c r="K2515" s="5">
        <f>IF(J2515="", "", IF(J2515="Long Term", 12.5%,"as per slab"))</f>
        <v/>
      </c>
      <c r="L2515" s="3">
        <f>+IFERROR(IF(J2515="","",H2515*K2515),"as per slab")</f>
        <v/>
      </c>
    </row>
    <row r="2516">
      <c r="A2516" s="7" t="n"/>
      <c r="B2516" s="7" t="n"/>
      <c r="C2516" s="8" t="n"/>
      <c r="D2516" s="9" t="n"/>
      <c r="E2516" s="8" t="n"/>
      <c r="F2516" s="9" t="n"/>
      <c r="G2516" s="9" t="n"/>
      <c r="H2516" s="3">
        <f>IF(AND(D2516&lt;&gt;"",F2516&lt;&gt;""),F2516-D2516-G2516,"")</f>
        <v/>
      </c>
      <c r="I2516" s="14">
        <f>IF(E2516&lt;&gt;"", YEARFRAC(C2516, E2516) * 12, "")</f>
        <v/>
      </c>
      <c r="J2516" s="2">
        <f>IF(I2516="", "", IF(OR(AND(A2516="Listed Equity Shares", I2516&gt;12), AND(A2516="Unlisted Equity Shares", I2516&gt;24)), "Long Term", "Short Term"))</f>
        <v/>
      </c>
      <c r="K2516" s="5">
        <f>IF(J2516="", "", IF(J2516="Long Term", 12.5%,"as per slab"))</f>
        <v/>
      </c>
      <c r="L2516" s="3">
        <f>+IFERROR(IF(J2516="","",H2516*K2516),"as per slab")</f>
        <v/>
      </c>
    </row>
    <row r="2517">
      <c r="A2517" s="7" t="n"/>
      <c r="B2517" s="7" t="n"/>
      <c r="C2517" s="8" t="n"/>
      <c r="D2517" s="9" t="n"/>
      <c r="E2517" s="8" t="n"/>
      <c r="F2517" s="9" t="n"/>
      <c r="G2517" s="9" t="n"/>
      <c r="H2517" s="3">
        <f>IF(AND(D2517&lt;&gt;"",F2517&lt;&gt;""),F2517-D2517-G2517,"")</f>
        <v/>
      </c>
      <c r="I2517" s="14">
        <f>IF(E2517&lt;&gt;"", YEARFRAC(C2517, E2517) * 12, "")</f>
        <v/>
      </c>
      <c r="J2517" s="2">
        <f>IF(I2517="", "", IF(OR(AND(A2517="Listed Equity Shares", I2517&gt;12), AND(A2517="Unlisted Equity Shares", I2517&gt;24)), "Long Term", "Short Term"))</f>
        <v/>
      </c>
      <c r="K2517" s="5">
        <f>IF(J2517="", "", IF(J2517="Long Term", 12.5%,"as per slab"))</f>
        <v/>
      </c>
      <c r="L2517" s="3">
        <f>+IFERROR(IF(J2517="","",H2517*K2517),"as per slab")</f>
        <v/>
      </c>
    </row>
    <row r="2518">
      <c r="A2518" s="7" t="n"/>
      <c r="B2518" s="7" t="n"/>
      <c r="C2518" s="8" t="n"/>
      <c r="D2518" s="9" t="n"/>
      <c r="E2518" s="8" t="n"/>
      <c r="F2518" s="9" t="n"/>
      <c r="G2518" s="9" t="n"/>
      <c r="H2518" s="3">
        <f>IF(AND(D2518&lt;&gt;"",F2518&lt;&gt;""),F2518-D2518-G2518,"")</f>
        <v/>
      </c>
      <c r="I2518" s="14">
        <f>IF(E2518&lt;&gt;"", YEARFRAC(C2518, E2518) * 12, "")</f>
        <v/>
      </c>
      <c r="J2518" s="2">
        <f>IF(I2518="", "", IF(OR(AND(A2518="Listed Equity Shares", I2518&gt;12), AND(A2518="Unlisted Equity Shares", I2518&gt;24)), "Long Term", "Short Term"))</f>
        <v/>
      </c>
      <c r="K2518" s="5">
        <f>IF(J2518="", "", IF(J2518="Long Term", 12.5%,"as per slab"))</f>
        <v/>
      </c>
      <c r="L2518" s="3">
        <f>+IFERROR(IF(J2518="","",H2518*K2518),"as per slab")</f>
        <v/>
      </c>
    </row>
    <row r="2519">
      <c r="A2519" s="7" t="n"/>
      <c r="B2519" s="7" t="n"/>
      <c r="C2519" s="8" t="n"/>
      <c r="D2519" s="9" t="n"/>
      <c r="E2519" s="8" t="n"/>
      <c r="F2519" s="9" t="n"/>
      <c r="G2519" s="9" t="n"/>
      <c r="H2519" s="3">
        <f>IF(AND(D2519&lt;&gt;"",F2519&lt;&gt;""),F2519-D2519-G2519,"")</f>
        <v/>
      </c>
      <c r="I2519" s="14">
        <f>IF(E2519&lt;&gt;"", YEARFRAC(C2519, E2519) * 12, "")</f>
        <v/>
      </c>
      <c r="J2519" s="2">
        <f>IF(I2519="", "", IF(OR(AND(A2519="Listed Equity Shares", I2519&gt;12), AND(A2519="Unlisted Equity Shares", I2519&gt;24)), "Long Term", "Short Term"))</f>
        <v/>
      </c>
      <c r="K2519" s="5">
        <f>IF(J2519="", "", IF(J2519="Long Term", 12.5%,"as per slab"))</f>
        <v/>
      </c>
      <c r="L2519" s="3">
        <f>+IFERROR(IF(J2519="","",H2519*K2519),"as per slab")</f>
        <v/>
      </c>
    </row>
    <row r="2520">
      <c r="A2520" s="7" t="n"/>
      <c r="B2520" s="7" t="n"/>
      <c r="C2520" s="8" t="n"/>
      <c r="D2520" s="9" t="n"/>
      <c r="E2520" s="8" t="n"/>
      <c r="F2520" s="9" t="n"/>
      <c r="G2520" s="9" t="n"/>
      <c r="H2520" s="3">
        <f>IF(AND(D2520&lt;&gt;"",F2520&lt;&gt;""),F2520-D2520-G2520,"")</f>
        <v/>
      </c>
      <c r="I2520" s="14">
        <f>IF(E2520&lt;&gt;"", YEARFRAC(C2520, E2520) * 12, "")</f>
        <v/>
      </c>
      <c r="J2520" s="2">
        <f>IF(I2520="", "", IF(OR(AND(A2520="Listed Equity Shares", I2520&gt;12), AND(A2520="Unlisted Equity Shares", I2520&gt;24)), "Long Term", "Short Term"))</f>
        <v/>
      </c>
      <c r="K2520" s="5">
        <f>IF(J2520="", "", IF(J2520="Long Term", 12.5%,"as per slab"))</f>
        <v/>
      </c>
      <c r="L2520" s="3">
        <f>+IFERROR(IF(J2520="","",H2520*K2520),"as per slab")</f>
        <v/>
      </c>
    </row>
    <row r="2521">
      <c r="A2521" s="7" t="n"/>
      <c r="B2521" s="7" t="n"/>
      <c r="C2521" s="8" t="n"/>
      <c r="D2521" s="9" t="n"/>
      <c r="E2521" s="8" t="n"/>
      <c r="F2521" s="9" t="n"/>
      <c r="G2521" s="9" t="n"/>
      <c r="H2521" s="3">
        <f>IF(AND(D2521&lt;&gt;"",F2521&lt;&gt;""),F2521-D2521-G2521,"")</f>
        <v/>
      </c>
      <c r="I2521" s="14">
        <f>IF(E2521&lt;&gt;"", YEARFRAC(C2521, E2521) * 12, "")</f>
        <v/>
      </c>
      <c r="J2521" s="2">
        <f>IF(I2521="", "", IF(OR(AND(A2521="Listed Equity Shares", I2521&gt;12), AND(A2521="Unlisted Equity Shares", I2521&gt;24)), "Long Term", "Short Term"))</f>
        <v/>
      </c>
      <c r="K2521" s="5">
        <f>IF(J2521="", "", IF(J2521="Long Term", 12.5%,"as per slab"))</f>
        <v/>
      </c>
      <c r="L2521" s="3">
        <f>+IFERROR(IF(J2521="","",H2521*K2521),"as per slab")</f>
        <v/>
      </c>
    </row>
    <row r="2522">
      <c r="A2522" s="7" t="n"/>
      <c r="B2522" s="7" t="n"/>
      <c r="C2522" s="8" t="n"/>
      <c r="D2522" s="9" t="n"/>
      <c r="E2522" s="8" t="n"/>
      <c r="F2522" s="9" t="n"/>
      <c r="G2522" s="9" t="n"/>
      <c r="H2522" s="3">
        <f>IF(AND(D2522&lt;&gt;"",F2522&lt;&gt;""),F2522-D2522-G2522,"")</f>
        <v/>
      </c>
      <c r="I2522" s="14">
        <f>IF(E2522&lt;&gt;"", YEARFRAC(C2522, E2522) * 12, "")</f>
        <v/>
      </c>
      <c r="J2522" s="2">
        <f>IF(I2522="", "", IF(OR(AND(A2522="Listed Equity Shares", I2522&gt;12), AND(A2522="Unlisted Equity Shares", I2522&gt;24)), "Long Term", "Short Term"))</f>
        <v/>
      </c>
      <c r="K2522" s="5">
        <f>IF(J2522="", "", IF(J2522="Long Term", 12.5%,"as per slab"))</f>
        <v/>
      </c>
      <c r="L2522" s="3">
        <f>+IFERROR(IF(J2522="","",H2522*K2522),"as per slab")</f>
        <v/>
      </c>
    </row>
    <row r="2523">
      <c r="A2523" s="7" t="n"/>
      <c r="B2523" s="7" t="n"/>
      <c r="C2523" s="8" t="n"/>
      <c r="D2523" s="9" t="n"/>
      <c r="E2523" s="8" t="n"/>
      <c r="F2523" s="9" t="n"/>
      <c r="G2523" s="9" t="n"/>
      <c r="H2523" s="3">
        <f>IF(AND(D2523&lt;&gt;"",F2523&lt;&gt;""),F2523-D2523-G2523,"")</f>
        <v/>
      </c>
      <c r="I2523" s="14">
        <f>IF(E2523&lt;&gt;"", YEARFRAC(C2523, E2523) * 12, "")</f>
        <v/>
      </c>
      <c r="J2523" s="2">
        <f>IF(I2523="", "", IF(OR(AND(A2523="Listed Equity Shares", I2523&gt;12), AND(A2523="Unlisted Equity Shares", I2523&gt;24)), "Long Term", "Short Term"))</f>
        <v/>
      </c>
      <c r="K2523" s="5">
        <f>IF(J2523="", "", IF(J2523="Long Term", 12.5%,"as per slab"))</f>
        <v/>
      </c>
      <c r="L2523" s="3">
        <f>+IFERROR(IF(J2523="","",H2523*K2523),"as per slab")</f>
        <v/>
      </c>
    </row>
    <row r="2524">
      <c r="A2524" s="7" t="n"/>
      <c r="B2524" s="7" t="n"/>
      <c r="C2524" s="8" t="n"/>
      <c r="D2524" s="9" t="n"/>
      <c r="E2524" s="8" t="n"/>
      <c r="F2524" s="9" t="n"/>
      <c r="G2524" s="9" t="n"/>
      <c r="H2524" s="3">
        <f>IF(AND(D2524&lt;&gt;"",F2524&lt;&gt;""),F2524-D2524-G2524,"")</f>
        <v/>
      </c>
      <c r="I2524" s="14">
        <f>IF(E2524&lt;&gt;"", YEARFRAC(C2524, E2524) * 12, "")</f>
        <v/>
      </c>
      <c r="J2524" s="2">
        <f>IF(I2524="", "", IF(OR(AND(A2524="Listed Equity Shares", I2524&gt;12), AND(A2524="Unlisted Equity Shares", I2524&gt;24)), "Long Term", "Short Term"))</f>
        <v/>
      </c>
      <c r="K2524" s="5">
        <f>IF(J2524="", "", IF(J2524="Long Term", 12.5%,"as per slab"))</f>
        <v/>
      </c>
      <c r="L2524" s="3">
        <f>+IFERROR(IF(J2524="","",H2524*K2524),"as per slab")</f>
        <v/>
      </c>
    </row>
    <row r="2525">
      <c r="A2525" s="7" t="n"/>
      <c r="B2525" s="7" t="n"/>
      <c r="C2525" s="8" t="n"/>
      <c r="D2525" s="9" t="n"/>
      <c r="E2525" s="8" t="n"/>
      <c r="F2525" s="9" t="n"/>
      <c r="G2525" s="9" t="n"/>
      <c r="H2525" s="3">
        <f>IF(AND(D2525&lt;&gt;"",F2525&lt;&gt;""),F2525-D2525-G2525,"")</f>
        <v/>
      </c>
      <c r="I2525" s="14">
        <f>IF(E2525&lt;&gt;"", YEARFRAC(C2525, E2525) * 12, "")</f>
        <v/>
      </c>
      <c r="J2525" s="2">
        <f>IF(I2525="", "", IF(OR(AND(A2525="Listed Equity Shares", I2525&gt;12), AND(A2525="Unlisted Equity Shares", I2525&gt;24)), "Long Term", "Short Term"))</f>
        <v/>
      </c>
      <c r="K2525" s="5">
        <f>IF(J2525="", "", IF(J2525="Long Term", 12.5%,"as per slab"))</f>
        <v/>
      </c>
      <c r="L2525" s="3">
        <f>+IFERROR(IF(J2525="","",H2525*K2525),"as per slab")</f>
        <v/>
      </c>
    </row>
    <row r="2526">
      <c r="A2526" s="7" t="n"/>
      <c r="B2526" s="7" t="n"/>
      <c r="C2526" s="8" t="n"/>
      <c r="D2526" s="9" t="n"/>
      <c r="E2526" s="8" t="n"/>
      <c r="F2526" s="9" t="n"/>
      <c r="G2526" s="9" t="n"/>
      <c r="H2526" s="3">
        <f>IF(AND(D2526&lt;&gt;"",F2526&lt;&gt;""),F2526-D2526-G2526,"")</f>
        <v/>
      </c>
      <c r="I2526" s="14">
        <f>IF(E2526&lt;&gt;"", YEARFRAC(C2526, E2526) * 12, "")</f>
        <v/>
      </c>
      <c r="J2526" s="2">
        <f>IF(I2526="", "", IF(OR(AND(A2526="Listed Equity Shares", I2526&gt;12), AND(A2526="Unlisted Equity Shares", I2526&gt;24)), "Long Term", "Short Term"))</f>
        <v/>
      </c>
      <c r="K2526" s="5">
        <f>IF(J2526="", "", IF(J2526="Long Term", 12.5%,"as per slab"))</f>
        <v/>
      </c>
      <c r="L2526" s="3">
        <f>+IFERROR(IF(J2526="","",H2526*K2526),"as per slab")</f>
        <v/>
      </c>
    </row>
    <row r="2527">
      <c r="A2527" s="7" t="n"/>
      <c r="B2527" s="7" t="n"/>
      <c r="C2527" s="8" t="n"/>
      <c r="D2527" s="9" t="n"/>
      <c r="E2527" s="8" t="n"/>
      <c r="F2527" s="9" t="n"/>
      <c r="G2527" s="9" t="n"/>
      <c r="H2527" s="3">
        <f>IF(AND(D2527&lt;&gt;"",F2527&lt;&gt;""),F2527-D2527-G2527,"")</f>
        <v/>
      </c>
      <c r="I2527" s="14">
        <f>IF(E2527&lt;&gt;"", YEARFRAC(C2527, E2527) * 12, "")</f>
        <v/>
      </c>
      <c r="J2527" s="2">
        <f>IF(I2527="", "", IF(OR(AND(A2527="Listed Equity Shares", I2527&gt;12), AND(A2527="Unlisted Equity Shares", I2527&gt;24)), "Long Term", "Short Term"))</f>
        <v/>
      </c>
      <c r="K2527" s="5">
        <f>IF(J2527="", "", IF(J2527="Long Term", 12.5%,"as per slab"))</f>
        <v/>
      </c>
      <c r="L2527" s="3">
        <f>+IFERROR(IF(J2527="","",H2527*K2527),"as per slab")</f>
        <v/>
      </c>
    </row>
    <row r="2528">
      <c r="A2528" s="7" t="n"/>
      <c r="B2528" s="7" t="n"/>
      <c r="C2528" s="8" t="n"/>
      <c r="D2528" s="9" t="n"/>
      <c r="E2528" s="8" t="n"/>
      <c r="F2528" s="9" t="n"/>
      <c r="G2528" s="9" t="n"/>
      <c r="H2528" s="3">
        <f>IF(AND(D2528&lt;&gt;"",F2528&lt;&gt;""),F2528-D2528-G2528,"")</f>
        <v/>
      </c>
      <c r="I2528" s="14">
        <f>IF(E2528&lt;&gt;"", YEARFRAC(C2528, E2528) * 12, "")</f>
        <v/>
      </c>
      <c r="J2528" s="2">
        <f>IF(I2528="", "", IF(OR(AND(A2528="Listed Equity Shares", I2528&gt;12), AND(A2528="Unlisted Equity Shares", I2528&gt;24)), "Long Term", "Short Term"))</f>
        <v/>
      </c>
      <c r="K2528" s="5">
        <f>IF(J2528="", "", IF(J2528="Long Term", 12.5%,"as per slab"))</f>
        <v/>
      </c>
      <c r="L2528" s="3">
        <f>+IFERROR(IF(J2528="","",H2528*K2528),"as per slab")</f>
        <v/>
      </c>
    </row>
    <row r="2529">
      <c r="A2529" s="7" t="n"/>
      <c r="B2529" s="7" t="n"/>
      <c r="C2529" s="8" t="n"/>
      <c r="D2529" s="9" t="n"/>
      <c r="E2529" s="8" t="n"/>
      <c r="F2529" s="9" t="n"/>
      <c r="G2529" s="9" t="n"/>
      <c r="H2529" s="3">
        <f>IF(AND(D2529&lt;&gt;"",F2529&lt;&gt;""),F2529-D2529-G2529,"")</f>
        <v/>
      </c>
      <c r="I2529" s="14">
        <f>IF(E2529&lt;&gt;"", YEARFRAC(C2529, E2529) * 12, "")</f>
        <v/>
      </c>
      <c r="J2529" s="2">
        <f>IF(I2529="", "", IF(OR(AND(A2529="Listed Equity Shares", I2529&gt;12), AND(A2529="Unlisted Equity Shares", I2529&gt;24)), "Long Term", "Short Term"))</f>
        <v/>
      </c>
      <c r="K2529" s="5">
        <f>IF(J2529="", "", IF(J2529="Long Term", 12.5%,"as per slab"))</f>
        <v/>
      </c>
      <c r="L2529" s="3">
        <f>+IFERROR(IF(J2529="","",H2529*K2529),"as per slab")</f>
        <v/>
      </c>
    </row>
    <row r="2530">
      <c r="A2530" s="7" t="n"/>
      <c r="B2530" s="7" t="n"/>
      <c r="C2530" s="8" t="n"/>
      <c r="D2530" s="9" t="n"/>
      <c r="E2530" s="8" t="n"/>
      <c r="F2530" s="9" t="n"/>
      <c r="G2530" s="9" t="n"/>
      <c r="H2530" s="3">
        <f>IF(AND(D2530&lt;&gt;"",F2530&lt;&gt;""),F2530-D2530-G2530,"")</f>
        <v/>
      </c>
      <c r="I2530" s="14">
        <f>IF(E2530&lt;&gt;"", YEARFRAC(C2530, E2530) * 12, "")</f>
        <v/>
      </c>
      <c r="J2530" s="2">
        <f>IF(I2530="", "", IF(OR(AND(A2530="Listed Equity Shares", I2530&gt;12), AND(A2530="Unlisted Equity Shares", I2530&gt;24)), "Long Term", "Short Term"))</f>
        <v/>
      </c>
      <c r="K2530" s="5">
        <f>IF(J2530="", "", IF(J2530="Long Term", 12.5%,"as per slab"))</f>
        <v/>
      </c>
      <c r="L2530" s="3">
        <f>+IFERROR(IF(J2530="","",H2530*K2530),"as per slab")</f>
        <v/>
      </c>
    </row>
    <row r="2531">
      <c r="A2531" s="7" t="n"/>
      <c r="B2531" s="7" t="n"/>
      <c r="C2531" s="8" t="n"/>
      <c r="D2531" s="9" t="n"/>
      <c r="E2531" s="8" t="n"/>
      <c r="F2531" s="9" t="n"/>
      <c r="G2531" s="9" t="n"/>
      <c r="H2531" s="3">
        <f>IF(AND(D2531&lt;&gt;"",F2531&lt;&gt;""),F2531-D2531-G2531,"")</f>
        <v/>
      </c>
      <c r="I2531" s="14">
        <f>IF(E2531&lt;&gt;"", YEARFRAC(C2531, E2531) * 12, "")</f>
        <v/>
      </c>
      <c r="J2531" s="2">
        <f>IF(I2531="", "", IF(OR(AND(A2531="Listed Equity Shares", I2531&gt;12), AND(A2531="Unlisted Equity Shares", I2531&gt;24)), "Long Term", "Short Term"))</f>
        <v/>
      </c>
      <c r="K2531" s="5">
        <f>IF(J2531="", "", IF(J2531="Long Term", 12.5%,"as per slab"))</f>
        <v/>
      </c>
      <c r="L2531" s="3">
        <f>+IFERROR(IF(J2531="","",H2531*K2531),"as per slab")</f>
        <v/>
      </c>
    </row>
    <row r="2532">
      <c r="A2532" s="7" t="n"/>
      <c r="B2532" s="7" t="n"/>
      <c r="C2532" s="8" t="n"/>
      <c r="D2532" s="9" t="n"/>
      <c r="E2532" s="8" t="n"/>
      <c r="F2532" s="9" t="n"/>
      <c r="G2532" s="9" t="n"/>
      <c r="H2532" s="3">
        <f>IF(AND(D2532&lt;&gt;"",F2532&lt;&gt;""),F2532-D2532-G2532,"")</f>
        <v/>
      </c>
      <c r="I2532" s="14">
        <f>IF(E2532&lt;&gt;"", YEARFRAC(C2532, E2532) * 12, "")</f>
        <v/>
      </c>
      <c r="J2532" s="2">
        <f>IF(I2532="", "", IF(OR(AND(A2532="Listed Equity Shares", I2532&gt;12), AND(A2532="Unlisted Equity Shares", I2532&gt;24)), "Long Term", "Short Term"))</f>
        <v/>
      </c>
      <c r="K2532" s="5">
        <f>IF(J2532="", "", IF(J2532="Long Term", 12.5%,"as per slab"))</f>
        <v/>
      </c>
      <c r="L2532" s="3">
        <f>+IFERROR(IF(J2532="","",H2532*K2532),"as per slab")</f>
        <v/>
      </c>
    </row>
    <row r="2533">
      <c r="A2533" s="7" t="n"/>
      <c r="B2533" s="7" t="n"/>
      <c r="C2533" s="8" t="n"/>
      <c r="D2533" s="9" t="n"/>
      <c r="E2533" s="8" t="n"/>
      <c r="F2533" s="9" t="n"/>
      <c r="G2533" s="9" t="n"/>
      <c r="H2533" s="3">
        <f>IF(AND(D2533&lt;&gt;"",F2533&lt;&gt;""),F2533-D2533-G2533,"")</f>
        <v/>
      </c>
      <c r="I2533" s="14">
        <f>IF(E2533&lt;&gt;"", YEARFRAC(C2533, E2533) * 12, "")</f>
        <v/>
      </c>
      <c r="J2533" s="2">
        <f>IF(I2533="", "", IF(OR(AND(A2533="Listed Equity Shares", I2533&gt;12), AND(A2533="Unlisted Equity Shares", I2533&gt;24)), "Long Term", "Short Term"))</f>
        <v/>
      </c>
      <c r="K2533" s="5">
        <f>IF(J2533="", "", IF(J2533="Long Term", 12.5%,"as per slab"))</f>
        <v/>
      </c>
      <c r="L2533" s="3">
        <f>+IFERROR(IF(J2533="","",H2533*K2533),"as per slab")</f>
        <v/>
      </c>
    </row>
    <row r="2534">
      <c r="A2534" s="7" t="n"/>
      <c r="B2534" s="7" t="n"/>
      <c r="C2534" s="8" t="n"/>
      <c r="D2534" s="9" t="n"/>
      <c r="E2534" s="8" t="n"/>
      <c r="F2534" s="9" t="n"/>
      <c r="G2534" s="9" t="n"/>
      <c r="H2534" s="3">
        <f>IF(AND(D2534&lt;&gt;"",F2534&lt;&gt;""),F2534-D2534-G2534,"")</f>
        <v/>
      </c>
      <c r="I2534" s="14">
        <f>IF(E2534&lt;&gt;"", YEARFRAC(C2534, E2534) * 12, "")</f>
        <v/>
      </c>
      <c r="J2534" s="2">
        <f>IF(I2534="", "", IF(OR(AND(A2534="Listed Equity Shares", I2534&gt;12), AND(A2534="Unlisted Equity Shares", I2534&gt;24)), "Long Term", "Short Term"))</f>
        <v/>
      </c>
      <c r="K2534" s="5">
        <f>IF(J2534="", "", IF(J2534="Long Term", 12.5%,"as per slab"))</f>
        <v/>
      </c>
      <c r="L2534" s="3">
        <f>+IFERROR(IF(J2534="","",H2534*K2534),"as per slab")</f>
        <v/>
      </c>
    </row>
    <row r="2535">
      <c r="A2535" s="7" t="n"/>
      <c r="B2535" s="7" t="n"/>
      <c r="C2535" s="8" t="n"/>
      <c r="D2535" s="9" t="n"/>
      <c r="E2535" s="8" t="n"/>
      <c r="F2535" s="9" t="n"/>
      <c r="G2535" s="9" t="n"/>
      <c r="H2535" s="3">
        <f>IF(AND(D2535&lt;&gt;"",F2535&lt;&gt;""),F2535-D2535-G2535,"")</f>
        <v/>
      </c>
      <c r="I2535" s="14">
        <f>IF(E2535&lt;&gt;"", YEARFRAC(C2535, E2535) * 12, "")</f>
        <v/>
      </c>
      <c r="J2535" s="2">
        <f>IF(I2535="", "", IF(OR(AND(A2535="Listed Equity Shares", I2535&gt;12), AND(A2535="Unlisted Equity Shares", I2535&gt;24)), "Long Term", "Short Term"))</f>
        <v/>
      </c>
      <c r="K2535" s="5">
        <f>IF(J2535="", "", IF(J2535="Long Term", 12.5%,"as per slab"))</f>
        <v/>
      </c>
      <c r="L2535" s="3">
        <f>+IFERROR(IF(J2535="","",H2535*K2535),"as per slab")</f>
        <v/>
      </c>
    </row>
    <row r="2536">
      <c r="A2536" s="7" t="n"/>
      <c r="B2536" s="7" t="n"/>
      <c r="C2536" s="8" t="n"/>
      <c r="D2536" s="9" t="n"/>
      <c r="E2536" s="8" t="n"/>
      <c r="F2536" s="9" t="n"/>
      <c r="G2536" s="9" t="n"/>
      <c r="H2536" s="3">
        <f>IF(AND(D2536&lt;&gt;"",F2536&lt;&gt;""),F2536-D2536-G2536,"")</f>
        <v/>
      </c>
      <c r="I2536" s="14">
        <f>IF(E2536&lt;&gt;"", YEARFRAC(C2536, E2536) * 12, "")</f>
        <v/>
      </c>
      <c r="J2536" s="2">
        <f>IF(I2536="", "", IF(OR(AND(A2536="Listed Equity Shares", I2536&gt;12), AND(A2536="Unlisted Equity Shares", I2536&gt;24)), "Long Term", "Short Term"))</f>
        <v/>
      </c>
      <c r="K2536" s="5">
        <f>IF(J2536="", "", IF(J2536="Long Term", 12.5%,"as per slab"))</f>
        <v/>
      </c>
      <c r="L2536" s="3">
        <f>+IFERROR(IF(J2536="","",H2536*K2536),"as per slab")</f>
        <v/>
      </c>
    </row>
    <row r="2537">
      <c r="A2537" s="7" t="n"/>
      <c r="B2537" s="7" t="n"/>
      <c r="C2537" s="8" t="n"/>
      <c r="D2537" s="9" t="n"/>
      <c r="E2537" s="8" t="n"/>
      <c r="F2537" s="9" t="n"/>
      <c r="G2537" s="9" t="n"/>
      <c r="H2537" s="3">
        <f>IF(AND(D2537&lt;&gt;"",F2537&lt;&gt;""),F2537-D2537-G2537,"")</f>
        <v/>
      </c>
      <c r="I2537" s="14">
        <f>IF(E2537&lt;&gt;"", YEARFRAC(C2537, E2537) * 12, "")</f>
        <v/>
      </c>
      <c r="J2537" s="2">
        <f>IF(I2537="", "", IF(OR(AND(A2537="Listed Equity Shares", I2537&gt;12), AND(A2537="Unlisted Equity Shares", I2537&gt;24)), "Long Term", "Short Term"))</f>
        <v/>
      </c>
      <c r="K2537" s="5">
        <f>IF(J2537="", "", IF(J2537="Long Term", 12.5%,"as per slab"))</f>
        <v/>
      </c>
      <c r="L2537" s="3">
        <f>+IFERROR(IF(J2537="","",H2537*K2537),"as per slab")</f>
        <v/>
      </c>
    </row>
    <row r="2538">
      <c r="A2538" s="7" t="n"/>
      <c r="B2538" s="7" t="n"/>
      <c r="C2538" s="8" t="n"/>
      <c r="D2538" s="9" t="n"/>
      <c r="E2538" s="8" t="n"/>
      <c r="F2538" s="9" t="n"/>
      <c r="G2538" s="9" t="n"/>
      <c r="H2538" s="3">
        <f>IF(AND(D2538&lt;&gt;"",F2538&lt;&gt;""),F2538-D2538-G2538,"")</f>
        <v/>
      </c>
      <c r="I2538" s="14">
        <f>IF(E2538&lt;&gt;"", YEARFRAC(C2538, E2538) * 12, "")</f>
        <v/>
      </c>
      <c r="J2538" s="2">
        <f>IF(I2538="", "", IF(OR(AND(A2538="Listed Equity Shares", I2538&gt;12), AND(A2538="Unlisted Equity Shares", I2538&gt;24)), "Long Term", "Short Term"))</f>
        <v/>
      </c>
      <c r="K2538" s="5">
        <f>IF(J2538="", "", IF(J2538="Long Term", 12.5%,"as per slab"))</f>
        <v/>
      </c>
      <c r="L2538" s="3">
        <f>+IFERROR(IF(J2538="","",H2538*K2538),"as per slab")</f>
        <v/>
      </c>
    </row>
    <row r="2539">
      <c r="A2539" s="7" t="n"/>
      <c r="B2539" s="7" t="n"/>
      <c r="C2539" s="8" t="n"/>
      <c r="D2539" s="9" t="n"/>
      <c r="E2539" s="8" t="n"/>
      <c r="F2539" s="9" t="n"/>
      <c r="G2539" s="9" t="n"/>
      <c r="H2539" s="3">
        <f>IF(AND(D2539&lt;&gt;"",F2539&lt;&gt;""),F2539-D2539-G2539,"")</f>
        <v/>
      </c>
      <c r="I2539" s="14">
        <f>IF(E2539&lt;&gt;"", YEARFRAC(C2539, E2539) * 12, "")</f>
        <v/>
      </c>
      <c r="J2539" s="2">
        <f>IF(I2539="", "", IF(OR(AND(A2539="Listed Equity Shares", I2539&gt;12), AND(A2539="Unlisted Equity Shares", I2539&gt;24)), "Long Term", "Short Term"))</f>
        <v/>
      </c>
      <c r="K2539" s="5">
        <f>IF(J2539="", "", IF(J2539="Long Term", 12.5%,"as per slab"))</f>
        <v/>
      </c>
      <c r="L2539" s="3">
        <f>+IFERROR(IF(J2539="","",H2539*K2539),"as per slab")</f>
        <v/>
      </c>
    </row>
    <row r="2540">
      <c r="A2540" s="7" t="n"/>
      <c r="B2540" s="7" t="n"/>
      <c r="C2540" s="8" t="n"/>
      <c r="D2540" s="9" t="n"/>
      <c r="E2540" s="8" t="n"/>
      <c r="F2540" s="9" t="n"/>
      <c r="G2540" s="9" t="n"/>
      <c r="H2540" s="3">
        <f>IF(AND(D2540&lt;&gt;"",F2540&lt;&gt;""),F2540-D2540-G2540,"")</f>
        <v/>
      </c>
      <c r="I2540" s="14">
        <f>IF(E2540&lt;&gt;"", YEARFRAC(C2540, E2540) * 12, "")</f>
        <v/>
      </c>
      <c r="J2540" s="2">
        <f>IF(I2540="", "", IF(OR(AND(A2540="Listed Equity Shares", I2540&gt;12), AND(A2540="Unlisted Equity Shares", I2540&gt;24)), "Long Term", "Short Term"))</f>
        <v/>
      </c>
      <c r="K2540" s="5">
        <f>IF(J2540="", "", IF(J2540="Long Term", 12.5%,"as per slab"))</f>
        <v/>
      </c>
      <c r="L2540" s="3">
        <f>+IFERROR(IF(J2540="","",H2540*K2540),"as per slab")</f>
        <v/>
      </c>
    </row>
    <row r="2541">
      <c r="A2541" s="7" t="n"/>
      <c r="B2541" s="7" t="n"/>
      <c r="C2541" s="8" t="n"/>
      <c r="D2541" s="9" t="n"/>
      <c r="E2541" s="8" t="n"/>
      <c r="F2541" s="9" t="n"/>
      <c r="G2541" s="9" t="n"/>
      <c r="H2541" s="3">
        <f>IF(AND(D2541&lt;&gt;"",F2541&lt;&gt;""),F2541-D2541-G2541,"")</f>
        <v/>
      </c>
      <c r="I2541" s="14">
        <f>IF(E2541&lt;&gt;"", YEARFRAC(C2541, E2541) * 12, "")</f>
        <v/>
      </c>
      <c r="J2541" s="2">
        <f>IF(I2541="", "", IF(OR(AND(A2541="Listed Equity Shares", I2541&gt;12), AND(A2541="Unlisted Equity Shares", I2541&gt;24)), "Long Term", "Short Term"))</f>
        <v/>
      </c>
      <c r="K2541" s="5">
        <f>IF(J2541="", "", IF(J2541="Long Term", 12.5%,"as per slab"))</f>
        <v/>
      </c>
      <c r="L2541" s="3">
        <f>+IFERROR(IF(J2541="","",H2541*K2541),"as per slab")</f>
        <v/>
      </c>
    </row>
    <row r="2542">
      <c r="A2542" s="7" t="n"/>
      <c r="B2542" s="7" t="n"/>
      <c r="C2542" s="8" t="n"/>
      <c r="D2542" s="9" t="n"/>
      <c r="E2542" s="8" t="n"/>
      <c r="F2542" s="9" t="n"/>
      <c r="G2542" s="9" t="n"/>
      <c r="H2542" s="3">
        <f>IF(AND(D2542&lt;&gt;"",F2542&lt;&gt;""),F2542-D2542-G2542,"")</f>
        <v/>
      </c>
      <c r="I2542" s="14">
        <f>IF(E2542&lt;&gt;"", YEARFRAC(C2542, E2542) * 12, "")</f>
        <v/>
      </c>
      <c r="J2542" s="2">
        <f>IF(I2542="", "", IF(OR(AND(A2542="Listed Equity Shares", I2542&gt;12), AND(A2542="Unlisted Equity Shares", I2542&gt;24)), "Long Term", "Short Term"))</f>
        <v/>
      </c>
      <c r="K2542" s="5">
        <f>IF(J2542="", "", IF(J2542="Long Term", 12.5%,"as per slab"))</f>
        <v/>
      </c>
      <c r="L2542" s="3">
        <f>+IFERROR(IF(J2542="","",H2542*K2542),"as per slab")</f>
        <v/>
      </c>
    </row>
    <row r="2543">
      <c r="A2543" s="7" t="n"/>
      <c r="B2543" s="7" t="n"/>
      <c r="C2543" s="8" t="n"/>
      <c r="D2543" s="9" t="n"/>
      <c r="E2543" s="8" t="n"/>
      <c r="F2543" s="9" t="n"/>
      <c r="G2543" s="9" t="n"/>
      <c r="H2543" s="3">
        <f>IF(AND(D2543&lt;&gt;"",F2543&lt;&gt;""),F2543-D2543-G2543,"")</f>
        <v/>
      </c>
      <c r="I2543" s="14">
        <f>IF(E2543&lt;&gt;"", YEARFRAC(C2543, E2543) * 12, "")</f>
        <v/>
      </c>
      <c r="J2543" s="2">
        <f>IF(I2543="", "", IF(OR(AND(A2543="Listed Equity Shares", I2543&gt;12), AND(A2543="Unlisted Equity Shares", I2543&gt;24)), "Long Term", "Short Term"))</f>
        <v/>
      </c>
      <c r="K2543" s="5">
        <f>IF(J2543="", "", IF(J2543="Long Term", 12.5%,"as per slab"))</f>
        <v/>
      </c>
      <c r="L2543" s="3">
        <f>+IFERROR(IF(J2543="","",H2543*K2543),"as per slab")</f>
        <v/>
      </c>
    </row>
    <row r="2544">
      <c r="A2544" s="7" t="n"/>
      <c r="B2544" s="7" t="n"/>
      <c r="C2544" s="8" t="n"/>
      <c r="D2544" s="9" t="n"/>
      <c r="E2544" s="8" t="n"/>
      <c r="F2544" s="9" t="n"/>
      <c r="G2544" s="9" t="n"/>
      <c r="H2544" s="3">
        <f>IF(AND(D2544&lt;&gt;"",F2544&lt;&gt;""),F2544-D2544-G2544,"")</f>
        <v/>
      </c>
      <c r="I2544" s="14">
        <f>IF(E2544&lt;&gt;"", YEARFRAC(C2544, E2544) * 12, "")</f>
        <v/>
      </c>
      <c r="J2544" s="2">
        <f>IF(I2544="", "", IF(OR(AND(A2544="Listed Equity Shares", I2544&gt;12), AND(A2544="Unlisted Equity Shares", I2544&gt;24)), "Long Term", "Short Term"))</f>
        <v/>
      </c>
      <c r="K2544" s="5">
        <f>IF(J2544="", "", IF(J2544="Long Term", 12.5%,"as per slab"))</f>
        <v/>
      </c>
      <c r="L2544" s="3">
        <f>+IFERROR(IF(J2544="","",H2544*K2544),"as per slab")</f>
        <v/>
      </c>
    </row>
    <row r="2545">
      <c r="A2545" s="7" t="n"/>
      <c r="B2545" s="7" t="n"/>
      <c r="C2545" s="8" t="n"/>
      <c r="D2545" s="9" t="n"/>
      <c r="E2545" s="8" t="n"/>
      <c r="F2545" s="9" t="n"/>
      <c r="G2545" s="9" t="n"/>
      <c r="H2545" s="3">
        <f>IF(AND(D2545&lt;&gt;"",F2545&lt;&gt;""),F2545-D2545-G2545,"")</f>
        <v/>
      </c>
      <c r="I2545" s="14">
        <f>IF(E2545&lt;&gt;"", YEARFRAC(C2545, E2545) * 12, "")</f>
        <v/>
      </c>
      <c r="J2545" s="2">
        <f>IF(I2545="", "", IF(OR(AND(A2545="Listed Equity Shares", I2545&gt;12), AND(A2545="Unlisted Equity Shares", I2545&gt;24)), "Long Term", "Short Term"))</f>
        <v/>
      </c>
      <c r="K2545" s="5">
        <f>IF(J2545="", "", IF(J2545="Long Term", 12.5%,"as per slab"))</f>
        <v/>
      </c>
      <c r="L2545" s="3">
        <f>+IFERROR(IF(J2545="","",H2545*K2545),"as per slab")</f>
        <v/>
      </c>
    </row>
    <row r="2546">
      <c r="A2546" s="7" t="n"/>
      <c r="B2546" s="7" t="n"/>
      <c r="C2546" s="8" t="n"/>
      <c r="D2546" s="9" t="n"/>
      <c r="E2546" s="8" t="n"/>
      <c r="F2546" s="9" t="n"/>
      <c r="G2546" s="9" t="n"/>
      <c r="H2546" s="3">
        <f>IF(AND(D2546&lt;&gt;"",F2546&lt;&gt;""),F2546-D2546-G2546,"")</f>
        <v/>
      </c>
      <c r="I2546" s="14">
        <f>IF(E2546&lt;&gt;"", YEARFRAC(C2546, E2546) * 12, "")</f>
        <v/>
      </c>
      <c r="J2546" s="2">
        <f>IF(I2546="", "", IF(OR(AND(A2546="Listed Equity Shares", I2546&gt;12), AND(A2546="Unlisted Equity Shares", I2546&gt;24)), "Long Term", "Short Term"))</f>
        <v/>
      </c>
      <c r="K2546" s="5">
        <f>IF(J2546="", "", IF(J2546="Long Term", 12.5%,"as per slab"))</f>
        <v/>
      </c>
      <c r="L2546" s="3">
        <f>+IFERROR(IF(J2546="","",H2546*K2546),"as per slab")</f>
        <v/>
      </c>
    </row>
    <row r="2547">
      <c r="A2547" s="7" t="n"/>
      <c r="B2547" s="7" t="n"/>
      <c r="C2547" s="8" t="n"/>
      <c r="D2547" s="9" t="n"/>
      <c r="E2547" s="8" t="n"/>
      <c r="F2547" s="9" t="n"/>
      <c r="G2547" s="9" t="n"/>
      <c r="H2547" s="3">
        <f>IF(AND(D2547&lt;&gt;"",F2547&lt;&gt;""),F2547-D2547-G2547,"")</f>
        <v/>
      </c>
      <c r="I2547" s="14">
        <f>IF(E2547&lt;&gt;"", YEARFRAC(C2547, E2547) * 12, "")</f>
        <v/>
      </c>
      <c r="J2547" s="2">
        <f>IF(I2547="", "", IF(OR(AND(A2547="Listed Equity Shares", I2547&gt;12), AND(A2547="Unlisted Equity Shares", I2547&gt;24)), "Long Term", "Short Term"))</f>
        <v/>
      </c>
      <c r="K2547" s="5">
        <f>IF(J2547="", "", IF(J2547="Long Term", 12.5%,"as per slab"))</f>
        <v/>
      </c>
      <c r="L2547" s="3">
        <f>+IFERROR(IF(J2547="","",H2547*K2547),"as per slab")</f>
        <v/>
      </c>
    </row>
    <row r="2548">
      <c r="A2548" s="7" t="n"/>
      <c r="B2548" s="7" t="n"/>
      <c r="C2548" s="8" t="n"/>
      <c r="D2548" s="9" t="n"/>
      <c r="E2548" s="8" t="n"/>
      <c r="F2548" s="9" t="n"/>
      <c r="G2548" s="9" t="n"/>
      <c r="H2548" s="3">
        <f>IF(AND(D2548&lt;&gt;"",F2548&lt;&gt;""),F2548-D2548-G2548,"")</f>
        <v/>
      </c>
      <c r="I2548" s="14">
        <f>IF(E2548&lt;&gt;"", YEARFRAC(C2548, E2548) * 12, "")</f>
        <v/>
      </c>
      <c r="J2548" s="2">
        <f>IF(I2548="", "", IF(OR(AND(A2548="Listed Equity Shares", I2548&gt;12), AND(A2548="Unlisted Equity Shares", I2548&gt;24)), "Long Term", "Short Term"))</f>
        <v/>
      </c>
      <c r="K2548" s="5">
        <f>IF(J2548="", "", IF(J2548="Long Term", 12.5%,"as per slab"))</f>
        <v/>
      </c>
      <c r="L2548" s="3">
        <f>+IFERROR(IF(J2548="","",H2548*K2548),"as per slab")</f>
        <v/>
      </c>
    </row>
    <row r="2549">
      <c r="A2549" s="7" t="n"/>
      <c r="B2549" s="7" t="n"/>
      <c r="C2549" s="8" t="n"/>
      <c r="D2549" s="9" t="n"/>
      <c r="E2549" s="8" t="n"/>
      <c r="F2549" s="9" t="n"/>
      <c r="G2549" s="9" t="n"/>
      <c r="H2549" s="3">
        <f>IF(AND(D2549&lt;&gt;"",F2549&lt;&gt;""),F2549-D2549-G2549,"")</f>
        <v/>
      </c>
      <c r="I2549" s="14">
        <f>IF(E2549&lt;&gt;"", YEARFRAC(C2549, E2549) * 12, "")</f>
        <v/>
      </c>
      <c r="J2549" s="2">
        <f>IF(I2549="", "", IF(OR(AND(A2549="Listed Equity Shares", I2549&gt;12), AND(A2549="Unlisted Equity Shares", I2549&gt;24)), "Long Term", "Short Term"))</f>
        <v/>
      </c>
      <c r="K2549" s="5">
        <f>IF(J2549="", "", IF(J2549="Long Term", 12.5%,"as per slab"))</f>
        <v/>
      </c>
      <c r="L2549" s="3">
        <f>+IFERROR(IF(J2549="","",H2549*K2549),"as per slab")</f>
        <v/>
      </c>
    </row>
    <row r="2550">
      <c r="A2550" s="7" t="n"/>
      <c r="B2550" s="7" t="n"/>
      <c r="C2550" s="8" t="n"/>
      <c r="D2550" s="9" t="n"/>
      <c r="E2550" s="8" t="n"/>
      <c r="F2550" s="9" t="n"/>
      <c r="G2550" s="9" t="n"/>
      <c r="H2550" s="3">
        <f>IF(AND(D2550&lt;&gt;"",F2550&lt;&gt;""),F2550-D2550-G2550,"")</f>
        <v/>
      </c>
      <c r="I2550" s="14">
        <f>IF(E2550&lt;&gt;"", YEARFRAC(C2550, E2550) * 12, "")</f>
        <v/>
      </c>
      <c r="J2550" s="2">
        <f>IF(I2550="", "", IF(OR(AND(A2550="Listed Equity Shares", I2550&gt;12), AND(A2550="Unlisted Equity Shares", I2550&gt;24)), "Long Term", "Short Term"))</f>
        <v/>
      </c>
      <c r="K2550" s="5">
        <f>IF(J2550="", "", IF(J2550="Long Term", 12.5%,"as per slab"))</f>
        <v/>
      </c>
      <c r="L2550" s="3">
        <f>+IFERROR(IF(J2550="","",H2550*K2550),"as per slab")</f>
        <v/>
      </c>
    </row>
    <row r="2551">
      <c r="A2551" s="7" t="n"/>
      <c r="B2551" s="7" t="n"/>
      <c r="C2551" s="8" t="n"/>
      <c r="D2551" s="9" t="n"/>
      <c r="E2551" s="8" t="n"/>
      <c r="F2551" s="9" t="n"/>
      <c r="G2551" s="9" t="n"/>
      <c r="H2551" s="3">
        <f>IF(AND(D2551&lt;&gt;"",F2551&lt;&gt;""),F2551-D2551-G2551,"")</f>
        <v/>
      </c>
      <c r="I2551" s="14">
        <f>IF(E2551&lt;&gt;"", YEARFRAC(C2551, E2551) * 12, "")</f>
        <v/>
      </c>
      <c r="J2551" s="2">
        <f>IF(I2551="", "", IF(OR(AND(A2551="Listed Equity Shares", I2551&gt;12), AND(A2551="Unlisted Equity Shares", I2551&gt;24)), "Long Term", "Short Term"))</f>
        <v/>
      </c>
      <c r="K2551" s="5">
        <f>IF(J2551="", "", IF(J2551="Long Term", 12.5%,"as per slab"))</f>
        <v/>
      </c>
      <c r="L2551" s="3">
        <f>+IFERROR(IF(J2551="","",H2551*K2551),"as per slab")</f>
        <v/>
      </c>
    </row>
    <row r="2552">
      <c r="A2552" s="7" t="n"/>
      <c r="B2552" s="7" t="n"/>
      <c r="C2552" s="8" t="n"/>
      <c r="D2552" s="9" t="n"/>
      <c r="E2552" s="8" t="n"/>
      <c r="F2552" s="9" t="n"/>
      <c r="G2552" s="9" t="n"/>
      <c r="H2552" s="3">
        <f>IF(AND(D2552&lt;&gt;"",F2552&lt;&gt;""),F2552-D2552-G2552,"")</f>
        <v/>
      </c>
      <c r="I2552" s="14">
        <f>IF(E2552&lt;&gt;"", YEARFRAC(C2552, E2552) * 12, "")</f>
        <v/>
      </c>
      <c r="J2552" s="2">
        <f>IF(I2552="", "", IF(OR(AND(A2552="Listed Equity Shares", I2552&gt;12), AND(A2552="Unlisted Equity Shares", I2552&gt;24)), "Long Term", "Short Term"))</f>
        <v/>
      </c>
      <c r="K2552" s="5">
        <f>IF(J2552="", "", IF(J2552="Long Term", 12.5%,"as per slab"))</f>
        <v/>
      </c>
      <c r="L2552" s="3">
        <f>+IFERROR(IF(J2552="","",H2552*K2552),"as per slab")</f>
        <v/>
      </c>
    </row>
    <row r="2553">
      <c r="A2553" s="7" t="n"/>
      <c r="B2553" s="7" t="n"/>
      <c r="C2553" s="8" t="n"/>
      <c r="D2553" s="9" t="n"/>
      <c r="E2553" s="8" t="n"/>
      <c r="F2553" s="9" t="n"/>
      <c r="G2553" s="9" t="n"/>
      <c r="H2553" s="3">
        <f>IF(AND(D2553&lt;&gt;"",F2553&lt;&gt;""),F2553-D2553-G2553,"")</f>
        <v/>
      </c>
      <c r="I2553" s="14">
        <f>IF(E2553&lt;&gt;"", YEARFRAC(C2553, E2553) * 12, "")</f>
        <v/>
      </c>
      <c r="J2553" s="2">
        <f>IF(I2553="", "", IF(OR(AND(A2553="Listed Equity Shares", I2553&gt;12), AND(A2553="Unlisted Equity Shares", I2553&gt;24)), "Long Term", "Short Term"))</f>
        <v/>
      </c>
      <c r="K2553" s="5">
        <f>IF(J2553="", "", IF(J2553="Long Term", 12.5%,"as per slab"))</f>
        <v/>
      </c>
      <c r="L2553" s="3">
        <f>+IFERROR(IF(J2553="","",H2553*K2553),"as per slab")</f>
        <v/>
      </c>
    </row>
    <row r="2554">
      <c r="A2554" s="7" t="n"/>
      <c r="B2554" s="7" t="n"/>
      <c r="C2554" s="8" t="n"/>
      <c r="D2554" s="9" t="n"/>
      <c r="E2554" s="8" t="n"/>
      <c r="F2554" s="9" t="n"/>
      <c r="G2554" s="9" t="n"/>
      <c r="H2554" s="3">
        <f>IF(AND(D2554&lt;&gt;"",F2554&lt;&gt;""),F2554-D2554-G2554,"")</f>
        <v/>
      </c>
      <c r="I2554" s="14">
        <f>IF(E2554&lt;&gt;"", YEARFRAC(C2554, E2554) * 12, "")</f>
        <v/>
      </c>
      <c r="J2554" s="2">
        <f>IF(I2554="", "", IF(OR(AND(A2554="Listed Equity Shares", I2554&gt;12), AND(A2554="Unlisted Equity Shares", I2554&gt;24)), "Long Term", "Short Term"))</f>
        <v/>
      </c>
      <c r="K2554" s="5">
        <f>IF(J2554="", "", IF(J2554="Long Term", 12.5%,"as per slab"))</f>
        <v/>
      </c>
      <c r="L2554" s="3">
        <f>+IFERROR(IF(J2554="","",H2554*K2554),"as per slab")</f>
        <v/>
      </c>
    </row>
    <row r="2555">
      <c r="A2555" s="7" t="n"/>
      <c r="B2555" s="7" t="n"/>
      <c r="C2555" s="8" t="n"/>
      <c r="D2555" s="9" t="n"/>
      <c r="E2555" s="8" t="n"/>
      <c r="F2555" s="9" t="n"/>
      <c r="G2555" s="9" t="n"/>
      <c r="H2555" s="3">
        <f>IF(AND(D2555&lt;&gt;"",F2555&lt;&gt;""),F2555-D2555-G2555,"")</f>
        <v/>
      </c>
      <c r="I2555" s="14">
        <f>IF(E2555&lt;&gt;"", YEARFRAC(C2555, E2555) * 12, "")</f>
        <v/>
      </c>
      <c r="J2555" s="2">
        <f>IF(I2555="", "", IF(OR(AND(A2555="Listed Equity Shares", I2555&gt;12), AND(A2555="Unlisted Equity Shares", I2555&gt;24)), "Long Term", "Short Term"))</f>
        <v/>
      </c>
      <c r="K2555" s="5">
        <f>IF(J2555="", "", IF(J2555="Long Term", 12.5%,"as per slab"))</f>
        <v/>
      </c>
      <c r="L2555" s="3">
        <f>+IFERROR(IF(J2555="","",H2555*K2555),"as per slab")</f>
        <v/>
      </c>
    </row>
    <row r="2556">
      <c r="A2556" s="7" t="n"/>
      <c r="B2556" s="7" t="n"/>
      <c r="C2556" s="8" t="n"/>
      <c r="D2556" s="9" t="n"/>
      <c r="E2556" s="8" t="n"/>
      <c r="F2556" s="9" t="n"/>
      <c r="G2556" s="9" t="n"/>
      <c r="H2556" s="3">
        <f>IF(AND(D2556&lt;&gt;"",F2556&lt;&gt;""),F2556-D2556-G2556,"")</f>
        <v/>
      </c>
      <c r="I2556" s="14">
        <f>IF(E2556&lt;&gt;"", YEARFRAC(C2556, E2556) * 12, "")</f>
        <v/>
      </c>
      <c r="J2556" s="2">
        <f>IF(I2556="", "", IF(OR(AND(A2556="Listed Equity Shares", I2556&gt;12), AND(A2556="Unlisted Equity Shares", I2556&gt;24)), "Long Term", "Short Term"))</f>
        <v/>
      </c>
      <c r="K2556" s="5">
        <f>IF(J2556="", "", IF(J2556="Long Term", 12.5%,"as per slab"))</f>
        <v/>
      </c>
      <c r="L2556" s="3">
        <f>+IFERROR(IF(J2556="","",H2556*K2556),"as per slab")</f>
        <v/>
      </c>
    </row>
    <row r="2557">
      <c r="A2557" s="7" t="n"/>
      <c r="B2557" s="7" t="n"/>
      <c r="C2557" s="8" t="n"/>
      <c r="D2557" s="9" t="n"/>
      <c r="E2557" s="8" t="n"/>
      <c r="F2557" s="9" t="n"/>
      <c r="G2557" s="9" t="n"/>
      <c r="H2557" s="3">
        <f>IF(AND(D2557&lt;&gt;"",F2557&lt;&gt;""),F2557-D2557-G2557,"")</f>
        <v/>
      </c>
      <c r="I2557" s="14">
        <f>IF(E2557&lt;&gt;"", YEARFRAC(C2557, E2557) * 12, "")</f>
        <v/>
      </c>
      <c r="J2557" s="2">
        <f>IF(I2557="", "", IF(OR(AND(A2557="Listed Equity Shares", I2557&gt;12), AND(A2557="Unlisted Equity Shares", I2557&gt;24)), "Long Term", "Short Term"))</f>
        <v/>
      </c>
      <c r="K2557" s="5">
        <f>IF(J2557="", "", IF(J2557="Long Term", 12.5%,"as per slab"))</f>
        <v/>
      </c>
      <c r="L2557" s="3">
        <f>+IFERROR(IF(J2557="","",H2557*K2557),"as per slab")</f>
        <v/>
      </c>
    </row>
    <row r="2558">
      <c r="A2558" s="7" t="n"/>
      <c r="B2558" s="7" t="n"/>
      <c r="C2558" s="8" t="n"/>
      <c r="D2558" s="9" t="n"/>
      <c r="E2558" s="8" t="n"/>
      <c r="F2558" s="9" t="n"/>
      <c r="G2558" s="9" t="n"/>
      <c r="H2558" s="3">
        <f>IF(AND(D2558&lt;&gt;"",F2558&lt;&gt;""),F2558-D2558-G2558,"")</f>
        <v/>
      </c>
      <c r="I2558" s="14">
        <f>IF(E2558&lt;&gt;"", YEARFRAC(C2558, E2558) * 12, "")</f>
        <v/>
      </c>
      <c r="J2558" s="2">
        <f>IF(I2558="", "", IF(OR(AND(A2558="Listed Equity Shares", I2558&gt;12), AND(A2558="Unlisted Equity Shares", I2558&gt;24)), "Long Term", "Short Term"))</f>
        <v/>
      </c>
      <c r="K2558" s="5">
        <f>IF(J2558="", "", IF(J2558="Long Term", 12.5%,"as per slab"))</f>
        <v/>
      </c>
      <c r="L2558" s="3">
        <f>+IFERROR(IF(J2558="","",H2558*K2558),"as per slab")</f>
        <v/>
      </c>
    </row>
    <row r="2559">
      <c r="A2559" s="7" t="n"/>
      <c r="B2559" s="7" t="n"/>
      <c r="C2559" s="8" t="n"/>
      <c r="D2559" s="9" t="n"/>
      <c r="E2559" s="8" t="n"/>
      <c r="F2559" s="9" t="n"/>
      <c r="G2559" s="9" t="n"/>
      <c r="H2559" s="3">
        <f>IF(AND(D2559&lt;&gt;"",F2559&lt;&gt;""),F2559-D2559-G2559,"")</f>
        <v/>
      </c>
      <c r="I2559" s="14">
        <f>IF(E2559&lt;&gt;"", YEARFRAC(C2559, E2559) * 12, "")</f>
        <v/>
      </c>
      <c r="J2559" s="2">
        <f>IF(I2559="", "", IF(OR(AND(A2559="Listed Equity Shares", I2559&gt;12), AND(A2559="Unlisted Equity Shares", I2559&gt;24)), "Long Term", "Short Term"))</f>
        <v/>
      </c>
      <c r="K2559" s="5">
        <f>IF(J2559="", "", IF(J2559="Long Term", 12.5%,"as per slab"))</f>
        <v/>
      </c>
      <c r="L2559" s="3">
        <f>+IFERROR(IF(J2559="","",H2559*K2559),"as per slab")</f>
        <v/>
      </c>
    </row>
    <row r="2560">
      <c r="A2560" s="7" t="n"/>
      <c r="B2560" s="7" t="n"/>
      <c r="C2560" s="8" t="n"/>
      <c r="D2560" s="9" t="n"/>
      <c r="E2560" s="8" t="n"/>
      <c r="F2560" s="9" t="n"/>
      <c r="G2560" s="9" t="n"/>
      <c r="H2560" s="3">
        <f>IF(AND(D2560&lt;&gt;"",F2560&lt;&gt;""),F2560-D2560-G2560,"")</f>
        <v/>
      </c>
      <c r="I2560" s="14">
        <f>IF(E2560&lt;&gt;"", YEARFRAC(C2560, E2560) * 12, "")</f>
        <v/>
      </c>
      <c r="J2560" s="2">
        <f>IF(I2560="", "", IF(OR(AND(A2560="Listed Equity Shares", I2560&gt;12), AND(A2560="Unlisted Equity Shares", I2560&gt;24)), "Long Term", "Short Term"))</f>
        <v/>
      </c>
      <c r="K2560" s="5">
        <f>IF(J2560="", "", IF(J2560="Long Term", 12.5%,"as per slab"))</f>
        <v/>
      </c>
      <c r="L2560" s="3">
        <f>+IFERROR(IF(J2560="","",H2560*K2560),"as per slab")</f>
        <v/>
      </c>
    </row>
    <row r="2561">
      <c r="A2561" s="7" t="n"/>
      <c r="B2561" s="7" t="n"/>
      <c r="C2561" s="8" t="n"/>
      <c r="D2561" s="9" t="n"/>
      <c r="E2561" s="8" t="n"/>
      <c r="F2561" s="9" t="n"/>
      <c r="G2561" s="9" t="n"/>
      <c r="H2561" s="3">
        <f>IF(AND(D2561&lt;&gt;"",F2561&lt;&gt;""),F2561-D2561-G2561,"")</f>
        <v/>
      </c>
      <c r="I2561" s="14">
        <f>IF(E2561&lt;&gt;"", YEARFRAC(C2561, E2561) * 12, "")</f>
        <v/>
      </c>
      <c r="J2561" s="2">
        <f>IF(I2561="", "", IF(OR(AND(A2561="Listed Equity Shares", I2561&gt;12), AND(A2561="Unlisted Equity Shares", I2561&gt;24)), "Long Term", "Short Term"))</f>
        <v/>
      </c>
      <c r="K2561" s="5">
        <f>IF(J2561="", "", IF(J2561="Long Term", 12.5%,"as per slab"))</f>
        <v/>
      </c>
      <c r="L2561" s="3">
        <f>+IFERROR(IF(J2561="","",H2561*K2561),"as per slab")</f>
        <v/>
      </c>
    </row>
    <row r="2562">
      <c r="A2562" s="7" t="n"/>
      <c r="B2562" s="7" t="n"/>
      <c r="C2562" s="8" t="n"/>
      <c r="D2562" s="9" t="n"/>
      <c r="E2562" s="8" t="n"/>
      <c r="F2562" s="9" t="n"/>
      <c r="G2562" s="9" t="n"/>
      <c r="H2562" s="3">
        <f>IF(AND(D2562&lt;&gt;"",F2562&lt;&gt;""),F2562-D2562-G2562,"")</f>
        <v/>
      </c>
      <c r="I2562" s="14">
        <f>IF(E2562&lt;&gt;"", YEARFRAC(C2562, E2562) * 12, "")</f>
        <v/>
      </c>
      <c r="J2562" s="2">
        <f>IF(I2562="", "", IF(OR(AND(A2562="Listed Equity Shares", I2562&gt;12), AND(A2562="Unlisted Equity Shares", I2562&gt;24)), "Long Term", "Short Term"))</f>
        <v/>
      </c>
      <c r="K2562" s="5">
        <f>IF(J2562="", "", IF(J2562="Long Term", 12.5%,"as per slab"))</f>
        <v/>
      </c>
      <c r="L2562" s="3">
        <f>+IFERROR(IF(J2562="","",H2562*K2562),"as per slab")</f>
        <v/>
      </c>
    </row>
    <row r="2563">
      <c r="A2563" s="7" t="n"/>
      <c r="B2563" s="7" t="n"/>
      <c r="C2563" s="8" t="n"/>
      <c r="D2563" s="9" t="n"/>
      <c r="E2563" s="8" t="n"/>
      <c r="F2563" s="9" t="n"/>
      <c r="G2563" s="9" t="n"/>
      <c r="H2563" s="3">
        <f>IF(AND(D2563&lt;&gt;"",F2563&lt;&gt;""),F2563-D2563-G2563,"")</f>
        <v/>
      </c>
      <c r="I2563" s="14">
        <f>IF(E2563&lt;&gt;"", YEARFRAC(C2563, E2563) * 12, "")</f>
        <v/>
      </c>
      <c r="J2563" s="2">
        <f>IF(I2563="", "", IF(OR(AND(A2563="Listed Equity Shares", I2563&gt;12), AND(A2563="Unlisted Equity Shares", I2563&gt;24)), "Long Term", "Short Term"))</f>
        <v/>
      </c>
      <c r="K2563" s="5">
        <f>IF(J2563="", "", IF(J2563="Long Term", 12.5%,"as per slab"))</f>
        <v/>
      </c>
      <c r="L2563" s="3">
        <f>+IFERROR(IF(J2563="","",H2563*K2563),"as per slab")</f>
        <v/>
      </c>
    </row>
    <row r="2564">
      <c r="A2564" s="7" t="n"/>
      <c r="B2564" s="7" t="n"/>
      <c r="C2564" s="8" t="n"/>
      <c r="D2564" s="9" t="n"/>
      <c r="E2564" s="8" t="n"/>
      <c r="F2564" s="9" t="n"/>
      <c r="G2564" s="9" t="n"/>
      <c r="H2564" s="3">
        <f>IF(AND(D2564&lt;&gt;"",F2564&lt;&gt;""),F2564-D2564-G2564,"")</f>
        <v/>
      </c>
      <c r="I2564" s="14">
        <f>IF(E2564&lt;&gt;"", YEARFRAC(C2564, E2564) * 12, "")</f>
        <v/>
      </c>
      <c r="J2564" s="2">
        <f>IF(I2564="", "", IF(OR(AND(A2564="Listed Equity Shares", I2564&gt;12), AND(A2564="Unlisted Equity Shares", I2564&gt;24)), "Long Term", "Short Term"))</f>
        <v/>
      </c>
      <c r="K2564" s="5">
        <f>IF(J2564="", "", IF(J2564="Long Term", 12.5%,"as per slab"))</f>
        <v/>
      </c>
      <c r="L2564" s="3">
        <f>+IFERROR(IF(J2564="","",H2564*K2564),"as per slab")</f>
        <v/>
      </c>
    </row>
    <row r="2565">
      <c r="A2565" s="7" t="n"/>
      <c r="B2565" s="7" t="n"/>
      <c r="C2565" s="8" t="n"/>
      <c r="D2565" s="9" t="n"/>
      <c r="E2565" s="8" t="n"/>
      <c r="F2565" s="9" t="n"/>
      <c r="G2565" s="9" t="n"/>
      <c r="H2565" s="3">
        <f>IF(AND(D2565&lt;&gt;"",F2565&lt;&gt;""),F2565-D2565-G2565,"")</f>
        <v/>
      </c>
      <c r="I2565" s="14">
        <f>IF(E2565&lt;&gt;"", YEARFRAC(C2565, E2565) * 12, "")</f>
        <v/>
      </c>
      <c r="J2565" s="2">
        <f>IF(I2565="", "", IF(OR(AND(A2565="Listed Equity Shares", I2565&gt;12), AND(A2565="Unlisted Equity Shares", I2565&gt;24)), "Long Term", "Short Term"))</f>
        <v/>
      </c>
      <c r="K2565" s="5">
        <f>IF(J2565="", "", IF(J2565="Long Term", 12.5%,"as per slab"))</f>
        <v/>
      </c>
      <c r="L2565" s="3">
        <f>+IFERROR(IF(J2565="","",H2565*K2565),"as per slab")</f>
        <v/>
      </c>
    </row>
    <row r="2566">
      <c r="A2566" s="7" t="n"/>
      <c r="B2566" s="7" t="n"/>
      <c r="C2566" s="8" t="n"/>
      <c r="D2566" s="9" t="n"/>
      <c r="E2566" s="8" t="n"/>
      <c r="F2566" s="9" t="n"/>
      <c r="G2566" s="9" t="n"/>
      <c r="H2566" s="3">
        <f>IF(AND(D2566&lt;&gt;"",F2566&lt;&gt;""),F2566-D2566-G2566,"")</f>
        <v/>
      </c>
      <c r="I2566" s="14">
        <f>IF(E2566&lt;&gt;"", YEARFRAC(C2566, E2566) * 12, "")</f>
        <v/>
      </c>
      <c r="J2566" s="2">
        <f>IF(I2566="", "", IF(OR(AND(A2566="Listed Equity Shares", I2566&gt;12), AND(A2566="Unlisted Equity Shares", I2566&gt;24)), "Long Term", "Short Term"))</f>
        <v/>
      </c>
      <c r="K2566" s="5">
        <f>IF(J2566="", "", IF(J2566="Long Term", 12.5%,"as per slab"))</f>
        <v/>
      </c>
      <c r="L2566" s="3">
        <f>+IFERROR(IF(J2566="","",H2566*K2566),"as per slab")</f>
        <v/>
      </c>
    </row>
    <row r="2567">
      <c r="A2567" s="7" t="n"/>
      <c r="B2567" s="7" t="n"/>
      <c r="C2567" s="8" t="n"/>
      <c r="D2567" s="9" t="n"/>
      <c r="E2567" s="8" t="n"/>
      <c r="F2567" s="9" t="n"/>
      <c r="G2567" s="9" t="n"/>
      <c r="H2567" s="3">
        <f>IF(AND(D2567&lt;&gt;"",F2567&lt;&gt;""),F2567-D2567-G2567,"")</f>
        <v/>
      </c>
      <c r="I2567" s="14">
        <f>IF(E2567&lt;&gt;"", YEARFRAC(C2567, E2567) * 12, "")</f>
        <v/>
      </c>
      <c r="J2567" s="2">
        <f>IF(I2567="", "", IF(OR(AND(A2567="Listed Equity Shares", I2567&gt;12), AND(A2567="Unlisted Equity Shares", I2567&gt;24)), "Long Term", "Short Term"))</f>
        <v/>
      </c>
      <c r="K2567" s="5">
        <f>IF(J2567="", "", IF(J2567="Long Term", 12.5%,"as per slab"))</f>
        <v/>
      </c>
      <c r="L2567" s="3">
        <f>+IFERROR(IF(J2567="","",H2567*K2567),"as per slab")</f>
        <v/>
      </c>
    </row>
    <row r="2568">
      <c r="A2568" s="7" t="n"/>
      <c r="B2568" s="7" t="n"/>
      <c r="C2568" s="8" t="n"/>
      <c r="D2568" s="9" t="n"/>
      <c r="E2568" s="8" t="n"/>
      <c r="F2568" s="9" t="n"/>
      <c r="G2568" s="9" t="n"/>
      <c r="H2568" s="3">
        <f>IF(AND(D2568&lt;&gt;"",F2568&lt;&gt;""),F2568-D2568-G2568,"")</f>
        <v/>
      </c>
      <c r="I2568" s="14">
        <f>IF(E2568&lt;&gt;"", YEARFRAC(C2568, E2568) * 12, "")</f>
        <v/>
      </c>
      <c r="J2568" s="2">
        <f>IF(I2568="", "", IF(OR(AND(A2568="Listed Equity Shares", I2568&gt;12), AND(A2568="Unlisted Equity Shares", I2568&gt;24)), "Long Term", "Short Term"))</f>
        <v/>
      </c>
      <c r="K2568" s="5">
        <f>IF(J2568="", "", IF(J2568="Long Term", 12.5%,"as per slab"))</f>
        <v/>
      </c>
      <c r="L2568" s="3">
        <f>+IFERROR(IF(J2568="","",H2568*K2568),"as per slab")</f>
        <v/>
      </c>
    </row>
    <row r="2569">
      <c r="A2569" s="7" t="n"/>
      <c r="B2569" s="7" t="n"/>
      <c r="C2569" s="8" t="n"/>
      <c r="D2569" s="9" t="n"/>
      <c r="E2569" s="8" t="n"/>
      <c r="F2569" s="9" t="n"/>
      <c r="G2569" s="9" t="n"/>
      <c r="H2569" s="3">
        <f>IF(AND(D2569&lt;&gt;"",F2569&lt;&gt;""),F2569-D2569-G2569,"")</f>
        <v/>
      </c>
      <c r="I2569" s="14">
        <f>IF(E2569&lt;&gt;"", YEARFRAC(C2569, E2569) * 12, "")</f>
        <v/>
      </c>
      <c r="J2569" s="2">
        <f>IF(I2569="", "", IF(OR(AND(A2569="Listed Equity Shares", I2569&gt;12), AND(A2569="Unlisted Equity Shares", I2569&gt;24)), "Long Term", "Short Term"))</f>
        <v/>
      </c>
      <c r="K2569" s="5">
        <f>IF(J2569="", "", IF(J2569="Long Term", 12.5%,"as per slab"))</f>
        <v/>
      </c>
      <c r="L2569" s="3">
        <f>+IFERROR(IF(J2569="","",H2569*K2569),"as per slab")</f>
        <v/>
      </c>
    </row>
    <row r="2570">
      <c r="A2570" s="7" t="n"/>
      <c r="B2570" s="7" t="n"/>
      <c r="C2570" s="8" t="n"/>
      <c r="D2570" s="9" t="n"/>
      <c r="E2570" s="8" t="n"/>
      <c r="F2570" s="9" t="n"/>
      <c r="G2570" s="9" t="n"/>
      <c r="H2570" s="3">
        <f>IF(AND(D2570&lt;&gt;"",F2570&lt;&gt;""),F2570-D2570-G2570,"")</f>
        <v/>
      </c>
      <c r="I2570" s="14">
        <f>IF(E2570&lt;&gt;"", YEARFRAC(C2570, E2570) * 12, "")</f>
        <v/>
      </c>
      <c r="J2570" s="2">
        <f>IF(I2570="", "", IF(OR(AND(A2570="Listed Equity Shares", I2570&gt;12), AND(A2570="Unlisted Equity Shares", I2570&gt;24)), "Long Term", "Short Term"))</f>
        <v/>
      </c>
      <c r="K2570" s="5">
        <f>IF(J2570="", "", IF(J2570="Long Term", 12.5%,"as per slab"))</f>
        <v/>
      </c>
      <c r="L2570" s="3">
        <f>+IFERROR(IF(J2570="","",H2570*K2570),"as per slab")</f>
        <v/>
      </c>
    </row>
    <row r="2571">
      <c r="A2571" s="7" t="n"/>
      <c r="B2571" s="7" t="n"/>
      <c r="C2571" s="8" t="n"/>
      <c r="D2571" s="9" t="n"/>
      <c r="E2571" s="8" t="n"/>
      <c r="F2571" s="9" t="n"/>
      <c r="G2571" s="9" t="n"/>
      <c r="H2571" s="3">
        <f>IF(AND(D2571&lt;&gt;"",F2571&lt;&gt;""),F2571-D2571-G2571,"")</f>
        <v/>
      </c>
      <c r="I2571" s="14">
        <f>IF(E2571&lt;&gt;"", YEARFRAC(C2571, E2571) * 12, "")</f>
        <v/>
      </c>
      <c r="J2571" s="2">
        <f>IF(I2571="", "", IF(OR(AND(A2571="Listed Equity Shares", I2571&gt;12), AND(A2571="Unlisted Equity Shares", I2571&gt;24)), "Long Term", "Short Term"))</f>
        <v/>
      </c>
      <c r="K2571" s="5">
        <f>IF(J2571="", "", IF(J2571="Long Term", 12.5%,"as per slab"))</f>
        <v/>
      </c>
      <c r="L2571" s="3">
        <f>+IFERROR(IF(J2571="","",H2571*K2571),"as per slab")</f>
        <v/>
      </c>
    </row>
    <row r="2572">
      <c r="A2572" s="7" t="n"/>
      <c r="B2572" s="7" t="n"/>
      <c r="C2572" s="8" t="n"/>
      <c r="D2572" s="9" t="n"/>
      <c r="E2572" s="8" t="n"/>
      <c r="F2572" s="9" t="n"/>
      <c r="G2572" s="9" t="n"/>
      <c r="H2572" s="3">
        <f>IF(AND(D2572&lt;&gt;"",F2572&lt;&gt;""),F2572-D2572-G2572,"")</f>
        <v/>
      </c>
      <c r="I2572" s="14">
        <f>IF(E2572&lt;&gt;"", YEARFRAC(C2572, E2572) * 12, "")</f>
        <v/>
      </c>
      <c r="J2572" s="2">
        <f>IF(I2572="", "", IF(OR(AND(A2572="Listed Equity Shares", I2572&gt;12), AND(A2572="Unlisted Equity Shares", I2572&gt;24)), "Long Term", "Short Term"))</f>
        <v/>
      </c>
      <c r="K2572" s="5">
        <f>IF(J2572="", "", IF(J2572="Long Term", 12.5%,"as per slab"))</f>
        <v/>
      </c>
      <c r="L2572" s="3">
        <f>+IFERROR(IF(J2572="","",H2572*K2572),"as per slab")</f>
        <v/>
      </c>
    </row>
    <row r="2573">
      <c r="A2573" s="7" t="n"/>
      <c r="B2573" s="7" t="n"/>
      <c r="C2573" s="8" t="n"/>
      <c r="D2573" s="9" t="n"/>
      <c r="E2573" s="8" t="n"/>
      <c r="F2573" s="9" t="n"/>
      <c r="G2573" s="9" t="n"/>
      <c r="H2573" s="3">
        <f>IF(AND(D2573&lt;&gt;"",F2573&lt;&gt;""),F2573-D2573-G2573,"")</f>
        <v/>
      </c>
      <c r="I2573" s="14">
        <f>IF(E2573&lt;&gt;"", YEARFRAC(C2573, E2573) * 12, "")</f>
        <v/>
      </c>
      <c r="J2573" s="2">
        <f>IF(I2573="", "", IF(OR(AND(A2573="Listed Equity Shares", I2573&gt;12), AND(A2573="Unlisted Equity Shares", I2573&gt;24)), "Long Term", "Short Term"))</f>
        <v/>
      </c>
      <c r="K2573" s="5">
        <f>IF(J2573="", "", IF(J2573="Long Term", 12.5%,"as per slab"))</f>
        <v/>
      </c>
      <c r="L2573" s="3">
        <f>+IFERROR(IF(J2573="","",H2573*K2573),"as per slab")</f>
        <v/>
      </c>
    </row>
    <row r="2574">
      <c r="A2574" s="7" t="n"/>
      <c r="B2574" s="7" t="n"/>
      <c r="C2574" s="8" t="n"/>
      <c r="D2574" s="9" t="n"/>
      <c r="E2574" s="8" t="n"/>
      <c r="F2574" s="9" t="n"/>
      <c r="G2574" s="9" t="n"/>
      <c r="H2574" s="3">
        <f>IF(AND(D2574&lt;&gt;"",F2574&lt;&gt;""),F2574-D2574-G2574,"")</f>
        <v/>
      </c>
      <c r="I2574" s="14">
        <f>IF(E2574&lt;&gt;"", YEARFRAC(C2574, E2574) * 12, "")</f>
        <v/>
      </c>
      <c r="J2574" s="2">
        <f>IF(I2574="", "", IF(OR(AND(A2574="Listed Equity Shares", I2574&gt;12), AND(A2574="Unlisted Equity Shares", I2574&gt;24)), "Long Term", "Short Term"))</f>
        <v/>
      </c>
      <c r="K2574" s="5">
        <f>IF(J2574="", "", IF(J2574="Long Term", 12.5%,"as per slab"))</f>
        <v/>
      </c>
      <c r="L2574" s="3">
        <f>+IFERROR(IF(J2574="","",H2574*K2574),"as per slab")</f>
        <v/>
      </c>
    </row>
    <row r="2575">
      <c r="A2575" s="7" t="n"/>
      <c r="B2575" s="7" t="n"/>
      <c r="C2575" s="8" t="n"/>
      <c r="D2575" s="9" t="n"/>
      <c r="E2575" s="8" t="n"/>
      <c r="F2575" s="9" t="n"/>
      <c r="G2575" s="9" t="n"/>
      <c r="H2575" s="3">
        <f>IF(AND(D2575&lt;&gt;"",F2575&lt;&gt;""),F2575-D2575-G2575,"")</f>
        <v/>
      </c>
      <c r="I2575" s="14">
        <f>IF(E2575&lt;&gt;"", YEARFRAC(C2575, E2575) * 12, "")</f>
        <v/>
      </c>
      <c r="J2575" s="2">
        <f>IF(I2575="", "", IF(OR(AND(A2575="Listed Equity Shares", I2575&gt;12), AND(A2575="Unlisted Equity Shares", I2575&gt;24)), "Long Term", "Short Term"))</f>
        <v/>
      </c>
      <c r="K2575" s="5">
        <f>IF(J2575="", "", IF(J2575="Long Term", 12.5%,"as per slab"))</f>
        <v/>
      </c>
      <c r="L2575" s="3">
        <f>+IFERROR(IF(J2575="","",H2575*K2575),"as per slab")</f>
        <v/>
      </c>
    </row>
    <row r="2576">
      <c r="A2576" s="7" t="n"/>
      <c r="B2576" s="7" t="n"/>
      <c r="C2576" s="8" t="n"/>
      <c r="D2576" s="9" t="n"/>
      <c r="E2576" s="8" t="n"/>
      <c r="F2576" s="9" t="n"/>
      <c r="G2576" s="9" t="n"/>
      <c r="H2576" s="3">
        <f>IF(AND(D2576&lt;&gt;"",F2576&lt;&gt;""),F2576-D2576-G2576,"")</f>
        <v/>
      </c>
      <c r="I2576" s="14">
        <f>IF(E2576&lt;&gt;"", YEARFRAC(C2576, E2576) * 12, "")</f>
        <v/>
      </c>
      <c r="J2576" s="2">
        <f>IF(I2576="", "", IF(OR(AND(A2576="Listed Equity Shares", I2576&gt;12), AND(A2576="Unlisted Equity Shares", I2576&gt;24)), "Long Term", "Short Term"))</f>
        <v/>
      </c>
      <c r="K2576" s="5">
        <f>IF(J2576="", "", IF(J2576="Long Term", 12.5%,"as per slab"))</f>
        <v/>
      </c>
      <c r="L2576" s="3">
        <f>+IFERROR(IF(J2576="","",H2576*K2576),"as per slab")</f>
        <v/>
      </c>
    </row>
    <row r="2577">
      <c r="A2577" s="7" t="n"/>
      <c r="B2577" s="7" t="n"/>
      <c r="C2577" s="8" t="n"/>
      <c r="D2577" s="9" t="n"/>
      <c r="E2577" s="8" t="n"/>
      <c r="F2577" s="9" t="n"/>
      <c r="G2577" s="9" t="n"/>
      <c r="H2577" s="3">
        <f>IF(AND(D2577&lt;&gt;"",F2577&lt;&gt;""),F2577-D2577-G2577,"")</f>
        <v/>
      </c>
      <c r="I2577" s="14">
        <f>IF(E2577&lt;&gt;"", YEARFRAC(C2577, E2577) * 12, "")</f>
        <v/>
      </c>
      <c r="J2577" s="2">
        <f>IF(I2577="", "", IF(OR(AND(A2577="Listed Equity Shares", I2577&gt;12), AND(A2577="Unlisted Equity Shares", I2577&gt;24)), "Long Term", "Short Term"))</f>
        <v/>
      </c>
      <c r="K2577" s="5">
        <f>IF(J2577="", "", IF(J2577="Long Term", 12.5%,"as per slab"))</f>
        <v/>
      </c>
      <c r="L2577" s="3">
        <f>+IFERROR(IF(J2577="","",H2577*K2577),"as per slab")</f>
        <v/>
      </c>
    </row>
    <row r="2578">
      <c r="A2578" s="7" t="n"/>
      <c r="B2578" s="7" t="n"/>
      <c r="C2578" s="8" t="n"/>
      <c r="D2578" s="9" t="n"/>
      <c r="E2578" s="8" t="n"/>
      <c r="F2578" s="9" t="n"/>
      <c r="G2578" s="9" t="n"/>
      <c r="H2578" s="3">
        <f>IF(AND(D2578&lt;&gt;"",F2578&lt;&gt;""),F2578-D2578-G2578,"")</f>
        <v/>
      </c>
      <c r="I2578" s="14">
        <f>IF(E2578&lt;&gt;"", YEARFRAC(C2578, E2578) * 12, "")</f>
        <v/>
      </c>
      <c r="J2578" s="2">
        <f>IF(I2578="", "", IF(OR(AND(A2578="Listed Equity Shares", I2578&gt;12), AND(A2578="Unlisted Equity Shares", I2578&gt;24)), "Long Term", "Short Term"))</f>
        <v/>
      </c>
      <c r="K2578" s="5">
        <f>IF(J2578="", "", IF(J2578="Long Term", 12.5%,"as per slab"))</f>
        <v/>
      </c>
      <c r="L2578" s="3">
        <f>+IFERROR(IF(J2578="","",H2578*K2578),"as per slab")</f>
        <v/>
      </c>
    </row>
    <row r="2579">
      <c r="A2579" s="7" t="n"/>
      <c r="B2579" s="7" t="n"/>
      <c r="C2579" s="8" t="n"/>
      <c r="D2579" s="9" t="n"/>
      <c r="E2579" s="8" t="n"/>
      <c r="F2579" s="9" t="n"/>
      <c r="G2579" s="9" t="n"/>
      <c r="H2579" s="3">
        <f>IF(AND(D2579&lt;&gt;"",F2579&lt;&gt;""),F2579-D2579-G2579,"")</f>
        <v/>
      </c>
      <c r="I2579" s="14">
        <f>IF(E2579&lt;&gt;"", YEARFRAC(C2579, E2579) * 12, "")</f>
        <v/>
      </c>
      <c r="J2579" s="2">
        <f>IF(I2579="", "", IF(OR(AND(A2579="Listed Equity Shares", I2579&gt;12), AND(A2579="Unlisted Equity Shares", I2579&gt;24)), "Long Term", "Short Term"))</f>
        <v/>
      </c>
      <c r="K2579" s="5">
        <f>IF(J2579="", "", IF(J2579="Long Term", 12.5%,"as per slab"))</f>
        <v/>
      </c>
      <c r="L2579" s="3">
        <f>+IFERROR(IF(J2579="","",H2579*K2579),"as per slab")</f>
        <v/>
      </c>
    </row>
    <row r="2580">
      <c r="A2580" s="7" t="n"/>
      <c r="B2580" s="7" t="n"/>
      <c r="C2580" s="8" t="n"/>
      <c r="D2580" s="9" t="n"/>
      <c r="E2580" s="8" t="n"/>
      <c r="F2580" s="9" t="n"/>
      <c r="G2580" s="9" t="n"/>
      <c r="H2580" s="3">
        <f>IF(AND(D2580&lt;&gt;"",F2580&lt;&gt;""),F2580-D2580-G2580,"")</f>
        <v/>
      </c>
      <c r="I2580" s="14">
        <f>IF(E2580&lt;&gt;"", YEARFRAC(C2580, E2580) * 12, "")</f>
        <v/>
      </c>
      <c r="J2580" s="2">
        <f>IF(I2580="", "", IF(OR(AND(A2580="Listed Equity Shares", I2580&gt;12), AND(A2580="Unlisted Equity Shares", I2580&gt;24)), "Long Term", "Short Term"))</f>
        <v/>
      </c>
      <c r="K2580" s="5">
        <f>IF(J2580="", "", IF(J2580="Long Term", 12.5%,"as per slab"))</f>
        <v/>
      </c>
      <c r="L2580" s="3">
        <f>+IFERROR(IF(J2580="","",H2580*K2580),"as per slab")</f>
        <v/>
      </c>
    </row>
    <row r="2581">
      <c r="A2581" s="7" t="n"/>
      <c r="B2581" s="7" t="n"/>
      <c r="C2581" s="8" t="n"/>
      <c r="D2581" s="9" t="n"/>
      <c r="E2581" s="8" t="n"/>
      <c r="F2581" s="9" t="n"/>
      <c r="G2581" s="9" t="n"/>
      <c r="H2581" s="3">
        <f>IF(AND(D2581&lt;&gt;"",F2581&lt;&gt;""),F2581-D2581-G2581,"")</f>
        <v/>
      </c>
      <c r="I2581" s="14">
        <f>IF(E2581&lt;&gt;"", YEARFRAC(C2581, E2581) * 12, "")</f>
        <v/>
      </c>
      <c r="J2581" s="2">
        <f>IF(I2581="", "", IF(OR(AND(A2581="Listed Equity Shares", I2581&gt;12), AND(A2581="Unlisted Equity Shares", I2581&gt;24)), "Long Term", "Short Term"))</f>
        <v/>
      </c>
      <c r="K2581" s="5">
        <f>IF(J2581="", "", IF(J2581="Long Term", 12.5%,"as per slab"))</f>
        <v/>
      </c>
      <c r="L2581" s="3">
        <f>+IFERROR(IF(J2581="","",H2581*K2581),"as per slab")</f>
        <v/>
      </c>
    </row>
    <row r="2582">
      <c r="A2582" s="7" t="n"/>
      <c r="B2582" s="7" t="n"/>
      <c r="C2582" s="8" t="n"/>
      <c r="D2582" s="9" t="n"/>
      <c r="E2582" s="8" t="n"/>
      <c r="F2582" s="9" t="n"/>
      <c r="G2582" s="9" t="n"/>
      <c r="H2582" s="3">
        <f>IF(AND(D2582&lt;&gt;"",F2582&lt;&gt;""),F2582-D2582-G2582,"")</f>
        <v/>
      </c>
      <c r="I2582" s="14">
        <f>IF(E2582&lt;&gt;"", YEARFRAC(C2582, E2582) * 12, "")</f>
        <v/>
      </c>
      <c r="J2582" s="2">
        <f>IF(I2582="", "", IF(OR(AND(A2582="Listed Equity Shares", I2582&gt;12), AND(A2582="Unlisted Equity Shares", I2582&gt;24)), "Long Term", "Short Term"))</f>
        <v/>
      </c>
      <c r="K2582" s="5">
        <f>IF(J2582="", "", IF(J2582="Long Term", 12.5%,"as per slab"))</f>
        <v/>
      </c>
      <c r="L2582" s="3">
        <f>+IFERROR(IF(J2582="","",H2582*K2582),"as per slab")</f>
        <v/>
      </c>
    </row>
    <row r="2583">
      <c r="A2583" s="7" t="n"/>
      <c r="B2583" s="7" t="n"/>
      <c r="C2583" s="8" t="n"/>
      <c r="D2583" s="9" t="n"/>
      <c r="E2583" s="8" t="n"/>
      <c r="F2583" s="9" t="n"/>
      <c r="G2583" s="9" t="n"/>
      <c r="H2583" s="3">
        <f>IF(AND(D2583&lt;&gt;"",F2583&lt;&gt;""),F2583-D2583-G2583,"")</f>
        <v/>
      </c>
      <c r="I2583" s="14">
        <f>IF(E2583&lt;&gt;"", YEARFRAC(C2583, E2583) * 12, "")</f>
        <v/>
      </c>
      <c r="J2583" s="2">
        <f>IF(I2583="", "", IF(OR(AND(A2583="Listed Equity Shares", I2583&gt;12), AND(A2583="Unlisted Equity Shares", I2583&gt;24)), "Long Term", "Short Term"))</f>
        <v/>
      </c>
      <c r="K2583" s="5">
        <f>IF(J2583="", "", IF(J2583="Long Term", 12.5%,"as per slab"))</f>
        <v/>
      </c>
      <c r="L2583" s="3">
        <f>+IFERROR(IF(J2583="","",H2583*K2583),"as per slab")</f>
        <v/>
      </c>
    </row>
    <row r="2584">
      <c r="A2584" s="7" t="n"/>
      <c r="B2584" s="7" t="n"/>
      <c r="C2584" s="8" t="n"/>
      <c r="D2584" s="9" t="n"/>
      <c r="E2584" s="8" t="n"/>
      <c r="F2584" s="9" t="n"/>
      <c r="G2584" s="9" t="n"/>
      <c r="H2584" s="3">
        <f>IF(AND(D2584&lt;&gt;"",F2584&lt;&gt;""),F2584-D2584-G2584,"")</f>
        <v/>
      </c>
      <c r="I2584" s="14">
        <f>IF(E2584&lt;&gt;"", YEARFRAC(C2584, E2584) * 12, "")</f>
        <v/>
      </c>
      <c r="J2584" s="2">
        <f>IF(I2584="", "", IF(OR(AND(A2584="Listed Equity Shares", I2584&gt;12), AND(A2584="Unlisted Equity Shares", I2584&gt;24)), "Long Term", "Short Term"))</f>
        <v/>
      </c>
      <c r="K2584" s="5">
        <f>IF(J2584="", "", IF(J2584="Long Term", 12.5%,"as per slab"))</f>
        <v/>
      </c>
      <c r="L2584" s="3">
        <f>+IFERROR(IF(J2584="","",H2584*K2584),"as per slab")</f>
        <v/>
      </c>
    </row>
    <row r="2585">
      <c r="A2585" s="7" t="n"/>
      <c r="B2585" s="7" t="n"/>
      <c r="C2585" s="8" t="n"/>
      <c r="D2585" s="9" t="n"/>
      <c r="E2585" s="8" t="n"/>
      <c r="F2585" s="9" t="n"/>
      <c r="G2585" s="9" t="n"/>
      <c r="H2585" s="3">
        <f>IF(AND(D2585&lt;&gt;"",F2585&lt;&gt;""),F2585-D2585-G2585,"")</f>
        <v/>
      </c>
      <c r="I2585" s="14">
        <f>IF(E2585&lt;&gt;"", YEARFRAC(C2585, E2585) * 12, "")</f>
        <v/>
      </c>
      <c r="J2585" s="2">
        <f>IF(I2585="", "", IF(OR(AND(A2585="Listed Equity Shares", I2585&gt;12), AND(A2585="Unlisted Equity Shares", I2585&gt;24)), "Long Term", "Short Term"))</f>
        <v/>
      </c>
      <c r="K2585" s="5">
        <f>IF(J2585="", "", IF(J2585="Long Term", 12.5%,"as per slab"))</f>
        <v/>
      </c>
      <c r="L2585" s="3">
        <f>+IFERROR(IF(J2585="","",H2585*K2585),"as per slab")</f>
        <v/>
      </c>
    </row>
    <row r="2586">
      <c r="A2586" s="7" t="n"/>
      <c r="B2586" s="7" t="n"/>
      <c r="C2586" s="8" t="n"/>
      <c r="D2586" s="9" t="n"/>
      <c r="E2586" s="8" t="n"/>
      <c r="F2586" s="9" t="n"/>
      <c r="G2586" s="9" t="n"/>
      <c r="H2586" s="3">
        <f>IF(AND(D2586&lt;&gt;"",F2586&lt;&gt;""),F2586-D2586-G2586,"")</f>
        <v/>
      </c>
      <c r="I2586" s="14">
        <f>IF(E2586&lt;&gt;"", YEARFRAC(C2586, E2586) * 12, "")</f>
        <v/>
      </c>
      <c r="J2586" s="2">
        <f>IF(I2586="", "", IF(OR(AND(A2586="Listed Equity Shares", I2586&gt;12), AND(A2586="Unlisted Equity Shares", I2586&gt;24)), "Long Term", "Short Term"))</f>
        <v/>
      </c>
      <c r="K2586" s="5">
        <f>IF(J2586="", "", IF(J2586="Long Term", 12.5%,"as per slab"))</f>
        <v/>
      </c>
      <c r="L2586" s="3">
        <f>+IFERROR(IF(J2586="","",H2586*K2586),"as per slab")</f>
        <v/>
      </c>
    </row>
    <row r="2587">
      <c r="A2587" s="7" t="n"/>
      <c r="B2587" s="7" t="n"/>
      <c r="C2587" s="8" t="n"/>
      <c r="D2587" s="9" t="n"/>
      <c r="E2587" s="8" t="n"/>
      <c r="F2587" s="9" t="n"/>
      <c r="G2587" s="9" t="n"/>
      <c r="H2587" s="3">
        <f>IF(AND(D2587&lt;&gt;"",F2587&lt;&gt;""),F2587-D2587-G2587,"")</f>
        <v/>
      </c>
      <c r="I2587" s="14">
        <f>IF(E2587&lt;&gt;"", YEARFRAC(C2587, E2587) * 12, "")</f>
        <v/>
      </c>
      <c r="J2587" s="2">
        <f>IF(I2587="", "", IF(OR(AND(A2587="Listed Equity Shares", I2587&gt;12), AND(A2587="Unlisted Equity Shares", I2587&gt;24)), "Long Term", "Short Term"))</f>
        <v/>
      </c>
      <c r="K2587" s="5">
        <f>IF(J2587="", "", IF(J2587="Long Term", 12.5%,"as per slab"))</f>
        <v/>
      </c>
      <c r="L2587" s="3">
        <f>+IFERROR(IF(J2587="","",H2587*K2587),"as per slab")</f>
        <v/>
      </c>
    </row>
    <row r="2588">
      <c r="A2588" s="7" t="n"/>
      <c r="B2588" s="7" t="n"/>
      <c r="C2588" s="8" t="n"/>
      <c r="D2588" s="9" t="n"/>
      <c r="E2588" s="8" t="n"/>
      <c r="F2588" s="9" t="n"/>
      <c r="G2588" s="9" t="n"/>
      <c r="H2588" s="3">
        <f>IF(AND(D2588&lt;&gt;"",F2588&lt;&gt;""),F2588-D2588-G2588,"")</f>
        <v/>
      </c>
      <c r="I2588" s="14">
        <f>IF(E2588&lt;&gt;"", YEARFRAC(C2588, E2588) * 12, "")</f>
        <v/>
      </c>
      <c r="J2588" s="2">
        <f>IF(I2588="", "", IF(OR(AND(A2588="Listed Equity Shares", I2588&gt;12), AND(A2588="Unlisted Equity Shares", I2588&gt;24)), "Long Term", "Short Term"))</f>
        <v/>
      </c>
      <c r="K2588" s="5">
        <f>IF(J2588="", "", IF(J2588="Long Term", 12.5%,"as per slab"))</f>
        <v/>
      </c>
      <c r="L2588" s="3">
        <f>+IFERROR(IF(J2588="","",H2588*K2588),"as per slab")</f>
        <v/>
      </c>
    </row>
    <row r="2589">
      <c r="A2589" s="7" t="n"/>
      <c r="B2589" s="7" t="n"/>
      <c r="C2589" s="8" t="n"/>
      <c r="D2589" s="9" t="n"/>
      <c r="E2589" s="8" t="n"/>
      <c r="F2589" s="9" t="n"/>
      <c r="G2589" s="9" t="n"/>
      <c r="H2589" s="3">
        <f>IF(AND(D2589&lt;&gt;"",F2589&lt;&gt;""),F2589-D2589-G2589,"")</f>
        <v/>
      </c>
      <c r="I2589" s="14">
        <f>IF(E2589&lt;&gt;"", YEARFRAC(C2589, E2589) * 12, "")</f>
        <v/>
      </c>
      <c r="J2589" s="2">
        <f>IF(I2589="", "", IF(OR(AND(A2589="Listed Equity Shares", I2589&gt;12), AND(A2589="Unlisted Equity Shares", I2589&gt;24)), "Long Term", "Short Term"))</f>
        <v/>
      </c>
      <c r="K2589" s="5">
        <f>IF(J2589="", "", IF(J2589="Long Term", 12.5%,"as per slab"))</f>
        <v/>
      </c>
      <c r="L2589" s="3">
        <f>+IFERROR(IF(J2589="","",H2589*K2589),"as per slab")</f>
        <v/>
      </c>
    </row>
    <row r="2590">
      <c r="A2590" s="7" t="n"/>
      <c r="B2590" s="7" t="n"/>
      <c r="C2590" s="8" t="n"/>
      <c r="D2590" s="9" t="n"/>
      <c r="E2590" s="8" t="n"/>
      <c r="F2590" s="9" t="n"/>
      <c r="G2590" s="9" t="n"/>
      <c r="H2590" s="3">
        <f>IF(AND(D2590&lt;&gt;"",F2590&lt;&gt;""),F2590-D2590-G2590,"")</f>
        <v/>
      </c>
      <c r="I2590" s="14">
        <f>IF(E2590&lt;&gt;"", YEARFRAC(C2590, E2590) * 12, "")</f>
        <v/>
      </c>
      <c r="J2590" s="2">
        <f>IF(I2590="", "", IF(OR(AND(A2590="Listed Equity Shares", I2590&gt;12), AND(A2590="Unlisted Equity Shares", I2590&gt;24)), "Long Term", "Short Term"))</f>
        <v/>
      </c>
      <c r="K2590" s="5">
        <f>IF(J2590="", "", IF(J2590="Long Term", 12.5%,"as per slab"))</f>
        <v/>
      </c>
      <c r="L2590" s="3">
        <f>+IFERROR(IF(J2590="","",H2590*K2590),"as per slab")</f>
        <v/>
      </c>
    </row>
    <row r="2591">
      <c r="A2591" s="7" t="n"/>
      <c r="B2591" s="7" t="n"/>
      <c r="C2591" s="8" t="n"/>
      <c r="D2591" s="9" t="n"/>
      <c r="E2591" s="8" t="n"/>
      <c r="F2591" s="9" t="n"/>
      <c r="G2591" s="9" t="n"/>
      <c r="H2591" s="3">
        <f>IF(AND(D2591&lt;&gt;"",F2591&lt;&gt;""),F2591-D2591-G2591,"")</f>
        <v/>
      </c>
      <c r="I2591" s="14">
        <f>IF(E2591&lt;&gt;"", YEARFRAC(C2591, E2591) * 12, "")</f>
        <v/>
      </c>
      <c r="J2591" s="2">
        <f>IF(I2591="", "", IF(OR(AND(A2591="Listed Equity Shares", I2591&gt;12), AND(A2591="Unlisted Equity Shares", I2591&gt;24)), "Long Term", "Short Term"))</f>
        <v/>
      </c>
      <c r="K2591" s="5">
        <f>IF(J2591="", "", IF(J2591="Long Term", 12.5%,"as per slab"))</f>
        <v/>
      </c>
      <c r="L2591" s="3">
        <f>+IFERROR(IF(J2591="","",H2591*K2591),"as per slab")</f>
        <v/>
      </c>
    </row>
    <row r="2592">
      <c r="A2592" s="7" t="n"/>
      <c r="B2592" s="7" t="n"/>
      <c r="C2592" s="8" t="n"/>
      <c r="D2592" s="9" t="n"/>
      <c r="E2592" s="8" t="n"/>
      <c r="F2592" s="9" t="n"/>
      <c r="G2592" s="9" t="n"/>
      <c r="H2592" s="3">
        <f>IF(AND(D2592&lt;&gt;"",F2592&lt;&gt;""),F2592-D2592-G2592,"")</f>
        <v/>
      </c>
      <c r="I2592" s="14">
        <f>IF(E2592&lt;&gt;"", YEARFRAC(C2592, E2592) * 12, "")</f>
        <v/>
      </c>
      <c r="J2592" s="2">
        <f>IF(I2592="", "", IF(OR(AND(A2592="Listed Equity Shares", I2592&gt;12), AND(A2592="Unlisted Equity Shares", I2592&gt;24)), "Long Term", "Short Term"))</f>
        <v/>
      </c>
      <c r="K2592" s="5">
        <f>IF(J2592="", "", IF(J2592="Long Term", 12.5%,"as per slab"))</f>
        <v/>
      </c>
      <c r="L2592" s="3">
        <f>+IFERROR(IF(J2592="","",H2592*K2592),"as per slab")</f>
        <v/>
      </c>
    </row>
    <row r="2593">
      <c r="A2593" s="7" t="n"/>
      <c r="B2593" s="7" t="n"/>
      <c r="C2593" s="8" t="n"/>
      <c r="D2593" s="9" t="n"/>
      <c r="E2593" s="8" t="n"/>
      <c r="F2593" s="9" t="n"/>
      <c r="G2593" s="9" t="n"/>
      <c r="H2593" s="3">
        <f>IF(AND(D2593&lt;&gt;"",F2593&lt;&gt;""),F2593-D2593-G2593,"")</f>
        <v/>
      </c>
      <c r="I2593" s="14">
        <f>IF(E2593&lt;&gt;"", YEARFRAC(C2593, E2593) * 12, "")</f>
        <v/>
      </c>
      <c r="J2593" s="2">
        <f>IF(I2593="", "", IF(OR(AND(A2593="Listed Equity Shares", I2593&gt;12), AND(A2593="Unlisted Equity Shares", I2593&gt;24)), "Long Term", "Short Term"))</f>
        <v/>
      </c>
      <c r="K2593" s="5">
        <f>IF(J2593="", "", IF(J2593="Long Term", 12.5%,"as per slab"))</f>
        <v/>
      </c>
      <c r="L2593" s="3">
        <f>+IFERROR(IF(J2593="","",H2593*K2593),"as per slab")</f>
        <v/>
      </c>
    </row>
    <row r="2594">
      <c r="A2594" s="7" t="n"/>
      <c r="B2594" s="7" t="n"/>
      <c r="C2594" s="8" t="n"/>
      <c r="D2594" s="9" t="n"/>
      <c r="E2594" s="8" t="n"/>
      <c r="F2594" s="9" t="n"/>
      <c r="G2594" s="9" t="n"/>
      <c r="H2594" s="3">
        <f>IF(AND(D2594&lt;&gt;"",F2594&lt;&gt;""),F2594-D2594-G2594,"")</f>
        <v/>
      </c>
      <c r="I2594" s="14">
        <f>IF(E2594&lt;&gt;"", YEARFRAC(C2594, E2594) * 12, "")</f>
        <v/>
      </c>
      <c r="J2594" s="2">
        <f>IF(I2594="", "", IF(OR(AND(A2594="Listed Equity Shares", I2594&gt;12), AND(A2594="Unlisted Equity Shares", I2594&gt;24)), "Long Term", "Short Term"))</f>
        <v/>
      </c>
      <c r="K2594" s="5">
        <f>IF(J2594="", "", IF(J2594="Long Term", 12.5%,"as per slab"))</f>
        <v/>
      </c>
      <c r="L2594" s="3">
        <f>+IFERROR(IF(J2594="","",H2594*K2594),"as per slab")</f>
        <v/>
      </c>
    </row>
    <row r="2595">
      <c r="A2595" s="7" t="n"/>
      <c r="B2595" s="7" t="n"/>
      <c r="C2595" s="8" t="n"/>
      <c r="D2595" s="9" t="n"/>
      <c r="E2595" s="8" t="n"/>
      <c r="F2595" s="9" t="n"/>
      <c r="G2595" s="9" t="n"/>
      <c r="H2595" s="3">
        <f>IF(AND(D2595&lt;&gt;"",F2595&lt;&gt;""),F2595-D2595-G2595,"")</f>
        <v/>
      </c>
      <c r="I2595" s="14">
        <f>IF(E2595&lt;&gt;"", YEARFRAC(C2595, E2595) * 12, "")</f>
        <v/>
      </c>
      <c r="J2595" s="2">
        <f>IF(I2595="", "", IF(OR(AND(A2595="Listed Equity Shares", I2595&gt;12), AND(A2595="Unlisted Equity Shares", I2595&gt;24)), "Long Term", "Short Term"))</f>
        <v/>
      </c>
      <c r="K2595" s="5">
        <f>IF(J2595="", "", IF(J2595="Long Term", 12.5%,"as per slab"))</f>
        <v/>
      </c>
      <c r="L2595" s="3">
        <f>+IFERROR(IF(J2595="","",H2595*K2595),"as per slab")</f>
        <v/>
      </c>
    </row>
    <row r="2596">
      <c r="A2596" s="7" t="n"/>
      <c r="B2596" s="7" t="n"/>
      <c r="C2596" s="8" t="n"/>
      <c r="D2596" s="9" t="n"/>
      <c r="E2596" s="8" t="n"/>
      <c r="F2596" s="9" t="n"/>
      <c r="G2596" s="9" t="n"/>
      <c r="H2596" s="3">
        <f>IF(AND(D2596&lt;&gt;"",F2596&lt;&gt;""),F2596-D2596-G2596,"")</f>
        <v/>
      </c>
      <c r="I2596" s="14">
        <f>IF(E2596&lt;&gt;"", YEARFRAC(C2596, E2596) * 12, "")</f>
        <v/>
      </c>
      <c r="J2596" s="2">
        <f>IF(I2596="", "", IF(OR(AND(A2596="Listed Equity Shares", I2596&gt;12), AND(A2596="Unlisted Equity Shares", I2596&gt;24)), "Long Term", "Short Term"))</f>
        <v/>
      </c>
      <c r="K2596" s="5">
        <f>IF(J2596="", "", IF(J2596="Long Term", 12.5%,"as per slab"))</f>
        <v/>
      </c>
      <c r="L2596" s="3">
        <f>+IFERROR(IF(J2596="","",H2596*K2596),"as per slab")</f>
        <v/>
      </c>
    </row>
    <row r="2597">
      <c r="A2597" s="7" t="n"/>
      <c r="B2597" s="7" t="n"/>
      <c r="C2597" s="8" t="n"/>
      <c r="D2597" s="9" t="n"/>
      <c r="E2597" s="8" t="n"/>
      <c r="F2597" s="9" t="n"/>
      <c r="G2597" s="9" t="n"/>
      <c r="H2597" s="3">
        <f>IF(AND(D2597&lt;&gt;"",F2597&lt;&gt;""),F2597-D2597-G2597,"")</f>
        <v/>
      </c>
      <c r="I2597" s="14">
        <f>IF(E2597&lt;&gt;"", YEARFRAC(C2597, E2597) * 12, "")</f>
        <v/>
      </c>
      <c r="J2597" s="2">
        <f>IF(I2597="", "", IF(OR(AND(A2597="Listed Equity Shares", I2597&gt;12), AND(A2597="Unlisted Equity Shares", I2597&gt;24)), "Long Term", "Short Term"))</f>
        <v/>
      </c>
      <c r="K2597" s="5">
        <f>IF(J2597="", "", IF(J2597="Long Term", 12.5%,"as per slab"))</f>
        <v/>
      </c>
      <c r="L2597" s="3">
        <f>+IFERROR(IF(J2597="","",H2597*K2597),"as per slab")</f>
        <v/>
      </c>
    </row>
    <row r="2598">
      <c r="A2598" s="7" t="n"/>
      <c r="B2598" s="7" t="n"/>
      <c r="C2598" s="8" t="n"/>
      <c r="D2598" s="9" t="n"/>
      <c r="E2598" s="8" t="n"/>
      <c r="F2598" s="9" t="n"/>
      <c r="G2598" s="9" t="n"/>
      <c r="H2598" s="3">
        <f>IF(AND(D2598&lt;&gt;"",F2598&lt;&gt;""),F2598-D2598-G2598,"")</f>
        <v/>
      </c>
      <c r="I2598" s="14">
        <f>IF(E2598&lt;&gt;"", YEARFRAC(C2598, E2598) * 12, "")</f>
        <v/>
      </c>
      <c r="J2598" s="2">
        <f>IF(I2598="", "", IF(OR(AND(A2598="Listed Equity Shares", I2598&gt;12), AND(A2598="Unlisted Equity Shares", I2598&gt;24)), "Long Term", "Short Term"))</f>
        <v/>
      </c>
      <c r="K2598" s="5">
        <f>IF(J2598="", "", IF(J2598="Long Term", 12.5%,"as per slab"))</f>
        <v/>
      </c>
      <c r="L2598" s="3">
        <f>+IFERROR(IF(J2598="","",H2598*K2598),"as per slab")</f>
        <v/>
      </c>
    </row>
    <row r="2599">
      <c r="A2599" s="7" t="n"/>
      <c r="B2599" s="7" t="n"/>
      <c r="C2599" s="8" t="n"/>
      <c r="D2599" s="9" t="n"/>
      <c r="E2599" s="8" t="n"/>
      <c r="F2599" s="9" t="n"/>
      <c r="G2599" s="9" t="n"/>
      <c r="H2599" s="3">
        <f>IF(AND(D2599&lt;&gt;"",F2599&lt;&gt;""),F2599-D2599-G2599,"")</f>
        <v/>
      </c>
      <c r="I2599" s="14">
        <f>IF(E2599&lt;&gt;"", YEARFRAC(C2599, E2599) * 12, "")</f>
        <v/>
      </c>
      <c r="J2599" s="2">
        <f>IF(I2599="", "", IF(OR(AND(A2599="Listed Equity Shares", I2599&gt;12), AND(A2599="Unlisted Equity Shares", I2599&gt;24)), "Long Term", "Short Term"))</f>
        <v/>
      </c>
      <c r="K2599" s="5">
        <f>IF(J2599="", "", IF(J2599="Long Term", 12.5%,"as per slab"))</f>
        <v/>
      </c>
      <c r="L2599" s="3">
        <f>+IFERROR(IF(J2599="","",H2599*K2599),"as per slab")</f>
        <v/>
      </c>
    </row>
    <row r="2600">
      <c r="A2600" s="7" t="n"/>
      <c r="B2600" s="7" t="n"/>
      <c r="C2600" s="8" t="n"/>
      <c r="D2600" s="9" t="n"/>
      <c r="E2600" s="8" t="n"/>
      <c r="F2600" s="9" t="n"/>
      <c r="G2600" s="9" t="n"/>
      <c r="H2600" s="3">
        <f>IF(AND(D2600&lt;&gt;"",F2600&lt;&gt;""),F2600-D2600-G2600,"")</f>
        <v/>
      </c>
      <c r="I2600" s="14">
        <f>IF(E2600&lt;&gt;"", YEARFRAC(C2600, E2600) * 12, "")</f>
        <v/>
      </c>
      <c r="J2600" s="2">
        <f>IF(I2600="", "", IF(OR(AND(A2600="Listed Equity Shares", I2600&gt;12), AND(A2600="Unlisted Equity Shares", I2600&gt;24)), "Long Term", "Short Term"))</f>
        <v/>
      </c>
      <c r="K2600" s="5">
        <f>IF(J2600="", "", IF(J2600="Long Term", 12.5%,"as per slab"))</f>
        <v/>
      </c>
      <c r="L2600" s="3">
        <f>+IFERROR(IF(J2600="","",H2600*K2600),"as per slab")</f>
        <v/>
      </c>
    </row>
    <row r="2601">
      <c r="A2601" s="7" t="n"/>
      <c r="B2601" s="7" t="n"/>
      <c r="C2601" s="8" t="n"/>
      <c r="D2601" s="9" t="n"/>
      <c r="E2601" s="8" t="n"/>
      <c r="F2601" s="9" t="n"/>
      <c r="G2601" s="9" t="n"/>
      <c r="H2601" s="3">
        <f>IF(AND(D2601&lt;&gt;"",F2601&lt;&gt;""),F2601-D2601-G2601,"")</f>
        <v/>
      </c>
      <c r="I2601" s="14">
        <f>IF(E2601&lt;&gt;"", YEARFRAC(C2601, E2601) * 12, "")</f>
        <v/>
      </c>
      <c r="J2601" s="2">
        <f>IF(I2601="", "", IF(OR(AND(A2601="Listed Equity Shares", I2601&gt;12), AND(A2601="Unlisted Equity Shares", I2601&gt;24)), "Long Term", "Short Term"))</f>
        <v/>
      </c>
      <c r="K2601" s="5">
        <f>IF(J2601="", "", IF(J2601="Long Term", 12.5%,"as per slab"))</f>
        <v/>
      </c>
      <c r="L2601" s="3">
        <f>+IFERROR(IF(J2601="","",H2601*K2601),"as per slab")</f>
        <v/>
      </c>
    </row>
    <row r="2602">
      <c r="A2602" s="7" t="n"/>
      <c r="B2602" s="7" t="n"/>
      <c r="C2602" s="8" t="n"/>
      <c r="D2602" s="9" t="n"/>
      <c r="E2602" s="8" t="n"/>
      <c r="F2602" s="9" t="n"/>
      <c r="G2602" s="9" t="n"/>
      <c r="H2602" s="3">
        <f>IF(AND(D2602&lt;&gt;"",F2602&lt;&gt;""),F2602-D2602-G2602,"")</f>
        <v/>
      </c>
      <c r="I2602" s="14">
        <f>IF(E2602&lt;&gt;"", YEARFRAC(C2602, E2602) * 12, "")</f>
        <v/>
      </c>
      <c r="J2602" s="2">
        <f>IF(I2602="", "", IF(OR(AND(A2602="Listed Equity Shares", I2602&gt;12), AND(A2602="Unlisted Equity Shares", I2602&gt;24)), "Long Term", "Short Term"))</f>
        <v/>
      </c>
      <c r="K2602" s="5">
        <f>IF(J2602="", "", IF(J2602="Long Term", 12.5%,"as per slab"))</f>
        <v/>
      </c>
      <c r="L2602" s="3">
        <f>+IFERROR(IF(J2602="","",H2602*K2602),"as per slab")</f>
        <v/>
      </c>
    </row>
    <row r="2603">
      <c r="A2603" s="7" t="n"/>
      <c r="B2603" s="7" t="n"/>
      <c r="C2603" s="8" t="n"/>
      <c r="D2603" s="9" t="n"/>
      <c r="E2603" s="8" t="n"/>
      <c r="F2603" s="9" t="n"/>
      <c r="G2603" s="9" t="n"/>
      <c r="H2603" s="3">
        <f>IF(AND(D2603&lt;&gt;"",F2603&lt;&gt;""),F2603-D2603-G2603,"")</f>
        <v/>
      </c>
      <c r="I2603" s="14">
        <f>IF(E2603&lt;&gt;"", YEARFRAC(C2603, E2603) * 12, "")</f>
        <v/>
      </c>
      <c r="J2603" s="2">
        <f>IF(I2603="", "", IF(OR(AND(A2603="Listed Equity Shares", I2603&gt;12), AND(A2603="Unlisted Equity Shares", I2603&gt;24)), "Long Term", "Short Term"))</f>
        <v/>
      </c>
      <c r="K2603" s="5">
        <f>IF(J2603="", "", IF(J2603="Long Term", 12.5%,"as per slab"))</f>
        <v/>
      </c>
      <c r="L2603" s="3">
        <f>+IFERROR(IF(J2603="","",H2603*K2603),"as per slab")</f>
        <v/>
      </c>
    </row>
    <row r="2604">
      <c r="A2604" s="7" t="n"/>
      <c r="B2604" s="7" t="n"/>
      <c r="C2604" s="8" t="n"/>
      <c r="D2604" s="9" t="n"/>
      <c r="E2604" s="8" t="n"/>
      <c r="F2604" s="9" t="n"/>
      <c r="G2604" s="9" t="n"/>
      <c r="H2604" s="3">
        <f>IF(AND(D2604&lt;&gt;"",F2604&lt;&gt;""),F2604-D2604-G2604,"")</f>
        <v/>
      </c>
      <c r="I2604" s="14">
        <f>IF(E2604&lt;&gt;"", YEARFRAC(C2604, E2604) * 12, "")</f>
        <v/>
      </c>
      <c r="J2604" s="2">
        <f>IF(I2604="", "", IF(OR(AND(A2604="Listed Equity Shares", I2604&gt;12), AND(A2604="Unlisted Equity Shares", I2604&gt;24)), "Long Term", "Short Term"))</f>
        <v/>
      </c>
      <c r="K2604" s="5">
        <f>IF(J2604="", "", IF(J2604="Long Term", 12.5%,"as per slab"))</f>
        <v/>
      </c>
      <c r="L2604" s="3">
        <f>+IFERROR(IF(J2604="","",H2604*K2604),"as per slab")</f>
        <v/>
      </c>
    </row>
    <row r="2605">
      <c r="A2605" s="7" t="n"/>
      <c r="B2605" s="7" t="n"/>
      <c r="C2605" s="8" t="n"/>
      <c r="D2605" s="9" t="n"/>
      <c r="E2605" s="8" t="n"/>
      <c r="F2605" s="9" t="n"/>
      <c r="G2605" s="9" t="n"/>
      <c r="H2605" s="3">
        <f>IF(AND(D2605&lt;&gt;"",F2605&lt;&gt;""),F2605-D2605-G2605,"")</f>
        <v/>
      </c>
      <c r="I2605" s="14">
        <f>IF(E2605&lt;&gt;"", YEARFRAC(C2605, E2605) * 12, "")</f>
        <v/>
      </c>
      <c r="J2605" s="2">
        <f>IF(I2605="", "", IF(OR(AND(A2605="Listed Equity Shares", I2605&gt;12), AND(A2605="Unlisted Equity Shares", I2605&gt;24)), "Long Term", "Short Term"))</f>
        <v/>
      </c>
      <c r="K2605" s="5">
        <f>IF(J2605="", "", IF(J2605="Long Term", 12.5%,"as per slab"))</f>
        <v/>
      </c>
      <c r="L2605" s="3">
        <f>+IFERROR(IF(J2605="","",H2605*K2605),"as per slab")</f>
        <v/>
      </c>
    </row>
    <row r="2606">
      <c r="A2606" s="7" t="n"/>
      <c r="B2606" s="7" t="n"/>
      <c r="C2606" s="8" t="n"/>
      <c r="D2606" s="9" t="n"/>
      <c r="E2606" s="8" t="n"/>
      <c r="F2606" s="9" t="n"/>
      <c r="G2606" s="9" t="n"/>
      <c r="H2606" s="3">
        <f>IF(AND(D2606&lt;&gt;"",F2606&lt;&gt;""),F2606-D2606-G2606,"")</f>
        <v/>
      </c>
      <c r="I2606" s="14">
        <f>IF(E2606&lt;&gt;"", YEARFRAC(C2606, E2606) * 12, "")</f>
        <v/>
      </c>
      <c r="J2606" s="2">
        <f>IF(I2606="", "", IF(OR(AND(A2606="Listed Equity Shares", I2606&gt;12), AND(A2606="Unlisted Equity Shares", I2606&gt;24)), "Long Term", "Short Term"))</f>
        <v/>
      </c>
      <c r="K2606" s="5">
        <f>IF(J2606="", "", IF(J2606="Long Term", 12.5%,"as per slab"))</f>
        <v/>
      </c>
      <c r="L2606" s="3">
        <f>+IFERROR(IF(J2606="","",H2606*K2606),"as per slab")</f>
        <v/>
      </c>
    </row>
    <row r="2607">
      <c r="A2607" s="7" t="n"/>
      <c r="B2607" s="7" t="n"/>
      <c r="C2607" s="8" t="n"/>
      <c r="D2607" s="9" t="n"/>
      <c r="E2607" s="8" t="n"/>
      <c r="F2607" s="9" t="n"/>
      <c r="G2607" s="9" t="n"/>
      <c r="H2607" s="3">
        <f>IF(AND(D2607&lt;&gt;"",F2607&lt;&gt;""),F2607-D2607-G2607,"")</f>
        <v/>
      </c>
      <c r="I2607" s="14">
        <f>IF(E2607&lt;&gt;"", YEARFRAC(C2607, E2607) * 12, "")</f>
        <v/>
      </c>
      <c r="J2607" s="2">
        <f>IF(I2607="", "", IF(OR(AND(A2607="Listed Equity Shares", I2607&gt;12), AND(A2607="Unlisted Equity Shares", I2607&gt;24)), "Long Term", "Short Term"))</f>
        <v/>
      </c>
      <c r="K2607" s="5">
        <f>IF(J2607="", "", IF(J2607="Long Term", 12.5%,"as per slab"))</f>
        <v/>
      </c>
      <c r="L2607" s="3">
        <f>+IFERROR(IF(J2607="","",H2607*K2607),"as per slab")</f>
        <v/>
      </c>
    </row>
    <row r="2608">
      <c r="A2608" s="7" t="n"/>
      <c r="B2608" s="7" t="n"/>
      <c r="C2608" s="8" t="n"/>
      <c r="D2608" s="9" t="n"/>
      <c r="E2608" s="8" t="n"/>
      <c r="F2608" s="9" t="n"/>
      <c r="G2608" s="9" t="n"/>
      <c r="H2608" s="3">
        <f>IF(AND(D2608&lt;&gt;"",F2608&lt;&gt;""),F2608-D2608-G2608,"")</f>
        <v/>
      </c>
      <c r="I2608" s="14">
        <f>IF(E2608&lt;&gt;"", YEARFRAC(C2608, E2608) * 12, "")</f>
        <v/>
      </c>
      <c r="J2608" s="2">
        <f>IF(I2608="", "", IF(OR(AND(A2608="Listed Equity Shares", I2608&gt;12), AND(A2608="Unlisted Equity Shares", I2608&gt;24)), "Long Term", "Short Term"))</f>
        <v/>
      </c>
      <c r="K2608" s="5">
        <f>IF(J2608="", "", IF(J2608="Long Term", 12.5%,"as per slab"))</f>
        <v/>
      </c>
      <c r="L2608" s="3">
        <f>+IFERROR(IF(J2608="","",H2608*K2608),"as per slab")</f>
        <v/>
      </c>
    </row>
    <row r="2609">
      <c r="A2609" s="7" t="n"/>
      <c r="B2609" s="7" t="n"/>
      <c r="C2609" s="8" t="n"/>
      <c r="D2609" s="9" t="n"/>
      <c r="E2609" s="8" t="n"/>
      <c r="F2609" s="9" t="n"/>
      <c r="G2609" s="9" t="n"/>
      <c r="H2609" s="3">
        <f>IF(AND(D2609&lt;&gt;"",F2609&lt;&gt;""),F2609-D2609-G2609,"")</f>
        <v/>
      </c>
      <c r="I2609" s="14">
        <f>IF(E2609&lt;&gt;"", YEARFRAC(C2609, E2609) * 12, "")</f>
        <v/>
      </c>
      <c r="J2609" s="2">
        <f>IF(I2609="", "", IF(OR(AND(A2609="Listed Equity Shares", I2609&gt;12), AND(A2609="Unlisted Equity Shares", I2609&gt;24)), "Long Term", "Short Term"))</f>
        <v/>
      </c>
      <c r="K2609" s="5">
        <f>IF(J2609="", "", IF(J2609="Long Term", 12.5%,"as per slab"))</f>
        <v/>
      </c>
      <c r="L2609" s="3">
        <f>+IFERROR(IF(J2609="","",H2609*K2609),"as per slab")</f>
        <v/>
      </c>
    </row>
    <row r="2610">
      <c r="A2610" s="7" t="n"/>
      <c r="B2610" s="7" t="n"/>
      <c r="C2610" s="8" t="n"/>
      <c r="D2610" s="9" t="n"/>
      <c r="E2610" s="8" t="n"/>
      <c r="F2610" s="9" t="n"/>
      <c r="G2610" s="9" t="n"/>
      <c r="H2610" s="3">
        <f>IF(AND(D2610&lt;&gt;"",F2610&lt;&gt;""),F2610-D2610-G2610,"")</f>
        <v/>
      </c>
      <c r="I2610" s="14">
        <f>IF(E2610&lt;&gt;"", YEARFRAC(C2610, E2610) * 12, "")</f>
        <v/>
      </c>
      <c r="J2610" s="2">
        <f>IF(I2610="", "", IF(OR(AND(A2610="Listed Equity Shares", I2610&gt;12), AND(A2610="Unlisted Equity Shares", I2610&gt;24)), "Long Term", "Short Term"))</f>
        <v/>
      </c>
      <c r="K2610" s="5">
        <f>IF(J2610="", "", IF(J2610="Long Term", 12.5%,"as per slab"))</f>
        <v/>
      </c>
      <c r="L2610" s="3">
        <f>+IFERROR(IF(J2610="","",H2610*K2610),"as per slab")</f>
        <v/>
      </c>
    </row>
    <row r="2611">
      <c r="A2611" s="7" t="n"/>
      <c r="B2611" s="7" t="n"/>
      <c r="C2611" s="8" t="n"/>
      <c r="D2611" s="9" t="n"/>
      <c r="E2611" s="8" t="n"/>
      <c r="F2611" s="9" t="n"/>
      <c r="G2611" s="9" t="n"/>
      <c r="H2611" s="3">
        <f>IF(AND(D2611&lt;&gt;"",F2611&lt;&gt;""),F2611-D2611-G2611,"")</f>
        <v/>
      </c>
      <c r="I2611" s="14">
        <f>IF(E2611&lt;&gt;"", YEARFRAC(C2611, E2611) * 12, "")</f>
        <v/>
      </c>
      <c r="J2611" s="2">
        <f>IF(I2611="", "", IF(OR(AND(A2611="Listed Equity Shares", I2611&gt;12), AND(A2611="Unlisted Equity Shares", I2611&gt;24)), "Long Term", "Short Term"))</f>
        <v/>
      </c>
      <c r="K2611" s="5">
        <f>IF(J2611="", "", IF(J2611="Long Term", 12.5%,"as per slab"))</f>
        <v/>
      </c>
      <c r="L2611" s="3">
        <f>+IFERROR(IF(J2611="","",H2611*K2611),"as per slab")</f>
        <v/>
      </c>
    </row>
    <row r="2612">
      <c r="A2612" s="7" t="n"/>
      <c r="B2612" s="7" t="n"/>
      <c r="C2612" s="8" t="n"/>
      <c r="D2612" s="9" t="n"/>
      <c r="E2612" s="8" t="n"/>
      <c r="F2612" s="9" t="n"/>
      <c r="G2612" s="9" t="n"/>
      <c r="H2612" s="3">
        <f>IF(AND(D2612&lt;&gt;"",F2612&lt;&gt;""),F2612-D2612-G2612,"")</f>
        <v/>
      </c>
      <c r="I2612" s="14">
        <f>IF(E2612&lt;&gt;"", YEARFRAC(C2612, E2612) * 12, "")</f>
        <v/>
      </c>
      <c r="J2612" s="2">
        <f>IF(I2612="", "", IF(OR(AND(A2612="Listed Equity Shares", I2612&gt;12), AND(A2612="Unlisted Equity Shares", I2612&gt;24)), "Long Term", "Short Term"))</f>
        <v/>
      </c>
      <c r="K2612" s="5">
        <f>IF(J2612="", "", IF(J2612="Long Term", 12.5%,"as per slab"))</f>
        <v/>
      </c>
      <c r="L2612" s="3">
        <f>+IFERROR(IF(J2612="","",H2612*K2612),"as per slab")</f>
        <v/>
      </c>
    </row>
    <row r="2613">
      <c r="A2613" s="7" t="n"/>
      <c r="B2613" s="7" t="n"/>
      <c r="C2613" s="8" t="n"/>
      <c r="D2613" s="9" t="n"/>
      <c r="E2613" s="8" t="n"/>
      <c r="F2613" s="9" t="n"/>
      <c r="G2613" s="9" t="n"/>
      <c r="H2613" s="3">
        <f>IF(AND(D2613&lt;&gt;"",F2613&lt;&gt;""),F2613-D2613-G2613,"")</f>
        <v/>
      </c>
      <c r="I2613" s="14">
        <f>IF(E2613&lt;&gt;"", YEARFRAC(C2613, E2613) * 12, "")</f>
        <v/>
      </c>
      <c r="J2613" s="2">
        <f>IF(I2613="", "", IF(OR(AND(A2613="Listed Equity Shares", I2613&gt;12), AND(A2613="Unlisted Equity Shares", I2613&gt;24)), "Long Term", "Short Term"))</f>
        <v/>
      </c>
      <c r="K2613" s="5">
        <f>IF(J2613="", "", IF(J2613="Long Term", 12.5%,"as per slab"))</f>
        <v/>
      </c>
      <c r="L2613" s="3">
        <f>+IFERROR(IF(J2613="","",H2613*K2613),"as per slab")</f>
        <v/>
      </c>
    </row>
    <row r="2614">
      <c r="A2614" s="7" t="n"/>
      <c r="B2614" s="7" t="n"/>
      <c r="C2614" s="8" t="n"/>
      <c r="D2614" s="9" t="n"/>
      <c r="E2614" s="8" t="n"/>
      <c r="F2614" s="9" t="n"/>
      <c r="G2614" s="9" t="n"/>
      <c r="H2614" s="3">
        <f>IF(AND(D2614&lt;&gt;"",F2614&lt;&gt;""),F2614-D2614-G2614,"")</f>
        <v/>
      </c>
      <c r="I2614" s="14">
        <f>IF(E2614&lt;&gt;"", YEARFRAC(C2614, E2614) * 12, "")</f>
        <v/>
      </c>
      <c r="J2614" s="2">
        <f>IF(I2614="", "", IF(OR(AND(A2614="Listed Equity Shares", I2614&gt;12), AND(A2614="Unlisted Equity Shares", I2614&gt;24)), "Long Term", "Short Term"))</f>
        <v/>
      </c>
      <c r="K2614" s="5">
        <f>IF(J2614="", "", IF(J2614="Long Term", 12.5%,"as per slab"))</f>
        <v/>
      </c>
      <c r="L2614" s="3">
        <f>+IFERROR(IF(J2614="","",H2614*K2614),"as per slab")</f>
        <v/>
      </c>
    </row>
    <row r="2615">
      <c r="A2615" s="7" t="n"/>
      <c r="B2615" s="7" t="n"/>
      <c r="C2615" s="8" t="n"/>
      <c r="D2615" s="9" t="n"/>
      <c r="E2615" s="8" t="n"/>
      <c r="F2615" s="9" t="n"/>
      <c r="G2615" s="9" t="n"/>
      <c r="H2615" s="3">
        <f>IF(AND(D2615&lt;&gt;"",F2615&lt;&gt;""),F2615-D2615-G2615,"")</f>
        <v/>
      </c>
      <c r="I2615" s="14">
        <f>IF(E2615&lt;&gt;"", YEARFRAC(C2615, E2615) * 12, "")</f>
        <v/>
      </c>
      <c r="J2615" s="2">
        <f>IF(I2615="", "", IF(OR(AND(A2615="Listed Equity Shares", I2615&gt;12), AND(A2615="Unlisted Equity Shares", I2615&gt;24)), "Long Term", "Short Term"))</f>
        <v/>
      </c>
      <c r="K2615" s="5">
        <f>IF(J2615="", "", IF(J2615="Long Term", 12.5%,"as per slab"))</f>
        <v/>
      </c>
      <c r="L2615" s="3">
        <f>+IFERROR(IF(J2615="","",H2615*K2615),"as per slab")</f>
        <v/>
      </c>
    </row>
    <row r="2616">
      <c r="A2616" s="7" t="n"/>
      <c r="B2616" s="7" t="n"/>
      <c r="C2616" s="8" t="n"/>
      <c r="D2616" s="9" t="n"/>
      <c r="E2616" s="8" t="n"/>
      <c r="F2616" s="9" t="n"/>
      <c r="G2616" s="9" t="n"/>
      <c r="H2616" s="3">
        <f>IF(AND(D2616&lt;&gt;"",F2616&lt;&gt;""),F2616-D2616-G2616,"")</f>
        <v/>
      </c>
      <c r="I2616" s="14">
        <f>IF(E2616&lt;&gt;"", YEARFRAC(C2616, E2616) * 12, "")</f>
        <v/>
      </c>
      <c r="J2616" s="2">
        <f>IF(I2616="", "", IF(OR(AND(A2616="Listed Equity Shares", I2616&gt;12), AND(A2616="Unlisted Equity Shares", I2616&gt;24)), "Long Term", "Short Term"))</f>
        <v/>
      </c>
      <c r="K2616" s="5">
        <f>IF(J2616="", "", IF(J2616="Long Term", 12.5%,"as per slab"))</f>
        <v/>
      </c>
      <c r="L2616" s="3">
        <f>+IFERROR(IF(J2616="","",H2616*K2616),"as per slab")</f>
        <v/>
      </c>
    </row>
    <row r="2617">
      <c r="A2617" s="7" t="n"/>
      <c r="B2617" s="7" t="n"/>
      <c r="C2617" s="8" t="n"/>
      <c r="D2617" s="9" t="n"/>
      <c r="E2617" s="8" t="n"/>
      <c r="F2617" s="9" t="n"/>
      <c r="G2617" s="9" t="n"/>
      <c r="H2617" s="3">
        <f>IF(AND(D2617&lt;&gt;"",F2617&lt;&gt;""),F2617-D2617-G2617,"")</f>
        <v/>
      </c>
      <c r="I2617" s="14">
        <f>IF(E2617&lt;&gt;"", YEARFRAC(C2617, E2617) * 12, "")</f>
        <v/>
      </c>
      <c r="J2617" s="2">
        <f>IF(I2617="", "", IF(OR(AND(A2617="Listed Equity Shares", I2617&gt;12), AND(A2617="Unlisted Equity Shares", I2617&gt;24)), "Long Term", "Short Term"))</f>
        <v/>
      </c>
      <c r="K2617" s="5">
        <f>IF(J2617="", "", IF(J2617="Long Term", 12.5%,"as per slab"))</f>
        <v/>
      </c>
      <c r="L2617" s="3">
        <f>+IFERROR(IF(J2617="","",H2617*K2617),"as per slab")</f>
        <v/>
      </c>
    </row>
    <row r="2618">
      <c r="A2618" s="7" t="n"/>
      <c r="B2618" s="7" t="n"/>
      <c r="C2618" s="8" t="n"/>
      <c r="D2618" s="9" t="n"/>
      <c r="E2618" s="8" t="n"/>
      <c r="F2618" s="9" t="n"/>
      <c r="G2618" s="9" t="n"/>
      <c r="H2618" s="3">
        <f>IF(AND(D2618&lt;&gt;"",F2618&lt;&gt;""),F2618-D2618-G2618,"")</f>
        <v/>
      </c>
      <c r="I2618" s="14">
        <f>IF(E2618&lt;&gt;"", YEARFRAC(C2618, E2618) * 12, "")</f>
        <v/>
      </c>
      <c r="J2618" s="2">
        <f>IF(I2618="", "", IF(OR(AND(A2618="Listed Equity Shares", I2618&gt;12), AND(A2618="Unlisted Equity Shares", I2618&gt;24)), "Long Term", "Short Term"))</f>
        <v/>
      </c>
      <c r="K2618" s="5">
        <f>IF(J2618="", "", IF(J2618="Long Term", 12.5%,"as per slab"))</f>
        <v/>
      </c>
      <c r="L2618" s="3">
        <f>+IFERROR(IF(J2618="","",H2618*K2618),"as per slab")</f>
        <v/>
      </c>
    </row>
    <row r="2619">
      <c r="A2619" s="7" t="n"/>
      <c r="B2619" s="7" t="n"/>
      <c r="C2619" s="8" t="n"/>
      <c r="D2619" s="9" t="n"/>
      <c r="E2619" s="8" t="n"/>
      <c r="F2619" s="9" t="n"/>
      <c r="G2619" s="9" t="n"/>
      <c r="H2619" s="3">
        <f>IF(AND(D2619&lt;&gt;"",F2619&lt;&gt;""),F2619-D2619-G2619,"")</f>
        <v/>
      </c>
      <c r="I2619" s="14">
        <f>IF(E2619&lt;&gt;"", YEARFRAC(C2619, E2619) * 12, "")</f>
        <v/>
      </c>
      <c r="J2619" s="2">
        <f>IF(I2619="", "", IF(OR(AND(A2619="Listed Equity Shares", I2619&gt;12), AND(A2619="Unlisted Equity Shares", I2619&gt;24)), "Long Term", "Short Term"))</f>
        <v/>
      </c>
      <c r="K2619" s="5">
        <f>IF(J2619="", "", IF(J2619="Long Term", 12.5%,"as per slab"))</f>
        <v/>
      </c>
      <c r="L2619" s="3">
        <f>+IFERROR(IF(J2619="","",H2619*K2619),"as per slab")</f>
        <v/>
      </c>
    </row>
    <row r="2620">
      <c r="A2620" s="7" t="n"/>
      <c r="B2620" s="7" t="n"/>
      <c r="C2620" s="8" t="n"/>
      <c r="D2620" s="9" t="n"/>
      <c r="E2620" s="8" t="n"/>
      <c r="F2620" s="9" t="n"/>
      <c r="G2620" s="9" t="n"/>
      <c r="H2620" s="3">
        <f>IF(AND(D2620&lt;&gt;"",F2620&lt;&gt;""),F2620-D2620-G2620,"")</f>
        <v/>
      </c>
      <c r="I2620" s="14">
        <f>IF(E2620&lt;&gt;"", YEARFRAC(C2620, E2620) * 12, "")</f>
        <v/>
      </c>
      <c r="J2620" s="2">
        <f>IF(I2620="", "", IF(OR(AND(A2620="Listed Equity Shares", I2620&gt;12), AND(A2620="Unlisted Equity Shares", I2620&gt;24)), "Long Term", "Short Term"))</f>
        <v/>
      </c>
      <c r="K2620" s="5">
        <f>IF(J2620="", "", IF(J2620="Long Term", 12.5%,"as per slab"))</f>
        <v/>
      </c>
      <c r="L2620" s="3">
        <f>+IFERROR(IF(J2620="","",H2620*K2620),"as per slab")</f>
        <v/>
      </c>
    </row>
    <row r="2621">
      <c r="A2621" s="7" t="n"/>
      <c r="B2621" s="7" t="n"/>
      <c r="C2621" s="8" t="n"/>
      <c r="D2621" s="9" t="n"/>
      <c r="E2621" s="8" t="n"/>
      <c r="F2621" s="9" t="n"/>
      <c r="G2621" s="9" t="n"/>
      <c r="H2621" s="3">
        <f>IF(AND(D2621&lt;&gt;"",F2621&lt;&gt;""),F2621-D2621-G2621,"")</f>
        <v/>
      </c>
      <c r="I2621" s="14">
        <f>IF(E2621&lt;&gt;"", YEARFRAC(C2621, E2621) * 12, "")</f>
        <v/>
      </c>
      <c r="J2621" s="2">
        <f>IF(I2621="", "", IF(OR(AND(A2621="Listed Equity Shares", I2621&gt;12), AND(A2621="Unlisted Equity Shares", I2621&gt;24)), "Long Term", "Short Term"))</f>
        <v/>
      </c>
      <c r="K2621" s="5">
        <f>IF(J2621="", "", IF(J2621="Long Term", 12.5%,"as per slab"))</f>
        <v/>
      </c>
      <c r="L2621" s="3">
        <f>+IFERROR(IF(J2621="","",H2621*K2621),"as per slab")</f>
        <v/>
      </c>
    </row>
    <row r="2622">
      <c r="A2622" s="7" t="n"/>
      <c r="B2622" s="7" t="n"/>
      <c r="C2622" s="8" t="n"/>
      <c r="D2622" s="9" t="n"/>
      <c r="E2622" s="8" t="n"/>
      <c r="F2622" s="9" t="n"/>
      <c r="G2622" s="9" t="n"/>
      <c r="H2622" s="3">
        <f>IF(AND(D2622&lt;&gt;"",F2622&lt;&gt;""),F2622-D2622-G2622,"")</f>
        <v/>
      </c>
      <c r="I2622" s="14">
        <f>IF(E2622&lt;&gt;"", YEARFRAC(C2622, E2622) * 12, "")</f>
        <v/>
      </c>
      <c r="J2622" s="2">
        <f>IF(I2622="", "", IF(OR(AND(A2622="Listed Equity Shares", I2622&gt;12), AND(A2622="Unlisted Equity Shares", I2622&gt;24)), "Long Term", "Short Term"))</f>
        <v/>
      </c>
      <c r="K2622" s="5">
        <f>IF(J2622="", "", IF(J2622="Long Term", 12.5%,"as per slab"))</f>
        <v/>
      </c>
      <c r="L2622" s="3">
        <f>+IFERROR(IF(J2622="","",H2622*K2622),"as per slab")</f>
        <v/>
      </c>
    </row>
    <row r="2623">
      <c r="A2623" s="7" t="n"/>
      <c r="B2623" s="7" t="n"/>
      <c r="C2623" s="8" t="n"/>
      <c r="D2623" s="9" t="n"/>
      <c r="E2623" s="8" t="n"/>
      <c r="F2623" s="9" t="n"/>
      <c r="G2623" s="9" t="n"/>
      <c r="H2623" s="3">
        <f>IF(AND(D2623&lt;&gt;"",F2623&lt;&gt;""),F2623-D2623-G2623,"")</f>
        <v/>
      </c>
      <c r="I2623" s="14">
        <f>IF(E2623&lt;&gt;"", YEARFRAC(C2623, E2623) * 12, "")</f>
        <v/>
      </c>
      <c r="J2623" s="2">
        <f>IF(I2623="", "", IF(OR(AND(A2623="Listed Equity Shares", I2623&gt;12), AND(A2623="Unlisted Equity Shares", I2623&gt;24)), "Long Term", "Short Term"))</f>
        <v/>
      </c>
      <c r="K2623" s="5">
        <f>IF(J2623="", "", IF(J2623="Long Term", 12.5%,"as per slab"))</f>
        <v/>
      </c>
      <c r="L2623" s="3">
        <f>+IFERROR(IF(J2623="","",H2623*K2623),"as per slab")</f>
        <v/>
      </c>
    </row>
    <row r="2624">
      <c r="A2624" s="7" t="n"/>
      <c r="B2624" s="7" t="n"/>
      <c r="C2624" s="8" t="n"/>
      <c r="D2624" s="9" t="n"/>
      <c r="E2624" s="8" t="n"/>
      <c r="F2624" s="9" t="n"/>
      <c r="G2624" s="9" t="n"/>
      <c r="H2624" s="3">
        <f>IF(AND(D2624&lt;&gt;"",F2624&lt;&gt;""),F2624-D2624-G2624,"")</f>
        <v/>
      </c>
      <c r="I2624" s="14">
        <f>IF(E2624&lt;&gt;"", YEARFRAC(C2624, E2624) * 12, "")</f>
        <v/>
      </c>
      <c r="J2624" s="2">
        <f>IF(I2624="", "", IF(OR(AND(A2624="Listed Equity Shares", I2624&gt;12), AND(A2624="Unlisted Equity Shares", I2624&gt;24)), "Long Term", "Short Term"))</f>
        <v/>
      </c>
      <c r="K2624" s="5">
        <f>IF(J2624="", "", IF(J2624="Long Term", 12.5%,"as per slab"))</f>
        <v/>
      </c>
      <c r="L2624" s="3">
        <f>+IFERROR(IF(J2624="","",H2624*K2624),"as per slab")</f>
        <v/>
      </c>
    </row>
    <row r="2625">
      <c r="A2625" s="7" t="n"/>
      <c r="B2625" s="7" t="n"/>
      <c r="C2625" s="8" t="n"/>
      <c r="D2625" s="9" t="n"/>
      <c r="E2625" s="8" t="n"/>
      <c r="F2625" s="9" t="n"/>
      <c r="G2625" s="9" t="n"/>
      <c r="H2625" s="3">
        <f>IF(AND(D2625&lt;&gt;"",F2625&lt;&gt;""),F2625-D2625-G2625,"")</f>
        <v/>
      </c>
      <c r="I2625" s="14">
        <f>IF(E2625&lt;&gt;"", YEARFRAC(C2625, E2625) * 12, "")</f>
        <v/>
      </c>
      <c r="J2625" s="2">
        <f>IF(I2625="", "", IF(OR(AND(A2625="Listed Equity Shares", I2625&gt;12), AND(A2625="Unlisted Equity Shares", I2625&gt;24)), "Long Term", "Short Term"))</f>
        <v/>
      </c>
      <c r="K2625" s="5">
        <f>IF(J2625="", "", IF(J2625="Long Term", 12.5%,"as per slab"))</f>
        <v/>
      </c>
      <c r="L2625" s="3">
        <f>+IFERROR(IF(J2625="","",H2625*K2625),"as per slab")</f>
        <v/>
      </c>
    </row>
    <row r="2626">
      <c r="A2626" s="7" t="n"/>
      <c r="B2626" s="7" t="n"/>
      <c r="C2626" s="8" t="n"/>
      <c r="D2626" s="9" t="n"/>
      <c r="E2626" s="8" t="n"/>
      <c r="F2626" s="9" t="n"/>
      <c r="G2626" s="9" t="n"/>
      <c r="H2626" s="3">
        <f>IF(AND(D2626&lt;&gt;"",F2626&lt;&gt;""),F2626-D2626-G2626,"")</f>
        <v/>
      </c>
      <c r="I2626" s="14">
        <f>IF(E2626&lt;&gt;"", YEARFRAC(C2626, E2626) * 12, "")</f>
        <v/>
      </c>
      <c r="J2626" s="2">
        <f>IF(I2626="", "", IF(OR(AND(A2626="Listed Equity Shares", I2626&gt;12), AND(A2626="Unlisted Equity Shares", I2626&gt;24)), "Long Term", "Short Term"))</f>
        <v/>
      </c>
      <c r="K2626" s="5">
        <f>IF(J2626="", "", IF(J2626="Long Term", 12.5%,"as per slab"))</f>
        <v/>
      </c>
      <c r="L2626" s="3">
        <f>+IFERROR(IF(J2626="","",H2626*K2626),"as per slab")</f>
        <v/>
      </c>
    </row>
    <row r="2627">
      <c r="A2627" s="7" t="n"/>
      <c r="B2627" s="7" t="n"/>
      <c r="C2627" s="8" t="n"/>
      <c r="D2627" s="9" t="n"/>
      <c r="E2627" s="8" t="n"/>
      <c r="F2627" s="9" t="n"/>
      <c r="G2627" s="9" t="n"/>
      <c r="H2627" s="3">
        <f>IF(AND(D2627&lt;&gt;"",F2627&lt;&gt;""),F2627-D2627-G2627,"")</f>
        <v/>
      </c>
      <c r="I2627" s="14">
        <f>IF(E2627&lt;&gt;"", YEARFRAC(C2627, E2627) * 12, "")</f>
        <v/>
      </c>
      <c r="J2627" s="2">
        <f>IF(I2627="", "", IF(OR(AND(A2627="Listed Equity Shares", I2627&gt;12), AND(A2627="Unlisted Equity Shares", I2627&gt;24)), "Long Term", "Short Term"))</f>
        <v/>
      </c>
      <c r="K2627" s="5">
        <f>IF(J2627="", "", IF(J2627="Long Term", 12.5%,"as per slab"))</f>
        <v/>
      </c>
      <c r="L2627" s="3">
        <f>+IFERROR(IF(J2627="","",H2627*K2627),"as per slab")</f>
        <v/>
      </c>
    </row>
    <row r="2628">
      <c r="A2628" s="7" t="n"/>
      <c r="B2628" s="7" t="n"/>
      <c r="C2628" s="8" t="n"/>
      <c r="D2628" s="9" t="n"/>
      <c r="E2628" s="8" t="n"/>
      <c r="F2628" s="9" t="n"/>
      <c r="G2628" s="9" t="n"/>
      <c r="H2628" s="3">
        <f>IF(AND(D2628&lt;&gt;"",F2628&lt;&gt;""),F2628-D2628-G2628,"")</f>
        <v/>
      </c>
      <c r="I2628" s="14">
        <f>IF(E2628&lt;&gt;"", YEARFRAC(C2628, E2628) * 12, "")</f>
        <v/>
      </c>
      <c r="J2628" s="2">
        <f>IF(I2628="", "", IF(OR(AND(A2628="Listed Equity Shares", I2628&gt;12), AND(A2628="Unlisted Equity Shares", I2628&gt;24)), "Long Term", "Short Term"))</f>
        <v/>
      </c>
      <c r="K2628" s="5">
        <f>IF(J2628="", "", IF(J2628="Long Term", 12.5%,"as per slab"))</f>
        <v/>
      </c>
      <c r="L2628" s="3">
        <f>+IFERROR(IF(J2628="","",H2628*K2628),"as per slab")</f>
        <v/>
      </c>
    </row>
    <row r="2629">
      <c r="A2629" s="7" t="n"/>
      <c r="B2629" s="7" t="n"/>
      <c r="C2629" s="8" t="n"/>
      <c r="D2629" s="9" t="n"/>
      <c r="E2629" s="8" t="n"/>
      <c r="F2629" s="9" t="n"/>
      <c r="G2629" s="9" t="n"/>
      <c r="H2629" s="3">
        <f>IF(AND(D2629&lt;&gt;"",F2629&lt;&gt;""),F2629-D2629-G2629,"")</f>
        <v/>
      </c>
      <c r="I2629" s="14">
        <f>IF(E2629&lt;&gt;"", YEARFRAC(C2629, E2629) * 12, "")</f>
        <v/>
      </c>
      <c r="J2629" s="2">
        <f>IF(I2629="", "", IF(OR(AND(A2629="Listed Equity Shares", I2629&gt;12), AND(A2629="Unlisted Equity Shares", I2629&gt;24)), "Long Term", "Short Term"))</f>
        <v/>
      </c>
      <c r="K2629" s="5">
        <f>IF(J2629="", "", IF(J2629="Long Term", 12.5%,"as per slab"))</f>
        <v/>
      </c>
      <c r="L2629" s="3">
        <f>+IFERROR(IF(J2629="","",H2629*K2629),"as per slab")</f>
        <v/>
      </c>
    </row>
    <row r="2630">
      <c r="A2630" s="7" t="n"/>
      <c r="B2630" s="7" t="n"/>
      <c r="C2630" s="8" t="n"/>
      <c r="D2630" s="9" t="n"/>
      <c r="E2630" s="8" t="n"/>
      <c r="F2630" s="9" t="n"/>
      <c r="G2630" s="9" t="n"/>
      <c r="H2630" s="3">
        <f>IF(AND(D2630&lt;&gt;"",F2630&lt;&gt;""),F2630-D2630-G2630,"")</f>
        <v/>
      </c>
      <c r="I2630" s="14">
        <f>IF(E2630&lt;&gt;"", YEARFRAC(C2630, E2630) * 12, "")</f>
        <v/>
      </c>
      <c r="J2630" s="2">
        <f>IF(I2630="", "", IF(OR(AND(A2630="Listed Equity Shares", I2630&gt;12), AND(A2630="Unlisted Equity Shares", I2630&gt;24)), "Long Term", "Short Term"))</f>
        <v/>
      </c>
      <c r="K2630" s="5">
        <f>IF(J2630="", "", IF(J2630="Long Term", 12.5%,"as per slab"))</f>
        <v/>
      </c>
      <c r="L2630" s="3">
        <f>+IFERROR(IF(J2630="","",H2630*K2630),"as per slab")</f>
        <v/>
      </c>
    </row>
    <row r="2631">
      <c r="A2631" s="7" t="n"/>
      <c r="B2631" s="7" t="n"/>
      <c r="C2631" s="8" t="n"/>
      <c r="D2631" s="9" t="n"/>
      <c r="E2631" s="8" t="n"/>
      <c r="F2631" s="9" t="n"/>
      <c r="G2631" s="9" t="n"/>
      <c r="H2631" s="3">
        <f>IF(AND(D2631&lt;&gt;"",F2631&lt;&gt;""),F2631-D2631-G2631,"")</f>
        <v/>
      </c>
      <c r="I2631" s="14">
        <f>IF(E2631&lt;&gt;"", YEARFRAC(C2631, E2631) * 12, "")</f>
        <v/>
      </c>
      <c r="J2631" s="2">
        <f>IF(I2631="", "", IF(OR(AND(A2631="Listed Equity Shares", I2631&gt;12), AND(A2631="Unlisted Equity Shares", I2631&gt;24)), "Long Term", "Short Term"))</f>
        <v/>
      </c>
      <c r="K2631" s="5">
        <f>IF(J2631="", "", IF(J2631="Long Term", 12.5%,"as per slab"))</f>
        <v/>
      </c>
      <c r="L2631" s="3">
        <f>+IFERROR(IF(J2631="","",H2631*K2631),"as per slab")</f>
        <v/>
      </c>
    </row>
    <row r="2632">
      <c r="A2632" s="7" t="n"/>
      <c r="B2632" s="7" t="n"/>
      <c r="C2632" s="8" t="n"/>
      <c r="D2632" s="9" t="n"/>
      <c r="E2632" s="8" t="n"/>
      <c r="F2632" s="9" t="n"/>
      <c r="G2632" s="9" t="n"/>
      <c r="H2632" s="3">
        <f>IF(AND(D2632&lt;&gt;"",F2632&lt;&gt;""),F2632-D2632-G2632,"")</f>
        <v/>
      </c>
      <c r="I2632" s="14">
        <f>IF(E2632&lt;&gt;"", YEARFRAC(C2632, E2632) * 12, "")</f>
        <v/>
      </c>
      <c r="J2632" s="2">
        <f>IF(I2632="", "", IF(OR(AND(A2632="Listed Equity Shares", I2632&gt;12), AND(A2632="Unlisted Equity Shares", I2632&gt;24)), "Long Term", "Short Term"))</f>
        <v/>
      </c>
      <c r="K2632" s="5">
        <f>IF(J2632="", "", IF(J2632="Long Term", 12.5%,"as per slab"))</f>
        <v/>
      </c>
      <c r="L2632" s="3">
        <f>+IFERROR(IF(J2632="","",H2632*K2632),"as per slab")</f>
        <v/>
      </c>
    </row>
    <row r="2633">
      <c r="A2633" s="7" t="n"/>
      <c r="B2633" s="7" t="n"/>
      <c r="C2633" s="8" t="n"/>
      <c r="D2633" s="9" t="n"/>
      <c r="E2633" s="8" t="n"/>
      <c r="F2633" s="9" t="n"/>
      <c r="G2633" s="9" t="n"/>
      <c r="H2633" s="3">
        <f>IF(AND(D2633&lt;&gt;"",F2633&lt;&gt;""),F2633-D2633-G2633,"")</f>
        <v/>
      </c>
      <c r="I2633" s="14">
        <f>IF(E2633&lt;&gt;"", YEARFRAC(C2633, E2633) * 12, "")</f>
        <v/>
      </c>
      <c r="J2633" s="2">
        <f>IF(I2633="", "", IF(OR(AND(A2633="Listed Equity Shares", I2633&gt;12), AND(A2633="Unlisted Equity Shares", I2633&gt;24)), "Long Term", "Short Term"))</f>
        <v/>
      </c>
      <c r="K2633" s="5">
        <f>IF(J2633="", "", IF(J2633="Long Term", 12.5%,"as per slab"))</f>
        <v/>
      </c>
      <c r="L2633" s="3">
        <f>+IFERROR(IF(J2633="","",H2633*K2633),"as per slab")</f>
        <v/>
      </c>
    </row>
    <row r="2634">
      <c r="A2634" s="7" t="n"/>
      <c r="B2634" s="7" t="n"/>
      <c r="C2634" s="8" t="n"/>
      <c r="D2634" s="9" t="n"/>
      <c r="E2634" s="8" t="n"/>
      <c r="F2634" s="9" t="n"/>
      <c r="G2634" s="9" t="n"/>
      <c r="H2634" s="3">
        <f>IF(AND(D2634&lt;&gt;"",F2634&lt;&gt;""),F2634-D2634-G2634,"")</f>
        <v/>
      </c>
      <c r="I2634" s="14">
        <f>IF(E2634&lt;&gt;"", YEARFRAC(C2634, E2634) * 12, "")</f>
        <v/>
      </c>
      <c r="J2634" s="2">
        <f>IF(I2634="", "", IF(OR(AND(A2634="Listed Equity Shares", I2634&gt;12), AND(A2634="Unlisted Equity Shares", I2634&gt;24)), "Long Term", "Short Term"))</f>
        <v/>
      </c>
      <c r="K2634" s="5">
        <f>IF(J2634="", "", IF(J2634="Long Term", 12.5%,"as per slab"))</f>
        <v/>
      </c>
      <c r="L2634" s="3">
        <f>+IFERROR(IF(J2634="","",H2634*K2634),"as per slab")</f>
        <v/>
      </c>
    </row>
    <row r="2635">
      <c r="A2635" s="7" t="n"/>
      <c r="B2635" s="7" t="n"/>
      <c r="C2635" s="8" t="n"/>
      <c r="D2635" s="9" t="n"/>
      <c r="E2635" s="8" t="n"/>
      <c r="F2635" s="9" t="n"/>
      <c r="G2635" s="9" t="n"/>
      <c r="H2635" s="3">
        <f>IF(AND(D2635&lt;&gt;"",F2635&lt;&gt;""),F2635-D2635-G2635,"")</f>
        <v/>
      </c>
      <c r="I2635" s="14">
        <f>IF(E2635&lt;&gt;"", YEARFRAC(C2635, E2635) * 12, "")</f>
        <v/>
      </c>
      <c r="J2635" s="2">
        <f>IF(I2635="", "", IF(OR(AND(A2635="Listed Equity Shares", I2635&gt;12), AND(A2635="Unlisted Equity Shares", I2635&gt;24)), "Long Term", "Short Term"))</f>
        <v/>
      </c>
      <c r="K2635" s="5">
        <f>IF(J2635="", "", IF(J2635="Long Term", 12.5%,"as per slab"))</f>
        <v/>
      </c>
      <c r="L2635" s="3">
        <f>+IFERROR(IF(J2635="","",H2635*K2635),"as per slab")</f>
        <v/>
      </c>
    </row>
    <row r="2636">
      <c r="A2636" s="7" t="n"/>
      <c r="B2636" s="7" t="n"/>
      <c r="C2636" s="8" t="n"/>
      <c r="D2636" s="9" t="n"/>
      <c r="E2636" s="8" t="n"/>
      <c r="F2636" s="9" t="n"/>
      <c r="G2636" s="9" t="n"/>
      <c r="H2636" s="3">
        <f>IF(AND(D2636&lt;&gt;"",F2636&lt;&gt;""),F2636-D2636-G2636,"")</f>
        <v/>
      </c>
      <c r="I2636" s="14">
        <f>IF(E2636&lt;&gt;"", YEARFRAC(C2636, E2636) * 12, "")</f>
        <v/>
      </c>
      <c r="J2636" s="2">
        <f>IF(I2636="", "", IF(OR(AND(A2636="Listed Equity Shares", I2636&gt;12), AND(A2636="Unlisted Equity Shares", I2636&gt;24)), "Long Term", "Short Term"))</f>
        <v/>
      </c>
      <c r="K2636" s="5">
        <f>IF(J2636="", "", IF(J2636="Long Term", 12.5%,"as per slab"))</f>
        <v/>
      </c>
      <c r="L2636" s="3">
        <f>+IFERROR(IF(J2636="","",H2636*K2636),"as per slab")</f>
        <v/>
      </c>
    </row>
    <row r="2637">
      <c r="A2637" s="7" t="n"/>
      <c r="B2637" s="7" t="n"/>
      <c r="C2637" s="8" t="n"/>
      <c r="D2637" s="9" t="n"/>
      <c r="E2637" s="8" t="n"/>
      <c r="F2637" s="9" t="n"/>
      <c r="G2637" s="9" t="n"/>
      <c r="H2637" s="3">
        <f>IF(AND(D2637&lt;&gt;"",F2637&lt;&gt;""),F2637-D2637-G2637,"")</f>
        <v/>
      </c>
      <c r="I2637" s="14">
        <f>IF(E2637&lt;&gt;"", YEARFRAC(C2637, E2637) * 12, "")</f>
        <v/>
      </c>
      <c r="J2637" s="2">
        <f>IF(I2637="", "", IF(OR(AND(A2637="Listed Equity Shares", I2637&gt;12), AND(A2637="Unlisted Equity Shares", I2637&gt;24)), "Long Term", "Short Term"))</f>
        <v/>
      </c>
      <c r="K2637" s="5">
        <f>IF(J2637="", "", IF(J2637="Long Term", 12.5%,"as per slab"))</f>
        <v/>
      </c>
      <c r="L2637" s="3">
        <f>+IFERROR(IF(J2637="","",H2637*K2637),"as per slab")</f>
        <v/>
      </c>
    </row>
    <row r="2638">
      <c r="A2638" s="7" t="n"/>
      <c r="B2638" s="7" t="n"/>
      <c r="C2638" s="8" t="n"/>
      <c r="D2638" s="9" t="n"/>
      <c r="E2638" s="8" t="n"/>
      <c r="F2638" s="9" t="n"/>
      <c r="G2638" s="9" t="n"/>
      <c r="H2638" s="3">
        <f>IF(AND(D2638&lt;&gt;"",F2638&lt;&gt;""),F2638-D2638-G2638,"")</f>
        <v/>
      </c>
      <c r="I2638" s="14">
        <f>IF(E2638&lt;&gt;"", YEARFRAC(C2638, E2638) * 12, "")</f>
        <v/>
      </c>
      <c r="J2638" s="2">
        <f>IF(I2638="", "", IF(OR(AND(A2638="Listed Equity Shares", I2638&gt;12), AND(A2638="Unlisted Equity Shares", I2638&gt;24)), "Long Term", "Short Term"))</f>
        <v/>
      </c>
      <c r="K2638" s="5">
        <f>IF(J2638="", "", IF(J2638="Long Term", 12.5%,"as per slab"))</f>
        <v/>
      </c>
      <c r="L2638" s="3">
        <f>+IFERROR(IF(J2638="","",H2638*K2638),"as per slab")</f>
        <v/>
      </c>
    </row>
    <row r="2639">
      <c r="A2639" s="7" t="n"/>
      <c r="B2639" s="7" t="n"/>
      <c r="C2639" s="8" t="n"/>
      <c r="D2639" s="9" t="n"/>
      <c r="E2639" s="8" t="n"/>
      <c r="F2639" s="9" t="n"/>
      <c r="G2639" s="9" t="n"/>
      <c r="H2639" s="3">
        <f>IF(AND(D2639&lt;&gt;"",F2639&lt;&gt;""),F2639-D2639-G2639,"")</f>
        <v/>
      </c>
      <c r="I2639" s="14">
        <f>IF(E2639&lt;&gt;"", YEARFRAC(C2639, E2639) * 12, "")</f>
        <v/>
      </c>
      <c r="J2639" s="2">
        <f>IF(I2639="", "", IF(OR(AND(A2639="Listed Equity Shares", I2639&gt;12), AND(A2639="Unlisted Equity Shares", I2639&gt;24)), "Long Term", "Short Term"))</f>
        <v/>
      </c>
      <c r="K2639" s="5">
        <f>IF(J2639="", "", IF(J2639="Long Term", 12.5%,"as per slab"))</f>
        <v/>
      </c>
      <c r="L2639" s="3">
        <f>+IFERROR(IF(J2639="","",H2639*K2639),"as per slab")</f>
        <v/>
      </c>
    </row>
    <row r="2640">
      <c r="A2640" s="7" t="n"/>
      <c r="B2640" s="7" t="n"/>
      <c r="C2640" s="8" t="n"/>
      <c r="D2640" s="9" t="n"/>
      <c r="E2640" s="8" t="n"/>
      <c r="F2640" s="9" t="n"/>
      <c r="G2640" s="9" t="n"/>
      <c r="H2640" s="3">
        <f>IF(AND(D2640&lt;&gt;"",F2640&lt;&gt;""),F2640-D2640-G2640,"")</f>
        <v/>
      </c>
      <c r="I2640" s="14">
        <f>IF(E2640&lt;&gt;"", YEARFRAC(C2640, E2640) * 12, "")</f>
        <v/>
      </c>
      <c r="J2640" s="2">
        <f>IF(I2640="", "", IF(OR(AND(A2640="Listed Equity Shares", I2640&gt;12), AND(A2640="Unlisted Equity Shares", I2640&gt;24)), "Long Term", "Short Term"))</f>
        <v/>
      </c>
      <c r="K2640" s="5">
        <f>IF(J2640="", "", IF(J2640="Long Term", 12.5%,"as per slab"))</f>
        <v/>
      </c>
      <c r="L2640" s="3">
        <f>+IFERROR(IF(J2640="","",H2640*K2640),"as per slab")</f>
        <v/>
      </c>
    </row>
    <row r="2641">
      <c r="A2641" s="7" t="n"/>
      <c r="B2641" s="7" t="n"/>
      <c r="C2641" s="8" t="n"/>
      <c r="D2641" s="9" t="n"/>
      <c r="E2641" s="8" t="n"/>
      <c r="F2641" s="9" t="n"/>
      <c r="G2641" s="9" t="n"/>
      <c r="H2641" s="3">
        <f>IF(AND(D2641&lt;&gt;"",F2641&lt;&gt;""),F2641-D2641-G2641,"")</f>
        <v/>
      </c>
      <c r="I2641" s="14">
        <f>IF(E2641&lt;&gt;"", YEARFRAC(C2641, E2641) * 12, "")</f>
        <v/>
      </c>
      <c r="J2641" s="2">
        <f>IF(I2641="", "", IF(OR(AND(A2641="Listed Equity Shares", I2641&gt;12), AND(A2641="Unlisted Equity Shares", I2641&gt;24)), "Long Term", "Short Term"))</f>
        <v/>
      </c>
      <c r="K2641" s="5">
        <f>IF(J2641="", "", IF(J2641="Long Term", 12.5%,"as per slab"))</f>
        <v/>
      </c>
      <c r="L2641" s="3">
        <f>+IFERROR(IF(J2641="","",H2641*K2641),"as per slab")</f>
        <v/>
      </c>
    </row>
    <row r="2642">
      <c r="A2642" s="7" t="n"/>
      <c r="B2642" s="7" t="n"/>
      <c r="C2642" s="8" t="n"/>
      <c r="D2642" s="9" t="n"/>
      <c r="E2642" s="8" t="n"/>
      <c r="F2642" s="9" t="n"/>
      <c r="G2642" s="9" t="n"/>
      <c r="H2642" s="3">
        <f>IF(AND(D2642&lt;&gt;"",F2642&lt;&gt;""),F2642-D2642-G2642,"")</f>
        <v/>
      </c>
      <c r="I2642" s="14">
        <f>IF(E2642&lt;&gt;"", YEARFRAC(C2642, E2642) * 12, "")</f>
        <v/>
      </c>
      <c r="J2642" s="2">
        <f>IF(I2642="", "", IF(OR(AND(A2642="Listed Equity Shares", I2642&gt;12), AND(A2642="Unlisted Equity Shares", I2642&gt;24)), "Long Term", "Short Term"))</f>
        <v/>
      </c>
      <c r="K2642" s="5">
        <f>IF(J2642="", "", IF(J2642="Long Term", 12.5%,"as per slab"))</f>
        <v/>
      </c>
      <c r="L2642" s="3">
        <f>+IFERROR(IF(J2642="","",H2642*K2642),"as per slab")</f>
        <v/>
      </c>
    </row>
    <row r="2643">
      <c r="A2643" s="7" t="n"/>
      <c r="B2643" s="7" t="n"/>
      <c r="C2643" s="8" t="n"/>
      <c r="D2643" s="9" t="n"/>
      <c r="E2643" s="8" t="n"/>
      <c r="F2643" s="9" t="n"/>
      <c r="G2643" s="9" t="n"/>
      <c r="H2643" s="3">
        <f>IF(AND(D2643&lt;&gt;"",F2643&lt;&gt;""),F2643-D2643-G2643,"")</f>
        <v/>
      </c>
      <c r="I2643" s="14">
        <f>IF(E2643&lt;&gt;"", YEARFRAC(C2643, E2643) * 12, "")</f>
        <v/>
      </c>
      <c r="J2643" s="2">
        <f>IF(I2643="", "", IF(OR(AND(A2643="Listed Equity Shares", I2643&gt;12), AND(A2643="Unlisted Equity Shares", I2643&gt;24)), "Long Term", "Short Term"))</f>
        <v/>
      </c>
      <c r="K2643" s="5">
        <f>IF(J2643="", "", IF(J2643="Long Term", 12.5%,"as per slab"))</f>
        <v/>
      </c>
      <c r="L2643" s="3">
        <f>+IFERROR(IF(J2643="","",H2643*K2643),"as per slab")</f>
        <v/>
      </c>
    </row>
    <row r="2644">
      <c r="A2644" s="7" t="n"/>
      <c r="B2644" s="7" t="n"/>
      <c r="C2644" s="8" t="n"/>
      <c r="D2644" s="9" t="n"/>
      <c r="E2644" s="8" t="n"/>
      <c r="F2644" s="9" t="n"/>
      <c r="G2644" s="9" t="n"/>
      <c r="H2644" s="3">
        <f>IF(AND(D2644&lt;&gt;"",F2644&lt;&gt;""),F2644-D2644-G2644,"")</f>
        <v/>
      </c>
      <c r="I2644" s="14">
        <f>IF(E2644&lt;&gt;"", YEARFRAC(C2644, E2644) * 12, "")</f>
        <v/>
      </c>
      <c r="J2644" s="2">
        <f>IF(I2644="", "", IF(OR(AND(A2644="Listed Equity Shares", I2644&gt;12), AND(A2644="Unlisted Equity Shares", I2644&gt;24)), "Long Term", "Short Term"))</f>
        <v/>
      </c>
      <c r="K2644" s="5">
        <f>IF(J2644="", "", IF(J2644="Long Term", 12.5%,"as per slab"))</f>
        <v/>
      </c>
      <c r="L2644" s="3">
        <f>+IFERROR(IF(J2644="","",H2644*K2644),"as per slab")</f>
        <v/>
      </c>
    </row>
    <row r="2645">
      <c r="A2645" s="7" t="n"/>
      <c r="B2645" s="7" t="n"/>
      <c r="C2645" s="8" t="n"/>
      <c r="D2645" s="9" t="n"/>
      <c r="E2645" s="8" t="n"/>
      <c r="F2645" s="9" t="n"/>
      <c r="G2645" s="9" t="n"/>
      <c r="H2645" s="3">
        <f>IF(AND(D2645&lt;&gt;"",F2645&lt;&gt;""),F2645-D2645-G2645,"")</f>
        <v/>
      </c>
      <c r="I2645" s="14">
        <f>IF(E2645&lt;&gt;"", YEARFRAC(C2645, E2645) * 12, "")</f>
        <v/>
      </c>
      <c r="J2645" s="2">
        <f>IF(I2645="", "", IF(OR(AND(A2645="Listed Equity Shares", I2645&gt;12), AND(A2645="Unlisted Equity Shares", I2645&gt;24)), "Long Term", "Short Term"))</f>
        <v/>
      </c>
      <c r="K2645" s="5">
        <f>IF(J2645="", "", IF(J2645="Long Term", 12.5%,"as per slab"))</f>
        <v/>
      </c>
      <c r="L2645" s="3">
        <f>+IFERROR(IF(J2645="","",H2645*K2645),"as per slab")</f>
        <v/>
      </c>
    </row>
    <row r="2646">
      <c r="A2646" s="7" t="n"/>
      <c r="B2646" s="7" t="n"/>
      <c r="C2646" s="8" t="n"/>
      <c r="D2646" s="9" t="n"/>
      <c r="E2646" s="8" t="n"/>
      <c r="F2646" s="9" t="n"/>
      <c r="G2646" s="9" t="n"/>
      <c r="H2646" s="3">
        <f>IF(AND(D2646&lt;&gt;"",F2646&lt;&gt;""),F2646-D2646-G2646,"")</f>
        <v/>
      </c>
      <c r="I2646" s="14">
        <f>IF(E2646&lt;&gt;"", YEARFRAC(C2646, E2646) * 12, "")</f>
        <v/>
      </c>
      <c r="J2646" s="2">
        <f>IF(I2646="", "", IF(OR(AND(A2646="Listed Equity Shares", I2646&gt;12), AND(A2646="Unlisted Equity Shares", I2646&gt;24)), "Long Term", "Short Term"))</f>
        <v/>
      </c>
      <c r="K2646" s="5">
        <f>IF(J2646="", "", IF(J2646="Long Term", 12.5%,"as per slab"))</f>
        <v/>
      </c>
      <c r="L2646" s="3">
        <f>+IFERROR(IF(J2646="","",H2646*K2646),"as per slab")</f>
        <v/>
      </c>
    </row>
    <row r="2647">
      <c r="A2647" s="7" t="n"/>
      <c r="B2647" s="7" t="n"/>
      <c r="C2647" s="8" t="n"/>
      <c r="D2647" s="9" t="n"/>
      <c r="E2647" s="8" t="n"/>
      <c r="F2647" s="9" t="n"/>
      <c r="G2647" s="9" t="n"/>
      <c r="H2647" s="3">
        <f>IF(AND(D2647&lt;&gt;"",F2647&lt;&gt;""),F2647-D2647-G2647,"")</f>
        <v/>
      </c>
      <c r="I2647" s="14">
        <f>IF(E2647&lt;&gt;"", YEARFRAC(C2647, E2647) * 12, "")</f>
        <v/>
      </c>
      <c r="J2647" s="2">
        <f>IF(I2647="", "", IF(OR(AND(A2647="Listed Equity Shares", I2647&gt;12), AND(A2647="Unlisted Equity Shares", I2647&gt;24)), "Long Term", "Short Term"))</f>
        <v/>
      </c>
      <c r="K2647" s="5">
        <f>IF(J2647="", "", IF(J2647="Long Term", 12.5%,"as per slab"))</f>
        <v/>
      </c>
      <c r="L2647" s="3">
        <f>+IFERROR(IF(J2647="","",H2647*K2647),"as per slab")</f>
        <v/>
      </c>
    </row>
    <row r="2648">
      <c r="A2648" s="7" t="n"/>
      <c r="B2648" s="7" t="n"/>
      <c r="C2648" s="8" t="n"/>
      <c r="D2648" s="9" t="n"/>
      <c r="E2648" s="8" t="n"/>
      <c r="F2648" s="9" t="n"/>
      <c r="G2648" s="9" t="n"/>
      <c r="H2648" s="3">
        <f>IF(AND(D2648&lt;&gt;"",F2648&lt;&gt;""),F2648-D2648-G2648,"")</f>
        <v/>
      </c>
      <c r="I2648" s="14">
        <f>IF(E2648&lt;&gt;"", YEARFRAC(C2648, E2648) * 12, "")</f>
        <v/>
      </c>
      <c r="J2648" s="2">
        <f>IF(I2648="", "", IF(OR(AND(A2648="Listed Equity Shares", I2648&gt;12), AND(A2648="Unlisted Equity Shares", I2648&gt;24)), "Long Term", "Short Term"))</f>
        <v/>
      </c>
      <c r="K2648" s="5">
        <f>IF(J2648="", "", IF(J2648="Long Term", 12.5%,"as per slab"))</f>
        <v/>
      </c>
      <c r="L2648" s="3">
        <f>+IFERROR(IF(J2648="","",H2648*K2648),"as per slab")</f>
        <v/>
      </c>
    </row>
    <row r="2649">
      <c r="A2649" s="7" t="n"/>
      <c r="B2649" s="7" t="n"/>
      <c r="C2649" s="8" t="n"/>
      <c r="D2649" s="9" t="n"/>
      <c r="E2649" s="8" t="n"/>
      <c r="F2649" s="9" t="n"/>
      <c r="G2649" s="9" t="n"/>
      <c r="H2649" s="3">
        <f>IF(AND(D2649&lt;&gt;"",F2649&lt;&gt;""),F2649-D2649-G2649,"")</f>
        <v/>
      </c>
      <c r="I2649" s="14">
        <f>IF(E2649&lt;&gt;"", YEARFRAC(C2649, E2649) * 12, "")</f>
        <v/>
      </c>
      <c r="J2649" s="2">
        <f>IF(I2649="", "", IF(OR(AND(A2649="Listed Equity Shares", I2649&gt;12), AND(A2649="Unlisted Equity Shares", I2649&gt;24)), "Long Term", "Short Term"))</f>
        <v/>
      </c>
      <c r="K2649" s="5">
        <f>IF(J2649="", "", IF(J2649="Long Term", 12.5%,"as per slab"))</f>
        <v/>
      </c>
      <c r="L2649" s="3">
        <f>+IFERROR(IF(J2649="","",H2649*K2649),"as per slab")</f>
        <v/>
      </c>
    </row>
    <row r="2650">
      <c r="A2650" s="7" t="n"/>
      <c r="B2650" s="7" t="n"/>
      <c r="C2650" s="8" t="n"/>
      <c r="D2650" s="9" t="n"/>
      <c r="E2650" s="8" t="n"/>
      <c r="F2650" s="9" t="n"/>
      <c r="G2650" s="9" t="n"/>
      <c r="H2650" s="3">
        <f>IF(AND(D2650&lt;&gt;"",F2650&lt;&gt;""),F2650-D2650-G2650,"")</f>
        <v/>
      </c>
      <c r="I2650" s="14">
        <f>IF(E2650&lt;&gt;"", YEARFRAC(C2650, E2650) * 12, "")</f>
        <v/>
      </c>
      <c r="J2650" s="2">
        <f>IF(I2650="", "", IF(OR(AND(A2650="Listed Equity Shares", I2650&gt;12), AND(A2650="Unlisted Equity Shares", I2650&gt;24)), "Long Term", "Short Term"))</f>
        <v/>
      </c>
      <c r="K2650" s="5">
        <f>IF(J2650="", "", IF(J2650="Long Term", 12.5%,"as per slab"))</f>
        <v/>
      </c>
      <c r="L2650" s="3">
        <f>+IFERROR(IF(J2650="","",H2650*K2650),"as per slab")</f>
        <v/>
      </c>
    </row>
    <row r="2651">
      <c r="A2651" s="7" t="n"/>
      <c r="B2651" s="7" t="n"/>
      <c r="C2651" s="8" t="n"/>
      <c r="D2651" s="9" t="n"/>
      <c r="E2651" s="8" t="n"/>
      <c r="F2651" s="9" t="n"/>
      <c r="G2651" s="9" t="n"/>
      <c r="H2651" s="3">
        <f>IF(AND(D2651&lt;&gt;"",F2651&lt;&gt;""),F2651-D2651-G2651,"")</f>
        <v/>
      </c>
      <c r="I2651" s="14">
        <f>IF(E2651&lt;&gt;"", YEARFRAC(C2651, E2651) * 12, "")</f>
        <v/>
      </c>
      <c r="J2651" s="2">
        <f>IF(I2651="", "", IF(OR(AND(A2651="Listed Equity Shares", I2651&gt;12), AND(A2651="Unlisted Equity Shares", I2651&gt;24)), "Long Term", "Short Term"))</f>
        <v/>
      </c>
      <c r="K2651" s="5">
        <f>IF(J2651="", "", IF(J2651="Long Term", 12.5%,"as per slab"))</f>
        <v/>
      </c>
      <c r="L2651" s="3">
        <f>+IFERROR(IF(J2651="","",H2651*K2651),"as per slab")</f>
        <v/>
      </c>
    </row>
    <row r="2652">
      <c r="A2652" s="7" t="n"/>
      <c r="B2652" s="7" t="n"/>
      <c r="C2652" s="8" t="n"/>
      <c r="D2652" s="9" t="n"/>
      <c r="E2652" s="8" t="n"/>
      <c r="F2652" s="9" t="n"/>
      <c r="G2652" s="9" t="n"/>
      <c r="H2652" s="3">
        <f>IF(AND(D2652&lt;&gt;"",F2652&lt;&gt;""),F2652-D2652-G2652,"")</f>
        <v/>
      </c>
      <c r="I2652" s="14">
        <f>IF(E2652&lt;&gt;"", YEARFRAC(C2652, E2652) * 12, "")</f>
        <v/>
      </c>
      <c r="J2652" s="2">
        <f>IF(I2652="", "", IF(OR(AND(A2652="Listed Equity Shares", I2652&gt;12), AND(A2652="Unlisted Equity Shares", I2652&gt;24)), "Long Term", "Short Term"))</f>
        <v/>
      </c>
      <c r="K2652" s="5">
        <f>IF(J2652="", "", IF(J2652="Long Term", 12.5%,"as per slab"))</f>
        <v/>
      </c>
      <c r="L2652" s="3">
        <f>+IFERROR(IF(J2652="","",H2652*K2652),"as per slab")</f>
        <v/>
      </c>
    </row>
    <row r="2653">
      <c r="A2653" s="7" t="n"/>
      <c r="B2653" s="7" t="n"/>
      <c r="C2653" s="8" t="n"/>
      <c r="D2653" s="9" t="n"/>
      <c r="E2653" s="8" t="n"/>
      <c r="F2653" s="9" t="n"/>
      <c r="G2653" s="9" t="n"/>
      <c r="H2653" s="3">
        <f>IF(AND(D2653&lt;&gt;"",F2653&lt;&gt;""),F2653-D2653-G2653,"")</f>
        <v/>
      </c>
      <c r="I2653" s="14">
        <f>IF(E2653&lt;&gt;"", YEARFRAC(C2653, E2653) * 12, "")</f>
        <v/>
      </c>
      <c r="J2653" s="2">
        <f>IF(I2653="", "", IF(OR(AND(A2653="Listed Equity Shares", I2653&gt;12), AND(A2653="Unlisted Equity Shares", I2653&gt;24)), "Long Term", "Short Term"))</f>
        <v/>
      </c>
      <c r="K2653" s="5">
        <f>IF(J2653="", "", IF(J2653="Long Term", 12.5%,"as per slab"))</f>
        <v/>
      </c>
      <c r="L2653" s="3">
        <f>+IFERROR(IF(J2653="","",H2653*K2653),"as per slab")</f>
        <v/>
      </c>
    </row>
    <row r="2654">
      <c r="A2654" s="7" t="n"/>
      <c r="B2654" s="7" t="n"/>
      <c r="C2654" s="8" t="n"/>
      <c r="D2654" s="9" t="n"/>
      <c r="E2654" s="8" t="n"/>
      <c r="F2654" s="9" t="n"/>
      <c r="G2654" s="9" t="n"/>
      <c r="H2654" s="3">
        <f>IF(AND(D2654&lt;&gt;"",F2654&lt;&gt;""),F2654-D2654-G2654,"")</f>
        <v/>
      </c>
      <c r="I2654" s="14">
        <f>IF(E2654&lt;&gt;"", YEARFRAC(C2654, E2654) * 12, "")</f>
        <v/>
      </c>
      <c r="J2654" s="2">
        <f>IF(I2654="", "", IF(OR(AND(A2654="Listed Equity Shares", I2654&gt;12), AND(A2654="Unlisted Equity Shares", I2654&gt;24)), "Long Term", "Short Term"))</f>
        <v/>
      </c>
      <c r="K2654" s="5">
        <f>IF(J2654="", "", IF(J2654="Long Term", 12.5%,"as per slab"))</f>
        <v/>
      </c>
      <c r="L2654" s="3">
        <f>+IFERROR(IF(J2654="","",H2654*K2654),"as per slab")</f>
        <v/>
      </c>
    </row>
    <row r="2655">
      <c r="A2655" s="7" t="n"/>
      <c r="B2655" s="7" t="n"/>
      <c r="C2655" s="8" t="n"/>
      <c r="D2655" s="9" t="n"/>
      <c r="E2655" s="8" t="n"/>
      <c r="F2655" s="9" t="n"/>
      <c r="G2655" s="9" t="n"/>
      <c r="H2655" s="3">
        <f>IF(AND(D2655&lt;&gt;"",F2655&lt;&gt;""),F2655-D2655-G2655,"")</f>
        <v/>
      </c>
      <c r="I2655" s="14">
        <f>IF(E2655&lt;&gt;"", YEARFRAC(C2655, E2655) * 12, "")</f>
        <v/>
      </c>
      <c r="J2655" s="2">
        <f>IF(I2655="", "", IF(OR(AND(A2655="Listed Equity Shares", I2655&gt;12), AND(A2655="Unlisted Equity Shares", I2655&gt;24)), "Long Term", "Short Term"))</f>
        <v/>
      </c>
      <c r="K2655" s="5">
        <f>IF(J2655="", "", IF(J2655="Long Term", 12.5%,"as per slab"))</f>
        <v/>
      </c>
      <c r="L2655" s="3">
        <f>+IFERROR(IF(J2655="","",H2655*K2655),"as per slab")</f>
        <v/>
      </c>
    </row>
    <row r="2656">
      <c r="A2656" s="7" t="n"/>
      <c r="B2656" s="7" t="n"/>
      <c r="C2656" s="8" t="n"/>
      <c r="D2656" s="9" t="n"/>
      <c r="E2656" s="8" t="n"/>
      <c r="F2656" s="9" t="n"/>
      <c r="G2656" s="9" t="n"/>
      <c r="H2656" s="3">
        <f>IF(AND(D2656&lt;&gt;"",F2656&lt;&gt;""),F2656-D2656-G2656,"")</f>
        <v/>
      </c>
      <c r="I2656" s="14">
        <f>IF(E2656&lt;&gt;"", YEARFRAC(C2656, E2656) * 12, "")</f>
        <v/>
      </c>
      <c r="J2656" s="2">
        <f>IF(I2656="", "", IF(OR(AND(A2656="Listed Equity Shares", I2656&gt;12), AND(A2656="Unlisted Equity Shares", I2656&gt;24)), "Long Term", "Short Term"))</f>
        <v/>
      </c>
      <c r="K2656" s="5">
        <f>IF(J2656="", "", IF(J2656="Long Term", 12.5%,"as per slab"))</f>
        <v/>
      </c>
      <c r="L2656" s="3">
        <f>+IFERROR(IF(J2656="","",H2656*K2656),"as per slab")</f>
        <v/>
      </c>
    </row>
    <row r="2657">
      <c r="A2657" s="7" t="n"/>
      <c r="B2657" s="7" t="n"/>
      <c r="C2657" s="8" t="n"/>
      <c r="D2657" s="9" t="n"/>
      <c r="E2657" s="8" t="n"/>
      <c r="F2657" s="9" t="n"/>
      <c r="G2657" s="9" t="n"/>
      <c r="H2657" s="3">
        <f>IF(AND(D2657&lt;&gt;"",F2657&lt;&gt;""),F2657-D2657-G2657,"")</f>
        <v/>
      </c>
      <c r="I2657" s="14">
        <f>IF(E2657&lt;&gt;"", YEARFRAC(C2657, E2657) * 12, "")</f>
        <v/>
      </c>
      <c r="J2657" s="2">
        <f>IF(I2657="", "", IF(OR(AND(A2657="Listed Equity Shares", I2657&gt;12), AND(A2657="Unlisted Equity Shares", I2657&gt;24)), "Long Term", "Short Term"))</f>
        <v/>
      </c>
      <c r="K2657" s="5">
        <f>IF(J2657="", "", IF(J2657="Long Term", 12.5%,"as per slab"))</f>
        <v/>
      </c>
      <c r="L2657" s="3">
        <f>+IFERROR(IF(J2657="","",H2657*K2657),"as per slab")</f>
        <v/>
      </c>
    </row>
    <row r="2658">
      <c r="A2658" s="7" t="n"/>
      <c r="B2658" s="7" t="n"/>
      <c r="C2658" s="8" t="n"/>
      <c r="D2658" s="9" t="n"/>
      <c r="E2658" s="8" t="n"/>
      <c r="F2658" s="9" t="n"/>
      <c r="G2658" s="9" t="n"/>
      <c r="H2658" s="3">
        <f>IF(AND(D2658&lt;&gt;"",F2658&lt;&gt;""),F2658-D2658-G2658,"")</f>
        <v/>
      </c>
      <c r="I2658" s="14">
        <f>IF(E2658&lt;&gt;"", YEARFRAC(C2658, E2658) * 12, "")</f>
        <v/>
      </c>
      <c r="J2658" s="2">
        <f>IF(I2658="", "", IF(OR(AND(A2658="Listed Equity Shares", I2658&gt;12), AND(A2658="Unlisted Equity Shares", I2658&gt;24)), "Long Term", "Short Term"))</f>
        <v/>
      </c>
      <c r="K2658" s="5">
        <f>IF(J2658="", "", IF(J2658="Long Term", 12.5%,"as per slab"))</f>
        <v/>
      </c>
      <c r="L2658" s="3">
        <f>+IFERROR(IF(J2658="","",H2658*K2658),"as per slab")</f>
        <v/>
      </c>
    </row>
    <row r="2659">
      <c r="A2659" s="7" t="n"/>
      <c r="B2659" s="7" t="n"/>
      <c r="C2659" s="8" t="n"/>
      <c r="D2659" s="9" t="n"/>
      <c r="E2659" s="8" t="n"/>
      <c r="F2659" s="9" t="n"/>
      <c r="G2659" s="9" t="n"/>
      <c r="H2659" s="3">
        <f>IF(AND(D2659&lt;&gt;"",F2659&lt;&gt;""),F2659-D2659-G2659,"")</f>
        <v/>
      </c>
      <c r="I2659" s="14">
        <f>IF(E2659&lt;&gt;"", YEARFRAC(C2659, E2659) * 12, "")</f>
        <v/>
      </c>
      <c r="J2659" s="2">
        <f>IF(I2659="", "", IF(OR(AND(A2659="Listed Equity Shares", I2659&gt;12), AND(A2659="Unlisted Equity Shares", I2659&gt;24)), "Long Term", "Short Term"))</f>
        <v/>
      </c>
      <c r="K2659" s="5">
        <f>IF(J2659="", "", IF(J2659="Long Term", 12.5%,"as per slab"))</f>
        <v/>
      </c>
      <c r="L2659" s="3">
        <f>+IFERROR(IF(J2659="","",H2659*K2659),"as per slab")</f>
        <v/>
      </c>
    </row>
    <row r="2660">
      <c r="A2660" s="7" t="n"/>
      <c r="B2660" s="7" t="n"/>
      <c r="C2660" s="8" t="n"/>
      <c r="D2660" s="9" t="n"/>
      <c r="E2660" s="8" t="n"/>
      <c r="F2660" s="9" t="n"/>
      <c r="G2660" s="9" t="n"/>
      <c r="H2660" s="3">
        <f>IF(AND(D2660&lt;&gt;"",F2660&lt;&gt;""),F2660-D2660-G2660,"")</f>
        <v/>
      </c>
      <c r="I2660" s="14">
        <f>IF(E2660&lt;&gt;"", YEARFRAC(C2660, E2660) * 12, "")</f>
        <v/>
      </c>
      <c r="J2660" s="2">
        <f>IF(I2660="", "", IF(OR(AND(A2660="Listed Equity Shares", I2660&gt;12), AND(A2660="Unlisted Equity Shares", I2660&gt;24)), "Long Term", "Short Term"))</f>
        <v/>
      </c>
      <c r="K2660" s="5">
        <f>IF(J2660="", "", IF(J2660="Long Term", 12.5%,"as per slab"))</f>
        <v/>
      </c>
      <c r="L2660" s="3">
        <f>+IFERROR(IF(J2660="","",H2660*K2660),"as per slab")</f>
        <v/>
      </c>
    </row>
    <row r="2661">
      <c r="A2661" s="7" t="n"/>
      <c r="B2661" s="7" t="n"/>
      <c r="C2661" s="8" t="n"/>
      <c r="D2661" s="9" t="n"/>
      <c r="E2661" s="8" t="n"/>
      <c r="F2661" s="9" t="n"/>
      <c r="G2661" s="9" t="n"/>
      <c r="H2661" s="3">
        <f>IF(AND(D2661&lt;&gt;"",F2661&lt;&gt;""),F2661-D2661-G2661,"")</f>
        <v/>
      </c>
      <c r="I2661" s="14">
        <f>IF(E2661&lt;&gt;"", YEARFRAC(C2661, E2661) * 12, "")</f>
        <v/>
      </c>
      <c r="J2661" s="2">
        <f>IF(I2661="", "", IF(OR(AND(A2661="Listed Equity Shares", I2661&gt;12), AND(A2661="Unlisted Equity Shares", I2661&gt;24)), "Long Term", "Short Term"))</f>
        <v/>
      </c>
      <c r="K2661" s="5">
        <f>IF(J2661="", "", IF(J2661="Long Term", 12.5%,"as per slab"))</f>
        <v/>
      </c>
      <c r="L2661" s="3">
        <f>+IFERROR(IF(J2661="","",H2661*K2661),"as per slab")</f>
        <v/>
      </c>
    </row>
    <row r="2662">
      <c r="A2662" s="7" t="n"/>
      <c r="B2662" s="7" t="n"/>
      <c r="C2662" s="8" t="n"/>
      <c r="D2662" s="9" t="n"/>
      <c r="E2662" s="8" t="n"/>
      <c r="F2662" s="9" t="n"/>
      <c r="G2662" s="9" t="n"/>
      <c r="H2662" s="3">
        <f>IF(AND(D2662&lt;&gt;"",F2662&lt;&gt;""),F2662-D2662-G2662,"")</f>
        <v/>
      </c>
      <c r="I2662" s="14">
        <f>IF(E2662&lt;&gt;"", YEARFRAC(C2662, E2662) * 12, "")</f>
        <v/>
      </c>
      <c r="J2662" s="2">
        <f>IF(I2662="", "", IF(OR(AND(A2662="Listed Equity Shares", I2662&gt;12), AND(A2662="Unlisted Equity Shares", I2662&gt;24)), "Long Term", "Short Term"))</f>
        <v/>
      </c>
      <c r="K2662" s="5">
        <f>IF(J2662="", "", IF(J2662="Long Term", 12.5%,"as per slab"))</f>
        <v/>
      </c>
      <c r="L2662" s="3">
        <f>+IFERROR(IF(J2662="","",H2662*K2662),"as per slab")</f>
        <v/>
      </c>
    </row>
    <row r="2663">
      <c r="A2663" s="7" t="n"/>
      <c r="B2663" s="7" t="n"/>
      <c r="C2663" s="8" t="n"/>
      <c r="D2663" s="9" t="n"/>
      <c r="E2663" s="8" t="n"/>
      <c r="F2663" s="9" t="n"/>
      <c r="G2663" s="9" t="n"/>
      <c r="H2663" s="3">
        <f>IF(AND(D2663&lt;&gt;"",F2663&lt;&gt;""),F2663-D2663-G2663,"")</f>
        <v/>
      </c>
      <c r="I2663" s="14">
        <f>IF(E2663&lt;&gt;"", YEARFRAC(C2663, E2663) * 12, "")</f>
        <v/>
      </c>
      <c r="J2663" s="2">
        <f>IF(I2663="", "", IF(OR(AND(A2663="Listed Equity Shares", I2663&gt;12), AND(A2663="Unlisted Equity Shares", I2663&gt;24)), "Long Term", "Short Term"))</f>
        <v/>
      </c>
      <c r="K2663" s="5">
        <f>IF(J2663="", "", IF(J2663="Long Term", 12.5%,"as per slab"))</f>
        <v/>
      </c>
      <c r="L2663" s="3">
        <f>+IFERROR(IF(J2663="","",H2663*K2663),"as per slab")</f>
        <v/>
      </c>
    </row>
    <row r="2664">
      <c r="A2664" s="7" t="n"/>
      <c r="B2664" s="7" t="n"/>
      <c r="C2664" s="8" t="n"/>
      <c r="D2664" s="9" t="n"/>
      <c r="E2664" s="8" t="n"/>
      <c r="F2664" s="9" t="n"/>
      <c r="G2664" s="9" t="n"/>
      <c r="H2664" s="3">
        <f>IF(AND(D2664&lt;&gt;"",F2664&lt;&gt;""),F2664-D2664-G2664,"")</f>
        <v/>
      </c>
      <c r="I2664" s="14">
        <f>IF(E2664&lt;&gt;"", YEARFRAC(C2664, E2664) * 12, "")</f>
        <v/>
      </c>
      <c r="J2664" s="2">
        <f>IF(I2664="", "", IF(OR(AND(A2664="Listed Equity Shares", I2664&gt;12), AND(A2664="Unlisted Equity Shares", I2664&gt;24)), "Long Term", "Short Term"))</f>
        <v/>
      </c>
      <c r="K2664" s="5">
        <f>IF(J2664="", "", IF(J2664="Long Term", 12.5%,"as per slab"))</f>
        <v/>
      </c>
      <c r="L2664" s="3">
        <f>+IFERROR(IF(J2664="","",H2664*K2664),"as per slab")</f>
        <v/>
      </c>
    </row>
    <row r="2665">
      <c r="A2665" s="7" t="n"/>
      <c r="B2665" s="7" t="n"/>
      <c r="C2665" s="8" t="n"/>
      <c r="D2665" s="9" t="n"/>
      <c r="E2665" s="8" t="n"/>
      <c r="F2665" s="9" t="n"/>
      <c r="G2665" s="9" t="n"/>
      <c r="H2665" s="3">
        <f>IF(AND(D2665&lt;&gt;"",F2665&lt;&gt;""),F2665-D2665-G2665,"")</f>
        <v/>
      </c>
      <c r="I2665" s="14">
        <f>IF(E2665&lt;&gt;"", YEARFRAC(C2665, E2665) * 12, "")</f>
        <v/>
      </c>
      <c r="J2665" s="2">
        <f>IF(I2665="", "", IF(OR(AND(A2665="Listed Equity Shares", I2665&gt;12), AND(A2665="Unlisted Equity Shares", I2665&gt;24)), "Long Term", "Short Term"))</f>
        <v/>
      </c>
      <c r="K2665" s="5">
        <f>IF(J2665="", "", IF(J2665="Long Term", 12.5%,"as per slab"))</f>
        <v/>
      </c>
      <c r="L2665" s="3">
        <f>+IFERROR(IF(J2665="","",H2665*K2665),"as per slab")</f>
        <v/>
      </c>
    </row>
    <row r="2666">
      <c r="A2666" s="7" t="n"/>
      <c r="B2666" s="7" t="n"/>
      <c r="C2666" s="8" t="n"/>
      <c r="D2666" s="9" t="n"/>
      <c r="E2666" s="8" t="n"/>
      <c r="F2666" s="9" t="n"/>
      <c r="G2666" s="9" t="n"/>
      <c r="H2666" s="3">
        <f>IF(AND(D2666&lt;&gt;"",F2666&lt;&gt;""),F2666-D2666-G2666,"")</f>
        <v/>
      </c>
      <c r="I2666" s="14">
        <f>IF(E2666&lt;&gt;"", YEARFRAC(C2666, E2666) * 12, "")</f>
        <v/>
      </c>
      <c r="J2666" s="2">
        <f>IF(I2666="", "", IF(OR(AND(A2666="Listed Equity Shares", I2666&gt;12), AND(A2666="Unlisted Equity Shares", I2666&gt;24)), "Long Term", "Short Term"))</f>
        <v/>
      </c>
      <c r="K2666" s="5">
        <f>IF(J2666="", "", IF(J2666="Long Term", 12.5%,"as per slab"))</f>
        <v/>
      </c>
      <c r="L2666" s="3">
        <f>+IFERROR(IF(J2666="","",H2666*K2666),"as per slab")</f>
        <v/>
      </c>
    </row>
    <row r="2667">
      <c r="A2667" s="7" t="n"/>
      <c r="B2667" s="7" t="n"/>
      <c r="C2667" s="8" t="n"/>
      <c r="D2667" s="9" t="n"/>
      <c r="E2667" s="8" t="n"/>
      <c r="F2667" s="9" t="n"/>
      <c r="G2667" s="9" t="n"/>
      <c r="H2667" s="3">
        <f>IF(AND(D2667&lt;&gt;"",F2667&lt;&gt;""),F2667-D2667-G2667,"")</f>
        <v/>
      </c>
      <c r="I2667" s="14">
        <f>IF(E2667&lt;&gt;"", YEARFRAC(C2667, E2667) * 12, "")</f>
        <v/>
      </c>
      <c r="J2667" s="2">
        <f>IF(I2667="", "", IF(OR(AND(A2667="Listed Equity Shares", I2667&gt;12), AND(A2667="Unlisted Equity Shares", I2667&gt;24)), "Long Term", "Short Term"))</f>
        <v/>
      </c>
      <c r="K2667" s="5">
        <f>IF(J2667="", "", IF(J2667="Long Term", 12.5%,"as per slab"))</f>
        <v/>
      </c>
      <c r="L2667" s="3">
        <f>+IFERROR(IF(J2667="","",H2667*K2667),"as per slab")</f>
        <v/>
      </c>
    </row>
    <row r="2668">
      <c r="A2668" s="7" t="n"/>
      <c r="B2668" s="7" t="n"/>
      <c r="C2668" s="8" t="n"/>
      <c r="D2668" s="9" t="n"/>
      <c r="E2668" s="8" t="n"/>
      <c r="F2668" s="9" t="n"/>
      <c r="G2668" s="9" t="n"/>
      <c r="H2668" s="3">
        <f>IF(AND(D2668&lt;&gt;"",F2668&lt;&gt;""),F2668-D2668-G2668,"")</f>
        <v/>
      </c>
      <c r="I2668" s="14">
        <f>IF(E2668&lt;&gt;"", YEARFRAC(C2668, E2668) * 12, "")</f>
        <v/>
      </c>
      <c r="J2668" s="2">
        <f>IF(I2668="", "", IF(OR(AND(A2668="Listed Equity Shares", I2668&gt;12), AND(A2668="Unlisted Equity Shares", I2668&gt;24)), "Long Term", "Short Term"))</f>
        <v/>
      </c>
      <c r="K2668" s="5">
        <f>IF(J2668="", "", IF(J2668="Long Term", 12.5%,"as per slab"))</f>
        <v/>
      </c>
      <c r="L2668" s="3">
        <f>+IFERROR(IF(J2668="","",H2668*K2668),"as per slab")</f>
        <v/>
      </c>
    </row>
    <row r="2669">
      <c r="A2669" s="7" t="n"/>
      <c r="B2669" s="7" t="n"/>
      <c r="C2669" s="8" t="n"/>
      <c r="D2669" s="9" t="n"/>
      <c r="E2669" s="8" t="n"/>
      <c r="F2669" s="9" t="n"/>
      <c r="G2669" s="9" t="n"/>
      <c r="H2669" s="3">
        <f>IF(AND(D2669&lt;&gt;"",F2669&lt;&gt;""),F2669-D2669-G2669,"")</f>
        <v/>
      </c>
      <c r="I2669" s="14">
        <f>IF(E2669&lt;&gt;"", YEARFRAC(C2669, E2669) * 12, "")</f>
        <v/>
      </c>
      <c r="J2669" s="2">
        <f>IF(I2669="", "", IF(OR(AND(A2669="Listed Equity Shares", I2669&gt;12), AND(A2669="Unlisted Equity Shares", I2669&gt;24)), "Long Term", "Short Term"))</f>
        <v/>
      </c>
      <c r="K2669" s="5">
        <f>IF(J2669="", "", IF(J2669="Long Term", 12.5%,"as per slab"))</f>
        <v/>
      </c>
      <c r="L2669" s="3">
        <f>+IFERROR(IF(J2669="","",H2669*K2669),"as per slab")</f>
        <v/>
      </c>
    </row>
    <row r="2670">
      <c r="A2670" s="7" t="n"/>
      <c r="B2670" s="7" t="n"/>
      <c r="C2670" s="8" t="n"/>
      <c r="D2670" s="9" t="n"/>
      <c r="E2670" s="8" t="n"/>
      <c r="F2670" s="9" t="n"/>
      <c r="G2670" s="9" t="n"/>
      <c r="H2670" s="3">
        <f>IF(AND(D2670&lt;&gt;"",F2670&lt;&gt;""),F2670-D2670-G2670,"")</f>
        <v/>
      </c>
      <c r="I2670" s="14">
        <f>IF(E2670&lt;&gt;"", YEARFRAC(C2670, E2670) * 12, "")</f>
        <v/>
      </c>
      <c r="J2670" s="2">
        <f>IF(I2670="", "", IF(OR(AND(A2670="Listed Equity Shares", I2670&gt;12), AND(A2670="Unlisted Equity Shares", I2670&gt;24)), "Long Term", "Short Term"))</f>
        <v/>
      </c>
      <c r="K2670" s="5">
        <f>IF(J2670="", "", IF(J2670="Long Term", 12.5%,"as per slab"))</f>
        <v/>
      </c>
      <c r="L2670" s="3">
        <f>+IFERROR(IF(J2670="","",H2670*K2670),"as per slab")</f>
        <v/>
      </c>
    </row>
    <row r="2671">
      <c r="A2671" s="7" t="n"/>
      <c r="B2671" s="7" t="n"/>
      <c r="C2671" s="8" t="n"/>
      <c r="D2671" s="9" t="n"/>
      <c r="E2671" s="8" t="n"/>
      <c r="F2671" s="9" t="n"/>
      <c r="G2671" s="9" t="n"/>
      <c r="H2671" s="3">
        <f>IF(AND(D2671&lt;&gt;"",F2671&lt;&gt;""),F2671-D2671-G2671,"")</f>
        <v/>
      </c>
      <c r="I2671" s="14">
        <f>IF(E2671&lt;&gt;"", YEARFRAC(C2671, E2671) * 12, "")</f>
        <v/>
      </c>
      <c r="J2671" s="2">
        <f>IF(I2671="", "", IF(OR(AND(A2671="Listed Equity Shares", I2671&gt;12), AND(A2671="Unlisted Equity Shares", I2671&gt;24)), "Long Term", "Short Term"))</f>
        <v/>
      </c>
      <c r="K2671" s="5">
        <f>IF(J2671="", "", IF(J2671="Long Term", 12.5%,"as per slab"))</f>
        <v/>
      </c>
      <c r="L2671" s="3">
        <f>+IFERROR(IF(J2671="","",H2671*K2671),"as per slab")</f>
        <v/>
      </c>
    </row>
    <row r="2672">
      <c r="A2672" s="7" t="n"/>
      <c r="B2672" s="7" t="n"/>
      <c r="C2672" s="8" t="n"/>
      <c r="D2672" s="9" t="n"/>
      <c r="E2672" s="8" t="n"/>
      <c r="F2672" s="9" t="n"/>
      <c r="G2672" s="9" t="n"/>
      <c r="H2672" s="3">
        <f>IF(AND(D2672&lt;&gt;"",F2672&lt;&gt;""),F2672-D2672-G2672,"")</f>
        <v/>
      </c>
      <c r="I2672" s="14">
        <f>IF(E2672&lt;&gt;"", YEARFRAC(C2672, E2672) * 12, "")</f>
        <v/>
      </c>
      <c r="J2672" s="2">
        <f>IF(I2672="", "", IF(OR(AND(A2672="Listed Equity Shares", I2672&gt;12), AND(A2672="Unlisted Equity Shares", I2672&gt;24)), "Long Term", "Short Term"))</f>
        <v/>
      </c>
      <c r="K2672" s="5">
        <f>IF(J2672="", "", IF(J2672="Long Term", 12.5%,"as per slab"))</f>
        <v/>
      </c>
      <c r="L2672" s="3">
        <f>+IFERROR(IF(J2672="","",H2672*K2672),"as per slab")</f>
        <v/>
      </c>
    </row>
    <row r="2673">
      <c r="A2673" s="7" t="n"/>
      <c r="B2673" s="7" t="n"/>
      <c r="C2673" s="8" t="n"/>
      <c r="D2673" s="9" t="n"/>
      <c r="E2673" s="8" t="n"/>
      <c r="F2673" s="9" t="n"/>
      <c r="G2673" s="9" t="n"/>
      <c r="H2673" s="3">
        <f>IF(AND(D2673&lt;&gt;"",F2673&lt;&gt;""),F2673-D2673-G2673,"")</f>
        <v/>
      </c>
      <c r="I2673" s="14">
        <f>IF(E2673&lt;&gt;"", YEARFRAC(C2673, E2673) * 12, "")</f>
        <v/>
      </c>
      <c r="J2673" s="2">
        <f>IF(I2673="", "", IF(OR(AND(A2673="Listed Equity Shares", I2673&gt;12), AND(A2673="Unlisted Equity Shares", I2673&gt;24)), "Long Term", "Short Term"))</f>
        <v/>
      </c>
      <c r="K2673" s="5">
        <f>IF(J2673="", "", IF(J2673="Long Term", 12.5%,"as per slab"))</f>
        <v/>
      </c>
      <c r="L2673" s="3">
        <f>+IFERROR(IF(J2673="","",H2673*K2673),"as per slab")</f>
        <v/>
      </c>
    </row>
    <row r="2674">
      <c r="A2674" s="7" t="n"/>
      <c r="B2674" s="7" t="n"/>
      <c r="C2674" s="8" t="n"/>
      <c r="D2674" s="9" t="n"/>
      <c r="E2674" s="8" t="n"/>
      <c r="F2674" s="9" t="n"/>
      <c r="G2674" s="9" t="n"/>
      <c r="H2674" s="3">
        <f>IF(AND(D2674&lt;&gt;"",F2674&lt;&gt;""),F2674-D2674-G2674,"")</f>
        <v/>
      </c>
      <c r="I2674" s="14">
        <f>IF(E2674&lt;&gt;"", YEARFRAC(C2674, E2674) * 12, "")</f>
        <v/>
      </c>
      <c r="J2674" s="2">
        <f>IF(I2674="", "", IF(OR(AND(A2674="Listed Equity Shares", I2674&gt;12), AND(A2674="Unlisted Equity Shares", I2674&gt;24)), "Long Term", "Short Term"))</f>
        <v/>
      </c>
      <c r="K2674" s="5">
        <f>IF(J2674="", "", IF(J2674="Long Term", 12.5%,"as per slab"))</f>
        <v/>
      </c>
      <c r="L2674" s="3">
        <f>+IFERROR(IF(J2674="","",H2674*K2674),"as per slab")</f>
        <v/>
      </c>
    </row>
    <row r="2675">
      <c r="A2675" s="7" t="n"/>
      <c r="B2675" s="7" t="n"/>
      <c r="C2675" s="8" t="n"/>
      <c r="D2675" s="9" t="n"/>
      <c r="E2675" s="8" t="n"/>
      <c r="F2675" s="9" t="n"/>
      <c r="G2675" s="9" t="n"/>
      <c r="H2675" s="3">
        <f>IF(AND(D2675&lt;&gt;"",F2675&lt;&gt;""),F2675-D2675-G2675,"")</f>
        <v/>
      </c>
      <c r="I2675" s="14">
        <f>IF(E2675&lt;&gt;"", YEARFRAC(C2675, E2675) * 12, "")</f>
        <v/>
      </c>
      <c r="J2675" s="2">
        <f>IF(I2675="", "", IF(OR(AND(A2675="Listed Equity Shares", I2675&gt;12), AND(A2675="Unlisted Equity Shares", I2675&gt;24)), "Long Term", "Short Term"))</f>
        <v/>
      </c>
      <c r="K2675" s="5">
        <f>IF(J2675="", "", IF(J2675="Long Term", 12.5%,"as per slab"))</f>
        <v/>
      </c>
      <c r="L2675" s="3">
        <f>+IFERROR(IF(J2675="","",H2675*K2675),"as per slab")</f>
        <v/>
      </c>
    </row>
    <row r="2676">
      <c r="A2676" s="7" t="n"/>
      <c r="B2676" s="7" t="n"/>
      <c r="C2676" s="8" t="n"/>
      <c r="D2676" s="9" t="n"/>
      <c r="E2676" s="8" t="n"/>
      <c r="F2676" s="9" t="n"/>
      <c r="G2676" s="9" t="n"/>
      <c r="H2676" s="3">
        <f>IF(AND(D2676&lt;&gt;"",F2676&lt;&gt;""),F2676-D2676-G2676,"")</f>
        <v/>
      </c>
      <c r="I2676" s="14">
        <f>IF(E2676&lt;&gt;"", YEARFRAC(C2676, E2676) * 12, "")</f>
        <v/>
      </c>
      <c r="J2676" s="2">
        <f>IF(I2676="", "", IF(OR(AND(A2676="Listed Equity Shares", I2676&gt;12), AND(A2676="Unlisted Equity Shares", I2676&gt;24)), "Long Term", "Short Term"))</f>
        <v/>
      </c>
      <c r="K2676" s="5">
        <f>IF(J2676="", "", IF(J2676="Long Term", 12.5%,"as per slab"))</f>
        <v/>
      </c>
      <c r="L2676" s="3">
        <f>+IFERROR(IF(J2676="","",H2676*K2676),"as per slab")</f>
        <v/>
      </c>
    </row>
    <row r="2677">
      <c r="A2677" s="7" t="n"/>
      <c r="B2677" s="7" t="n"/>
      <c r="C2677" s="8" t="n"/>
      <c r="D2677" s="9" t="n"/>
      <c r="E2677" s="8" t="n"/>
      <c r="F2677" s="9" t="n"/>
      <c r="G2677" s="9" t="n"/>
      <c r="H2677" s="3">
        <f>IF(AND(D2677&lt;&gt;"",F2677&lt;&gt;""),F2677-D2677-G2677,"")</f>
        <v/>
      </c>
      <c r="I2677" s="14">
        <f>IF(E2677&lt;&gt;"", YEARFRAC(C2677, E2677) * 12, "")</f>
        <v/>
      </c>
      <c r="J2677" s="2">
        <f>IF(I2677="", "", IF(OR(AND(A2677="Listed Equity Shares", I2677&gt;12), AND(A2677="Unlisted Equity Shares", I2677&gt;24)), "Long Term", "Short Term"))</f>
        <v/>
      </c>
      <c r="K2677" s="5">
        <f>IF(J2677="", "", IF(J2677="Long Term", 12.5%,"as per slab"))</f>
        <v/>
      </c>
      <c r="L2677" s="3">
        <f>+IFERROR(IF(J2677="","",H2677*K2677),"as per slab")</f>
        <v/>
      </c>
    </row>
    <row r="2678">
      <c r="A2678" s="7" t="n"/>
      <c r="B2678" s="7" t="n"/>
      <c r="C2678" s="8" t="n"/>
      <c r="D2678" s="9" t="n"/>
      <c r="E2678" s="8" t="n"/>
      <c r="F2678" s="9" t="n"/>
      <c r="G2678" s="9" t="n"/>
      <c r="H2678" s="3">
        <f>IF(AND(D2678&lt;&gt;"",F2678&lt;&gt;""),F2678-D2678-G2678,"")</f>
        <v/>
      </c>
      <c r="I2678" s="14">
        <f>IF(E2678&lt;&gt;"", YEARFRAC(C2678, E2678) * 12, "")</f>
        <v/>
      </c>
      <c r="J2678" s="2">
        <f>IF(I2678="", "", IF(OR(AND(A2678="Listed Equity Shares", I2678&gt;12), AND(A2678="Unlisted Equity Shares", I2678&gt;24)), "Long Term", "Short Term"))</f>
        <v/>
      </c>
      <c r="K2678" s="5">
        <f>IF(J2678="", "", IF(J2678="Long Term", 12.5%,"as per slab"))</f>
        <v/>
      </c>
      <c r="L2678" s="3">
        <f>+IFERROR(IF(J2678="","",H2678*K2678),"as per slab")</f>
        <v/>
      </c>
    </row>
    <row r="2679">
      <c r="A2679" s="7" t="n"/>
      <c r="B2679" s="7" t="n"/>
      <c r="C2679" s="8" t="n"/>
      <c r="D2679" s="9" t="n"/>
      <c r="E2679" s="8" t="n"/>
      <c r="F2679" s="9" t="n"/>
      <c r="G2679" s="9" t="n"/>
      <c r="H2679" s="3">
        <f>IF(AND(D2679&lt;&gt;"",F2679&lt;&gt;""),F2679-D2679-G2679,"")</f>
        <v/>
      </c>
      <c r="I2679" s="14">
        <f>IF(E2679&lt;&gt;"", YEARFRAC(C2679, E2679) * 12, "")</f>
        <v/>
      </c>
      <c r="J2679" s="2">
        <f>IF(I2679="", "", IF(OR(AND(A2679="Listed Equity Shares", I2679&gt;12), AND(A2679="Unlisted Equity Shares", I2679&gt;24)), "Long Term", "Short Term"))</f>
        <v/>
      </c>
      <c r="K2679" s="5">
        <f>IF(J2679="", "", IF(J2679="Long Term", 12.5%,"as per slab"))</f>
        <v/>
      </c>
      <c r="L2679" s="3">
        <f>+IFERROR(IF(J2679="","",H2679*K2679),"as per slab")</f>
        <v/>
      </c>
    </row>
    <row r="2680">
      <c r="A2680" s="7" t="n"/>
      <c r="B2680" s="7" t="n"/>
      <c r="C2680" s="8" t="n"/>
      <c r="D2680" s="9" t="n"/>
      <c r="E2680" s="8" t="n"/>
      <c r="F2680" s="9" t="n"/>
      <c r="G2680" s="9" t="n"/>
      <c r="H2680" s="3">
        <f>IF(AND(D2680&lt;&gt;"",F2680&lt;&gt;""),F2680-D2680-G2680,"")</f>
        <v/>
      </c>
      <c r="I2680" s="14">
        <f>IF(E2680&lt;&gt;"", YEARFRAC(C2680, E2680) * 12, "")</f>
        <v/>
      </c>
      <c r="J2680" s="2">
        <f>IF(I2680="", "", IF(OR(AND(A2680="Listed Equity Shares", I2680&gt;12), AND(A2680="Unlisted Equity Shares", I2680&gt;24)), "Long Term", "Short Term"))</f>
        <v/>
      </c>
      <c r="K2680" s="5">
        <f>IF(J2680="", "", IF(J2680="Long Term", 12.5%,"as per slab"))</f>
        <v/>
      </c>
      <c r="L2680" s="3">
        <f>+IFERROR(IF(J2680="","",H2680*K2680),"as per slab")</f>
        <v/>
      </c>
    </row>
    <row r="2681">
      <c r="A2681" s="7" t="n"/>
      <c r="B2681" s="7" t="n"/>
      <c r="C2681" s="8" t="n"/>
      <c r="D2681" s="9" t="n"/>
      <c r="E2681" s="8" t="n"/>
      <c r="F2681" s="9" t="n"/>
      <c r="G2681" s="9" t="n"/>
      <c r="H2681" s="3">
        <f>IF(AND(D2681&lt;&gt;"",F2681&lt;&gt;""),F2681-D2681-G2681,"")</f>
        <v/>
      </c>
      <c r="I2681" s="14">
        <f>IF(E2681&lt;&gt;"", YEARFRAC(C2681, E2681) * 12, "")</f>
        <v/>
      </c>
      <c r="J2681" s="2">
        <f>IF(I2681="", "", IF(OR(AND(A2681="Listed Equity Shares", I2681&gt;12), AND(A2681="Unlisted Equity Shares", I2681&gt;24)), "Long Term", "Short Term"))</f>
        <v/>
      </c>
      <c r="K2681" s="5">
        <f>IF(J2681="", "", IF(J2681="Long Term", 12.5%,"as per slab"))</f>
        <v/>
      </c>
      <c r="L2681" s="3">
        <f>+IFERROR(IF(J2681="","",H2681*K2681),"as per slab")</f>
        <v/>
      </c>
    </row>
    <row r="2682">
      <c r="A2682" s="7" t="n"/>
      <c r="B2682" s="7" t="n"/>
      <c r="C2682" s="8" t="n"/>
      <c r="D2682" s="9" t="n"/>
      <c r="E2682" s="8" t="n"/>
      <c r="F2682" s="9" t="n"/>
      <c r="G2682" s="9" t="n"/>
      <c r="H2682" s="3">
        <f>IF(AND(D2682&lt;&gt;"",F2682&lt;&gt;""),F2682-D2682-G2682,"")</f>
        <v/>
      </c>
      <c r="I2682" s="14">
        <f>IF(E2682&lt;&gt;"", YEARFRAC(C2682, E2682) * 12, "")</f>
        <v/>
      </c>
      <c r="J2682" s="2">
        <f>IF(I2682="", "", IF(OR(AND(A2682="Listed Equity Shares", I2682&gt;12), AND(A2682="Unlisted Equity Shares", I2682&gt;24)), "Long Term", "Short Term"))</f>
        <v/>
      </c>
      <c r="K2682" s="5">
        <f>IF(J2682="", "", IF(J2682="Long Term", 12.5%,"as per slab"))</f>
        <v/>
      </c>
      <c r="L2682" s="3">
        <f>+IFERROR(IF(J2682="","",H2682*K2682),"as per slab")</f>
        <v/>
      </c>
    </row>
    <row r="2683">
      <c r="A2683" s="7" t="n"/>
      <c r="B2683" s="7" t="n"/>
      <c r="C2683" s="8" t="n"/>
      <c r="D2683" s="9" t="n"/>
      <c r="E2683" s="8" t="n"/>
      <c r="F2683" s="9" t="n"/>
      <c r="G2683" s="9" t="n"/>
      <c r="H2683" s="3">
        <f>IF(AND(D2683&lt;&gt;"",F2683&lt;&gt;""),F2683-D2683-G2683,"")</f>
        <v/>
      </c>
      <c r="I2683" s="14">
        <f>IF(E2683&lt;&gt;"", YEARFRAC(C2683, E2683) * 12, "")</f>
        <v/>
      </c>
      <c r="J2683" s="2">
        <f>IF(I2683="", "", IF(OR(AND(A2683="Listed Equity Shares", I2683&gt;12), AND(A2683="Unlisted Equity Shares", I2683&gt;24)), "Long Term", "Short Term"))</f>
        <v/>
      </c>
      <c r="K2683" s="5">
        <f>IF(J2683="", "", IF(J2683="Long Term", 12.5%,"as per slab"))</f>
        <v/>
      </c>
      <c r="L2683" s="3">
        <f>+IFERROR(IF(J2683="","",H2683*K2683),"as per slab")</f>
        <v/>
      </c>
    </row>
    <row r="2684">
      <c r="A2684" s="7" t="n"/>
      <c r="B2684" s="7" t="n"/>
      <c r="C2684" s="8" t="n"/>
      <c r="D2684" s="9" t="n"/>
      <c r="E2684" s="8" t="n"/>
      <c r="F2684" s="9" t="n"/>
      <c r="G2684" s="9" t="n"/>
      <c r="H2684" s="3">
        <f>IF(AND(D2684&lt;&gt;"",F2684&lt;&gt;""),F2684-D2684-G2684,"")</f>
        <v/>
      </c>
      <c r="I2684" s="14">
        <f>IF(E2684&lt;&gt;"", YEARFRAC(C2684, E2684) * 12, "")</f>
        <v/>
      </c>
      <c r="J2684" s="2">
        <f>IF(I2684="", "", IF(OR(AND(A2684="Listed Equity Shares", I2684&gt;12), AND(A2684="Unlisted Equity Shares", I2684&gt;24)), "Long Term", "Short Term"))</f>
        <v/>
      </c>
      <c r="K2684" s="5">
        <f>IF(J2684="", "", IF(J2684="Long Term", 12.5%,"as per slab"))</f>
        <v/>
      </c>
      <c r="L2684" s="3">
        <f>+IFERROR(IF(J2684="","",H2684*K2684),"as per slab")</f>
        <v/>
      </c>
    </row>
    <row r="2685">
      <c r="A2685" s="7" t="n"/>
      <c r="B2685" s="7" t="n"/>
      <c r="C2685" s="8" t="n"/>
      <c r="D2685" s="9" t="n"/>
      <c r="E2685" s="8" t="n"/>
      <c r="F2685" s="9" t="n"/>
      <c r="G2685" s="9" t="n"/>
      <c r="H2685" s="3">
        <f>IF(AND(D2685&lt;&gt;"",F2685&lt;&gt;""),F2685-D2685-G2685,"")</f>
        <v/>
      </c>
      <c r="I2685" s="14">
        <f>IF(E2685&lt;&gt;"", YEARFRAC(C2685, E2685) * 12, "")</f>
        <v/>
      </c>
      <c r="J2685" s="2">
        <f>IF(I2685="", "", IF(OR(AND(A2685="Listed Equity Shares", I2685&gt;12), AND(A2685="Unlisted Equity Shares", I2685&gt;24)), "Long Term", "Short Term"))</f>
        <v/>
      </c>
      <c r="K2685" s="5">
        <f>IF(J2685="", "", IF(J2685="Long Term", 12.5%,"as per slab"))</f>
        <v/>
      </c>
      <c r="L2685" s="3">
        <f>+IFERROR(IF(J2685="","",H2685*K2685),"as per slab")</f>
        <v/>
      </c>
    </row>
    <row r="2686">
      <c r="A2686" s="7" t="n"/>
      <c r="B2686" s="7" t="n"/>
      <c r="C2686" s="8" t="n"/>
      <c r="D2686" s="9" t="n"/>
      <c r="E2686" s="8" t="n"/>
      <c r="F2686" s="9" t="n"/>
      <c r="G2686" s="9" t="n"/>
      <c r="H2686" s="3">
        <f>IF(AND(D2686&lt;&gt;"",F2686&lt;&gt;""),F2686-D2686-G2686,"")</f>
        <v/>
      </c>
      <c r="I2686" s="14">
        <f>IF(E2686&lt;&gt;"", YEARFRAC(C2686, E2686) * 12, "")</f>
        <v/>
      </c>
      <c r="J2686" s="2">
        <f>IF(I2686="", "", IF(OR(AND(A2686="Listed Equity Shares", I2686&gt;12), AND(A2686="Unlisted Equity Shares", I2686&gt;24)), "Long Term", "Short Term"))</f>
        <v/>
      </c>
      <c r="K2686" s="5">
        <f>IF(J2686="", "", IF(J2686="Long Term", 12.5%,"as per slab"))</f>
        <v/>
      </c>
      <c r="L2686" s="3">
        <f>+IFERROR(IF(J2686="","",H2686*K2686),"as per slab")</f>
        <v/>
      </c>
    </row>
    <row r="2687">
      <c r="A2687" s="7" t="n"/>
      <c r="B2687" s="7" t="n"/>
      <c r="C2687" s="8" t="n"/>
      <c r="D2687" s="9" t="n"/>
      <c r="E2687" s="8" t="n"/>
      <c r="F2687" s="9" t="n"/>
      <c r="G2687" s="9" t="n"/>
      <c r="H2687" s="3">
        <f>IF(AND(D2687&lt;&gt;"",F2687&lt;&gt;""),F2687-D2687-G2687,"")</f>
        <v/>
      </c>
      <c r="I2687" s="14">
        <f>IF(E2687&lt;&gt;"", YEARFRAC(C2687, E2687) * 12, "")</f>
        <v/>
      </c>
      <c r="J2687" s="2">
        <f>IF(I2687="", "", IF(OR(AND(A2687="Listed Equity Shares", I2687&gt;12), AND(A2687="Unlisted Equity Shares", I2687&gt;24)), "Long Term", "Short Term"))</f>
        <v/>
      </c>
      <c r="K2687" s="5">
        <f>IF(J2687="", "", IF(J2687="Long Term", 12.5%,"as per slab"))</f>
        <v/>
      </c>
      <c r="L2687" s="3">
        <f>+IFERROR(IF(J2687="","",H2687*K2687),"as per slab")</f>
        <v/>
      </c>
    </row>
    <row r="2688">
      <c r="A2688" s="7" t="n"/>
      <c r="B2688" s="7" t="n"/>
      <c r="C2688" s="8" t="n"/>
      <c r="D2688" s="9" t="n"/>
      <c r="E2688" s="8" t="n"/>
      <c r="F2688" s="9" t="n"/>
      <c r="G2688" s="9" t="n"/>
      <c r="H2688" s="3">
        <f>IF(AND(D2688&lt;&gt;"",F2688&lt;&gt;""),F2688-D2688-G2688,"")</f>
        <v/>
      </c>
      <c r="I2688" s="14">
        <f>IF(E2688&lt;&gt;"", YEARFRAC(C2688, E2688) * 12, "")</f>
        <v/>
      </c>
      <c r="J2688" s="2">
        <f>IF(I2688="", "", IF(OR(AND(A2688="Listed Equity Shares", I2688&gt;12), AND(A2688="Unlisted Equity Shares", I2688&gt;24)), "Long Term", "Short Term"))</f>
        <v/>
      </c>
      <c r="K2688" s="5">
        <f>IF(J2688="", "", IF(J2688="Long Term", 12.5%,"as per slab"))</f>
        <v/>
      </c>
      <c r="L2688" s="3">
        <f>+IFERROR(IF(J2688="","",H2688*K2688),"as per slab")</f>
        <v/>
      </c>
    </row>
    <row r="2689">
      <c r="A2689" s="7" t="n"/>
      <c r="B2689" s="7" t="n"/>
      <c r="C2689" s="8" t="n"/>
      <c r="D2689" s="9" t="n"/>
      <c r="E2689" s="8" t="n"/>
      <c r="F2689" s="9" t="n"/>
      <c r="G2689" s="9" t="n"/>
      <c r="H2689" s="3">
        <f>IF(AND(D2689&lt;&gt;"",F2689&lt;&gt;""),F2689-D2689-G2689,"")</f>
        <v/>
      </c>
      <c r="I2689" s="14">
        <f>IF(E2689&lt;&gt;"", YEARFRAC(C2689, E2689) * 12, "")</f>
        <v/>
      </c>
      <c r="J2689" s="2">
        <f>IF(I2689="", "", IF(OR(AND(A2689="Listed Equity Shares", I2689&gt;12), AND(A2689="Unlisted Equity Shares", I2689&gt;24)), "Long Term", "Short Term"))</f>
        <v/>
      </c>
      <c r="K2689" s="5">
        <f>IF(J2689="", "", IF(J2689="Long Term", 12.5%,"as per slab"))</f>
        <v/>
      </c>
      <c r="L2689" s="3">
        <f>+IFERROR(IF(J2689="","",H2689*K2689),"as per slab")</f>
        <v/>
      </c>
    </row>
    <row r="2690">
      <c r="A2690" s="7" t="n"/>
      <c r="B2690" s="7" t="n"/>
      <c r="C2690" s="8" t="n"/>
      <c r="D2690" s="9" t="n"/>
      <c r="E2690" s="8" t="n"/>
      <c r="F2690" s="9" t="n"/>
      <c r="G2690" s="9" t="n"/>
      <c r="H2690" s="3">
        <f>IF(AND(D2690&lt;&gt;"",F2690&lt;&gt;""),F2690-D2690-G2690,"")</f>
        <v/>
      </c>
      <c r="I2690" s="14">
        <f>IF(E2690&lt;&gt;"", YEARFRAC(C2690, E2690) * 12, "")</f>
        <v/>
      </c>
      <c r="J2690" s="2">
        <f>IF(I2690="", "", IF(OR(AND(A2690="Listed Equity Shares", I2690&gt;12), AND(A2690="Unlisted Equity Shares", I2690&gt;24)), "Long Term", "Short Term"))</f>
        <v/>
      </c>
      <c r="K2690" s="5">
        <f>IF(J2690="", "", IF(J2690="Long Term", 12.5%,"as per slab"))</f>
        <v/>
      </c>
      <c r="L2690" s="3">
        <f>+IFERROR(IF(J2690="","",H2690*K2690),"as per slab")</f>
        <v/>
      </c>
    </row>
    <row r="2691">
      <c r="A2691" s="7" t="n"/>
      <c r="B2691" s="7" t="n"/>
      <c r="C2691" s="8" t="n"/>
      <c r="D2691" s="9" t="n"/>
      <c r="E2691" s="8" t="n"/>
      <c r="F2691" s="9" t="n"/>
      <c r="G2691" s="9" t="n"/>
      <c r="H2691" s="3">
        <f>IF(AND(D2691&lt;&gt;"",F2691&lt;&gt;""),F2691-D2691-G2691,"")</f>
        <v/>
      </c>
      <c r="I2691" s="14">
        <f>IF(E2691&lt;&gt;"", YEARFRAC(C2691, E2691) * 12, "")</f>
        <v/>
      </c>
      <c r="J2691" s="2">
        <f>IF(I2691="", "", IF(OR(AND(A2691="Listed Equity Shares", I2691&gt;12), AND(A2691="Unlisted Equity Shares", I2691&gt;24)), "Long Term", "Short Term"))</f>
        <v/>
      </c>
      <c r="K2691" s="5">
        <f>IF(J2691="", "", IF(J2691="Long Term", 12.5%,"as per slab"))</f>
        <v/>
      </c>
      <c r="L2691" s="3">
        <f>+IFERROR(IF(J2691="","",H2691*K2691),"as per slab")</f>
        <v/>
      </c>
    </row>
    <row r="2692">
      <c r="A2692" s="7" t="n"/>
      <c r="B2692" s="7" t="n"/>
      <c r="C2692" s="8" t="n"/>
      <c r="D2692" s="9" t="n"/>
      <c r="E2692" s="8" t="n"/>
      <c r="F2692" s="9" t="n"/>
      <c r="G2692" s="9" t="n"/>
      <c r="H2692" s="3">
        <f>IF(AND(D2692&lt;&gt;"",F2692&lt;&gt;""),F2692-D2692-G2692,"")</f>
        <v/>
      </c>
      <c r="I2692" s="14">
        <f>IF(E2692&lt;&gt;"", YEARFRAC(C2692, E2692) * 12, "")</f>
        <v/>
      </c>
      <c r="J2692" s="2">
        <f>IF(I2692="", "", IF(OR(AND(A2692="Listed Equity Shares", I2692&gt;12), AND(A2692="Unlisted Equity Shares", I2692&gt;24)), "Long Term", "Short Term"))</f>
        <v/>
      </c>
      <c r="K2692" s="5">
        <f>IF(J2692="", "", IF(J2692="Long Term", 12.5%,"as per slab"))</f>
        <v/>
      </c>
      <c r="L2692" s="3">
        <f>+IFERROR(IF(J2692="","",H2692*K2692),"as per slab")</f>
        <v/>
      </c>
    </row>
    <row r="2693">
      <c r="A2693" s="7" t="n"/>
      <c r="B2693" s="7" t="n"/>
      <c r="C2693" s="8" t="n"/>
      <c r="D2693" s="9" t="n"/>
      <c r="E2693" s="8" t="n"/>
      <c r="F2693" s="9" t="n"/>
      <c r="G2693" s="9" t="n"/>
      <c r="H2693" s="3">
        <f>IF(AND(D2693&lt;&gt;"",F2693&lt;&gt;""),F2693-D2693-G2693,"")</f>
        <v/>
      </c>
      <c r="I2693" s="14">
        <f>IF(E2693&lt;&gt;"", YEARFRAC(C2693, E2693) * 12, "")</f>
        <v/>
      </c>
      <c r="J2693" s="2">
        <f>IF(I2693="", "", IF(OR(AND(A2693="Listed Equity Shares", I2693&gt;12), AND(A2693="Unlisted Equity Shares", I2693&gt;24)), "Long Term", "Short Term"))</f>
        <v/>
      </c>
      <c r="K2693" s="5">
        <f>IF(J2693="", "", IF(J2693="Long Term", 12.5%,"as per slab"))</f>
        <v/>
      </c>
      <c r="L2693" s="3">
        <f>+IFERROR(IF(J2693="","",H2693*K2693),"as per slab")</f>
        <v/>
      </c>
    </row>
    <row r="2694">
      <c r="A2694" s="7" t="n"/>
      <c r="B2694" s="7" t="n"/>
      <c r="C2694" s="8" t="n"/>
      <c r="D2694" s="9" t="n"/>
      <c r="E2694" s="8" t="n"/>
      <c r="F2694" s="9" t="n"/>
      <c r="G2694" s="9" t="n"/>
      <c r="H2694" s="3">
        <f>IF(AND(D2694&lt;&gt;"",F2694&lt;&gt;""),F2694-D2694-G2694,"")</f>
        <v/>
      </c>
      <c r="I2694" s="14">
        <f>IF(E2694&lt;&gt;"", YEARFRAC(C2694, E2694) * 12, "")</f>
        <v/>
      </c>
      <c r="J2694" s="2">
        <f>IF(I2694="", "", IF(OR(AND(A2694="Listed Equity Shares", I2694&gt;12), AND(A2694="Unlisted Equity Shares", I2694&gt;24)), "Long Term", "Short Term"))</f>
        <v/>
      </c>
      <c r="K2694" s="5">
        <f>IF(J2694="", "", IF(J2694="Long Term", 12.5%,"as per slab"))</f>
        <v/>
      </c>
      <c r="L2694" s="3">
        <f>+IFERROR(IF(J2694="","",H2694*K2694),"as per slab")</f>
        <v/>
      </c>
    </row>
    <row r="2695">
      <c r="A2695" s="7" t="n"/>
      <c r="B2695" s="7" t="n"/>
      <c r="C2695" s="8" t="n"/>
      <c r="D2695" s="9" t="n"/>
      <c r="E2695" s="8" t="n"/>
      <c r="F2695" s="9" t="n"/>
      <c r="G2695" s="9" t="n"/>
      <c r="H2695" s="3">
        <f>IF(AND(D2695&lt;&gt;"",F2695&lt;&gt;""),F2695-D2695-G2695,"")</f>
        <v/>
      </c>
      <c r="I2695" s="14">
        <f>IF(E2695&lt;&gt;"", YEARFRAC(C2695, E2695) * 12, "")</f>
        <v/>
      </c>
      <c r="J2695" s="2">
        <f>IF(I2695="", "", IF(OR(AND(A2695="Listed Equity Shares", I2695&gt;12), AND(A2695="Unlisted Equity Shares", I2695&gt;24)), "Long Term", "Short Term"))</f>
        <v/>
      </c>
      <c r="K2695" s="5">
        <f>IF(J2695="", "", IF(J2695="Long Term", 12.5%,"as per slab"))</f>
        <v/>
      </c>
      <c r="L2695" s="3">
        <f>+IFERROR(IF(J2695="","",H2695*K2695),"as per slab")</f>
        <v/>
      </c>
    </row>
    <row r="2696">
      <c r="A2696" s="7" t="n"/>
      <c r="B2696" s="7" t="n"/>
      <c r="C2696" s="8" t="n"/>
      <c r="D2696" s="9" t="n"/>
      <c r="E2696" s="8" t="n"/>
      <c r="F2696" s="9" t="n"/>
      <c r="G2696" s="9" t="n"/>
      <c r="H2696" s="3">
        <f>IF(AND(D2696&lt;&gt;"",F2696&lt;&gt;""),F2696-D2696-G2696,"")</f>
        <v/>
      </c>
      <c r="I2696" s="14">
        <f>IF(E2696&lt;&gt;"", YEARFRAC(C2696, E2696) * 12, "")</f>
        <v/>
      </c>
      <c r="J2696" s="2">
        <f>IF(I2696="", "", IF(OR(AND(A2696="Listed Equity Shares", I2696&gt;12), AND(A2696="Unlisted Equity Shares", I2696&gt;24)), "Long Term", "Short Term"))</f>
        <v/>
      </c>
      <c r="K2696" s="5">
        <f>IF(J2696="", "", IF(J2696="Long Term", 12.5%,"as per slab"))</f>
        <v/>
      </c>
      <c r="L2696" s="3">
        <f>+IFERROR(IF(J2696="","",H2696*K2696),"as per slab")</f>
        <v/>
      </c>
    </row>
    <row r="2697">
      <c r="A2697" s="7" t="n"/>
      <c r="B2697" s="7" t="n"/>
      <c r="C2697" s="8" t="n"/>
      <c r="D2697" s="9" t="n"/>
      <c r="E2697" s="8" t="n"/>
      <c r="F2697" s="9" t="n"/>
      <c r="G2697" s="9" t="n"/>
      <c r="H2697" s="3">
        <f>IF(AND(D2697&lt;&gt;"",F2697&lt;&gt;""),F2697-D2697-G2697,"")</f>
        <v/>
      </c>
      <c r="I2697" s="14">
        <f>IF(E2697&lt;&gt;"", YEARFRAC(C2697, E2697) * 12, "")</f>
        <v/>
      </c>
      <c r="J2697" s="2">
        <f>IF(I2697="", "", IF(OR(AND(A2697="Listed Equity Shares", I2697&gt;12), AND(A2697="Unlisted Equity Shares", I2697&gt;24)), "Long Term", "Short Term"))</f>
        <v/>
      </c>
      <c r="K2697" s="5">
        <f>IF(J2697="", "", IF(J2697="Long Term", 12.5%,"as per slab"))</f>
        <v/>
      </c>
      <c r="L2697" s="3">
        <f>+IFERROR(IF(J2697="","",H2697*K2697),"as per slab")</f>
        <v/>
      </c>
    </row>
    <row r="2698">
      <c r="A2698" s="7" t="n"/>
      <c r="B2698" s="7" t="n"/>
      <c r="C2698" s="8" t="n"/>
      <c r="D2698" s="9" t="n"/>
      <c r="E2698" s="8" t="n"/>
      <c r="F2698" s="9" t="n"/>
      <c r="G2698" s="9" t="n"/>
      <c r="H2698" s="3">
        <f>IF(AND(D2698&lt;&gt;"",F2698&lt;&gt;""),F2698-D2698-G2698,"")</f>
        <v/>
      </c>
      <c r="I2698" s="14">
        <f>IF(E2698&lt;&gt;"", YEARFRAC(C2698, E2698) * 12, "")</f>
        <v/>
      </c>
      <c r="J2698" s="2">
        <f>IF(I2698="", "", IF(OR(AND(A2698="Listed Equity Shares", I2698&gt;12), AND(A2698="Unlisted Equity Shares", I2698&gt;24)), "Long Term", "Short Term"))</f>
        <v/>
      </c>
      <c r="K2698" s="5">
        <f>IF(J2698="", "", IF(J2698="Long Term", 12.5%,"as per slab"))</f>
        <v/>
      </c>
      <c r="L2698" s="3">
        <f>+IFERROR(IF(J2698="","",H2698*K2698),"as per slab")</f>
        <v/>
      </c>
    </row>
    <row r="2699">
      <c r="A2699" s="7" t="n"/>
      <c r="B2699" s="7" t="n"/>
      <c r="C2699" s="8" t="n"/>
      <c r="D2699" s="9" t="n"/>
      <c r="E2699" s="8" t="n"/>
      <c r="F2699" s="9" t="n"/>
      <c r="G2699" s="9" t="n"/>
      <c r="H2699" s="3">
        <f>IF(AND(D2699&lt;&gt;"",F2699&lt;&gt;""),F2699-D2699-G2699,"")</f>
        <v/>
      </c>
      <c r="I2699" s="14">
        <f>IF(E2699&lt;&gt;"", YEARFRAC(C2699, E2699) * 12, "")</f>
        <v/>
      </c>
      <c r="J2699" s="2">
        <f>IF(I2699="", "", IF(OR(AND(A2699="Listed Equity Shares", I2699&gt;12), AND(A2699="Unlisted Equity Shares", I2699&gt;24)), "Long Term", "Short Term"))</f>
        <v/>
      </c>
      <c r="K2699" s="5">
        <f>IF(J2699="", "", IF(J2699="Long Term", 12.5%,"as per slab"))</f>
        <v/>
      </c>
      <c r="L2699" s="3">
        <f>+IFERROR(IF(J2699="","",H2699*K2699),"as per slab")</f>
        <v/>
      </c>
    </row>
    <row r="2700">
      <c r="A2700" s="7" t="n"/>
      <c r="B2700" s="7" t="n"/>
      <c r="C2700" s="8" t="n"/>
      <c r="D2700" s="9" t="n"/>
      <c r="E2700" s="8" t="n"/>
      <c r="F2700" s="9" t="n"/>
      <c r="G2700" s="9" t="n"/>
      <c r="H2700" s="3">
        <f>IF(AND(D2700&lt;&gt;"",F2700&lt;&gt;""),F2700-D2700-G2700,"")</f>
        <v/>
      </c>
      <c r="I2700" s="14">
        <f>IF(E2700&lt;&gt;"", YEARFRAC(C2700, E2700) * 12, "")</f>
        <v/>
      </c>
      <c r="J2700" s="2">
        <f>IF(I2700="", "", IF(OR(AND(A2700="Listed Equity Shares", I2700&gt;12), AND(A2700="Unlisted Equity Shares", I2700&gt;24)), "Long Term", "Short Term"))</f>
        <v/>
      </c>
      <c r="K2700" s="5">
        <f>IF(J2700="", "", IF(J2700="Long Term", 12.5%,"as per slab"))</f>
        <v/>
      </c>
      <c r="L2700" s="3">
        <f>+IFERROR(IF(J2700="","",H2700*K2700),"as per slab")</f>
        <v/>
      </c>
    </row>
    <row r="2701">
      <c r="A2701" s="7" t="n"/>
      <c r="B2701" s="7" t="n"/>
      <c r="C2701" s="8" t="n"/>
      <c r="D2701" s="9" t="n"/>
      <c r="E2701" s="8" t="n"/>
      <c r="F2701" s="9" t="n"/>
      <c r="G2701" s="9" t="n"/>
      <c r="H2701" s="3">
        <f>IF(AND(D2701&lt;&gt;"",F2701&lt;&gt;""),F2701-D2701-G2701,"")</f>
        <v/>
      </c>
      <c r="I2701" s="14">
        <f>IF(E2701&lt;&gt;"", YEARFRAC(C2701, E2701) * 12, "")</f>
        <v/>
      </c>
      <c r="J2701" s="2">
        <f>IF(I2701="", "", IF(OR(AND(A2701="Listed Equity Shares", I2701&gt;12), AND(A2701="Unlisted Equity Shares", I2701&gt;24)), "Long Term", "Short Term"))</f>
        <v/>
      </c>
      <c r="K2701" s="5">
        <f>IF(J2701="", "", IF(J2701="Long Term", 12.5%,"as per slab"))</f>
        <v/>
      </c>
      <c r="L2701" s="3">
        <f>+IFERROR(IF(J2701="","",H2701*K2701),"as per slab")</f>
        <v/>
      </c>
    </row>
    <row r="2702">
      <c r="A2702" s="7" t="n"/>
      <c r="B2702" s="7" t="n"/>
      <c r="C2702" s="8" t="n"/>
      <c r="D2702" s="9" t="n"/>
      <c r="E2702" s="8" t="n"/>
      <c r="F2702" s="9" t="n"/>
      <c r="G2702" s="9" t="n"/>
      <c r="H2702" s="3">
        <f>IF(AND(D2702&lt;&gt;"",F2702&lt;&gt;""),F2702-D2702-G2702,"")</f>
        <v/>
      </c>
      <c r="I2702" s="14">
        <f>IF(E2702&lt;&gt;"", YEARFRAC(C2702, E2702) * 12, "")</f>
        <v/>
      </c>
      <c r="J2702" s="2">
        <f>IF(I2702="", "", IF(OR(AND(A2702="Listed Equity Shares", I2702&gt;12), AND(A2702="Unlisted Equity Shares", I2702&gt;24)), "Long Term", "Short Term"))</f>
        <v/>
      </c>
      <c r="K2702" s="5">
        <f>IF(J2702="", "", IF(J2702="Long Term", 12.5%,"as per slab"))</f>
        <v/>
      </c>
      <c r="L2702" s="3">
        <f>+IFERROR(IF(J2702="","",H2702*K2702),"as per slab")</f>
        <v/>
      </c>
    </row>
    <row r="2703">
      <c r="A2703" s="7" t="n"/>
      <c r="B2703" s="7" t="n"/>
      <c r="C2703" s="8" t="n"/>
      <c r="D2703" s="9" t="n"/>
      <c r="E2703" s="8" t="n"/>
      <c r="F2703" s="9" t="n"/>
      <c r="G2703" s="9" t="n"/>
      <c r="H2703" s="3">
        <f>IF(AND(D2703&lt;&gt;"",F2703&lt;&gt;""),F2703-D2703-G2703,"")</f>
        <v/>
      </c>
      <c r="I2703" s="14">
        <f>IF(E2703&lt;&gt;"", YEARFRAC(C2703, E2703) * 12, "")</f>
        <v/>
      </c>
      <c r="J2703" s="2">
        <f>IF(I2703="", "", IF(OR(AND(A2703="Listed Equity Shares", I2703&gt;12), AND(A2703="Unlisted Equity Shares", I2703&gt;24)), "Long Term", "Short Term"))</f>
        <v/>
      </c>
      <c r="K2703" s="5">
        <f>IF(J2703="", "", IF(J2703="Long Term", 12.5%,"as per slab"))</f>
        <v/>
      </c>
      <c r="L2703" s="3">
        <f>+IFERROR(IF(J2703="","",H2703*K2703),"as per slab")</f>
        <v/>
      </c>
    </row>
    <row r="2704">
      <c r="A2704" s="7" t="n"/>
      <c r="B2704" s="7" t="n"/>
      <c r="C2704" s="8" t="n"/>
      <c r="D2704" s="9" t="n"/>
      <c r="E2704" s="8" t="n"/>
      <c r="F2704" s="9" t="n"/>
      <c r="G2704" s="9" t="n"/>
      <c r="H2704" s="3">
        <f>IF(AND(D2704&lt;&gt;"",F2704&lt;&gt;""),F2704-D2704-G2704,"")</f>
        <v/>
      </c>
      <c r="I2704" s="14">
        <f>IF(E2704&lt;&gt;"", YEARFRAC(C2704, E2704) * 12, "")</f>
        <v/>
      </c>
      <c r="J2704" s="2">
        <f>IF(I2704="", "", IF(OR(AND(A2704="Listed Equity Shares", I2704&gt;12), AND(A2704="Unlisted Equity Shares", I2704&gt;24)), "Long Term", "Short Term"))</f>
        <v/>
      </c>
      <c r="K2704" s="5">
        <f>IF(J2704="", "", IF(J2704="Long Term", 12.5%,"as per slab"))</f>
        <v/>
      </c>
      <c r="L2704" s="3">
        <f>+IFERROR(IF(J2704="","",H2704*K2704),"as per slab")</f>
        <v/>
      </c>
    </row>
    <row r="2705">
      <c r="A2705" s="7" t="n"/>
      <c r="B2705" s="7" t="n"/>
      <c r="C2705" s="8" t="n"/>
      <c r="D2705" s="9" t="n"/>
      <c r="E2705" s="8" t="n"/>
      <c r="F2705" s="9" t="n"/>
      <c r="G2705" s="9" t="n"/>
      <c r="H2705" s="3">
        <f>IF(AND(D2705&lt;&gt;"",F2705&lt;&gt;""),F2705-D2705-G2705,"")</f>
        <v/>
      </c>
      <c r="I2705" s="14">
        <f>IF(E2705&lt;&gt;"", YEARFRAC(C2705, E2705) * 12, "")</f>
        <v/>
      </c>
      <c r="J2705" s="2">
        <f>IF(I2705="", "", IF(OR(AND(A2705="Listed Equity Shares", I2705&gt;12), AND(A2705="Unlisted Equity Shares", I2705&gt;24)), "Long Term", "Short Term"))</f>
        <v/>
      </c>
      <c r="K2705" s="5">
        <f>IF(J2705="", "", IF(J2705="Long Term", 12.5%,"as per slab"))</f>
        <v/>
      </c>
      <c r="L2705" s="3">
        <f>+IFERROR(IF(J2705="","",H2705*K2705),"as per slab")</f>
        <v/>
      </c>
    </row>
    <row r="2706">
      <c r="A2706" s="7" t="n"/>
      <c r="B2706" s="7" t="n"/>
      <c r="C2706" s="8" t="n"/>
      <c r="D2706" s="9" t="n"/>
      <c r="E2706" s="8" t="n"/>
      <c r="F2706" s="9" t="n"/>
      <c r="G2706" s="9" t="n"/>
      <c r="H2706" s="3">
        <f>IF(AND(D2706&lt;&gt;"",F2706&lt;&gt;""),F2706-D2706-G2706,"")</f>
        <v/>
      </c>
      <c r="I2706" s="14">
        <f>IF(E2706&lt;&gt;"", YEARFRAC(C2706, E2706) * 12, "")</f>
        <v/>
      </c>
      <c r="J2706" s="2">
        <f>IF(I2706="", "", IF(OR(AND(A2706="Listed Equity Shares", I2706&gt;12), AND(A2706="Unlisted Equity Shares", I2706&gt;24)), "Long Term", "Short Term"))</f>
        <v/>
      </c>
      <c r="K2706" s="5">
        <f>IF(J2706="", "", IF(J2706="Long Term", 12.5%,"as per slab"))</f>
        <v/>
      </c>
      <c r="L2706" s="3">
        <f>+IFERROR(IF(J2706="","",H2706*K2706),"as per slab")</f>
        <v/>
      </c>
    </row>
    <row r="2707">
      <c r="A2707" s="7" t="n"/>
      <c r="B2707" s="7" t="n"/>
      <c r="C2707" s="8" t="n"/>
      <c r="D2707" s="9" t="n"/>
      <c r="E2707" s="8" t="n"/>
      <c r="F2707" s="9" t="n"/>
      <c r="G2707" s="9" t="n"/>
      <c r="H2707" s="3">
        <f>IF(AND(D2707&lt;&gt;"",F2707&lt;&gt;""),F2707-D2707-G2707,"")</f>
        <v/>
      </c>
      <c r="I2707" s="14">
        <f>IF(E2707&lt;&gt;"", YEARFRAC(C2707, E2707) * 12, "")</f>
        <v/>
      </c>
      <c r="J2707" s="2">
        <f>IF(I2707="", "", IF(OR(AND(A2707="Listed Equity Shares", I2707&gt;12), AND(A2707="Unlisted Equity Shares", I2707&gt;24)), "Long Term", "Short Term"))</f>
        <v/>
      </c>
      <c r="K2707" s="5">
        <f>IF(J2707="", "", IF(J2707="Long Term", 12.5%,"as per slab"))</f>
        <v/>
      </c>
      <c r="L2707" s="3">
        <f>+IFERROR(IF(J2707="","",H2707*K2707),"as per slab")</f>
        <v/>
      </c>
    </row>
    <row r="2708">
      <c r="A2708" s="7" t="n"/>
      <c r="B2708" s="7" t="n"/>
      <c r="C2708" s="8" t="n"/>
      <c r="D2708" s="9" t="n"/>
      <c r="E2708" s="8" t="n"/>
      <c r="F2708" s="9" t="n"/>
      <c r="G2708" s="9" t="n"/>
      <c r="H2708" s="3">
        <f>IF(AND(D2708&lt;&gt;"",F2708&lt;&gt;""),F2708-D2708-G2708,"")</f>
        <v/>
      </c>
      <c r="I2708" s="14">
        <f>IF(E2708&lt;&gt;"", YEARFRAC(C2708, E2708) * 12, "")</f>
        <v/>
      </c>
      <c r="J2708" s="2">
        <f>IF(I2708="", "", IF(OR(AND(A2708="Listed Equity Shares", I2708&gt;12), AND(A2708="Unlisted Equity Shares", I2708&gt;24)), "Long Term", "Short Term"))</f>
        <v/>
      </c>
      <c r="K2708" s="5">
        <f>IF(J2708="", "", IF(J2708="Long Term", 12.5%,"as per slab"))</f>
        <v/>
      </c>
      <c r="L2708" s="3">
        <f>+IFERROR(IF(J2708="","",H2708*K2708),"as per slab")</f>
        <v/>
      </c>
    </row>
    <row r="2709">
      <c r="A2709" s="7" t="n"/>
      <c r="B2709" s="7" t="n"/>
      <c r="C2709" s="8" t="n"/>
      <c r="D2709" s="9" t="n"/>
      <c r="E2709" s="8" t="n"/>
      <c r="F2709" s="9" t="n"/>
      <c r="G2709" s="9" t="n"/>
      <c r="H2709" s="3">
        <f>IF(AND(D2709&lt;&gt;"",F2709&lt;&gt;""),F2709-D2709-G2709,"")</f>
        <v/>
      </c>
      <c r="I2709" s="14">
        <f>IF(E2709&lt;&gt;"", YEARFRAC(C2709, E2709) * 12, "")</f>
        <v/>
      </c>
      <c r="J2709" s="2">
        <f>IF(I2709="", "", IF(OR(AND(A2709="Listed Equity Shares", I2709&gt;12), AND(A2709="Unlisted Equity Shares", I2709&gt;24)), "Long Term", "Short Term"))</f>
        <v/>
      </c>
      <c r="K2709" s="5">
        <f>IF(J2709="", "", IF(J2709="Long Term", 12.5%,"as per slab"))</f>
        <v/>
      </c>
      <c r="L2709" s="3">
        <f>+IFERROR(IF(J2709="","",H2709*K2709),"as per slab")</f>
        <v/>
      </c>
    </row>
    <row r="2710">
      <c r="A2710" s="7" t="n"/>
      <c r="B2710" s="7" t="n"/>
      <c r="C2710" s="8" t="n"/>
      <c r="D2710" s="9" t="n"/>
      <c r="E2710" s="8" t="n"/>
      <c r="F2710" s="9" t="n"/>
      <c r="G2710" s="9" t="n"/>
      <c r="H2710" s="3">
        <f>IF(AND(D2710&lt;&gt;"",F2710&lt;&gt;""),F2710-D2710-G2710,"")</f>
        <v/>
      </c>
      <c r="I2710" s="14">
        <f>IF(E2710&lt;&gt;"", YEARFRAC(C2710, E2710) * 12, "")</f>
        <v/>
      </c>
      <c r="J2710" s="2">
        <f>IF(I2710="", "", IF(OR(AND(A2710="Listed Equity Shares", I2710&gt;12), AND(A2710="Unlisted Equity Shares", I2710&gt;24)), "Long Term", "Short Term"))</f>
        <v/>
      </c>
      <c r="K2710" s="5">
        <f>IF(J2710="", "", IF(J2710="Long Term", 12.5%,"as per slab"))</f>
        <v/>
      </c>
      <c r="L2710" s="3">
        <f>+IFERROR(IF(J2710="","",H2710*K2710),"as per slab")</f>
        <v/>
      </c>
    </row>
    <row r="2711">
      <c r="A2711" s="7" t="n"/>
      <c r="B2711" s="7" t="n"/>
      <c r="C2711" s="8" t="n"/>
      <c r="D2711" s="9" t="n"/>
      <c r="E2711" s="8" t="n"/>
      <c r="F2711" s="9" t="n"/>
      <c r="G2711" s="9" t="n"/>
      <c r="H2711" s="3">
        <f>IF(AND(D2711&lt;&gt;"",F2711&lt;&gt;""),F2711-D2711-G2711,"")</f>
        <v/>
      </c>
      <c r="I2711" s="14">
        <f>IF(E2711&lt;&gt;"", YEARFRAC(C2711, E2711) * 12, "")</f>
        <v/>
      </c>
      <c r="J2711" s="2">
        <f>IF(I2711="", "", IF(OR(AND(A2711="Listed Equity Shares", I2711&gt;12), AND(A2711="Unlisted Equity Shares", I2711&gt;24)), "Long Term", "Short Term"))</f>
        <v/>
      </c>
      <c r="K2711" s="5">
        <f>IF(J2711="", "", IF(J2711="Long Term", 12.5%,"as per slab"))</f>
        <v/>
      </c>
      <c r="L2711" s="3">
        <f>+IFERROR(IF(J2711="","",H2711*K2711),"as per slab")</f>
        <v/>
      </c>
    </row>
    <row r="2712">
      <c r="A2712" s="7" t="n"/>
      <c r="B2712" s="7" t="n"/>
      <c r="C2712" s="8" t="n"/>
      <c r="D2712" s="9" t="n"/>
      <c r="E2712" s="8" t="n"/>
      <c r="F2712" s="9" t="n"/>
      <c r="G2712" s="9" t="n"/>
      <c r="H2712" s="3">
        <f>IF(AND(D2712&lt;&gt;"",F2712&lt;&gt;""),F2712-D2712-G2712,"")</f>
        <v/>
      </c>
      <c r="I2712" s="14">
        <f>IF(E2712&lt;&gt;"", YEARFRAC(C2712, E2712) * 12, "")</f>
        <v/>
      </c>
      <c r="J2712" s="2">
        <f>IF(I2712="", "", IF(OR(AND(A2712="Listed Equity Shares", I2712&gt;12), AND(A2712="Unlisted Equity Shares", I2712&gt;24)), "Long Term", "Short Term"))</f>
        <v/>
      </c>
      <c r="K2712" s="5">
        <f>IF(J2712="", "", IF(J2712="Long Term", 12.5%,"as per slab"))</f>
        <v/>
      </c>
      <c r="L2712" s="3">
        <f>+IFERROR(IF(J2712="","",H2712*K2712),"as per slab")</f>
        <v/>
      </c>
    </row>
    <row r="2713">
      <c r="A2713" s="7" t="n"/>
      <c r="B2713" s="7" t="n"/>
      <c r="C2713" s="8" t="n"/>
      <c r="D2713" s="9" t="n"/>
      <c r="E2713" s="8" t="n"/>
      <c r="F2713" s="9" t="n"/>
      <c r="G2713" s="9" t="n"/>
      <c r="H2713" s="3">
        <f>IF(AND(D2713&lt;&gt;"",F2713&lt;&gt;""),F2713-D2713-G2713,"")</f>
        <v/>
      </c>
      <c r="I2713" s="14">
        <f>IF(E2713&lt;&gt;"", YEARFRAC(C2713, E2713) * 12, "")</f>
        <v/>
      </c>
      <c r="J2713" s="2">
        <f>IF(I2713="", "", IF(OR(AND(A2713="Listed Equity Shares", I2713&gt;12), AND(A2713="Unlisted Equity Shares", I2713&gt;24)), "Long Term", "Short Term"))</f>
        <v/>
      </c>
      <c r="K2713" s="5">
        <f>IF(J2713="", "", IF(J2713="Long Term", 12.5%,"as per slab"))</f>
        <v/>
      </c>
      <c r="L2713" s="3">
        <f>+IFERROR(IF(J2713="","",H2713*K2713),"as per slab")</f>
        <v/>
      </c>
    </row>
    <row r="2714">
      <c r="A2714" s="7" t="n"/>
      <c r="B2714" s="7" t="n"/>
      <c r="C2714" s="8" t="n"/>
      <c r="D2714" s="9" t="n"/>
      <c r="E2714" s="8" t="n"/>
      <c r="F2714" s="9" t="n"/>
      <c r="G2714" s="9" t="n"/>
      <c r="H2714" s="3">
        <f>IF(AND(D2714&lt;&gt;"",F2714&lt;&gt;""),F2714-D2714-G2714,"")</f>
        <v/>
      </c>
      <c r="I2714" s="14">
        <f>IF(E2714&lt;&gt;"", YEARFRAC(C2714, E2714) * 12, "")</f>
        <v/>
      </c>
      <c r="J2714" s="2">
        <f>IF(I2714="", "", IF(OR(AND(A2714="Listed Equity Shares", I2714&gt;12), AND(A2714="Unlisted Equity Shares", I2714&gt;24)), "Long Term", "Short Term"))</f>
        <v/>
      </c>
      <c r="K2714" s="5">
        <f>IF(J2714="", "", IF(J2714="Long Term", 12.5%,"as per slab"))</f>
        <v/>
      </c>
      <c r="L2714" s="3">
        <f>+IFERROR(IF(J2714="","",H2714*K2714),"as per slab")</f>
        <v/>
      </c>
    </row>
    <row r="2715">
      <c r="A2715" s="7" t="n"/>
      <c r="B2715" s="7" t="n"/>
      <c r="C2715" s="8" t="n"/>
      <c r="D2715" s="9" t="n"/>
      <c r="E2715" s="8" t="n"/>
      <c r="F2715" s="9" t="n"/>
      <c r="G2715" s="9" t="n"/>
      <c r="H2715" s="3">
        <f>IF(AND(D2715&lt;&gt;"",F2715&lt;&gt;""),F2715-D2715-G2715,"")</f>
        <v/>
      </c>
      <c r="I2715" s="14">
        <f>IF(E2715&lt;&gt;"", YEARFRAC(C2715, E2715) * 12, "")</f>
        <v/>
      </c>
      <c r="J2715" s="2">
        <f>IF(I2715="", "", IF(OR(AND(A2715="Listed Equity Shares", I2715&gt;12), AND(A2715="Unlisted Equity Shares", I2715&gt;24)), "Long Term", "Short Term"))</f>
        <v/>
      </c>
      <c r="K2715" s="5">
        <f>IF(J2715="", "", IF(J2715="Long Term", 12.5%,"as per slab"))</f>
        <v/>
      </c>
      <c r="L2715" s="3">
        <f>+IFERROR(IF(J2715="","",H2715*K2715),"as per slab")</f>
        <v/>
      </c>
    </row>
    <row r="2716">
      <c r="A2716" s="7" t="n"/>
      <c r="B2716" s="7" t="n"/>
      <c r="C2716" s="8" t="n"/>
      <c r="D2716" s="9" t="n"/>
      <c r="E2716" s="8" t="n"/>
      <c r="F2716" s="9" t="n"/>
      <c r="G2716" s="9" t="n"/>
      <c r="H2716" s="3">
        <f>IF(AND(D2716&lt;&gt;"",F2716&lt;&gt;""),F2716-D2716-G2716,"")</f>
        <v/>
      </c>
      <c r="I2716" s="14">
        <f>IF(E2716&lt;&gt;"", YEARFRAC(C2716, E2716) * 12, "")</f>
        <v/>
      </c>
      <c r="J2716" s="2">
        <f>IF(I2716="", "", IF(OR(AND(A2716="Listed Equity Shares", I2716&gt;12), AND(A2716="Unlisted Equity Shares", I2716&gt;24)), "Long Term", "Short Term"))</f>
        <v/>
      </c>
      <c r="K2716" s="5">
        <f>IF(J2716="", "", IF(J2716="Long Term", 12.5%,"as per slab"))</f>
        <v/>
      </c>
      <c r="L2716" s="3">
        <f>+IFERROR(IF(J2716="","",H2716*K2716),"as per slab")</f>
        <v/>
      </c>
    </row>
    <row r="2717">
      <c r="A2717" s="7" t="n"/>
      <c r="B2717" s="7" t="n"/>
      <c r="C2717" s="8" t="n"/>
      <c r="D2717" s="9" t="n"/>
      <c r="E2717" s="8" t="n"/>
      <c r="F2717" s="9" t="n"/>
      <c r="G2717" s="9" t="n"/>
      <c r="H2717" s="3">
        <f>IF(AND(D2717&lt;&gt;"",F2717&lt;&gt;""),F2717-D2717-G2717,"")</f>
        <v/>
      </c>
      <c r="I2717" s="14">
        <f>IF(E2717&lt;&gt;"", YEARFRAC(C2717, E2717) * 12, "")</f>
        <v/>
      </c>
      <c r="J2717" s="2">
        <f>IF(I2717="", "", IF(OR(AND(A2717="Listed Equity Shares", I2717&gt;12), AND(A2717="Unlisted Equity Shares", I2717&gt;24)), "Long Term", "Short Term"))</f>
        <v/>
      </c>
      <c r="K2717" s="5">
        <f>IF(J2717="", "", IF(J2717="Long Term", 12.5%,"as per slab"))</f>
        <v/>
      </c>
      <c r="L2717" s="3">
        <f>+IFERROR(IF(J2717="","",H2717*K2717),"as per slab")</f>
        <v/>
      </c>
    </row>
    <row r="2718">
      <c r="A2718" s="7" t="n"/>
      <c r="B2718" s="7" t="n"/>
      <c r="C2718" s="8" t="n"/>
      <c r="D2718" s="9" t="n"/>
      <c r="E2718" s="8" t="n"/>
      <c r="F2718" s="9" t="n"/>
      <c r="G2718" s="9" t="n"/>
      <c r="H2718" s="3">
        <f>IF(AND(D2718&lt;&gt;"",F2718&lt;&gt;""),F2718-D2718-G2718,"")</f>
        <v/>
      </c>
      <c r="I2718" s="14">
        <f>IF(E2718&lt;&gt;"", YEARFRAC(C2718, E2718) * 12, "")</f>
        <v/>
      </c>
      <c r="J2718" s="2">
        <f>IF(I2718="", "", IF(OR(AND(A2718="Listed Equity Shares", I2718&gt;12), AND(A2718="Unlisted Equity Shares", I2718&gt;24)), "Long Term", "Short Term"))</f>
        <v/>
      </c>
      <c r="K2718" s="5">
        <f>IF(J2718="", "", IF(J2718="Long Term", 12.5%,"as per slab"))</f>
        <v/>
      </c>
      <c r="L2718" s="3">
        <f>+IFERROR(IF(J2718="","",H2718*K2718),"as per slab")</f>
        <v/>
      </c>
    </row>
    <row r="2719">
      <c r="A2719" s="7" t="n"/>
      <c r="B2719" s="7" t="n"/>
      <c r="C2719" s="8" t="n"/>
      <c r="D2719" s="9" t="n"/>
      <c r="E2719" s="8" t="n"/>
      <c r="F2719" s="9" t="n"/>
      <c r="G2719" s="9" t="n"/>
      <c r="H2719" s="3">
        <f>IF(AND(D2719&lt;&gt;"",F2719&lt;&gt;""),F2719-D2719-G2719,"")</f>
        <v/>
      </c>
      <c r="I2719" s="14">
        <f>IF(E2719&lt;&gt;"", YEARFRAC(C2719, E2719) * 12, "")</f>
        <v/>
      </c>
      <c r="J2719" s="2">
        <f>IF(I2719="", "", IF(OR(AND(A2719="Listed Equity Shares", I2719&gt;12), AND(A2719="Unlisted Equity Shares", I2719&gt;24)), "Long Term", "Short Term"))</f>
        <v/>
      </c>
      <c r="K2719" s="5">
        <f>IF(J2719="", "", IF(J2719="Long Term", 12.5%,"as per slab"))</f>
        <v/>
      </c>
      <c r="L2719" s="3">
        <f>+IFERROR(IF(J2719="","",H2719*K2719),"as per slab")</f>
        <v/>
      </c>
    </row>
    <row r="2720">
      <c r="A2720" s="7" t="n"/>
      <c r="B2720" s="7" t="n"/>
      <c r="C2720" s="8" t="n"/>
      <c r="D2720" s="9" t="n"/>
      <c r="E2720" s="8" t="n"/>
      <c r="F2720" s="9" t="n"/>
      <c r="G2720" s="9" t="n"/>
      <c r="H2720" s="3">
        <f>IF(AND(D2720&lt;&gt;"",F2720&lt;&gt;""),F2720-D2720-G2720,"")</f>
        <v/>
      </c>
      <c r="I2720" s="14">
        <f>IF(E2720&lt;&gt;"", YEARFRAC(C2720, E2720) * 12, "")</f>
        <v/>
      </c>
      <c r="J2720" s="2">
        <f>IF(I2720="", "", IF(OR(AND(A2720="Listed Equity Shares", I2720&gt;12), AND(A2720="Unlisted Equity Shares", I2720&gt;24)), "Long Term", "Short Term"))</f>
        <v/>
      </c>
      <c r="K2720" s="5">
        <f>IF(J2720="", "", IF(J2720="Long Term", 12.5%,"as per slab"))</f>
        <v/>
      </c>
      <c r="L2720" s="3">
        <f>+IFERROR(IF(J2720="","",H2720*K2720),"as per slab")</f>
        <v/>
      </c>
    </row>
    <row r="2721">
      <c r="A2721" s="7" t="n"/>
      <c r="B2721" s="7" t="n"/>
      <c r="C2721" s="8" t="n"/>
      <c r="D2721" s="9" t="n"/>
      <c r="E2721" s="8" t="n"/>
      <c r="F2721" s="9" t="n"/>
      <c r="G2721" s="9" t="n"/>
      <c r="H2721" s="3">
        <f>IF(AND(D2721&lt;&gt;"",F2721&lt;&gt;""),F2721-D2721-G2721,"")</f>
        <v/>
      </c>
      <c r="I2721" s="14">
        <f>IF(E2721&lt;&gt;"", YEARFRAC(C2721, E2721) * 12, "")</f>
        <v/>
      </c>
      <c r="J2721" s="2">
        <f>IF(I2721="", "", IF(OR(AND(A2721="Listed Equity Shares", I2721&gt;12), AND(A2721="Unlisted Equity Shares", I2721&gt;24)), "Long Term", "Short Term"))</f>
        <v/>
      </c>
      <c r="K2721" s="5">
        <f>IF(J2721="", "", IF(J2721="Long Term", 12.5%,"as per slab"))</f>
        <v/>
      </c>
      <c r="L2721" s="3">
        <f>+IFERROR(IF(J2721="","",H2721*K2721),"as per slab")</f>
        <v/>
      </c>
    </row>
    <row r="2722">
      <c r="A2722" s="7" t="n"/>
      <c r="B2722" s="7" t="n"/>
      <c r="C2722" s="8" t="n"/>
      <c r="D2722" s="9" t="n"/>
      <c r="E2722" s="8" t="n"/>
      <c r="F2722" s="9" t="n"/>
      <c r="G2722" s="9" t="n"/>
      <c r="H2722" s="3">
        <f>IF(AND(D2722&lt;&gt;"",F2722&lt;&gt;""),F2722-D2722-G2722,"")</f>
        <v/>
      </c>
      <c r="I2722" s="14">
        <f>IF(E2722&lt;&gt;"", YEARFRAC(C2722, E2722) * 12, "")</f>
        <v/>
      </c>
      <c r="J2722" s="2">
        <f>IF(I2722="", "", IF(OR(AND(A2722="Listed Equity Shares", I2722&gt;12), AND(A2722="Unlisted Equity Shares", I2722&gt;24)), "Long Term", "Short Term"))</f>
        <v/>
      </c>
      <c r="K2722" s="5">
        <f>IF(J2722="", "", IF(J2722="Long Term", 12.5%,"as per slab"))</f>
        <v/>
      </c>
      <c r="L2722" s="3">
        <f>+IFERROR(IF(J2722="","",H2722*K2722),"as per slab")</f>
        <v/>
      </c>
    </row>
    <row r="2723">
      <c r="A2723" s="7" t="n"/>
      <c r="B2723" s="7" t="n"/>
      <c r="C2723" s="8" t="n"/>
      <c r="D2723" s="9" t="n"/>
      <c r="E2723" s="8" t="n"/>
      <c r="F2723" s="9" t="n"/>
      <c r="G2723" s="9" t="n"/>
      <c r="H2723" s="3">
        <f>IF(AND(D2723&lt;&gt;"",F2723&lt;&gt;""),F2723-D2723-G2723,"")</f>
        <v/>
      </c>
      <c r="I2723" s="14">
        <f>IF(E2723&lt;&gt;"", YEARFRAC(C2723, E2723) * 12, "")</f>
        <v/>
      </c>
      <c r="J2723" s="2">
        <f>IF(I2723="", "", IF(OR(AND(A2723="Listed Equity Shares", I2723&gt;12), AND(A2723="Unlisted Equity Shares", I2723&gt;24)), "Long Term", "Short Term"))</f>
        <v/>
      </c>
      <c r="K2723" s="5">
        <f>IF(J2723="", "", IF(J2723="Long Term", 12.5%,"as per slab"))</f>
        <v/>
      </c>
      <c r="L2723" s="3">
        <f>+IFERROR(IF(J2723="","",H2723*K2723),"as per slab")</f>
        <v/>
      </c>
    </row>
    <row r="2724">
      <c r="A2724" s="7" t="n"/>
      <c r="B2724" s="7" t="n"/>
      <c r="C2724" s="8" t="n"/>
      <c r="D2724" s="9" t="n"/>
      <c r="E2724" s="8" t="n"/>
      <c r="F2724" s="9" t="n"/>
      <c r="G2724" s="9" t="n"/>
      <c r="H2724" s="3">
        <f>IF(AND(D2724&lt;&gt;"",F2724&lt;&gt;""),F2724-D2724-G2724,"")</f>
        <v/>
      </c>
      <c r="I2724" s="14">
        <f>IF(E2724&lt;&gt;"", YEARFRAC(C2724, E2724) * 12, "")</f>
        <v/>
      </c>
      <c r="J2724" s="2">
        <f>IF(I2724="", "", IF(OR(AND(A2724="Listed Equity Shares", I2724&gt;12), AND(A2724="Unlisted Equity Shares", I2724&gt;24)), "Long Term", "Short Term"))</f>
        <v/>
      </c>
      <c r="K2724" s="5">
        <f>IF(J2724="", "", IF(J2724="Long Term", 12.5%,"as per slab"))</f>
        <v/>
      </c>
      <c r="L2724" s="3">
        <f>+IFERROR(IF(J2724="","",H2724*K2724),"as per slab")</f>
        <v/>
      </c>
    </row>
    <row r="2725">
      <c r="A2725" s="7" t="n"/>
      <c r="B2725" s="7" t="n"/>
      <c r="C2725" s="8" t="n"/>
      <c r="D2725" s="9" t="n"/>
      <c r="E2725" s="8" t="n"/>
      <c r="F2725" s="9" t="n"/>
      <c r="G2725" s="9" t="n"/>
      <c r="H2725" s="3">
        <f>IF(AND(D2725&lt;&gt;"",F2725&lt;&gt;""),F2725-D2725-G2725,"")</f>
        <v/>
      </c>
      <c r="I2725" s="14">
        <f>IF(E2725&lt;&gt;"", YEARFRAC(C2725, E2725) * 12, "")</f>
        <v/>
      </c>
      <c r="J2725" s="2">
        <f>IF(I2725="", "", IF(OR(AND(A2725="Listed Equity Shares", I2725&gt;12), AND(A2725="Unlisted Equity Shares", I2725&gt;24)), "Long Term", "Short Term"))</f>
        <v/>
      </c>
      <c r="K2725" s="5">
        <f>IF(J2725="", "", IF(J2725="Long Term", 12.5%,"as per slab"))</f>
        <v/>
      </c>
      <c r="L2725" s="3">
        <f>+IFERROR(IF(J2725="","",H2725*K2725),"as per slab")</f>
        <v/>
      </c>
    </row>
    <row r="2726">
      <c r="A2726" s="7" t="n"/>
      <c r="B2726" s="7" t="n"/>
      <c r="C2726" s="8" t="n"/>
      <c r="D2726" s="9" t="n"/>
      <c r="E2726" s="8" t="n"/>
      <c r="F2726" s="9" t="n"/>
      <c r="G2726" s="9" t="n"/>
      <c r="H2726" s="3">
        <f>IF(AND(D2726&lt;&gt;"",F2726&lt;&gt;""),F2726-D2726-G2726,"")</f>
        <v/>
      </c>
      <c r="I2726" s="14">
        <f>IF(E2726&lt;&gt;"", YEARFRAC(C2726, E2726) * 12, "")</f>
        <v/>
      </c>
      <c r="J2726" s="2">
        <f>IF(I2726="", "", IF(OR(AND(A2726="Listed Equity Shares", I2726&gt;12), AND(A2726="Unlisted Equity Shares", I2726&gt;24)), "Long Term", "Short Term"))</f>
        <v/>
      </c>
      <c r="K2726" s="5">
        <f>IF(J2726="", "", IF(J2726="Long Term", 12.5%,"as per slab"))</f>
        <v/>
      </c>
      <c r="L2726" s="3">
        <f>+IFERROR(IF(J2726="","",H2726*K2726),"as per slab")</f>
        <v/>
      </c>
    </row>
    <row r="2727">
      <c r="A2727" s="7" t="n"/>
      <c r="B2727" s="7" t="n"/>
      <c r="C2727" s="8" t="n"/>
      <c r="D2727" s="9" t="n"/>
      <c r="E2727" s="8" t="n"/>
      <c r="F2727" s="9" t="n"/>
      <c r="G2727" s="9" t="n"/>
      <c r="H2727" s="3">
        <f>IF(AND(D2727&lt;&gt;"",F2727&lt;&gt;""),F2727-D2727-G2727,"")</f>
        <v/>
      </c>
      <c r="I2727" s="14">
        <f>IF(E2727&lt;&gt;"", YEARFRAC(C2727, E2727) * 12, "")</f>
        <v/>
      </c>
      <c r="J2727" s="2">
        <f>IF(I2727="", "", IF(OR(AND(A2727="Listed Equity Shares", I2727&gt;12), AND(A2727="Unlisted Equity Shares", I2727&gt;24)), "Long Term", "Short Term"))</f>
        <v/>
      </c>
      <c r="K2727" s="5">
        <f>IF(J2727="", "", IF(J2727="Long Term", 12.5%,"as per slab"))</f>
        <v/>
      </c>
      <c r="L2727" s="3">
        <f>+IFERROR(IF(J2727="","",H2727*K2727),"as per slab")</f>
        <v/>
      </c>
    </row>
    <row r="2728">
      <c r="A2728" s="7" t="n"/>
      <c r="B2728" s="7" t="n"/>
      <c r="C2728" s="8" t="n"/>
      <c r="D2728" s="9" t="n"/>
      <c r="E2728" s="8" t="n"/>
      <c r="F2728" s="9" t="n"/>
      <c r="G2728" s="9" t="n"/>
      <c r="H2728" s="3">
        <f>IF(AND(D2728&lt;&gt;"",F2728&lt;&gt;""),F2728-D2728-G2728,"")</f>
        <v/>
      </c>
      <c r="I2728" s="14">
        <f>IF(E2728&lt;&gt;"", YEARFRAC(C2728, E2728) * 12, "")</f>
        <v/>
      </c>
      <c r="J2728" s="2">
        <f>IF(I2728="", "", IF(OR(AND(A2728="Listed Equity Shares", I2728&gt;12), AND(A2728="Unlisted Equity Shares", I2728&gt;24)), "Long Term", "Short Term"))</f>
        <v/>
      </c>
      <c r="K2728" s="5">
        <f>IF(J2728="", "", IF(J2728="Long Term", 12.5%,"as per slab"))</f>
        <v/>
      </c>
      <c r="L2728" s="3">
        <f>+IFERROR(IF(J2728="","",H2728*K2728),"as per slab")</f>
        <v/>
      </c>
    </row>
    <row r="2729">
      <c r="A2729" s="7" t="n"/>
      <c r="B2729" s="7" t="n"/>
      <c r="C2729" s="8" t="n"/>
      <c r="D2729" s="9" t="n"/>
      <c r="E2729" s="8" t="n"/>
      <c r="F2729" s="9" t="n"/>
      <c r="G2729" s="9" t="n"/>
      <c r="H2729" s="3">
        <f>IF(AND(D2729&lt;&gt;"",F2729&lt;&gt;""),F2729-D2729-G2729,"")</f>
        <v/>
      </c>
      <c r="I2729" s="14">
        <f>IF(E2729&lt;&gt;"", YEARFRAC(C2729, E2729) * 12, "")</f>
        <v/>
      </c>
      <c r="J2729" s="2">
        <f>IF(I2729="", "", IF(OR(AND(A2729="Listed Equity Shares", I2729&gt;12), AND(A2729="Unlisted Equity Shares", I2729&gt;24)), "Long Term", "Short Term"))</f>
        <v/>
      </c>
      <c r="K2729" s="5">
        <f>IF(J2729="", "", IF(J2729="Long Term", 12.5%,"as per slab"))</f>
        <v/>
      </c>
      <c r="L2729" s="3">
        <f>+IFERROR(IF(J2729="","",H2729*K2729),"as per slab")</f>
        <v/>
      </c>
    </row>
    <row r="2730">
      <c r="A2730" s="7" t="n"/>
      <c r="B2730" s="7" t="n"/>
      <c r="C2730" s="8" t="n"/>
      <c r="D2730" s="9" t="n"/>
      <c r="E2730" s="8" t="n"/>
      <c r="F2730" s="9" t="n"/>
      <c r="G2730" s="9" t="n"/>
      <c r="H2730" s="3">
        <f>IF(AND(D2730&lt;&gt;"",F2730&lt;&gt;""),F2730-D2730-G2730,"")</f>
        <v/>
      </c>
      <c r="I2730" s="14">
        <f>IF(E2730&lt;&gt;"", YEARFRAC(C2730, E2730) * 12, "")</f>
        <v/>
      </c>
      <c r="J2730" s="2">
        <f>IF(I2730="", "", IF(OR(AND(A2730="Listed Equity Shares", I2730&gt;12), AND(A2730="Unlisted Equity Shares", I2730&gt;24)), "Long Term", "Short Term"))</f>
        <v/>
      </c>
      <c r="K2730" s="5">
        <f>IF(J2730="", "", IF(J2730="Long Term", 12.5%,"as per slab"))</f>
        <v/>
      </c>
      <c r="L2730" s="3">
        <f>+IFERROR(IF(J2730="","",H2730*K2730),"as per slab")</f>
        <v/>
      </c>
    </row>
    <row r="2731">
      <c r="A2731" s="7" t="n"/>
      <c r="B2731" s="7" t="n"/>
      <c r="C2731" s="8" t="n"/>
      <c r="D2731" s="9" t="n"/>
      <c r="E2731" s="8" t="n"/>
      <c r="F2731" s="9" t="n"/>
      <c r="G2731" s="9" t="n"/>
      <c r="H2731" s="3">
        <f>IF(AND(D2731&lt;&gt;"",F2731&lt;&gt;""),F2731-D2731-G2731,"")</f>
        <v/>
      </c>
      <c r="I2731" s="14">
        <f>IF(E2731&lt;&gt;"", YEARFRAC(C2731, E2731) * 12, "")</f>
        <v/>
      </c>
      <c r="J2731" s="2">
        <f>IF(I2731="", "", IF(OR(AND(A2731="Listed Equity Shares", I2731&gt;12), AND(A2731="Unlisted Equity Shares", I2731&gt;24)), "Long Term", "Short Term"))</f>
        <v/>
      </c>
      <c r="K2731" s="5">
        <f>IF(J2731="", "", IF(J2731="Long Term", 12.5%,"as per slab"))</f>
        <v/>
      </c>
      <c r="L2731" s="3">
        <f>+IFERROR(IF(J2731="","",H2731*K2731),"as per slab")</f>
        <v/>
      </c>
    </row>
    <row r="2732">
      <c r="A2732" s="7" t="n"/>
      <c r="B2732" s="7" t="n"/>
      <c r="C2732" s="8" t="n"/>
      <c r="D2732" s="9" t="n"/>
      <c r="E2732" s="8" t="n"/>
      <c r="F2732" s="9" t="n"/>
      <c r="G2732" s="9" t="n"/>
      <c r="H2732" s="3">
        <f>IF(AND(D2732&lt;&gt;"",F2732&lt;&gt;""),F2732-D2732-G2732,"")</f>
        <v/>
      </c>
      <c r="I2732" s="14">
        <f>IF(E2732&lt;&gt;"", YEARFRAC(C2732, E2732) * 12, "")</f>
        <v/>
      </c>
      <c r="J2732" s="2">
        <f>IF(I2732="", "", IF(OR(AND(A2732="Listed Equity Shares", I2732&gt;12), AND(A2732="Unlisted Equity Shares", I2732&gt;24)), "Long Term", "Short Term"))</f>
        <v/>
      </c>
      <c r="K2732" s="5">
        <f>IF(J2732="", "", IF(J2732="Long Term", 12.5%,"as per slab"))</f>
        <v/>
      </c>
      <c r="L2732" s="3">
        <f>+IFERROR(IF(J2732="","",H2732*K2732),"as per slab")</f>
        <v/>
      </c>
    </row>
    <row r="2733">
      <c r="A2733" s="7" t="n"/>
      <c r="B2733" s="7" t="n"/>
      <c r="C2733" s="8" t="n"/>
      <c r="D2733" s="9" t="n"/>
      <c r="E2733" s="8" t="n"/>
      <c r="F2733" s="9" t="n"/>
      <c r="G2733" s="9" t="n"/>
      <c r="H2733" s="3">
        <f>IF(AND(D2733&lt;&gt;"",F2733&lt;&gt;""),F2733-D2733-G2733,"")</f>
        <v/>
      </c>
      <c r="I2733" s="14">
        <f>IF(E2733&lt;&gt;"", YEARFRAC(C2733, E2733) * 12, "")</f>
        <v/>
      </c>
      <c r="J2733" s="2">
        <f>IF(I2733="", "", IF(OR(AND(A2733="Listed Equity Shares", I2733&gt;12), AND(A2733="Unlisted Equity Shares", I2733&gt;24)), "Long Term", "Short Term"))</f>
        <v/>
      </c>
      <c r="K2733" s="5">
        <f>IF(J2733="", "", IF(J2733="Long Term", 12.5%,"as per slab"))</f>
        <v/>
      </c>
      <c r="L2733" s="3">
        <f>+IFERROR(IF(J2733="","",H2733*K2733),"as per slab")</f>
        <v/>
      </c>
    </row>
    <row r="2734">
      <c r="A2734" s="7" t="n"/>
      <c r="B2734" s="7" t="n"/>
      <c r="C2734" s="8" t="n"/>
      <c r="D2734" s="9" t="n"/>
      <c r="E2734" s="8" t="n"/>
      <c r="F2734" s="9" t="n"/>
      <c r="G2734" s="9" t="n"/>
      <c r="H2734" s="3">
        <f>IF(AND(D2734&lt;&gt;"",F2734&lt;&gt;""),F2734-D2734-G2734,"")</f>
        <v/>
      </c>
      <c r="I2734" s="14">
        <f>IF(E2734&lt;&gt;"", YEARFRAC(C2734, E2734) * 12, "")</f>
        <v/>
      </c>
      <c r="J2734" s="2">
        <f>IF(I2734="", "", IF(OR(AND(A2734="Listed Equity Shares", I2734&gt;12), AND(A2734="Unlisted Equity Shares", I2734&gt;24)), "Long Term", "Short Term"))</f>
        <v/>
      </c>
      <c r="K2734" s="5">
        <f>IF(J2734="", "", IF(J2734="Long Term", 12.5%,"as per slab"))</f>
        <v/>
      </c>
      <c r="L2734" s="3">
        <f>+IFERROR(IF(J2734="","",H2734*K2734),"as per slab")</f>
        <v/>
      </c>
    </row>
    <row r="2735">
      <c r="A2735" s="7" t="n"/>
      <c r="B2735" s="7" t="n"/>
      <c r="C2735" s="8" t="n"/>
      <c r="D2735" s="9" t="n"/>
      <c r="E2735" s="8" t="n"/>
      <c r="F2735" s="9" t="n"/>
      <c r="G2735" s="9" t="n"/>
      <c r="H2735" s="3">
        <f>IF(AND(D2735&lt;&gt;"",F2735&lt;&gt;""),F2735-D2735-G2735,"")</f>
        <v/>
      </c>
      <c r="I2735" s="14">
        <f>IF(E2735&lt;&gt;"", YEARFRAC(C2735, E2735) * 12, "")</f>
        <v/>
      </c>
      <c r="J2735" s="2">
        <f>IF(I2735="", "", IF(OR(AND(A2735="Listed Equity Shares", I2735&gt;12), AND(A2735="Unlisted Equity Shares", I2735&gt;24)), "Long Term", "Short Term"))</f>
        <v/>
      </c>
      <c r="K2735" s="5">
        <f>IF(J2735="", "", IF(J2735="Long Term", 12.5%,"as per slab"))</f>
        <v/>
      </c>
      <c r="L2735" s="3">
        <f>+IFERROR(IF(J2735="","",H2735*K2735),"as per slab")</f>
        <v/>
      </c>
    </row>
    <row r="2736">
      <c r="A2736" s="7" t="n"/>
      <c r="B2736" s="7" t="n"/>
      <c r="C2736" s="8" t="n"/>
      <c r="D2736" s="9" t="n"/>
      <c r="E2736" s="8" t="n"/>
      <c r="F2736" s="9" t="n"/>
      <c r="G2736" s="9" t="n"/>
      <c r="H2736" s="3">
        <f>IF(AND(D2736&lt;&gt;"",F2736&lt;&gt;""),F2736-D2736-G2736,"")</f>
        <v/>
      </c>
      <c r="I2736" s="14">
        <f>IF(E2736&lt;&gt;"", YEARFRAC(C2736, E2736) * 12, "")</f>
        <v/>
      </c>
      <c r="J2736" s="2">
        <f>IF(I2736="", "", IF(OR(AND(A2736="Listed Equity Shares", I2736&gt;12), AND(A2736="Unlisted Equity Shares", I2736&gt;24)), "Long Term", "Short Term"))</f>
        <v/>
      </c>
      <c r="K2736" s="5">
        <f>IF(J2736="", "", IF(J2736="Long Term", 12.5%,"as per slab"))</f>
        <v/>
      </c>
      <c r="L2736" s="3">
        <f>+IFERROR(IF(J2736="","",H2736*K2736),"as per slab")</f>
        <v/>
      </c>
    </row>
    <row r="2737">
      <c r="A2737" s="7" t="n"/>
      <c r="B2737" s="7" t="n"/>
      <c r="C2737" s="8" t="n"/>
      <c r="D2737" s="9" t="n"/>
      <c r="E2737" s="8" t="n"/>
      <c r="F2737" s="9" t="n"/>
      <c r="G2737" s="9" t="n"/>
      <c r="H2737" s="3">
        <f>IF(AND(D2737&lt;&gt;"",F2737&lt;&gt;""),F2737-D2737-G2737,"")</f>
        <v/>
      </c>
      <c r="I2737" s="14">
        <f>IF(E2737&lt;&gt;"", YEARFRAC(C2737, E2737) * 12, "")</f>
        <v/>
      </c>
      <c r="J2737" s="2">
        <f>IF(I2737="", "", IF(OR(AND(A2737="Listed Equity Shares", I2737&gt;12), AND(A2737="Unlisted Equity Shares", I2737&gt;24)), "Long Term", "Short Term"))</f>
        <v/>
      </c>
      <c r="K2737" s="5">
        <f>IF(J2737="", "", IF(J2737="Long Term", 12.5%,"as per slab"))</f>
        <v/>
      </c>
      <c r="L2737" s="3">
        <f>+IFERROR(IF(J2737="","",H2737*K2737),"as per slab")</f>
        <v/>
      </c>
    </row>
    <row r="2738">
      <c r="A2738" s="7" t="n"/>
      <c r="B2738" s="7" t="n"/>
      <c r="C2738" s="8" t="n"/>
      <c r="D2738" s="9" t="n"/>
      <c r="E2738" s="8" t="n"/>
      <c r="F2738" s="9" t="n"/>
      <c r="G2738" s="9" t="n"/>
      <c r="H2738" s="3">
        <f>IF(AND(D2738&lt;&gt;"",F2738&lt;&gt;""),F2738-D2738-G2738,"")</f>
        <v/>
      </c>
      <c r="I2738" s="14">
        <f>IF(E2738&lt;&gt;"", YEARFRAC(C2738, E2738) * 12, "")</f>
        <v/>
      </c>
      <c r="J2738" s="2">
        <f>IF(I2738="", "", IF(OR(AND(A2738="Listed Equity Shares", I2738&gt;12), AND(A2738="Unlisted Equity Shares", I2738&gt;24)), "Long Term", "Short Term"))</f>
        <v/>
      </c>
      <c r="K2738" s="5">
        <f>IF(J2738="", "", IF(J2738="Long Term", 12.5%,"as per slab"))</f>
        <v/>
      </c>
      <c r="L2738" s="3">
        <f>+IFERROR(IF(J2738="","",H2738*K2738),"as per slab")</f>
        <v/>
      </c>
    </row>
    <row r="2739">
      <c r="A2739" s="7" t="n"/>
      <c r="B2739" s="7" t="n"/>
      <c r="C2739" s="8" t="n"/>
      <c r="D2739" s="9" t="n"/>
      <c r="E2739" s="8" t="n"/>
      <c r="F2739" s="9" t="n"/>
      <c r="G2739" s="9" t="n"/>
      <c r="H2739" s="3">
        <f>IF(AND(D2739&lt;&gt;"",F2739&lt;&gt;""),F2739-D2739-G2739,"")</f>
        <v/>
      </c>
      <c r="I2739" s="14">
        <f>IF(E2739&lt;&gt;"", YEARFRAC(C2739, E2739) * 12, "")</f>
        <v/>
      </c>
      <c r="J2739" s="2">
        <f>IF(I2739="", "", IF(OR(AND(A2739="Listed Equity Shares", I2739&gt;12), AND(A2739="Unlisted Equity Shares", I2739&gt;24)), "Long Term", "Short Term"))</f>
        <v/>
      </c>
      <c r="K2739" s="5">
        <f>IF(J2739="", "", IF(J2739="Long Term", 12.5%,"as per slab"))</f>
        <v/>
      </c>
      <c r="L2739" s="3">
        <f>+IFERROR(IF(J2739="","",H2739*K2739),"as per slab")</f>
        <v/>
      </c>
    </row>
    <row r="2740">
      <c r="A2740" s="7" t="n"/>
      <c r="B2740" s="7" t="n"/>
      <c r="C2740" s="8" t="n"/>
      <c r="D2740" s="9" t="n"/>
      <c r="E2740" s="8" t="n"/>
      <c r="F2740" s="9" t="n"/>
      <c r="G2740" s="9" t="n"/>
      <c r="H2740" s="3">
        <f>IF(AND(D2740&lt;&gt;"",F2740&lt;&gt;""),F2740-D2740-G2740,"")</f>
        <v/>
      </c>
      <c r="I2740" s="14">
        <f>IF(E2740&lt;&gt;"", YEARFRAC(C2740, E2740) * 12, "")</f>
        <v/>
      </c>
      <c r="J2740" s="2">
        <f>IF(I2740="", "", IF(OR(AND(A2740="Listed Equity Shares", I2740&gt;12), AND(A2740="Unlisted Equity Shares", I2740&gt;24)), "Long Term", "Short Term"))</f>
        <v/>
      </c>
      <c r="K2740" s="5">
        <f>IF(J2740="", "", IF(J2740="Long Term", 12.5%,"as per slab"))</f>
        <v/>
      </c>
      <c r="L2740" s="3">
        <f>+IFERROR(IF(J2740="","",H2740*K2740),"as per slab")</f>
        <v/>
      </c>
    </row>
    <row r="2741">
      <c r="A2741" s="7" t="n"/>
      <c r="B2741" s="7" t="n"/>
      <c r="C2741" s="8" t="n"/>
      <c r="D2741" s="9" t="n"/>
      <c r="E2741" s="8" t="n"/>
      <c r="F2741" s="9" t="n"/>
      <c r="G2741" s="9" t="n"/>
      <c r="H2741" s="3">
        <f>IF(AND(D2741&lt;&gt;"",F2741&lt;&gt;""),F2741-D2741-G2741,"")</f>
        <v/>
      </c>
      <c r="I2741" s="14">
        <f>IF(E2741&lt;&gt;"", YEARFRAC(C2741, E2741) * 12, "")</f>
        <v/>
      </c>
      <c r="J2741" s="2">
        <f>IF(I2741="", "", IF(OR(AND(A2741="Listed Equity Shares", I2741&gt;12), AND(A2741="Unlisted Equity Shares", I2741&gt;24)), "Long Term", "Short Term"))</f>
        <v/>
      </c>
      <c r="K2741" s="5">
        <f>IF(J2741="", "", IF(J2741="Long Term", 12.5%,"as per slab"))</f>
        <v/>
      </c>
      <c r="L2741" s="3">
        <f>+IFERROR(IF(J2741="","",H2741*K2741),"as per slab")</f>
        <v/>
      </c>
    </row>
    <row r="2742">
      <c r="A2742" s="7" t="n"/>
      <c r="B2742" s="7" t="n"/>
      <c r="C2742" s="8" t="n"/>
      <c r="D2742" s="9" t="n"/>
      <c r="E2742" s="8" t="n"/>
      <c r="F2742" s="9" t="n"/>
      <c r="G2742" s="9" t="n"/>
      <c r="H2742" s="3">
        <f>IF(AND(D2742&lt;&gt;"",F2742&lt;&gt;""),F2742-D2742-G2742,"")</f>
        <v/>
      </c>
      <c r="I2742" s="14">
        <f>IF(E2742&lt;&gt;"", YEARFRAC(C2742, E2742) * 12, "")</f>
        <v/>
      </c>
      <c r="J2742" s="2">
        <f>IF(I2742="", "", IF(OR(AND(A2742="Listed Equity Shares", I2742&gt;12), AND(A2742="Unlisted Equity Shares", I2742&gt;24)), "Long Term", "Short Term"))</f>
        <v/>
      </c>
      <c r="K2742" s="5">
        <f>IF(J2742="", "", IF(J2742="Long Term", 12.5%,"as per slab"))</f>
        <v/>
      </c>
      <c r="L2742" s="3">
        <f>+IFERROR(IF(J2742="","",H2742*K2742),"as per slab")</f>
        <v/>
      </c>
    </row>
    <row r="2743">
      <c r="A2743" s="7" t="n"/>
      <c r="B2743" s="7" t="n"/>
      <c r="C2743" s="8" t="n"/>
      <c r="D2743" s="9" t="n"/>
      <c r="E2743" s="8" t="n"/>
      <c r="F2743" s="9" t="n"/>
      <c r="G2743" s="9" t="n"/>
      <c r="H2743" s="3">
        <f>IF(AND(D2743&lt;&gt;"",F2743&lt;&gt;""),F2743-D2743-G2743,"")</f>
        <v/>
      </c>
      <c r="I2743" s="14">
        <f>IF(E2743&lt;&gt;"", YEARFRAC(C2743, E2743) * 12, "")</f>
        <v/>
      </c>
      <c r="J2743" s="2">
        <f>IF(I2743="", "", IF(OR(AND(A2743="Listed Equity Shares", I2743&gt;12), AND(A2743="Unlisted Equity Shares", I2743&gt;24)), "Long Term", "Short Term"))</f>
        <v/>
      </c>
      <c r="K2743" s="5">
        <f>IF(J2743="", "", IF(J2743="Long Term", 12.5%,"as per slab"))</f>
        <v/>
      </c>
      <c r="L2743" s="3">
        <f>+IFERROR(IF(J2743="","",H2743*K2743),"as per slab")</f>
        <v/>
      </c>
    </row>
    <row r="2744">
      <c r="A2744" s="7" t="n"/>
      <c r="B2744" s="7" t="n"/>
      <c r="C2744" s="8" t="n"/>
      <c r="D2744" s="9" t="n"/>
      <c r="E2744" s="8" t="n"/>
      <c r="F2744" s="9" t="n"/>
      <c r="G2744" s="9" t="n"/>
      <c r="H2744" s="3">
        <f>IF(AND(D2744&lt;&gt;"",F2744&lt;&gt;""),F2744-D2744-G2744,"")</f>
        <v/>
      </c>
      <c r="I2744" s="14">
        <f>IF(E2744&lt;&gt;"", YEARFRAC(C2744, E2744) * 12, "")</f>
        <v/>
      </c>
      <c r="J2744" s="2">
        <f>IF(I2744="", "", IF(OR(AND(A2744="Listed Equity Shares", I2744&gt;12), AND(A2744="Unlisted Equity Shares", I2744&gt;24)), "Long Term", "Short Term"))</f>
        <v/>
      </c>
      <c r="K2744" s="5">
        <f>IF(J2744="", "", IF(J2744="Long Term", 12.5%,"as per slab"))</f>
        <v/>
      </c>
      <c r="L2744" s="3">
        <f>+IFERROR(IF(J2744="","",H2744*K2744),"as per slab")</f>
        <v/>
      </c>
    </row>
    <row r="2745">
      <c r="A2745" s="7" t="n"/>
      <c r="B2745" s="7" t="n"/>
      <c r="C2745" s="8" t="n"/>
      <c r="D2745" s="9" t="n"/>
      <c r="E2745" s="8" t="n"/>
      <c r="F2745" s="9" t="n"/>
      <c r="G2745" s="9" t="n"/>
      <c r="H2745" s="3">
        <f>IF(AND(D2745&lt;&gt;"",F2745&lt;&gt;""),F2745-D2745-G2745,"")</f>
        <v/>
      </c>
      <c r="I2745" s="14">
        <f>IF(E2745&lt;&gt;"", YEARFRAC(C2745, E2745) * 12, "")</f>
        <v/>
      </c>
      <c r="J2745" s="2">
        <f>IF(I2745="", "", IF(OR(AND(A2745="Listed Equity Shares", I2745&gt;12), AND(A2745="Unlisted Equity Shares", I2745&gt;24)), "Long Term", "Short Term"))</f>
        <v/>
      </c>
      <c r="K2745" s="5">
        <f>IF(J2745="", "", IF(J2745="Long Term", 12.5%,"as per slab"))</f>
        <v/>
      </c>
      <c r="L2745" s="3">
        <f>+IFERROR(IF(J2745="","",H2745*K2745),"as per slab")</f>
        <v/>
      </c>
    </row>
    <row r="2746">
      <c r="A2746" s="7" t="n"/>
      <c r="B2746" s="7" t="n"/>
      <c r="C2746" s="8" t="n"/>
      <c r="D2746" s="9" t="n"/>
      <c r="E2746" s="8" t="n"/>
      <c r="F2746" s="9" t="n"/>
      <c r="G2746" s="9" t="n"/>
      <c r="H2746" s="3">
        <f>IF(AND(D2746&lt;&gt;"",F2746&lt;&gt;""),F2746-D2746-G2746,"")</f>
        <v/>
      </c>
      <c r="I2746" s="14">
        <f>IF(E2746&lt;&gt;"", YEARFRAC(C2746, E2746) * 12, "")</f>
        <v/>
      </c>
      <c r="J2746" s="2">
        <f>IF(I2746="", "", IF(OR(AND(A2746="Listed Equity Shares", I2746&gt;12), AND(A2746="Unlisted Equity Shares", I2746&gt;24)), "Long Term", "Short Term"))</f>
        <v/>
      </c>
      <c r="K2746" s="5">
        <f>IF(J2746="", "", IF(J2746="Long Term", 12.5%,"as per slab"))</f>
        <v/>
      </c>
      <c r="L2746" s="3">
        <f>+IFERROR(IF(J2746="","",H2746*K2746),"as per slab")</f>
        <v/>
      </c>
    </row>
    <row r="2747">
      <c r="A2747" s="7" t="n"/>
      <c r="B2747" s="7" t="n"/>
      <c r="C2747" s="8" t="n"/>
      <c r="D2747" s="9" t="n"/>
      <c r="E2747" s="8" t="n"/>
      <c r="F2747" s="9" t="n"/>
      <c r="G2747" s="9" t="n"/>
      <c r="H2747" s="3">
        <f>IF(AND(D2747&lt;&gt;"",F2747&lt;&gt;""),F2747-D2747-G2747,"")</f>
        <v/>
      </c>
      <c r="I2747" s="14">
        <f>IF(E2747&lt;&gt;"", YEARFRAC(C2747, E2747) * 12, "")</f>
        <v/>
      </c>
      <c r="J2747" s="2">
        <f>IF(I2747="", "", IF(OR(AND(A2747="Listed Equity Shares", I2747&gt;12), AND(A2747="Unlisted Equity Shares", I2747&gt;24)), "Long Term", "Short Term"))</f>
        <v/>
      </c>
      <c r="K2747" s="5">
        <f>IF(J2747="", "", IF(J2747="Long Term", 12.5%,"as per slab"))</f>
        <v/>
      </c>
      <c r="L2747" s="3">
        <f>+IFERROR(IF(J2747="","",H2747*K2747),"as per slab")</f>
        <v/>
      </c>
    </row>
    <row r="2748">
      <c r="A2748" s="7" t="n"/>
      <c r="B2748" s="7" t="n"/>
      <c r="C2748" s="8" t="n"/>
      <c r="D2748" s="9" t="n"/>
      <c r="E2748" s="8" t="n"/>
      <c r="F2748" s="9" t="n"/>
      <c r="G2748" s="9" t="n"/>
      <c r="H2748" s="3">
        <f>IF(AND(D2748&lt;&gt;"",F2748&lt;&gt;""),F2748-D2748-G2748,"")</f>
        <v/>
      </c>
      <c r="I2748" s="14">
        <f>IF(E2748&lt;&gt;"", YEARFRAC(C2748, E2748) * 12, "")</f>
        <v/>
      </c>
      <c r="J2748" s="2">
        <f>IF(I2748="", "", IF(OR(AND(A2748="Listed Equity Shares", I2748&gt;12), AND(A2748="Unlisted Equity Shares", I2748&gt;24)), "Long Term", "Short Term"))</f>
        <v/>
      </c>
      <c r="K2748" s="5">
        <f>IF(J2748="", "", IF(J2748="Long Term", 12.5%,"as per slab"))</f>
        <v/>
      </c>
      <c r="L2748" s="3">
        <f>+IFERROR(IF(J2748="","",H2748*K2748),"as per slab")</f>
        <v/>
      </c>
    </row>
    <row r="2749">
      <c r="A2749" s="7" t="n"/>
      <c r="B2749" s="7" t="n"/>
      <c r="C2749" s="8" t="n"/>
      <c r="D2749" s="9" t="n"/>
      <c r="E2749" s="8" t="n"/>
      <c r="F2749" s="9" t="n"/>
      <c r="G2749" s="9" t="n"/>
      <c r="H2749" s="3">
        <f>IF(AND(D2749&lt;&gt;"",F2749&lt;&gt;""),F2749-D2749-G2749,"")</f>
        <v/>
      </c>
      <c r="I2749" s="14">
        <f>IF(E2749&lt;&gt;"", YEARFRAC(C2749, E2749) * 12, "")</f>
        <v/>
      </c>
      <c r="J2749" s="2">
        <f>IF(I2749="", "", IF(OR(AND(A2749="Listed Equity Shares", I2749&gt;12), AND(A2749="Unlisted Equity Shares", I2749&gt;24)), "Long Term", "Short Term"))</f>
        <v/>
      </c>
      <c r="K2749" s="5">
        <f>IF(J2749="", "", IF(J2749="Long Term", 12.5%,"as per slab"))</f>
        <v/>
      </c>
      <c r="L2749" s="3">
        <f>+IFERROR(IF(J2749="","",H2749*K2749),"as per slab")</f>
        <v/>
      </c>
    </row>
    <row r="2750">
      <c r="A2750" s="7" t="n"/>
      <c r="B2750" s="7" t="n"/>
      <c r="C2750" s="8" t="n"/>
      <c r="D2750" s="9" t="n"/>
      <c r="E2750" s="8" t="n"/>
      <c r="F2750" s="9" t="n"/>
      <c r="G2750" s="9" t="n"/>
      <c r="H2750" s="3">
        <f>IF(AND(D2750&lt;&gt;"",F2750&lt;&gt;""),F2750-D2750-G2750,"")</f>
        <v/>
      </c>
      <c r="I2750" s="14">
        <f>IF(E2750&lt;&gt;"", YEARFRAC(C2750, E2750) * 12, "")</f>
        <v/>
      </c>
      <c r="J2750" s="2">
        <f>IF(I2750="", "", IF(OR(AND(A2750="Listed Equity Shares", I2750&gt;12), AND(A2750="Unlisted Equity Shares", I2750&gt;24)), "Long Term", "Short Term"))</f>
        <v/>
      </c>
      <c r="K2750" s="5">
        <f>IF(J2750="", "", IF(J2750="Long Term", 12.5%,"as per slab"))</f>
        <v/>
      </c>
      <c r="L2750" s="3">
        <f>+IFERROR(IF(J2750="","",H2750*K2750),"as per slab")</f>
        <v/>
      </c>
    </row>
    <row r="2751">
      <c r="A2751" s="7" t="n"/>
      <c r="B2751" s="7" t="n"/>
      <c r="C2751" s="8" t="n"/>
      <c r="D2751" s="9" t="n"/>
      <c r="E2751" s="8" t="n"/>
      <c r="F2751" s="9" t="n"/>
      <c r="G2751" s="9" t="n"/>
      <c r="H2751" s="3">
        <f>IF(AND(D2751&lt;&gt;"",F2751&lt;&gt;""),F2751-D2751-G2751,"")</f>
        <v/>
      </c>
      <c r="I2751" s="14">
        <f>IF(E2751&lt;&gt;"", YEARFRAC(C2751, E2751) * 12, "")</f>
        <v/>
      </c>
      <c r="J2751" s="2">
        <f>IF(I2751="", "", IF(OR(AND(A2751="Listed Equity Shares", I2751&gt;12), AND(A2751="Unlisted Equity Shares", I2751&gt;24)), "Long Term", "Short Term"))</f>
        <v/>
      </c>
      <c r="K2751" s="5">
        <f>IF(J2751="", "", IF(J2751="Long Term", 12.5%,"as per slab"))</f>
        <v/>
      </c>
      <c r="L2751" s="3">
        <f>+IFERROR(IF(J2751="","",H2751*K2751),"as per slab")</f>
        <v/>
      </c>
    </row>
    <row r="2752">
      <c r="A2752" s="7" t="n"/>
      <c r="B2752" s="7" t="n"/>
      <c r="C2752" s="8" t="n"/>
      <c r="D2752" s="9" t="n"/>
      <c r="E2752" s="8" t="n"/>
      <c r="F2752" s="9" t="n"/>
      <c r="G2752" s="9" t="n"/>
      <c r="H2752" s="3">
        <f>IF(AND(D2752&lt;&gt;"",F2752&lt;&gt;""),F2752-D2752-G2752,"")</f>
        <v/>
      </c>
      <c r="I2752" s="14">
        <f>IF(E2752&lt;&gt;"", YEARFRAC(C2752, E2752) * 12, "")</f>
        <v/>
      </c>
      <c r="J2752" s="2">
        <f>IF(I2752="", "", IF(OR(AND(A2752="Listed Equity Shares", I2752&gt;12), AND(A2752="Unlisted Equity Shares", I2752&gt;24)), "Long Term", "Short Term"))</f>
        <v/>
      </c>
      <c r="K2752" s="5">
        <f>IF(J2752="", "", IF(J2752="Long Term", 12.5%,"as per slab"))</f>
        <v/>
      </c>
      <c r="L2752" s="3">
        <f>+IFERROR(IF(J2752="","",H2752*K2752),"as per slab")</f>
        <v/>
      </c>
    </row>
    <row r="2753">
      <c r="A2753" s="7" t="n"/>
      <c r="B2753" s="7" t="n"/>
      <c r="C2753" s="8" t="n"/>
      <c r="D2753" s="9" t="n"/>
      <c r="E2753" s="8" t="n"/>
      <c r="F2753" s="9" t="n"/>
      <c r="G2753" s="9" t="n"/>
      <c r="H2753" s="3">
        <f>IF(AND(D2753&lt;&gt;"",F2753&lt;&gt;""),F2753-D2753-G2753,"")</f>
        <v/>
      </c>
      <c r="I2753" s="14">
        <f>IF(E2753&lt;&gt;"", YEARFRAC(C2753, E2753) * 12, "")</f>
        <v/>
      </c>
      <c r="J2753" s="2">
        <f>IF(I2753="", "", IF(OR(AND(A2753="Listed Equity Shares", I2753&gt;12), AND(A2753="Unlisted Equity Shares", I2753&gt;24)), "Long Term", "Short Term"))</f>
        <v/>
      </c>
      <c r="K2753" s="5">
        <f>IF(J2753="", "", IF(J2753="Long Term", 12.5%,"as per slab"))</f>
        <v/>
      </c>
      <c r="L2753" s="3">
        <f>+IFERROR(IF(J2753="","",H2753*K2753),"as per slab")</f>
        <v/>
      </c>
    </row>
    <row r="2754">
      <c r="A2754" s="7" t="n"/>
      <c r="B2754" s="7" t="n"/>
      <c r="C2754" s="8" t="n"/>
      <c r="D2754" s="9" t="n"/>
      <c r="E2754" s="8" t="n"/>
      <c r="F2754" s="9" t="n"/>
      <c r="G2754" s="9" t="n"/>
      <c r="H2754" s="3">
        <f>IF(AND(D2754&lt;&gt;"",F2754&lt;&gt;""),F2754-D2754-G2754,"")</f>
        <v/>
      </c>
      <c r="I2754" s="14">
        <f>IF(E2754&lt;&gt;"", YEARFRAC(C2754, E2754) * 12, "")</f>
        <v/>
      </c>
      <c r="J2754" s="2">
        <f>IF(I2754="", "", IF(OR(AND(A2754="Listed Equity Shares", I2754&gt;12), AND(A2754="Unlisted Equity Shares", I2754&gt;24)), "Long Term", "Short Term"))</f>
        <v/>
      </c>
      <c r="K2754" s="5">
        <f>IF(J2754="", "", IF(J2754="Long Term", 12.5%,"as per slab"))</f>
        <v/>
      </c>
      <c r="L2754" s="3">
        <f>+IFERROR(IF(J2754="","",H2754*K2754),"as per slab")</f>
        <v/>
      </c>
    </row>
    <row r="2755">
      <c r="A2755" s="7" t="n"/>
      <c r="B2755" s="7" t="n"/>
      <c r="C2755" s="8" t="n"/>
      <c r="D2755" s="9" t="n"/>
      <c r="E2755" s="8" t="n"/>
      <c r="F2755" s="9" t="n"/>
      <c r="G2755" s="9" t="n"/>
      <c r="H2755" s="3">
        <f>IF(AND(D2755&lt;&gt;"",F2755&lt;&gt;""),F2755-D2755-G2755,"")</f>
        <v/>
      </c>
      <c r="I2755" s="14">
        <f>IF(E2755&lt;&gt;"", YEARFRAC(C2755, E2755) * 12, "")</f>
        <v/>
      </c>
      <c r="J2755" s="2">
        <f>IF(I2755="", "", IF(OR(AND(A2755="Listed Equity Shares", I2755&gt;12), AND(A2755="Unlisted Equity Shares", I2755&gt;24)), "Long Term", "Short Term"))</f>
        <v/>
      </c>
      <c r="K2755" s="5">
        <f>IF(J2755="", "", IF(J2755="Long Term", 12.5%,"as per slab"))</f>
        <v/>
      </c>
      <c r="L2755" s="3">
        <f>+IFERROR(IF(J2755="","",H2755*K2755),"as per slab")</f>
        <v/>
      </c>
    </row>
    <row r="2756">
      <c r="A2756" s="7" t="n"/>
      <c r="B2756" s="7" t="n"/>
      <c r="C2756" s="8" t="n"/>
      <c r="D2756" s="9" t="n"/>
      <c r="E2756" s="8" t="n"/>
      <c r="F2756" s="9" t="n"/>
      <c r="G2756" s="9" t="n"/>
      <c r="H2756" s="3">
        <f>IF(AND(D2756&lt;&gt;"",F2756&lt;&gt;""),F2756-D2756-G2756,"")</f>
        <v/>
      </c>
      <c r="I2756" s="14">
        <f>IF(E2756&lt;&gt;"", YEARFRAC(C2756, E2756) * 12, "")</f>
        <v/>
      </c>
      <c r="J2756" s="2">
        <f>IF(I2756="", "", IF(OR(AND(A2756="Listed Equity Shares", I2756&gt;12), AND(A2756="Unlisted Equity Shares", I2756&gt;24)), "Long Term", "Short Term"))</f>
        <v/>
      </c>
      <c r="K2756" s="5">
        <f>IF(J2756="", "", IF(J2756="Long Term", 12.5%,"as per slab"))</f>
        <v/>
      </c>
      <c r="L2756" s="3">
        <f>+IFERROR(IF(J2756="","",H2756*K2756),"as per slab")</f>
        <v/>
      </c>
    </row>
    <row r="2757">
      <c r="A2757" s="7" t="n"/>
      <c r="B2757" s="7" t="n"/>
      <c r="C2757" s="8" t="n"/>
      <c r="D2757" s="9" t="n"/>
      <c r="E2757" s="8" t="n"/>
      <c r="F2757" s="9" t="n"/>
      <c r="G2757" s="9" t="n"/>
      <c r="H2757" s="3">
        <f>IF(AND(D2757&lt;&gt;"",F2757&lt;&gt;""),F2757-D2757-G2757,"")</f>
        <v/>
      </c>
      <c r="I2757" s="14">
        <f>IF(E2757&lt;&gt;"", YEARFRAC(C2757, E2757) * 12, "")</f>
        <v/>
      </c>
      <c r="J2757" s="2">
        <f>IF(I2757="", "", IF(OR(AND(A2757="Listed Equity Shares", I2757&gt;12), AND(A2757="Unlisted Equity Shares", I2757&gt;24)), "Long Term", "Short Term"))</f>
        <v/>
      </c>
      <c r="K2757" s="5">
        <f>IF(J2757="", "", IF(J2757="Long Term", 12.5%,"as per slab"))</f>
        <v/>
      </c>
      <c r="L2757" s="3">
        <f>+IFERROR(IF(J2757="","",H2757*K2757),"as per slab")</f>
        <v/>
      </c>
    </row>
    <row r="2758">
      <c r="A2758" s="7" t="n"/>
      <c r="B2758" s="7" t="n"/>
      <c r="C2758" s="8" t="n"/>
      <c r="D2758" s="9" t="n"/>
      <c r="E2758" s="8" t="n"/>
      <c r="F2758" s="9" t="n"/>
      <c r="G2758" s="9" t="n"/>
      <c r="H2758" s="3">
        <f>IF(AND(D2758&lt;&gt;"",F2758&lt;&gt;""),F2758-D2758-G2758,"")</f>
        <v/>
      </c>
      <c r="I2758" s="14">
        <f>IF(E2758&lt;&gt;"", YEARFRAC(C2758, E2758) * 12, "")</f>
        <v/>
      </c>
      <c r="J2758" s="2">
        <f>IF(I2758="", "", IF(OR(AND(A2758="Listed Equity Shares", I2758&gt;12), AND(A2758="Unlisted Equity Shares", I2758&gt;24)), "Long Term", "Short Term"))</f>
        <v/>
      </c>
      <c r="K2758" s="5">
        <f>IF(J2758="", "", IF(J2758="Long Term", 12.5%,"as per slab"))</f>
        <v/>
      </c>
      <c r="L2758" s="3">
        <f>+IFERROR(IF(J2758="","",H2758*K2758),"as per slab")</f>
        <v/>
      </c>
    </row>
    <row r="2759">
      <c r="A2759" s="7" t="n"/>
      <c r="B2759" s="7" t="n"/>
      <c r="C2759" s="8" t="n"/>
      <c r="D2759" s="9" t="n"/>
      <c r="E2759" s="8" t="n"/>
      <c r="F2759" s="9" t="n"/>
      <c r="G2759" s="9" t="n"/>
      <c r="H2759" s="3">
        <f>IF(AND(D2759&lt;&gt;"",F2759&lt;&gt;""),F2759-D2759-G2759,"")</f>
        <v/>
      </c>
      <c r="I2759" s="14">
        <f>IF(E2759&lt;&gt;"", YEARFRAC(C2759, E2759) * 12, "")</f>
        <v/>
      </c>
      <c r="J2759" s="2">
        <f>IF(I2759="", "", IF(OR(AND(A2759="Listed Equity Shares", I2759&gt;12), AND(A2759="Unlisted Equity Shares", I2759&gt;24)), "Long Term", "Short Term"))</f>
        <v/>
      </c>
      <c r="K2759" s="5">
        <f>IF(J2759="", "", IF(J2759="Long Term", 12.5%,"as per slab"))</f>
        <v/>
      </c>
      <c r="L2759" s="3">
        <f>+IFERROR(IF(J2759="","",H2759*K2759),"as per slab")</f>
        <v/>
      </c>
    </row>
    <row r="2760">
      <c r="A2760" s="7" t="n"/>
      <c r="B2760" s="7" t="n"/>
      <c r="C2760" s="8" t="n"/>
      <c r="D2760" s="9" t="n"/>
      <c r="E2760" s="8" t="n"/>
      <c r="F2760" s="9" t="n"/>
      <c r="G2760" s="9" t="n"/>
      <c r="H2760" s="3">
        <f>IF(AND(D2760&lt;&gt;"",F2760&lt;&gt;""),F2760-D2760-G2760,"")</f>
        <v/>
      </c>
      <c r="I2760" s="14">
        <f>IF(E2760&lt;&gt;"", YEARFRAC(C2760, E2760) * 12, "")</f>
        <v/>
      </c>
      <c r="J2760" s="2">
        <f>IF(I2760="", "", IF(OR(AND(A2760="Listed Equity Shares", I2760&gt;12), AND(A2760="Unlisted Equity Shares", I2760&gt;24)), "Long Term", "Short Term"))</f>
        <v/>
      </c>
      <c r="K2760" s="5">
        <f>IF(J2760="", "", IF(J2760="Long Term", 12.5%,"as per slab"))</f>
        <v/>
      </c>
      <c r="L2760" s="3">
        <f>+IFERROR(IF(J2760="","",H2760*K2760),"as per slab")</f>
        <v/>
      </c>
    </row>
    <row r="2761">
      <c r="A2761" s="7" t="n"/>
      <c r="B2761" s="7" t="n"/>
      <c r="C2761" s="8" t="n"/>
      <c r="D2761" s="9" t="n"/>
      <c r="E2761" s="8" t="n"/>
      <c r="F2761" s="9" t="n"/>
      <c r="G2761" s="9" t="n"/>
      <c r="H2761" s="3">
        <f>IF(AND(D2761&lt;&gt;"",F2761&lt;&gt;""),F2761-D2761-G2761,"")</f>
        <v/>
      </c>
      <c r="I2761" s="14">
        <f>IF(E2761&lt;&gt;"", YEARFRAC(C2761, E2761) * 12, "")</f>
        <v/>
      </c>
      <c r="J2761" s="2">
        <f>IF(I2761="", "", IF(OR(AND(A2761="Listed Equity Shares", I2761&gt;12), AND(A2761="Unlisted Equity Shares", I2761&gt;24)), "Long Term", "Short Term"))</f>
        <v/>
      </c>
      <c r="K2761" s="5">
        <f>IF(J2761="", "", IF(J2761="Long Term", 12.5%,"as per slab"))</f>
        <v/>
      </c>
      <c r="L2761" s="3">
        <f>+IFERROR(IF(J2761="","",H2761*K2761),"as per slab")</f>
        <v/>
      </c>
    </row>
    <row r="2762">
      <c r="A2762" s="7" t="n"/>
      <c r="B2762" s="7" t="n"/>
      <c r="C2762" s="8" t="n"/>
      <c r="D2762" s="9" t="n"/>
      <c r="E2762" s="8" t="n"/>
      <c r="F2762" s="9" t="n"/>
      <c r="G2762" s="9" t="n"/>
      <c r="H2762" s="3">
        <f>IF(AND(D2762&lt;&gt;"",F2762&lt;&gt;""),F2762-D2762-G2762,"")</f>
        <v/>
      </c>
      <c r="I2762" s="14">
        <f>IF(E2762&lt;&gt;"", YEARFRAC(C2762, E2762) * 12, "")</f>
        <v/>
      </c>
      <c r="J2762" s="2">
        <f>IF(I2762="", "", IF(OR(AND(A2762="Listed Equity Shares", I2762&gt;12), AND(A2762="Unlisted Equity Shares", I2762&gt;24)), "Long Term", "Short Term"))</f>
        <v/>
      </c>
      <c r="K2762" s="5">
        <f>IF(J2762="", "", IF(J2762="Long Term", 12.5%,"as per slab"))</f>
        <v/>
      </c>
      <c r="L2762" s="3">
        <f>+IFERROR(IF(J2762="","",H2762*K2762),"as per slab")</f>
        <v/>
      </c>
    </row>
    <row r="2763">
      <c r="A2763" s="7" t="n"/>
      <c r="B2763" s="7" t="n"/>
      <c r="C2763" s="8" t="n"/>
      <c r="D2763" s="9" t="n"/>
      <c r="E2763" s="8" t="n"/>
      <c r="F2763" s="9" t="n"/>
      <c r="G2763" s="9" t="n"/>
      <c r="H2763" s="3">
        <f>IF(AND(D2763&lt;&gt;"",F2763&lt;&gt;""),F2763-D2763-G2763,"")</f>
        <v/>
      </c>
      <c r="I2763" s="14">
        <f>IF(E2763&lt;&gt;"", YEARFRAC(C2763, E2763) * 12, "")</f>
        <v/>
      </c>
      <c r="J2763" s="2">
        <f>IF(I2763="", "", IF(OR(AND(A2763="Listed Equity Shares", I2763&gt;12), AND(A2763="Unlisted Equity Shares", I2763&gt;24)), "Long Term", "Short Term"))</f>
        <v/>
      </c>
      <c r="K2763" s="5">
        <f>IF(J2763="", "", IF(J2763="Long Term", 12.5%,"as per slab"))</f>
        <v/>
      </c>
      <c r="L2763" s="3">
        <f>+IFERROR(IF(J2763="","",H2763*K2763),"as per slab")</f>
        <v/>
      </c>
    </row>
    <row r="2764">
      <c r="A2764" s="7" t="n"/>
      <c r="B2764" s="7" t="n"/>
      <c r="C2764" s="8" t="n"/>
      <c r="D2764" s="9" t="n"/>
      <c r="E2764" s="8" t="n"/>
      <c r="F2764" s="9" t="n"/>
      <c r="G2764" s="9" t="n"/>
      <c r="H2764" s="3">
        <f>IF(AND(D2764&lt;&gt;"",F2764&lt;&gt;""),F2764-D2764-G2764,"")</f>
        <v/>
      </c>
      <c r="I2764" s="14">
        <f>IF(E2764&lt;&gt;"", YEARFRAC(C2764, E2764) * 12, "")</f>
        <v/>
      </c>
      <c r="J2764" s="2">
        <f>IF(I2764="", "", IF(OR(AND(A2764="Listed Equity Shares", I2764&gt;12), AND(A2764="Unlisted Equity Shares", I2764&gt;24)), "Long Term", "Short Term"))</f>
        <v/>
      </c>
      <c r="K2764" s="5">
        <f>IF(J2764="", "", IF(J2764="Long Term", 12.5%,"as per slab"))</f>
        <v/>
      </c>
      <c r="L2764" s="3">
        <f>+IFERROR(IF(J2764="","",H2764*K2764),"as per slab")</f>
        <v/>
      </c>
    </row>
    <row r="2765">
      <c r="A2765" s="7" t="n"/>
      <c r="B2765" s="7" t="n"/>
      <c r="C2765" s="8" t="n"/>
      <c r="D2765" s="9" t="n"/>
      <c r="E2765" s="8" t="n"/>
      <c r="F2765" s="9" t="n"/>
      <c r="G2765" s="9" t="n"/>
      <c r="H2765" s="3">
        <f>IF(AND(D2765&lt;&gt;"",F2765&lt;&gt;""),F2765-D2765-G2765,"")</f>
        <v/>
      </c>
      <c r="I2765" s="14">
        <f>IF(E2765&lt;&gt;"", YEARFRAC(C2765, E2765) * 12, "")</f>
        <v/>
      </c>
      <c r="J2765" s="2">
        <f>IF(I2765="", "", IF(OR(AND(A2765="Listed Equity Shares", I2765&gt;12), AND(A2765="Unlisted Equity Shares", I2765&gt;24)), "Long Term", "Short Term"))</f>
        <v/>
      </c>
      <c r="K2765" s="5">
        <f>IF(J2765="", "", IF(J2765="Long Term", 12.5%,"as per slab"))</f>
        <v/>
      </c>
      <c r="L2765" s="3">
        <f>+IFERROR(IF(J2765="","",H2765*K2765),"as per slab")</f>
        <v/>
      </c>
    </row>
    <row r="2766">
      <c r="A2766" s="7" t="n"/>
      <c r="B2766" s="7" t="n"/>
      <c r="C2766" s="8" t="n"/>
      <c r="D2766" s="9" t="n"/>
      <c r="E2766" s="8" t="n"/>
      <c r="F2766" s="9" t="n"/>
      <c r="G2766" s="9" t="n"/>
      <c r="H2766" s="3">
        <f>IF(AND(D2766&lt;&gt;"",F2766&lt;&gt;""),F2766-D2766-G2766,"")</f>
        <v/>
      </c>
      <c r="I2766" s="14">
        <f>IF(E2766&lt;&gt;"", YEARFRAC(C2766, E2766) * 12, "")</f>
        <v/>
      </c>
      <c r="J2766" s="2">
        <f>IF(I2766="", "", IF(OR(AND(A2766="Listed Equity Shares", I2766&gt;12), AND(A2766="Unlisted Equity Shares", I2766&gt;24)), "Long Term", "Short Term"))</f>
        <v/>
      </c>
      <c r="K2766" s="5">
        <f>IF(J2766="", "", IF(J2766="Long Term", 12.5%,"as per slab"))</f>
        <v/>
      </c>
      <c r="L2766" s="3">
        <f>+IFERROR(IF(J2766="","",H2766*K2766),"as per slab")</f>
        <v/>
      </c>
    </row>
    <row r="2767">
      <c r="A2767" s="7" t="n"/>
      <c r="B2767" s="7" t="n"/>
      <c r="C2767" s="8" t="n"/>
      <c r="D2767" s="9" t="n"/>
      <c r="E2767" s="8" t="n"/>
      <c r="F2767" s="9" t="n"/>
      <c r="G2767" s="9" t="n"/>
      <c r="H2767" s="3">
        <f>IF(AND(D2767&lt;&gt;"",F2767&lt;&gt;""),F2767-D2767-G2767,"")</f>
        <v/>
      </c>
      <c r="I2767" s="14">
        <f>IF(E2767&lt;&gt;"", YEARFRAC(C2767, E2767) * 12, "")</f>
        <v/>
      </c>
      <c r="J2767" s="2">
        <f>IF(I2767="", "", IF(OR(AND(A2767="Listed Equity Shares", I2767&gt;12), AND(A2767="Unlisted Equity Shares", I2767&gt;24)), "Long Term", "Short Term"))</f>
        <v/>
      </c>
      <c r="K2767" s="5">
        <f>IF(J2767="", "", IF(J2767="Long Term", 12.5%,"as per slab"))</f>
        <v/>
      </c>
      <c r="L2767" s="3">
        <f>+IFERROR(IF(J2767="","",H2767*K2767),"as per slab")</f>
        <v/>
      </c>
    </row>
    <row r="2768">
      <c r="A2768" s="7" t="n"/>
      <c r="B2768" s="7" t="n"/>
      <c r="C2768" s="8" t="n"/>
      <c r="D2768" s="9" t="n"/>
      <c r="E2768" s="8" t="n"/>
      <c r="F2768" s="9" t="n"/>
      <c r="G2768" s="9" t="n"/>
      <c r="H2768" s="3">
        <f>IF(AND(D2768&lt;&gt;"",F2768&lt;&gt;""),F2768-D2768-G2768,"")</f>
        <v/>
      </c>
      <c r="I2768" s="14">
        <f>IF(E2768&lt;&gt;"", YEARFRAC(C2768, E2768) * 12, "")</f>
        <v/>
      </c>
      <c r="J2768" s="2">
        <f>IF(I2768="", "", IF(OR(AND(A2768="Listed Equity Shares", I2768&gt;12), AND(A2768="Unlisted Equity Shares", I2768&gt;24)), "Long Term", "Short Term"))</f>
        <v/>
      </c>
      <c r="K2768" s="5">
        <f>IF(J2768="", "", IF(J2768="Long Term", 12.5%,"as per slab"))</f>
        <v/>
      </c>
      <c r="L2768" s="3">
        <f>+IFERROR(IF(J2768="","",H2768*K2768),"as per slab")</f>
        <v/>
      </c>
    </row>
    <row r="2769">
      <c r="A2769" s="7" t="n"/>
      <c r="B2769" s="7" t="n"/>
      <c r="C2769" s="8" t="n"/>
      <c r="D2769" s="9" t="n"/>
      <c r="E2769" s="8" t="n"/>
      <c r="F2769" s="9" t="n"/>
      <c r="G2769" s="9" t="n"/>
      <c r="H2769" s="3">
        <f>IF(AND(D2769&lt;&gt;"",F2769&lt;&gt;""),F2769-D2769-G2769,"")</f>
        <v/>
      </c>
      <c r="I2769" s="14">
        <f>IF(E2769&lt;&gt;"", YEARFRAC(C2769, E2769) * 12, "")</f>
        <v/>
      </c>
      <c r="J2769" s="2">
        <f>IF(I2769="", "", IF(OR(AND(A2769="Listed Equity Shares", I2769&gt;12), AND(A2769="Unlisted Equity Shares", I2769&gt;24)), "Long Term", "Short Term"))</f>
        <v/>
      </c>
      <c r="K2769" s="5">
        <f>IF(J2769="", "", IF(J2769="Long Term", 12.5%,"as per slab"))</f>
        <v/>
      </c>
      <c r="L2769" s="3">
        <f>+IFERROR(IF(J2769="","",H2769*K2769),"as per slab")</f>
        <v/>
      </c>
    </row>
    <row r="2770">
      <c r="A2770" s="7" t="n"/>
      <c r="B2770" s="7" t="n"/>
      <c r="C2770" s="8" t="n"/>
      <c r="D2770" s="9" t="n"/>
      <c r="E2770" s="8" t="n"/>
      <c r="F2770" s="9" t="n"/>
      <c r="G2770" s="9" t="n"/>
      <c r="H2770" s="3">
        <f>IF(AND(D2770&lt;&gt;"",F2770&lt;&gt;""),F2770-D2770-G2770,"")</f>
        <v/>
      </c>
      <c r="I2770" s="14">
        <f>IF(E2770&lt;&gt;"", YEARFRAC(C2770, E2770) * 12, "")</f>
        <v/>
      </c>
      <c r="J2770" s="2">
        <f>IF(I2770="", "", IF(OR(AND(A2770="Listed Equity Shares", I2770&gt;12), AND(A2770="Unlisted Equity Shares", I2770&gt;24)), "Long Term", "Short Term"))</f>
        <v/>
      </c>
      <c r="K2770" s="5">
        <f>IF(J2770="", "", IF(J2770="Long Term", 12.5%,"as per slab"))</f>
        <v/>
      </c>
      <c r="L2770" s="3">
        <f>+IFERROR(IF(J2770="","",H2770*K2770),"as per slab")</f>
        <v/>
      </c>
    </row>
    <row r="2771">
      <c r="A2771" s="7" t="n"/>
      <c r="B2771" s="7" t="n"/>
      <c r="C2771" s="8" t="n"/>
      <c r="D2771" s="9" t="n"/>
      <c r="E2771" s="8" t="n"/>
      <c r="F2771" s="9" t="n"/>
      <c r="G2771" s="9" t="n"/>
      <c r="H2771" s="3">
        <f>IF(AND(D2771&lt;&gt;"",F2771&lt;&gt;""),F2771-D2771-G2771,"")</f>
        <v/>
      </c>
      <c r="I2771" s="14">
        <f>IF(E2771&lt;&gt;"", YEARFRAC(C2771, E2771) * 12, "")</f>
        <v/>
      </c>
      <c r="J2771" s="2">
        <f>IF(I2771="", "", IF(OR(AND(A2771="Listed Equity Shares", I2771&gt;12), AND(A2771="Unlisted Equity Shares", I2771&gt;24)), "Long Term", "Short Term"))</f>
        <v/>
      </c>
      <c r="K2771" s="5">
        <f>IF(J2771="", "", IF(J2771="Long Term", 12.5%,"as per slab"))</f>
        <v/>
      </c>
      <c r="L2771" s="3">
        <f>+IFERROR(IF(J2771="","",H2771*K2771),"as per slab")</f>
        <v/>
      </c>
    </row>
    <row r="2772">
      <c r="A2772" s="7" t="n"/>
      <c r="B2772" s="7" t="n"/>
      <c r="C2772" s="8" t="n"/>
      <c r="D2772" s="9" t="n"/>
      <c r="E2772" s="8" t="n"/>
      <c r="F2772" s="9" t="n"/>
      <c r="G2772" s="9" t="n"/>
      <c r="H2772" s="3">
        <f>IF(AND(D2772&lt;&gt;"",F2772&lt;&gt;""),F2772-D2772-G2772,"")</f>
        <v/>
      </c>
      <c r="I2772" s="14">
        <f>IF(E2772&lt;&gt;"", YEARFRAC(C2772, E2772) * 12, "")</f>
        <v/>
      </c>
      <c r="J2772" s="2">
        <f>IF(I2772="", "", IF(OR(AND(A2772="Listed Equity Shares", I2772&gt;12), AND(A2772="Unlisted Equity Shares", I2772&gt;24)), "Long Term", "Short Term"))</f>
        <v/>
      </c>
      <c r="K2772" s="5">
        <f>IF(J2772="", "", IF(J2772="Long Term", 12.5%,"as per slab"))</f>
        <v/>
      </c>
      <c r="L2772" s="3">
        <f>+IFERROR(IF(J2772="","",H2772*K2772),"as per slab")</f>
        <v/>
      </c>
    </row>
    <row r="2773">
      <c r="A2773" s="7" t="n"/>
      <c r="B2773" s="7" t="n"/>
      <c r="C2773" s="8" t="n"/>
      <c r="D2773" s="9" t="n"/>
      <c r="E2773" s="8" t="n"/>
      <c r="F2773" s="9" t="n"/>
      <c r="G2773" s="9" t="n"/>
      <c r="H2773" s="3">
        <f>IF(AND(D2773&lt;&gt;"",F2773&lt;&gt;""),F2773-D2773-G2773,"")</f>
        <v/>
      </c>
      <c r="I2773" s="14">
        <f>IF(E2773&lt;&gt;"", YEARFRAC(C2773, E2773) * 12, "")</f>
        <v/>
      </c>
      <c r="J2773" s="2">
        <f>IF(I2773="", "", IF(OR(AND(A2773="Listed Equity Shares", I2773&gt;12), AND(A2773="Unlisted Equity Shares", I2773&gt;24)), "Long Term", "Short Term"))</f>
        <v/>
      </c>
      <c r="K2773" s="5">
        <f>IF(J2773="", "", IF(J2773="Long Term", 12.5%,"as per slab"))</f>
        <v/>
      </c>
      <c r="L2773" s="3">
        <f>+IFERROR(IF(J2773="","",H2773*K2773),"as per slab")</f>
        <v/>
      </c>
    </row>
    <row r="2774">
      <c r="A2774" s="7" t="n"/>
      <c r="B2774" s="7" t="n"/>
      <c r="C2774" s="8" t="n"/>
      <c r="D2774" s="9" t="n"/>
      <c r="E2774" s="8" t="n"/>
      <c r="F2774" s="9" t="n"/>
      <c r="G2774" s="9" t="n"/>
      <c r="H2774" s="3">
        <f>IF(AND(D2774&lt;&gt;"",F2774&lt;&gt;""),F2774-D2774-G2774,"")</f>
        <v/>
      </c>
      <c r="I2774" s="14">
        <f>IF(E2774&lt;&gt;"", YEARFRAC(C2774, E2774) * 12, "")</f>
        <v/>
      </c>
      <c r="J2774" s="2">
        <f>IF(I2774="", "", IF(OR(AND(A2774="Listed Equity Shares", I2774&gt;12), AND(A2774="Unlisted Equity Shares", I2774&gt;24)), "Long Term", "Short Term"))</f>
        <v/>
      </c>
      <c r="K2774" s="5">
        <f>IF(J2774="", "", IF(J2774="Long Term", 12.5%,"as per slab"))</f>
        <v/>
      </c>
      <c r="L2774" s="3">
        <f>+IFERROR(IF(J2774="","",H2774*K2774),"as per slab")</f>
        <v/>
      </c>
    </row>
    <row r="2775">
      <c r="A2775" s="7" t="n"/>
      <c r="B2775" s="7" t="n"/>
      <c r="C2775" s="8" t="n"/>
      <c r="D2775" s="9" t="n"/>
      <c r="E2775" s="8" t="n"/>
      <c r="F2775" s="9" t="n"/>
      <c r="G2775" s="9" t="n"/>
      <c r="H2775" s="3">
        <f>IF(AND(D2775&lt;&gt;"",F2775&lt;&gt;""),F2775-D2775-G2775,"")</f>
        <v/>
      </c>
      <c r="I2775" s="14">
        <f>IF(E2775&lt;&gt;"", YEARFRAC(C2775, E2775) * 12, "")</f>
        <v/>
      </c>
      <c r="J2775" s="2">
        <f>IF(I2775="", "", IF(OR(AND(A2775="Listed Equity Shares", I2775&gt;12), AND(A2775="Unlisted Equity Shares", I2775&gt;24)), "Long Term", "Short Term"))</f>
        <v/>
      </c>
      <c r="K2775" s="5">
        <f>IF(J2775="", "", IF(J2775="Long Term", 12.5%,"as per slab"))</f>
        <v/>
      </c>
      <c r="L2775" s="3">
        <f>+IFERROR(IF(J2775="","",H2775*K2775),"as per slab")</f>
        <v/>
      </c>
    </row>
    <row r="2776">
      <c r="A2776" s="7" t="n"/>
      <c r="B2776" s="7" t="n"/>
      <c r="C2776" s="8" t="n"/>
      <c r="D2776" s="9" t="n"/>
      <c r="E2776" s="8" t="n"/>
      <c r="F2776" s="9" t="n"/>
      <c r="G2776" s="9" t="n"/>
      <c r="H2776" s="3">
        <f>IF(AND(D2776&lt;&gt;"",F2776&lt;&gt;""),F2776-D2776-G2776,"")</f>
        <v/>
      </c>
      <c r="I2776" s="14">
        <f>IF(E2776&lt;&gt;"", YEARFRAC(C2776, E2776) * 12, "")</f>
        <v/>
      </c>
      <c r="J2776" s="2">
        <f>IF(I2776="", "", IF(OR(AND(A2776="Listed Equity Shares", I2776&gt;12), AND(A2776="Unlisted Equity Shares", I2776&gt;24)), "Long Term", "Short Term"))</f>
        <v/>
      </c>
      <c r="K2776" s="5">
        <f>IF(J2776="", "", IF(J2776="Long Term", 12.5%,"as per slab"))</f>
        <v/>
      </c>
      <c r="L2776" s="3">
        <f>+IFERROR(IF(J2776="","",H2776*K2776),"as per slab")</f>
        <v/>
      </c>
    </row>
    <row r="2777">
      <c r="A2777" s="7" t="n"/>
      <c r="B2777" s="7" t="n"/>
      <c r="C2777" s="8" t="n"/>
      <c r="D2777" s="9" t="n"/>
      <c r="E2777" s="8" t="n"/>
      <c r="F2777" s="9" t="n"/>
      <c r="G2777" s="9" t="n"/>
      <c r="H2777" s="3">
        <f>IF(AND(D2777&lt;&gt;"",F2777&lt;&gt;""),F2777-D2777-G2777,"")</f>
        <v/>
      </c>
      <c r="I2777" s="14">
        <f>IF(E2777&lt;&gt;"", YEARFRAC(C2777, E2777) * 12, "")</f>
        <v/>
      </c>
      <c r="J2777" s="2">
        <f>IF(I2777="", "", IF(OR(AND(A2777="Listed Equity Shares", I2777&gt;12), AND(A2777="Unlisted Equity Shares", I2777&gt;24)), "Long Term", "Short Term"))</f>
        <v/>
      </c>
      <c r="K2777" s="5">
        <f>IF(J2777="", "", IF(J2777="Long Term", 12.5%,"as per slab"))</f>
        <v/>
      </c>
      <c r="L2777" s="3">
        <f>+IFERROR(IF(J2777="","",H2777*K2777),"as per slab")</f>
        <v/>
      </c>
    </row>
    <row r="2778">
      <c r="A2778" s="7" t="n"/>
      <c r="B2778" s="7" t="n"/>
      <c r="C2778" s="8" t="n"/>
      <c r="D2778" s="9" t="n"/>
      <c r="E2778" s="8" t="n"/>
      <c r="F2778" s="9" t="n"/>
      <c r="G2778" s="9" t="n"/>
      <c r="H2778" s="3">
        <f>IF(AND(D2778&lt;&gt;"",F2778&lt;&gt;""),F2778-D2778-G2778,"")</f>
        <v/>
      </c>
      <c r="I2778" s="14">
        <f>IF(E2778&lt;&gt;"", YEARFRAC(C2778, E2778) * 12, "")</f>
        <v/>
      </c>
      <c r="J2778" s="2">
        <f>IF(I2778="", "", IF(OR(AND(A2778="Listed Equity Shares", I2778&gt;12), AND(A2778="Unlisted Equity Shares", I2778&gt;24)), "Long Term", "Short Term"))</f>
        <v/>
      </c>
      <c r="K2778" s="5">
        <f>IF(J2778="", "", IF(J2778="Long Term", 12.5%,"as per slab"))</f>
        <v/>
      </c>
      <c r="L2778" s="3">
        <f>+IFERROR(IF(J2778="","",H2778*K2778),"as per slab")</f>
        <v/>
      </c>
    </row>
    <row r="2779">
      <c r="A2779" s="7" t="n"/>
      <c r="B2779" s="7" t="n"/>
      <c r="C2779" s="8" t="n"/>
      <c r="D2779" s="9" t="n"/>
      <c r="E2779" s="8" t="n"/>
      <c r="F2779" s="9" t="n"/>
      <c r="G2779" s="9" t="n"/>
      <c r="H2779" s="3">
        <f>IF(AND(D2779&lt;&gt;"",F2779&lt;&gt;""),F2779-D2779-G2779,"")</f>
        <v/>
      </c>
      <c r="I2779" s="14">
        <f>IF(E2779&lt;&gt;"", YEARFRAC(C2779, E2779) * 12, "")</f>
        <v/>
      </c>
      <c r="J2779" s="2">
        <f>IF(I2779="", "", IF(OR(AND(A2779="Listed Equity Shares", I2779&gt;12), AND(A2779="Unlisted Equity Shares", I2779&gt;24)), "Long Term", "Short Term"))</f>
        <v/>
      </c>
      <c r="K2779" s="5">
        <f>IF(J2779="", "", IF(J2779="Long Term", 12.5%,"as per slab"))</f>
        <v/>
      </c>
      <c r="L2779" s="3">
        <f>+IFERROR(IF(J2779="","",H2779*K2779),"as per slab")</f>
        <v/>
      </c>
    </row>
    <row r="2780">
      <c r="A2780" s="7" t="n"/>
      <c r="B2780" s="7" t="n"/>
      <c r="C2780" s="8" t="n"/>
      <c r="D2780" s="9" t="n"/>
      <c r="E2780" s="8" t="n"/>
      <c r="F2780" s="9" t="n"/>
      <c r="G2780" s="9" t="n"/>
      <c r="H2780" s="3">
        <f>IF(AND(D2780&lt;&gt;"",F2780&lt;&gt;""),F2780-D2780-G2780,"")</f>
        <v/>
      </c>
      <c r="I2780" s="14">
        <f>IF(E2780&lt;&gt;"", YEARFRAC(C2780, E2780) * 12, "")</f>
        <v/>
      </c>
      <c r="J2780" s="2">
        <f>IF(I2780="", "", IF(OR(AND(A2780="Listed Equity Shares", I2780&gt;12), AND(A2780="Unlisted Equity Shares", I2780&gt;24)), "Long Term", "Short Term"))</f>
        <v/>
      </c>
      <c r="K2780" s="5">
        <f>IF(J2780="", "", IF(J2780="Long Term", 12.5%,"as per slab"))</f>
        <v/>
      </c>
      <c r="L2780" s="3">
        <f>+IFERROR(IF(J2780="","",H2780*K2780),"as per slab")</f>
        <v/>
      </c>
    </row>
    <row r="2781">
      <c r="A2781" s="7" t="n"/>
      <c r="B2781" s="7" t="n"/>
      <c r="C2781" s="8" t="n"/>
      <c r="D2781" s="9" t="n"/>
      <c r="E2781" s="8" t="n"/>
      <c r="F2781" s="9" t="n"/>
      <c r="G2781" s="9" t="n"/>
      <c r="H2781" s="3">
        <f>IF(AND(D2781&lt;&gt;"",F2781&lt;&gt;""),F2781-D2781-G2781,"")</f>
        <v/>
      </c>
      <c r="I2781" s="14">
        <f>IF(E2781&lt;&gt;"", YEARFRAC(C2781, E2781) * 12, "")</f>
        <v/>
      </c>
      <c r="J2781" s="2">
        <f>IF(I2781="", "", IF(OR(AND(A2781="Listed Equity Shares", I2781&gt;12), AND(A2781="Unlisted Equity Shares", I2781&gt;24)), "Long Term", "Short Term"))</f>
        <v/>
      </c>
      <c r="K2781" s="5">
        <f>IF(J2781="", "", IF(J2781="Long Term", 12.5%,"as per slab"))</f>
        <v/>
      </c>
      <c r="L2781" s="3">
        <f>+IFERROR(IF(J2781="","",H2781*K2781),"as per slab")</f>
        <v/>
      </c>
    </row>
    <row r="2782">
      <c r="A2782" s="7" t="n"/>
      <c r="B2782" s="7" t="n"/>
      <c r="C2782" s="8" t="n"/>
      <c r="D2782" s="9" t="n"/>
      <c r="E2782" s="8" t="n"/>
      <c r="F2782" s="9" t="n"/>
      <c r="G2782" s="9" t="n"/>
      <c r="H2782" s="3">
        <f>IF(AND(D2782&lt;&gt;"",F2782&lt;&gt;""),F2782-D2782-G2782,"")</f>
        <v/>
      </c>
      <c r="I2782" s="14">
        <f>IF(E2782&lt;&gt;"", YEARFRAC(C2782, E2782) * 12, "")</f>
        <v/>
      </c>
      <c r="J2782" s="2">
        <f>IF(I2782="", "", IF(OR(AND(A2782="Listed Equity Shares", I2782&gt;12), AND(A2782="Unlisted Equity Shares", I2782&gt;24)), "Long Term", "Short Term"))</f>
        <v/>
      </c>
      <c r="K2782" s="5">
        <f>IF(J2782="", "", IF(J2782="Long Term", 12.5%,"as per slab"))</f>
        <v/>
      </c>
      <c r="L2782" s="3">
        <f>+IFERROR(IF(J2782="","",H2782*K2782),"as per slab")</f>
        <v/>
      </c>
    </row>
    <row r="2783">
      <c r="A2783" s="7" t="n"/>
      <c r="B2783" s="7" t="n"/>
      <c r="C2783" s="8" t="n"/>
      <c r="D2783" s="9" t="n"/>
      <c r="E2783" s="8" t="n"/>
      <c r="F2783" s="9" t="n"/>
      <c r="G2783" s="9" t="n"/>
      <c r="H2783" s="3">
        <f>IF(AND(D2783&lt;&gt;"",F2783&lt;&gt;""),F2783-D2783-G2783,"")</f>
        <v/>
      </c>
      <c r="I2783" s="14">
        <f>IF(E2783&lt;&gt;"", YEARFRAC(C2783, E2783) * 12, "")</f>
        <v/>
      </c>
      <c r="J2783" s="2">
        <f>IF(I2783="", "", IF(OR(AND(A2783="Listed Equity Shares", I2783&gt;12), AND(A2783="Unlisted Equity Shares", I2783&gt;24)), "Long Term", "Short Term"))</f>
        <v/>
      </c>
      <c r="K2783" s="5">
        <f>IF(J2783="", "", IF(J2783="Long Term", 12.5%,"as per slab"))</f>
        <v/>
      </c>
      <c r="L2783" s="3">
        <f>+IFERROR(IF(J2783="","",H2783*K2783),"as per slab")</f>
        <v/>
      </c>
    </row>
    <row r="2784">
      <c r="A2784" s="7" t="n"/>
      <c r="B2784" s="7" t="n"/>
      <c r="C2784" s="8" t="n"/>
      <c r="D2784" s="9" t="n"/>
      <c r="E2784" s="8" t="n"/>
      <c r="F2784" s="9" t="n"/>
      <c r="G2784" s="9" t="n"/>
      <c r="H2784" s="3">
        <f>IF(AND(D2784&lt;&gt;"",F2784&lt;&gt;""),F2784-D2784-G2784,"")</f>
        <v/>
      </c>
      <c r="I2784" s="14">
        <f>IF(E2784&lt;&gt;"", YEARFRAC(C2784, E2784) * 12, "")</f>
        <v/>
      </c>
      <c r="J2784" s="2">
        <f>IF(I2784="", "", IF(OR(AND(A2784="Listed Equity Shares", I2784&gt;12), AND(A2784="Unlisted Equity Shares", I2784&gt;24)), "Long Term", "Short Term"))</f>
        <v/>
      </c>
      <c r="K2784" s="5">
        <f>IF(J2784="", "", IF(J2784="Long Term", 12.5%,"as per slab"))</f>
        <v/>
      </c>
      <c r="L2784" s="3">
        <f>+IFERROR(IF(J2784="","",H2784*K2784),"as per slab")</f>
        <v/>
      </c>
    </row>
    <row r="2785">
      <c r="A2785" s="7" t="n"/>
      <c r="B2785" s="7" t="n"/>
      <c r="C2785" s="8" t="n"/>
      <c r="D2785" s="9" t="n"/>
      <c r="E2785" s="8" t="n"/>
      <c r="F2785" s="9" t="n"/>
      <c r="G2785" s="9" t="n"/>
      <c r="H2785" s="3">
        <f>IF(AND(D2785&lt;&gt;"",F2785&lt;&gt;""),F2785-D2785-G2785,"")</f>
        <v/>
      </c>
      <c r="I2785" s="14">
        <f>IF(E2785&lt;&gt;"", YEARFRAC(C2785, E2785) * 12, "")</f>
        <v/>
      </c>
      <c r="J2785" s="2">
        <f>IF(I2785="", "", IF(OR(AND(A2785="Listed Equity Shares", I2785&gt;12), AND(A2785="Unlisted Equity Shares", I2785&gt;24)), "Long Term", "Short Term"))</f>
        <v/>
      </c>
      <c r="K2785" s="5">
        <f>IF(J2785="", "", IF(J2785="Long Term", 12.5%,"as per slab"))</f>
        <v/>
      </c>
      <c r="L2785" s="3">
        <f>+IFERROR(IF(J2785="","",H2785*K2785),"as per slab")</f>
        <v/>
      </c>
    </row>
    <row r="2786">
      <c r="A2786" s="7" t="n"/>
      <c r="B2786" s="7" t="n"/>
      <c r="C2786" s="8" t="n"/>
      <c r="D2786" s="9" t="n"/>
      <c r="E2786" s="8" t="n"/>
      <c r="F2786" s="9" t="n"/>
      <c r="G2786" s="9" t="n"/>
      <c r="H2786" s="3">
        <f>IF(AND(D2786&lt;&gt;"",F2786&lt;&gt;""),F2786-D2786-G2786,"")</f>
        <v/>
      </c>
      <c r="I2786" s="14">
        <f>IF(E2786&lt;&gt;"", YEARFRAC(C2786, E2786) * 12, "")</f>
        <v/>
      </c>
      <c r="J2786" s="2">
        <f>IF(I2786="", "", IF(OR(AND(A2786="Listed Equity Shares", I2786&gt;12), AND(A2786="Unlisted Equity Shares", I2786&gt;24)), "Long Term", "Short Term"))</f>
        <v/>
      </c>
      <c r="K2786" s="5">
        <f>IF(J2786="", "", IF(J2786="Long Term", 12.5%,"as per slab"))</f>
        <v/>
      </c>
      <c r="L2786" s="3">
        <f>+IFERROR(IF(J2786="","",H2786*K2786),"as per slab")</f>
        <v/>
      </c>
    </row>
    <row r="2787">
      <c r="A2787" s="7" t="n"/>
      <c r="B2787" s="7" t="n"/>
      <c r="C2787" s="8" t="n"/>
      <c r="D2787" s="9" t="n"/>
      <c r="E2787" s="8" t="n"/>
      <c r="F2787" s="9" t="n"/>
      <c r="G2787" s="9" t="n"/>
      <c r="H2787" s="3">
        <f>IF(AND(D2787&lt;&gt;"",F2787&lt;&gt;""),F2787-D2787-G2787,"")</f>
        <v/>
      </c>
      <c r="I2787" s="14">
        <f>IF(E2787&lt;&gt;"", YEARFRAC(C2787, E2787) * 12, "")</f>
        <v/>
      </c>
      <c r="J2787" s="2">
        <f>IF(I2787="", "", IF(OR(AND(A2787="Listed Equity Shares", I2787&gt;12), AND(A2787="Unlisted Equity Shares", I2787&gt;24)), "Long Term", "Short Term"))</f>
        <v/>
      </c>
      <c r="K2787" s="5">
        <f>IF(J2787="", "", IF(J2787="Long Term", 12.5%,"as per slab"))</f>
        <v/>
      </c>
      <c r="L2787" s="3">
        <f>+IFERROR(IF(J2787="","",H2787*K2787),"as per slab")</f>
        <v/>
      </c>
    </row>
    <row r="2788">
      <c r="A2788" s="7" t="n"/>
      <c r="B2788" s="7" t="n"/>
      <c r="C2788" s="8" t="n"/>
      <c r="D2788" s="9" t="n"/>
      <c r="E2788" s="8" t="n"/>
      <c r="F2788" s="9" t="n"/>
      <c r="G2788" s="9" t="n"/>
      <c r="H2788" s="3">
        <f>IF(AND(D2788&lt;&gt;"",F2788&lt;&gt;""),F2788-D2788-G2788,"")</f>
        <v/>
      </c>
      <c r="I2788" s="14">
        <f>IF(E2788&lt;&gt;"", YEARFRAC(C2788, E2788) * 12, "")</f>
        <v/>
      </c>
      <c r="J2788" s="2">
        <f>IF(I2788="", "", IF(OR(AND(A2788="Listed Equity Shares", I2788&gt;12), AND(A2788="Unlisted Equity Shares", I2788&gt;24)), "Long Term", "Short Term"))</f>
        <v/>
      </c>
      <c r="K2788" s="5">
        <f>IF(J2788="", "", IF(J2788="Long Term", 12.5%,"as per slab"))</f>
        <v/>
      </c>
      <c r="L2788" s="3">
        <f>+IFERROR(IF(J2788="","",H2788*K2788),"as per slab")</f>
        <v/>
      </c>
    </row>
    <row r="2789">
      <c r="A2789" s="7" t="n"/>
      <c r="B2789" s="7" t="n"/>
      <c r="C2789" s="8" t="n"/>
      <c r="D2789" s="9" t="n"/>
      <c r="E2789" s="8" t="n"/>
      <c r="F2789" s="9" t="n"/>
      <c r="G2789" s="9" t="n"/>
      <c r="H2789" s="3">
        <f>IF(AND(D2789&lt;&gt;"",F2789&lt;&gt;""),F2789-D2789-G2789,"")</f>
        <v/>
      </c>
      <c r="I2789" s="14">
        <f>IF(E2789&lt;&gt;"", YEARFRAC(C2789, E2789) * 12, "")</f>
        <v/>
      </c>
      <c r="J2789" s="2">
        <f>IF(I2789="", "", IF(OR(AND(A2789="Listed Equity Shares", I2789&gt;12), AND(A2789="Unlisted Equity Shares", I2789&gt;24)), "Long Term", "Short Term"))</f>
        <v/>
      </c>
      <c r="K2789" s="5">
        <f>IF(J2789="", "", IF(J2789="Long Term", 12.5%,"as per slab"))</f>
        <v/>
      </c>
      <c r="L2789" s="3">
        <f>+IFERROR(IF(J2789="","",H2789*K2789),"as per slab")</f>
        <v/>
      </c>
    </row>
    <row r="2790">
      <c r="A2790" s="7" t="n"/>
      <c r="B2790" s="7" t="n"/>
      <c r="C2790" s="8" t="n"/>
      <c r="D2790" s="9" t="n"/>
      <c r="E2790" s="8" t="n"/>
      <c r="F2790" s="9" t="n"/>
      <c r="G2790" s="9" t="n"/>
      <c r="H2790" s="3">
        <f>IF(AND(D2790&lt;&gt;"",F2790&lt;&gt;""),F2790-D2790-G2790,"")</f>
        <v/>
      </c>
      <c r="I2790" s="14">
        <f>IF(E2790&lt;&gt;"", YEARFRAC(C2790, E2790) * 12, "")</f>
        <v/>
      </c>
      <c r="J2790" s="2">
        <f>IF(I2790="", "", IF(OR(AND(A2790="Listed Equity Shares", I2790&gt;12), AND(A2790="Unlisted Equity Shares", I2790&gt;24)), "Long Term", "Short Term"))</f>
        <v/>
      </c>
      <c r="K2790" s="5">
        <f>IF(J2790="", "", IF(J2790="Long Term", 12.5%,"as per slab"))</f>
        <v/>
      </c>
      <c r="L2790" s="3">
        <f>+IFERROR(IF(J2790="","",H2790*K2790),"as per slab")</f>
        <v/>
      </c>
    </row>
    <row r="2791">
      <c r="A2791" s="7" t="n"/>
      <c r="B2791" s="7" t="n"/>
      <c r="C2791" s="8" t="n"/>
      <c r="D2791" s="9" t="n"/>
      <c r="E2791" s="8" t="n"/>
      <c r="F2791" s="9" t="n"/>
      <c r="G2791" s="9" t="n"/>
      <c r="H2791" s="3">
        <f>IF(AND(D2791&lt;&gt;"",F2791&lt;&gt;""),F2791-D2791-G2791,"")</f>
        <v/>
      </c>
      <c r="I2791" s="14">
        <f>IF(E2791&lt;&gt;"", YEARFRAC(C2791, E2791) * 12, "")</f>
        <v/>
      </c>
      <c r="J2791" s="2">
        <f>IF(I2791="", "", IF(OR(AND(A2791="Listed Equity Shares", I2791&gt;12), AND(A2791="Unlisted Equity Shares", I2791&gt;24)), "Long Term", "Short Term"))</f>
        <v/>
      </c>
      <c r="K2791" s="5">
        <f>IF(J2791="", "", IF(J2791="Long Term", 12.5%,"as per slab"))</f>
        <v/>
      </c>
      <c r="L2791" s="3">
        <f>+IFERROR(IF(J2791="","",H2791*K2791),"as per slab")</f>
        <v/>
      </c>
    </row>
    <row r="2792">
      <c r="A2792" s="7" t="n"/>
      <c r="B2792" s="7" t="n"/>
      <c r="C2792" s="8" t="n"/>
      <c r="D2792" s="9" t="n"/>
      <c r="E2792" s="8" t="n"/>
      <c r="F2792" s="9" t="n"/>
      <c r="G2792" s="9" t="n"/>
      <c r="H2792" s="3">
        <f>IF(AND(D2792&lt;&gt;"",F2792&lt;&gt;""),F2792-D2792-G2792,"")</f>
        <v/>
      </c>
      <c r="I2792" s="14">
        <f>IF(E2792&lt;&gt;"", YEARFRAC(C2792, E2792) * 12, "")</f>
        <v/>
      </c>
      <c r="J2792" s="2">
        <f>IF(I2792="", "", IF(OR(AND(A2792="Listed Equity Shares", I2792&gt;12), AND(A2792="Unlisted Equity Shares", I2792&gt;24)), "Long Term", "Short Term"))</f>
        <v/>
      </c>
      <c r="K2792" s="5">
        <f>IF(J2792="", "", IF(J2792="Long Term", 12.5%,"as per slab"))</f>
        <v/>
      </c>
      <c r="L2792" s="3">
        <f>+IFERROR(IF(J2792="","",H2792*K2792),"as per slab")</f>
        <v/>
      </c>
    </row>
    <row r="2793">
      <c r="A2793" s="7" t="n"/>
      <c r="B2793" s="7" t="n"/>
      <c r="C2793" s="8" t="n"/>
      <c r="D2793" s="9" t="n"/>
      <c r="E2793" s="8" t="n"/>
      <c r="F2793" s="9" t="n"/>
      <c r="G2793" s="9" t="n"/>
      <c r="H2793" s="3">
        <f>IF(AND(D2793&lt;&gt;"",F2793&lt;&gt;""),F2793-D2793-G2793,"")</f>
        <v/>
      </c>
      <c r="I2793" s="14">
        <f>IF(E2793&lt;&gt;"", YEARFRAC(C2793, E2793) * 12, "")</f>
        <v/>
      </c>
      <c r="J2793" s="2">
        <f>IF(I2793="", "", IF(OR(AND(A2793="Listed Equity Shares", I2793&gt;12), AND(A2793="Unlisted Equity Shares", I2793&gt;24)), "Long Term", "Short Term"))</f>
        <v/>
      </c>
      <c r="K2793" s="5">
        <f>IF(J2793="", "", IF(J2793="Long Term", 12.5%,"as per slab"))</f>
        <v/>
      </c>
      <c r="L2793" s="3">
        <f>+IFERROR(IF(J2793="","",H2793*K2793),"as per slab")</f>
        <v/>
      </c>
    </row>
    <row r="2794">
      <c r="A2794" s="7" t="n"/>
      <c r="B2794" s="7" t="n"/>
      <c r="C2794" s="8" t="n"/>
      <c r="D2794" s="9" t="n"/>
      <c r="E2794" s="8" t="n"/>
      <c r="F2794" s="9" t="n"/>
      <c r="G2794" s="9" t="n"/>
      <c r="H2794" s="3">
        <f>IF(AND(D2794&lt;&gt;"",F2794&lt;&gt;""),F2794-D2794-G2794,"")</f>
        <v/>
      </c>
      <c r="I2794" s="14">
        <f>IF(E2794&lt;&gt;"", YEARFRAC(C2794, E2794) * 12, "")</f>
        <v/>
      </c>
      <c r="J2794" s="2">
        <f>IF(I2794="", "", IF(OR(AND(A2794="Listed Equity Shares", I2794&gt;12), AND(A2794="Unlisted Equity Shares", I2794&gt;24)), "Long Term", "Short Term"))</f>
        <v/>
      </c>
      <c r="K2794" s="5">
        <f>IF(J2794="", "", IF(J2794="Long Term", 12.5%,"as per slab"))</f>
        <v/>
      </c>
      <c r="L2794" s="3">
        <f>+IFERROR(IF(J2794="","",H2794*K2794),"as per slab")</f>
        <v/>
      </c>
    </row>
    <row r="2795">
      <c r="A2795" s="7" t="n"/>
      <c r="B2795" s="7" t="n"/>
      <c r="C2795" s="8" t="n"/>
      <c r="D2795" s="9" t="n"/>
      <c r="E2795" s="8" t="n"/>
      <c r="F2795" s="9" t="n"/>
      <c r="G2795" s="9" t="n"/>
      <c r="H2795" s="3">
        <f>IF(AND(D2795&lt;&gt;"",F2795&lt;&gt;""),F2795-D2795-G2795,"")</f>
        <v/>
      </c>
      <c r="I2795" s="14">
        <f>IF(E2795&lt;&gt;"", YEARFRAC(C2795, E2795) * 12, "")</f>
        <v/>
      </c>
      <c r="J2795" s="2">
        <f>IF(I2795="", "", IF(OR(AND(A2795="Listed Equity Shares", I2795&gt;12), AND(A2795="Unlisted Equity Shares", I2795&gt;24)), "Long Term", "Short Term"))</f>
        <v/>
      </c>
      <c r="K2795" s="5">
        <f>IF(J2795="", "", IF(J2795="Long Term", 12.5%,"as per slab"))</f>
        <v/>
      </c>
      <c r="L2795" s="3">
        <f>+IFERROR(IF(J2795="","",H2795*K2795),"as per slab")</f>
        <v/>
      </c>
    </row>
    <row r="2796">
      <c r="A2796" s="7" t="n"/>
      <c r="B2796" s="7" t="n"/>
      <c r="C2796" s="8" t="n"/>
      <c r="D2796" s="9" t="n"/>
      <c r="E2796" s="8" t="n"/>
      <c r="F2796" s="9" t="n"/>
      <c r="G2796" s="9" t="n"/>
      <c r="H2796" s="3">
        <f>IF(AND(D2796&lt;&gt;"",F2796&lt;&gt;""),F2796-D2796-G2796,"")</f>
        <v/>
      </c>
      <c r="I2796" s="14">
        <f>IF(E2796&lt;&gt;"", YEARFRAC(C2796, E2796) * 12, "")</f>
        <v/>
      </c>
      <c r="J2796" s="2">
        <f>IF(I2796="", "", IF(OR(AND(A2796="Listed Equity Shares", I2796&gt;12), AND(A2796="Unlisted Equity Shares", I2796&gt;24)), "Long Term", "Short Term"))</f>
        <v/>
      </c>
      <c r="K2796" s="5">
        <f>IF(J2796="", "", IF(J2796="Long Term", 12.5%,"as per slab"))</f>
        <v/>
      </c>
      <c r="L2796" s="3">
        <f>+IFERROR(IF(J2796="","",H2796*K2796),"as per slab")</f>
        <v/>
      </c>
    </row>
    <row r="2797">
      <c r="A2797" s="7" t="n"/>
      <c r="B2797" s="7" t="n"/>
      <c r="C2797" s="8" t="n"/>
      <c r="D2797" s="9" t="n"/>
      <c r="E2797" s="8" t="n"/>
      <c r="F2797" s="9" t="n"/>
      <c r="G2797" s="9" t="n"/>
      <c r="H2797" s="3">
        <f>IF(AND(D2797&lt;&gt;"",F2797&lt;&gt;""),F2797-D2797-G2797,"")</f>
        <v/>
      </c>
      <c r="I2797" s="14">
        <f>IF(E2797&lt;&gt;"", YEARFRAC(C2797, E2797) * 12, "")</f>
        <v/>
      </c>
      <c r="J2797" s="2">
        <f>IF(I2797="", "", IF(OR(AND(A2797="Listed Equity Shares", I2797&gt;12), AND(A2797="Unlisted Equity Shares", I2797&gt;24)), "Long Term", "Short Term"))</f>
        <v/>
      </c>
      <c r="K2797" s="5">
        <f>IF(J2797="", "", IF(J2797="Long Term", 12.5%,"as per slab"))</f>
        <v/>
      </c>
      <c r="L2797" s="3">
        <f>+IFERROR(IF(J2797="","",H2797*K2797),"as per slab")</f>
        <v/>
      </c>
    </row>
    <row r="2798">
      <c r="A2798" s="7" t="n"/>
      <c r="B2798" s="7" t="n"/>
      <c r="C2798" s="8" t="n"/>
      <c r="D2798" s="9" t="n"/>
      <c r="E2798" s="8" t="n"/>
      <c r="F2798" s="9" t="n"/>
      <c r="G2798" s="9" t="n"/>
      <c r="H2798" s="3">
        <f>IF(AND(D2798&lt;&gt;"",F2798&lt;&gt;""),F2798-D2798-G2798,"")</f>
        <v/>
      </c>
      <c r="I2798" s="14">
        <f>IF(E2798&lt;&gt;"", YEARFRAC(C2798, E2798) * 12, "")</f>
        <v/>
      </c>
      <c r="J2798" s="2">
        <f>IF(I2798="", "", IF(OR(AND(A2798="Listed Equity Shares", I2798&gt;12), AND(A2798="Unlisted Equity Shares", I2798&gt;24)), "Long Term", "Short Term"))</f>
        <v/>
      </c>
      <c r="K2798" s="5">
        <f>IF(J2798="", "", IF(J2798="Long Term", 12.5%,"as per slab"))</f>
        <v/>
      </c>
      <c r="L2798" s="3">
        <f>+IFERROR(IF(J2798="","",H2798*K2798),"as per slab")</f>
        <v/>
      </c>
    </row>
    <row r="2799">
      <c r="A2799" s="7" t="n"/>
      <c r="B2799" s="7" t="n"/>
      <c r="C2799" s="8" t="n"/>
      <c r="D2799" s="9" t="n"/>
      <c r="E2799" s="8" t="n"/>
      <c r="F2799" s="9" t="n"/>
      <c r="G2799" s="9" t="n"/>
      <c r="H2799" s="3">
        <f>IF(AND(D2799&lt;&gt;"",F2799&lt;&gt;""),F2799-D2799-G2799,"")</f>
        <v/>
      </c>
      <c r="I2799" s="14">
        <f>IF(E2799&lt;&gt;"", YEARFRAC(C2799, E2799) * 12, "")</f>
        <v/>
      </c>
      <c r="J2799" s="2">
        <f>IF(I2799="", "", IF(OR(AND(A2799="Listed Equity Shares", I2799&gt;12), AND(A2799="Unlisted Equity Shares", I2799&gt;24)), "Long Term", "Short Term"))</f>
        <v/>
      </c>
      <c r="K2799" s="5">
        <f>IF(J2799="", "", IF(J2799="Long Term", 12.5%,"as per slab"))</f>
        <v/>
      </c>
      <c r="L2799" s="3">
        <f>+IFERROR(IF(J2799="","",H2799*K2799),"as per slab")</f>
        <v/>
      </c>
    </row>
    <row r="2800">
      <c r="A2800" s="7" t="n"/>
      <c r="B2800" s="7" t="n"/>
      <c r="C2800" s="8" t="n"/>
      <c r="D2800" s="9" t="n"/>
      <c r="E2800" s="8" t="n"/>
      <c r="F2800" s="9" t="n"/>
      <c r="G2800" s="9" t="n"/>
      <c r="H2800" s="3">
        <f>IF(AND(D2800&lt;&gt;"",F2800&lt;&gt;""),F2800-D2800-G2800,"")</f>
        <v/>
      </c>
      <c r="I2800" s="14">
        <f>IF(E2800&lt;&gt;"", YEARFRAC(C2800, E2800) * 12, "")</f>
        <v/>
      </c>
      <c r="J2800" s="2">
        <f>IF(I2800="", "", IF(OR(AND(A2800="Listed Equity Shares", I2800&gt;12), AND(A2800="Unlisted Equity Shares", I2800&gt;24)), "Long Term", "Short Term"))</f>
        <v/>
      </c>
      <c r="K2800" s="5">
        <f>IF(J2800="", "", IF(J2800="Long Term", 12.5%,"as per slab"))</f>
        <v/>
      </c>
      <c r="L2800" s="3">
        <f>+IFERROR(IF(J2800="","",H2800*K2800),"as per slab")</f>
        <v/>
      </c>
    </row>
    <row r="2801">
      <c r="A2801" s="7" t="n"/>
      <c r="B2801" s="7" t="n"/>
      <c r="C2801" s="8" t="n"/>
      <c r="D2801" s="9" t="n"/>
      <c r="E2801" s="8" t="n"/>
      <c r="F2801" s="9" t="n"/>
      <c r="G2801" s="9" t="n"/>
      <c r="H2801" s="3">
        <f>IF(AND(D2801&lt;&gt;"",F2801&lt;&gt;""),F2801-D2801-G2801,"")</f>
        <v/>
      </c>
      <c r="I2801" s="14">
        <f>IF(E2801&lt;&gt;"", YEARFRAC(C2801, E2801) * 12, "")</f>
        <v/>
      </c>
      <c r="J2801" s="2">
        <f>IF(I2801="", "", IF(OR(AND(A2801="Listed Equity Shares", I2801&gt;12), AND(A2801="Unlisted Equity Shares", I2801&gt;24)), "Long Term", "Short Term"))</f>
        <v/>
      </c>
      <c r="K2801" s="5">
        <f>IF(J2801="", "", IF(J2801="Long Term", 12.5%,"as per slab"))</f>
        <v/>
      </c>
      <c r="L2801" s="3">
        <f>+IFERROR(IF(J2801="","",H2801*K2801),"as per slab")</f>
        <v/>
      </c>
    </row>
    <row r="2802">
      <c r="A2802" s="7" t="n"/>
      <c r="B2802" s="7" t="n"/>
      <c r="C2802" s="8" t="n"/>
      <c r="D2802" s="9" t="n"/>
      <c r="E2802" s="8" t="n"/>
      <c r="F2802" s="9" t="n"/>
      <c r="G2802" s="9" t="n"/>
      <c r="H2802" s="3">
        <f>IF(AND(D2802&lt;&gt;"",F2802&lt;&gt;""),F2802-D2802-G2802,"")</f>
        <v/>
      </c>
      <c r="I2802" s="14">
        <f>IF(E2802&lt;&gt;"", YEARFRAC(C2802, E2802) * 12, "")</f>
        <v/>
      </c>
      <c r="J2802" s="2">
        <f>IF(I2802="", "", IF(OR(AND(A2802="Listed Equity Shares", I2802&gt;12), AND(A2802="Unlisted Equity Shares", I2802&gt;24)), "Long Term", "Short Term"))</f>
        <v/>
      </c>
      <c r="K2802" s="5">
        <f>IF(J2802="", "", IF(J2802="Long Term", 12.5%,"as per slab"))</f>
        <v/>
      </c>
      <c r="L2802" s="3">
        <f>+IFERROR(IF(J2802="","",H2802*K2802),"as per slab")</f>
        <v/>
      </c>
    </row>
    <row r="2803">
      <c r="A2803" s="7" t="n"/>
      <c r="B2803" s="7" t="n"/>
      <c r="C2803" s="8" t="n"/>
      <c r="D2803" s="9" t="n"/>
      <c r="E2803" s="8" t="n"/>
      <c r="F2803" s="9" t="n"/>
      <c r="G2803" s="9" t="n"/>
      <c r="H2803" s="3">
        <f>IF(AND(D2803&lt;&gt;"",F2803&lt;&gt;""),F2803-D2803-G2803,"")</f>
        <v/>
      </c>
      <c r="I2803" s="14">
        <f>IF(E2803&lt;&gt;"", YEARFRAC(C2803, E2803) * 12, "")</f>
        <v/>
      </c>
      <c r="J2803" s="2">
        <f>IF(I2803="", "", IF(OR(AND(A2803="Listed Equity Shares", I2803&gt;12), AND(A2803="Unlisted Equity Shares", I2803&gt;24)), "Long Term", "Short Term"))</f>
        <v/>
      </c>
      <c r="K2803" s="5">
        <f>IF(J2803="", "", IF(J2803="Long Term", 12.5%,"as per slab"))</f>
        <v/>
      </c>
      <c r="L2803" s="3">
        <f>+IFERROR(IF(J2803="","",H2803*K2803),"as per slab")</f>
        <v/>
      </c>
    </row>
    <row r="2804">
      <c r="A2804" s="7" t="n"/>
      <c r="B2804" s="7" t="n"/>
      <c r="C2804" s="8" t="n"/>
      <c r="D2804" s="9" t="n"/>
      <c r="E2804" s="8" t="n"/>
      <c r="F2804" s="9" t="n"/>
      <c r="G2804" s="9" t="n"/>
      <c r="H2804" s="3">
        <f>IF(AND(D2804&lt;&gt;"",F2804&lt;&gt;""),F2804-D2804-G2804,"")</f>
        <v/>
      </c>
      <c r="I2804" s="14">
        <f>IF(E2804&lt;&gt;"", YEARFRAC(C2804, E2804) * 12, "")</f>
        <v/>
      </c>
      <c r="J2804" s="2">
        <f>IF(I2804="", "", IF(OR(AND(A2804="Listed Equity Shares", I2804&gt;12), AND(A2804="Unlisted Equity Shares", I2804&gt;24)), "Long Term", "Short Term"))</f>
        <v/>
      </c>
      <c r="K2804" s="5">
        <f>IF(J2804="", "", IF(J2804="Long Term", 12.5%,"as per slab"))</f>
        <v/>
      </c>
      <c r="L2804" s="3">
        <f>+IFERROR(IF(J2804="","",H2804*K2804),"as per slab")</f>
        <v/>
      </c>
    </row>
    <row r="2805">
      <c r="A2805" s="7" t="n"/>
      <c r="B2805" s="7" t="n"/>
      <c r="C2805" s="8" t="n"/>
      <c r="D2805" s="9" t="n"/>
      <c r="E2805" s="8" t="n"/>
      <c r="F2805" s="9" t="n"/>
      <c r="G2805" s="9" t="n"/>
      <c r="H2805" s="3">
        <f>IF(AND(D2805&lt;&gt;"",F2805&lt;&gt;""),F2805-D2805-G2805,"")</f>
        <v/>
      </c>
      <c r="I2805" s="14">
        <f>IF(E2805&lt;&gt;"", YEARFRAC(C2805, E2805) * 12, "")</f>
        <v/>
      </c>
      <c r="J2805" s="2">
        <f>IF(I2805="", "", IF(OR(AND(A2805="Listed Equity Shares", I2805&gt;12), AND(A2805="Unlisted Equity Shares", I2805&gt;24)), "Long Term", "Short Term"))</f>
        <v/>
      </c>
      <c r="K2805" s="5">
        <f>IF(J2805="", "", IF(J2805="Long Term", 12.5%,"as per slab"))</f>
        <v/>
      </c>
      <c r="L2805" s="3">
        <f>+IFERROR(IF(J2805="","",H2805*K2805),"as per slab")</f>
        <v/>
      </c>
    </row>
    <row r="2806">
      <c r="A2806" s="7" t="n"/>
      <c r="B2806" s="7" t="n"/>
      <c r="C2806" s="8" t="n"/>
      <c r="D2806" s="9" t="n"/>
      <c r="E2806" s="8" t="n"/>
      <c r="F2806" s="9" t="n"/>
      <c r="G2806" s="9" t="n"/>
      <c r="H2806" s="3">
        <f>IF(AND(D2806&lt;&gt;"",F2806&lt;&gt;""),F2806-D2806-G2806,"")</f>
        <v/>
      </c>
      <c r="I2806" s="14">
        <f>IF(E2806&lt;&gt;"", YEARFRAC(C2806, E2806) * 12, "")</f>
        <v/>
      </c>
      <c r="J2806" s="2">
        <f>IF(I2806="", "", IF(OR(AND(A2806="Listed Equity Shares", I2806&gt;12), AND(A2806="Unlisted Equity Shares", I2806&gt;24)), "Long Term", "Short Term"))</f>
        <v/>
      </c>
      <c r="K2806" s="5">
        <f>IF(J2806="", "", IF(J2806="Long Term", 12.5%,"as per slab"))</f>
        <v/>
      </c>
      <c r="L2806" s="3">
        <f>+IFERROR(IF(J2806="","",H2806*K2806),"as per slab")</f>
        <v/>
      </c>
    </row>
    <row r="2807">
      <c r="A2807" s="7" t="n"/>
      <c r="B2807" s="7" t="n"/>
      <c r="C2807" s="8" t="n"/>
      <c r="D2807" s="9" t="n"/>
      <c r="E2807" s="8" t="n"/>
      <c r="F2807" s="9" t="n"/>
      <c r="G2807" s="9" t="n"/>
      <c r="H2807" s="3">
        <f>IF(AND(D2807&lt;&gt;"",F2807&lt;&gt;""),F2807-D2807-G2807,"")</f>
        <v/>
      </c>
      <c r="I2807" s="14">
        <f>IF(E2807&lt;&gt;"", YEARFRAC(C2807, E2807) * 12, "")</f>
        <v/>
      </c>
      <c r="J2807" s="2">
        <f>IF(I2807="", "", IF(OR(AND(A2807="Listed Equity Shares", I2807&gt;12), AND(A2807="Unlisted Equity Shares", I2807&gt;24)), "Long Term", "Short Term"))</f>
        <v/>
      </c>
      <c r="K2807" s="5">
        <f>IF(J2807="", "", IF(J2807="Long Term", 12.5%,"as per slab"))</f>
        <v/>
      </c>
      <c r="L2807" s="3">
        <f>+IFERROR(IF(J2807="","",H2807*K2807),"as per slab")</f>
        <v/>
      </c>
    </row>
    <row r="2808">
      <c r="A2808" s="7" t="n"/>
      <c r="B2808" s="7" t="n"/>
      <c r="C2808" s="8" t="n"/>
      <c r="D2808" s="9" t="n"/>
      <c r="E2808" s="8" t="n"/>
      <c r="F2808" s="9" t="n"/>
      <c r="G2808" s="9" t="n"/>
      <c r="H2808" s="3">
        <f>IF(AND(D2808&lt;&gt;"",F2808&lt;&gt;""),F2808-D2808-G2808,"")</f>
        <v/>
      </c>
      <c r="I2808" s="14">
        <f>IF(E2808&lt;&gt;"", YEARFRAC(C2808, E2808) * 12, "")</f>
        <v/>
      </c>
      <c r="J2808" s="2">
        <f>IF(I2808="", "", IF(OR(AND(A2808="Listed Equity Shares", I2808&gt;12), AND(A2808="Unlisted Equity Shares", I2808&gt;24)), "Long Term", "Short Term"))</f>
        <v/>
      </c>
      <c r="K2808" s="5">
        <f>IF(J2808="", "", IF(J2808="Long Term", 12.5%,"as per slab"))</f>
        <v/>
      </c>
      <c r="L2808" s="3">
        <f>+IFERROR(IF(J2808="","",H2808*K2808),"as per slab")</f>
        <v/>
      </c>
    </row>
    <row r="2809">
      <c r="A2809" s="7" t="n"/>
      <c r="B2809" s="7" t="n"/>
      <c r="C2809" s="8" t="n"/>
      <c r="D2809" s="9" t="n"/>
      <c r="E2809" s="8" t="n"/>
      <c r="F2809" s="9" t="n"/>
      <c r="G2809" s="9" t="n"/>
      <c r="H2809" s="3">
        <f>IF(AND(D2809&lt;&gt;"",F2809&lt;&gt;""),F2809-D2809-G2809,"")</f>
        <v/>
      </c>
      <c r="I2809" s="14">
        <f>IF(E2809&lt;&gt;"", YEARFRAC(C2809, E2809) * 12, "")</f>
        <v/>
      </c>
      <c r="J2809" s="2">
        <f>IF(I2809="", "", IF(OR(AND(A2809="Listed Equity Shares", I2809&gt;12), AND(A2809="Unlisted Equity Shares", I2809&gt;24)), "Long Term", "Short Term"))</f>
        <v/>
      </c>
      <c r="K2809" s="5">
        <f>IF(J2809="", "", IF(J2809="Long Term", 12.5%,"as per slab"))</f>
        <v/>
      </c>
      <c r="L2809" s="3">
        <f>+IFERROR(IF(J2809="","",H2809*K2809),"as per slab")</f>
        <v/>
      </c>
    </row>
    <row r="2810">
      <c r="A2810" s="7" t="n"/>
      <c r="B2810" s="7" t="n"/>
      <c r="C2810" s="8" t="n"/>
      <c r="D2810" s="9" t="n"/>
      <c r="E2810" s="8" t="n"/>
      <c r="F2810" s="9" t="n"/>
      <c r="G2810" s="9" t="n"/>
      <c r="H2810" s="3">
        <f>IF(AND(D2810&lt;&gt;"",F2810&lt;&gt;""),F2810-D2810-G2810,"")</f>
        <v/>
      </c>
      <c r="I2810" s="14">
        <f>IF(E2810&lt;&gt;"", YEARFRAC(C2810, E2810) * 12, "")</f>
        <v/>
      </c>
      <c r="J2810" s="2">
        <f>IF(I2810="", "", IF(OR(AND(A2810="Listed Equity Shares", I2810&gt;12), AND(A2810="Unlisted Equity Shares", I2810&gt;24)), "Long Term", "Short Term"))</f>
        <v/>
      </c>
      <c r="K2810" s="5">
        <f>IF(J2810="", "", IF(J2810="Long Term", 12.5%,"as per slab"))</f>
        <v/>
      </c>
      <c r="L2810" s="3">
        <f>+IFERROR(IF(J2810="","",H2810*K2810),"as per slab")</f>
        <v/>
      </c>
    </row>
    <row r="2811">
      <c r="A2811" s="7" t="n"/>
      <c r="B2811" s="7" t="n"/>
      <c r="C2811" s="8" t="n"/>
      <c r="D2811" s="9" t="n"/>
      <c r="E2811" s="8" t="n"/>
      <c r="F2811" s="9" t="n"/>
      <c r="G2811" s="9" t="n"/>
      <c r="H2811" s="3">
        <f>IF(AND(D2811&lt;&gt;"",F2811&lt;&gt;""),F2811-D2811-G2811,"")</f>
        <v/>
      </c>
      <c r="I2811" s="14">
        <f>IF(E2811&lt;&gt;"", YEARFRAC(C2811, E2811) * 12, "")</f>
        <v/>
      </c>
      <c r="J2811" s="2">
        <f>IF(I2811="", "", IF(OR(AND(A2811="Listed Equity Shares", I2811&gt;12), AND(A2811="Unlisted Equity Shares", I2811&gt;24)), "Long Term", "Short Term"))</f>
        <v/>
      </c>
      <c r="K2811" s="5">
        <f>IF(J2811="", "", IF(J2811="Long Term", 12.5%,"as per slab"))</f>
        <v/>
      </c>
      <c r="L2811" s="3">
        <f>+IFERROR(IF(J2811="","",H2811*K2811),"as per slab")</f>
        <v/>
      </c>
    </row>
    <row r="2812">
      <c r="A2812" s="7" t="n"/>
      <c r="B2812" s="7" t="n"/>
      <c r="C2812" s="8" t="n"/>
      <c r="D2812" s="9" t="n"/>
      <c r="E2812" s="8" t="n"/>
      <c r="F2812" s="9" t="n"/>
      <c r="G2812" s="9" t="n"/>
      <c r="H2812" s="3">
        <f>IF(AND(D2812&lt;&gt;"",F2812&lt;&gt;""),F2812-D2812-G2812,"")</f>
        <v/>
      </c>
      <c r="I2812" s="14">
        <f>IF(E2812&lt;&gt;"", YEARFRAC(C2812, E2812) * 12, "")</f>
        <v/>
      </c>
      <c r="J2812" s="2">
        <f>IF(I2812="", "", IF(OR(AND(A2812="Listed Equity Shares", I2812&gt;12), AND(A2812="Unlisted Equity Shares", I2812&gt;24)), "Long Term", "Short Term"))</f>
        <v/>
      </c>
      <c r="K2812" s="5">
        <f>IF(J2812="", "", IF(J2812="Long Term", 12.5%,"as per slab"))</f>
        <v/>
      </c>
      <c r="L2812" s="3">
        <f>+IFERROR(IF(J2812="","",H2812*K2812),"as per slab")</f>
        <v/>
      </c>
    </row>
    <row r="2813">
      <c r="A2813" s="7" t="n"/>
      <c r="B2813" s="7" t="n"/>
      <c r="C2813" s="8" t="n"/>
      <c r="D2813" s="9" t="n"/>
      <c r="E2813" s="8" t="n"/>
      <c r="F2813" s="9" t="n"/>
      <c r="G2813" s="9" t="n"/>
      <c r="H2813" s="3">
        <f>IF(AND(D2813&lt;&gt;"",F2813&lt;&gt;""),F2813-D2813-G2813,"")</f>
        <v/>
      </c>
      <c r="I2813" s="14">
        <f>IF(E2813&lt;&gt;"", YEARFRAC(C2813, E2813) * 12, "")</f>
        <v/>
      </c>
      <c r="J2813" s="2">
        <f>IF(I2813="", "", IF(OR(AND(A2813="Listed Equity Shares", I2813&gt;12), AND(A2813="Unlisted Equity Shares", I2813&gt;24)), "Long Term", "Short Term"))</f>
        <v/>
      </c>
      <c r="K2813" s="5">
        <f>IF(J2813="", "", IF(J2813="Long Term", 12.5%,"as per slab"))</f>
        <v/>
      </c>
      <c r="L2813" s="3">
        <f>+IFERROR(IF(J2813="","",H2813*K2813),"as per slab")</f>
        <v/>
      </c>
    </row>
    <row r="2814">
      <c r="A2814" s="7" t="n"/>
      <c r="B2814" s="7" t="n"/>
      <c r="C2814" s="8" t="n"/>
      <c r="D2814" s="9" t="n"/>
      <c r="E2814" s="8" t="n"/>
      <c r="F2814" s="9" t="n"/>
      <c r="G2814" s="9" t="n"/>
      <c r="H2814" s="3">
        <f>IF(AND(D2814&lt;&gt;"",F2814&lt;&gt;""),F2814-D2814-G2814,"")</f>
        <v/>
      </c>
      <c r="I2814" s="14">
        <f>IF(E2814&lt;&gt;"", YEARFRAC(C2814, E2814) * 12, "")</f>
        <v/>
      </c>
      <c r="J2814" s="2">
        <f>IF(I2814="", "", IF(OR(AND(A2814="Listed Equity Shares", I2814&gt;12), AND(A2814="Unlisted Equity Shares", I2814&gt;24)), "Long Term", "Short Term"))</f>
        <v/>
      </c>
      <c r="K2814" s="5">
        <f>IF(J2814="", "", IF(J2814="Long Term", 12.5%,"as per slab"))</f>
        <v/>
      </c>
      <c r="L2814" s="3">
        <f>+IFERROR(IF(J2814="","",H2814*K2814),"as per slab")</f>
        <v/>
      </c>
    </row>
    <row r="2815">
      <c r="A2815" s="7" t="n"/>
      <c r="B2815" s="7" t="n"/>
      <c r="C2815" s="8" t="n"/>
      <c r="D2815" s="9" t="n"/>
      <c r="E2815" s="8" t="n"/>
      <c r="F2815" s="9" t="n"/>
      <c r="G2815" s="9" t="n"/>
      <c r="H2815" s="3">
        <f>IF(AND(D2815&lt;&gt;"",F2815&lt;&gt;""),F2815-D2815-G2815,"")</f>
        <v/>
      </c>
      <c r="I2815" s="14">
        <f>IF(E2815&lt;&gt;"", YEARFRAC(C2815, E2815) * 12, "")</f>
        <v/>
      </c>
      <c r="J2815" s="2">
        <f>IF(I2815="", "", IF(OR(AND(A2815="Listed Equity Shares", I2815&gt;12), AND(A2815="Unlisted Equity Shares", I2815&gt;24)), "Long Term", "Short Term"))</f>
        <v/>
      </c>
      <c r="K2815" s="5">
        <f>IF(J2815="", "", IF(J2815="Long Term", 12.5%,"as per slab"))</f>
        <v/>
      </c>
      <c r="L2815" s="3">
        <f>+IFERROR(IF(J2815="","",H2815*K2815),"as per slab")</f>
        <v/>
      </c>
    </row>
    <row r="2816">
      <c r="A2816" s="7" t="n"/>
      <c r="B2816" s="7" t="n"/>
      <c r="C2816" s="8" t="n"/>
      <c r="D2816" s="9" t="n"/>
      <c r="E2816" s="8" t="n"/>
      <c r="F2816" s="9" t="n"/>
      <c r="G2816" s="9" t="n"/>
      <c r="H2816" s="3">
        <f>IF(AND(D2816&lt;&gt;"",F2816&lt;&gt;""),F2816-D2816-G2816,"")</f>
        <v/>
      </c>
      <c r="I2816" s="14">
        <f>IF(E2816&lt;&gt;"", YEARFRAC(C2816, E2816) * 12, "")</f>
        <v/>
      </c>
      <c r="J2816" s="2">
        <f>IF(I2816="", "", IF(OR(AND(A2816="Listed Equity Shares", I2816&gt;12), AND(A2816="Unlisted Equity Shares", I2816&gt;24)), "Long Term", "Short Term"))</f>
        <v/>
      </c>
      <c r="K2816" s="5">
        <f>IF(J2816="", "", IF(J2816="Long Term", 12.5%,"as per slab"))</f>
        <v/>
      </c>
      <c r="L2816" s="3">
        <f>+IFERROR(IF(J2816="","",H2816*K2816),"as per slab")</f>
        <v/>
      </c>
    </row>
    <row r="2817">
      <c r="A2817" s="7" t="n"/>
      <c r="B2817" s="7" t="n"/>
      <c r="C2817" s="8" t="n"/>
      <c r="D2817" s="9" t="n"/>
      <c r="E2817" s="8" t="n"/>
      <c r="F2817" s="9" t="n"/>
      <c r="G2817" s="9" t="n"/>
      <c r="H2817" s="3">
        <f>IF(AND(D2817&lt;&gt;"",F2817&lt;&gt;""),F2817-D2817-G2817,"")</f>
        <v/>
      </c>
      <c r="I2817" s="14">
        <f>IF(E2817&lt;&gt;"", YEARFRAC(C2817, E2817) * 12, "")</f>
        <v/>
      </c>
      <c r="J2817" s="2">
        <f>IF(I2817="", "", IF(OR(AND(A2817="Listed Equity Shares", I2817&gt;12), AND(A2817="Unlisted Equity Shares", I2817&gt;24)), "Long Term", "Short Term"))</f>
        <v/>
      </c>
      <c r="K2817" s="5">
        <f>IF(J2817="", "", IF(J2817="Long Term", 12.5%,"as per slab"))</f>
        <v/>
      </c>
      <c r="L2817" s="3">
        <f>+IFERROR(IF(J2817="","",H2817*K2817),"as per slab")</f>
        <v/>
      </c>
    </row>
    <row r="2818">
      <c r="A2818" s="7" t="n"/>
      <c r="B2818" s="7" t="n"/>
      <c r="C2818" s="8" t="n"/>
      <c r="D2818" s="9" t="n"/>
      <c r="E2818" s="8" t="n"/>
      <c r="F2818" s="9" t="n"/>
      <c r="G2818" s="9" t="n"/>
      <c r="H2818" s="3">
        <f>IF(AND(D2818&lt;&gt;"",F2818&lt;&gt;""),F2818-D2818-G2818,"")</f>
        <v/>
      </c>
      <c r="I2818" s="14">
        <f>IF(E2818&lt;&gt;"", YEARFRAC(C2818, E2818) * 12, "")</f>
        <v/>
      </c>
      <c r="J2818" s="2">
        <f>IF(I2818="", "", IF(OR(AND(A2818="Listed Equity Shares", I2818&gt;12), AND(A2818="Unlisted Equity Shares", I2818&gt;24)), "Long Term", "Short Term"))</f>
        <v/>
      </c>
      <c r="K2818" s="5">
        <f>IF(J2818="", "", IF(J2818="Long Term", 12.5%,"as per slab"))</f>
        <v/>
      </c>
      <c r="L2818" s="3">
        <f>+IFERROR(IF(J2818="","",H2818*K2818),"as per slab")</f>
        <v/>
      </c>
    </row>
    <row r="2819">
      <c r="A2819" s="7" t="n"/>
      <c r="B2819" s="7" t="n"/>
      <c r="C2819" s="8" t="n"/>
      <c r="D2819" s="9" t="n"/>
      <c r="E2819" s="8" t="n"/>
      <c r="F2819" s="9" t="n"/>
      <c r="G2819" s="9" t="n"/>
      <c r="H2819" s="3">
        <f>IF(AND(D2819&lt;&gt;"",F2819&lt;&gt;""),F2819-D2819-G2819,"")</f>
        <v/>
      </c>
      <c r="I2819" s="14">
        <f>IF(E2819&lt;&gt;"", YEARFRAC(C2819, E2819) * 12, "")</f>
        <v/>
      </c>
      <c r="J2819" s="2">
        <f>IF(I2819="", "", IF(OR(AND(A2819="Listed Equity Shares", I2819&gt;12), AND(A2819="Unlisted Equity Shares", I2819&gt;24)), "Long Term", "Short Term"))</f>
        <v/>
      </c>
      <c r="K2819" s="5">
        <f>IF(J2819="", "", IF(J2819="Long Term", 12.5%,"as per slab"))</f>
        <v/>
      </c>
      <c r="L2819" s="3">
        <f>+IFERROR(IF(J2819="","",H2819*K2819),"as per slab")</f>
        <v/>
      </c>
    </row>
    <row r="2820">
      <c r="A2820" s="7" t="n"/>
      <c r="B2820" s="7" t="n"/>
      <c r="C2820" s="8" t="n"/>
      <c r="D2820" s="9" t="n"/>
      <c r="E2820" s="8" t="n"/>
      <c r="F2820" s="9" t="n"/>
      <c r="G2820" s="9" t="n"/>
      <c r="H2820" s="3">
        <f>IF(AND(D2820&lt;&gt;"",F2820&lt;&gt;""),F2820-D2820-G2820,"")</f>
        <v/>
      </c>
      <c r="I2820" s="14">
        <f>IF(E2820&lt;&gt;"", YEARFRAC(C2820, E2820) * 12, "")</f>
        <v/>
      </c>
      <c r="J2820" s="2">
        <f>IF(I2820="", "", IF(OR(AND(A2820="Listed Equity Shares", I2820&gt;12), AND(A2820="Unlisted Equity Shares", I2820&gt;24)), "Long Term", "Short Term"))</f>
        <v/>
      </c>
      <c r="K2820" s="5">
        <f>IF(J2820="", "", IF(J2820="Long Term", 12.5%,"as per slab"))</f>
        <v/>
      </c>
      <c r="L2820" s="3">
        <f>+IFERROR(IF(J2820="","",H2820*K2820),"as per slab")</f>
        <v/>
      </c>
    </row>
    <row r="2821">
      <c r="A2821" s="7" t="n"/>
      <c r="B2821" s="7" t="n"/>
      <c r="C2821" s="8" t="n"/>
      <c r="D2821" s="9" t="n"/>
      <c r="E2821" s="8" t="n"/>
      <c r="F2821" s="9" t="n"/>
      <c r="G2821" s="9" t="n"/>
      <c r="H2821" s="3">
        <f>IF(AND(D2821&lt;&gt;"",F2821&lt;&gt;""),F2821-D2821-G2821,"")</f>
        <v/>
      </c>
      <c r="I2821" s="14">
        <f>IF(E2821&lt;&gt;"", YEARFRAC(C2821, E2821) * 12, "")</f>
        <v/>
      </c>
      <c r="J2821" s="2">
        <f>IF(I2821="", "", IF(OR(AND(A2821="Listed Equity Shares", I2821&gt;12), AND(A2821="Unlisted Equity Shares", I2821&gt;24)), "Long Term", "Short Term"))</f>
        <v/>
      </c>
      <c r="K2821" s="5">
        <f>IF(J2821="", "", IF(J2821="Long Term", 12.5%,"as per slab"))</f>
        <v/>
      </c>
      <c r="L2821" s="3">
        <f>+IFERROR(IF(J2821="","",H2821*K2821),"as per slab")</f>
        <v/>
      </c>
    </row>
    <row r="2822">
      <c r="A2822" s="7" t="n"/>
      <c r="B2822" s="7" t="n"/>
      <c r="C2822" s="8" t="n"/>
      <c r="D2822" s="9" t="n"/>
      <c r="E2822" s="8" t="n"/>
      <c r="F2822" s="9" t="n"/>
      <c r="G2822" s="9" t="n"/>
      <c r="H2822" s="3">
        <f>IF(AND(D2822&lt;&gt;"",F2822&lt;&gt;""),F2822-D2822-G2822,"")</f>
        <v/>
      </c>
      <c r="I2822" s="14">
        <f>IF(E2822&lt;&gt;"", YEARFRAC(C2822, E2822) * 12, "")</f>
        <v/>
      </c>
      <c r="J2822" s="2">
        <f>IF(I2822="", "", IF(OR(AND(A2822="Listed Equity Shares", I2822&gt;12), AND(A2822="Unlisted Equity Shares", I2822&gt;24)), "Long Term", "Short Term"))</f>
        <v/>
      </c>
      <c r="K2822" s="5">
        <f>IF(J2822="", "", IF(J2822="Long Term", 12.5%,"as per slab"))</f>
        <v/>
      </c>
      <c r="L2822" s="3">
        <f>+IFERROR(IF(J2822="","",H2822*K2822),"as per slab")</f>
        <v/>
      </c>
    </row>
    <row r="2823">
      <c r="A2823" s="7" t="n"/>
      <c r="B2823" s="7" t="n"/>
      <c r="C2823" s="8" t="n"/>
      <c r="D2823" s="9" t="n"/>
      <c r="E2823" s="8" t="n"/>
      <c r="F2823" s="9" t="n"/>
      <c r="G2823" s="9" t="n"/>
      <c r="H2823" s="3">
        <f>IF(AND(D2823&lt;&gt;"",F2823&lt;&gt;""),F2823-D2823-G2823,"")</f>
        <v/>
      </c>
      <c r="I2823" s="14">
        <f>IF(E2823&lt;&gt;"", YEARFRAC(C2823, E2823) * 12, "")</f>
        <v/>
      </c>
      <c r="J2823" s="2">
        <f>IF(I2823="", "", IF(OR(AND(A2823="Listed Equity Shares", I2823&gt;12), AND(A2823="Unlisted Equity Shares", I2823&gt;24)), "Long Term", "Short Term"))</f>
        <v/>
      </c>
      <c r="K2823" s="5">
        <f>IF(J2823="", "", IF(J2823="Long Term", 12.5%,"as per slab"))</f>
        <v/>
      </c>
      <c r="L2823" s="3">
        <f>+IFERROR(IF(J2823="","",H2823*K2823),"as per slab")</f>
        <v/>
      </c>
    </row>
    <row r="2824">
      <c r="A2824" s="7" t="n"/>
      <c r="B2824" s="7" t="n"/>
      <c r="C2824" s="8" t="n"/>
      <c r="D2824" s="9" t="n"/>
      <c r="E2824" s="8" t="n"/>
      <c r="F2824" s="9" t="n"/>
      <c r="G2824" s="9" t="n"/>
      <c r="H2824" s="3">
        <f>IF(AND(D2824&lt;&gt;"",F2824&lt;&gt;""),F2824-D2824-G2824,"")</f>
        <v/>
      </c>
      <c r="I2824" s="14">
        <f>IF(E2824&lt;&gt;"", YEARFRAC(C2824, E2824) * 12, "")</f>
        <v/>
      </c>
      <c r="J2824" s="2">
        <f>IF(I2824="", "", IF(OR(AND(A2824="Listed Equity Shares", I2824&gt;12), AND(A2824="Unlisted Equity Shares", I2824&gt;24)), "Long Term", "Short Term"))</f>
        <v/>
      </c>
      <c r="K2824" s="5">
        <f>IF(J2824="", "", IF(J2824="Long Term", 12.5%,"as per slab"))</f>
        <v/>
      </c>
      <c r="L2824" s="3">
        <f>+IFERROR(IF(J2824="","",H2824*K2824),"as per slab")</f>
        <v/>
      </c>
    </row>
    <row r="2825">
      <c r="A2825" s="7" t="n"/>
      <c r="B2825" s="7" t="n"/>
      <c r="C2825" s="8" t="n"/>
      <c r="D2825" s="9" t="n"/>
      <c r="E2825" s="8" t="n"/>
      <c r="F2825" s="9" t="n"/>
      <c r="G2825" s="9" t="n"/>
      <c r="H2825" s="3">
        <f>IF(AND(D2825&lt;&gt;"",F2825&lt;&gt;""),F2825-D2825-G2825,"")</f>
        <v/>
      </c>
      <c r="I2825" s="14">
        <f>IF(E2825&lt;&gt;"", YEARFRAC(C2825, E2825) * 12, "")</f>
        <v/>
      </c>
      <c r="J2825" s="2">
        <f>IF(I2825="", "", IF(OR(AND(A2825="Listed Equity Shares", I2825&gt;12), AND(A2825="Unlisted Equity Shares", I2825&gt;24)), "Long Term", "Short Term"))</f>
        <v/>
      </c>
      <c r="K2825" s="5">
        <f>IF(J2825="", "", IF(J2825="Long Term", 12.5%,"as per slab"))</f>
        <v/>
      </c>
      <c r="L2825" s="3">
        <f>+IFERROR(IF(J2825="","",H2825*K2825),"as per slab")</f>
        <v/>
      </c>
    </row>
    <row r="2826">
      <c r="A2826" s="7" t="n"/>
      <c r="B2826" s="7" t="n"/>
      <c r="C2826" s="8" t="n"/>
      <c r="D2826" s="9" t="n"/>
      <c r="E2826" s="8" t="n"/>
      <c r="F2826" s="9" t="n"/>
      <c r="G2826" s="9" t="n"/>
      <c r="H2826" s="3">
        <f>IF(AND(D2826&lt;&gt;"",F2826&lt;&gt;""),F2826-D2826-G2826,"")</f>
        <v/>
      </c>
      <c r="I2826" s="14">
        <f>IF(E2826&lt;&gt;"", YEARFRAC(C2826, E2826) * 12, "")</f>
        <v/>
      </c>
      <c r="J2826" s="2">
        <f>IF(I2826="", "", IF(OR(AND(A2826="Listed Equity Shares", I2826&gt;12), AND(A2826="Unlisted Equity Shares", I2826&gt;24)), "Long Term", "Short Term"))</f>
        <v/>
      </c>
      <c r="K2826" s="5">
        <f>IF(J2826="", "", IF(J2826="Long Term", 12.5%,"as per slab"))</f>
        <v/>
      </c>
      <c r="L2826" s="3">
        <f>+IFERROR(IF(J2826="","",H2826*K2826),"as per slab")</f>
        <v/>
      </c>
    </row>
    <row r="2827">
      <c r="A2827" s="7" t="n"/>
      <c r="B2827" s="7" t="n"/>
      <c r="C2827" s="8" t="n"/>
      <c r="D2827" s="9" t="n"/>
      <c r="E2827" s="8" t="n"/>
      <c r="F2827" s="9" t="n"/>
      <c r="G2827" s="9" t="n"/>
      <c r="H2827" s="3">
        <f>IF(AND(D2827&lt;&gt;"",F2827&lt;&gt;""),F2827-D2827-G2827,"")</f>
        <v/>
      </c>
      <c r="I2827" s="14">
        <f>IF(E2827&lt;&gt;"", YEARFRAC(C2827, E2827) * 12, "")</f>
        <v/>
      </c>
      <c r="J2827" s="2">
        <f>IF(I2827="", "", IF(OR(AND(A2827="Listed Equity Shares", I2827&gt;12), AND(A2827="Unlisted Equity Shares", I2827&gt;24)), "Long Term", "Short Term"))</f>
        <v/>
      </c>
      <c r="K2827" s="5">
        <f>IF(J2827="", "", IF(J2827="Long Term", 12.5%,"as per slab"))</f>
        <v/>
      </c>
      <c r="L2827" s="3">
        <f>+IFERROR(IF(J2827="","",H2827*K2827),"as per slab")</f>
        <v/>
      </c>
    </row>
    <row r="2828">
      <c r="A2828" s="7" t="n"/>
      <c r="B2828" s="7" t="n"/>
      <c r="C2828" s="8" t="n"/>
      <c r="D2828" s="9" t="n"/>
      <c r="E2828" s="8" t="n"/>
      <c r="F2828" s="9" t="n"/>
      <c r="G2828" s="9" t="n"/>
      <c r="H2828" s="3">
        <f>IF(AND(D2828&lt;&gt;"",F2828&lt;&gt;""),F2828-D2828-G2828,"")</f>
        <v/>
      </c>
      <c r="I2828" s="14">
        <f>IF(E2828&lt;&gt;"", YEARFRAC(C2828, E2828) * 12, "")</f>
        <v/>
      </c>
      <c r="J2828" s="2">
        <f>IF(I2828="", "", IF(OR(AND(A2828="Listed Equity Shares", I2828&gt;12), AND(A2828="Unlisted Equity Shares", I2828&gt;24)), "Long Term", "Short Term"))</f>
        <v/>
      </c>
      <c r="K2828" s="5">
        <f>IF(J2828="", "", IF(J2828="Long Term", 12.5%,"as per slab"))</f>
        <v/>
      </c>
      <c r="L2828" s="3">
        <f>+IFERROR(IF(J2828="","",H2828*K2828),"as per slab")</f>
        <v/>
      </c>
    </row>
    <row r="2829">
      <c r="A2829" s="7" t="n"/>
      <c r="B2829" s="7" t="n"/>
      <c r="C2829" s="8" t="n"/>
      <c r="D2829" s="9" t="n"/>
      <c r="E2829" s="8" t="n"/>
      <c r="F2829" s="9" t="n"/>
      <c r="G2829" s="9" t="n"/>
      <c r="H2829" s="3">
        <f>IF(AND(D2829&lt;&gt;"",F2829&lt;&gt;""),F2829-D2829-G2829,"")</f>
        <v/>
      </c>
      <c r="I2829" s="14">
        <f>IF(E2829&lt;&gt;"", YEARFRAC(C2829, E2829) * 12, "")</f>
        <v/>
      </c>
      <c r="J2829" s="2">
        <f>IF(I2829="", "", IF(OR(AND(A2829="Listed Equity Shares", I2829&gt;12), AND(A2829="Unlisted Equity Shares", I2829&gt;24)), "Long Term", "Short Term"))</f>
        <v/>
      </c>
      <c r="K2829" s="5">
        <f>IF(J2829="", "", IF(J2829="Long Term", 12.5%,"as per slab"))</f>
        <v/>
      </c>
      <c r="L2829" s="3">
        <f>+IFERROR(IF(J2829="","",H2829*K2829),"as per slab")</f>
        <v/>
      </c>
    </row>
    <row r="2830">
      <c r="A2830" s="7" t="n"/>
      <c r="B2830" s="7" t="n"/>
      <c r="C2830" s="8" t="n"/>
      <c r="D2830" s="9" t="n"/>
      <c r="E2830" s="8" t="n"/>
      <c r="F2830" s="9" t="n"/>
      <c r="G2830" s="9" t="n"/>
      <c r="H2830" s="3">
        <f>IF(AND(D2830&lt;&gt;"",F2830&lt;&gt;""),F2830-D2830-G2830,"")</f>
        <v/>
      </c>
      <c r="I2830" s="14">
        <f>IF(E2830&lt;&gt;"", YEARFRAC(C2830, E2830) * 12, "")</f>
        <v/>
      </c>
      <c r="J2830" s="2">
        <f>IF(I2830="", "", IF(OR(AND(A2830="Listed Equity Shares", I2830&gt;12), AND(A2830="Unlisted Equity Shares", I2830&gt;24)), "Long Term", "Short Term"))</f>
        <v/>
      </c>
      <c r="K2830" s="5">
        <f>IF(J2830="", "", IF(J2830="Long Term", 12.5%,"as per slab"))</f>
        <v/>
      </c>
      <c r="L2830" s="3">
        <f>+IFERROR(IF(J2830="","",H2830*K2830),"as per slab")</f>
        <v/>
      </c>
    </row>
    <row r="2831">
      <c r="A2831" s="7" t="n"/>
      <c r="B2831" s="7" t="n"/>
      <c r="C2831" s="8" t="n"/>
      <c r="D2831" s="9" t="n"/>
      <c r="E2831" s="8" t="n"/>
      <c r="F2831" s="9" t="n"/>
      <c r="G2831" s="9" t="n"/>
      <c r="H2831" s="3">
        <f>IF(AND(D2831&lt;&gt;"",F2831&lt;&gt;""),F2831-D2831-G2831,"")</f>
        <v/>
      </c>
      <c r="I2831" s="14">
        <f>IF(E2831&lt;&gt;"", YEARFRAC(C2831, E2831) * 12, "")</f>
        <v/>
      </c>
      <c r="J2831" s="2">
        <f>IF(I2831="", "", IF(OR(AND(A2831="Listed Equity Shares", I2831&gt;12), AND(A2831="Unlisted Equity Shares", I2831&gt;24)), "Long Term", "Short Term"))</f>
        <v/>
      </c>
      <c r="K2831" s="5">
        <f>IF(J2831="", "", IF(J2831="Long Term", 12.5%,"as per slab"))</f>
        <v/>
      </c>
      <c r="L2831" s="3">
        <f>+IFERROR(IF(J2831="","",H2831*K2831),"as per slab")</f>
        <v/>
      </c>
    </row>
    <row r="2832">
      <c r="A2832" s="7" t="n"/>
      <c r="B2832" s="7" t="n"/>
      <c r="C2832" s="8" t="n"/>
      <c r="D2832" s="9" t="n"/>
      <c r="E2832" s="8" t="n"/>
      <c r="F2832" s="9" t="n"/>
      <c r="G2832" s="9" t="n"/>
      <c r="H2832" s="3">
        <f>IF(AND(D2832&lt;&gt;"",F2832&lt;&gt;""),F2832-D2832-G2832,"")</f>
        <v/>
      </c>
      <c r="I2832" s="14">
        <f>IF(E2832&lt;&gt;"", YEARFRAC(C2832, E2832) * 12, "")</f>
        <v/>
      </c>
      <c r="J2832" s="2">
        <f>IF(I2832="", "", IF(OR(AND(A2832="Listed Equity Shares", I2832&gt;12), AND(A2832="Unlisted Equity Shares", I2832&gt;24)), "Long Term", "Short Term"))</f>
        <v/>
      </c>
      <c r="K2832" s="5">
        <f>IF(J2832="", "", IF(J2832="Long Term", 12.5%,"as per slab"))</f>
        <v/>
      </c>
      <c r="L2832" s="3">
        <f>+IFERROR(IF(J2832="","",H2832*K2832),"as per slab")</f>
        <v/>
      </c>
    </row>
    <row r="2833">
      <c r="A2833" s="7" t="n"/>
      <c r="B2833" s="7" t="n"/>
      <c r="C2833" s="8" t="n"/>
      <c r="D2833" s="9" t="n"/>
      <c r="E2833" s="8" t="n"/>
      <c r="F2833" s="9" t="n"/>
      <c r="G2833" s="9" t="n"/>
      <c r="H2833" s="3">
        <f>IF(AND(D2833&lt;&gt;"",F2833&lt;&gt;""),F2833-D2833-G2833,"")</f>
        <v/>
      </c>
      <c r="I2833" s="14">
        <f>IF(E2833&lt;&gt;"", YEARFRAC(C2833, E2833) * 12, "")</f>
        <v/>
      </c>
      <c r="J2833" s="2">
        <f>IF(I2833="", "", IF(OR(AND(A2833="Listed Equity Shares", I2833&gt;12), AND(A2833="Unlisted Equity Shares", I2833&gt;24)), "Long Term", "Short Term"))</f>
        <v/>
      </c>
      <c r="K2833" s="5">
        <f>IF(J2833="", "", IF(J2833="Long Term", 12.5%,"as per slab"))</f>
        <v/>
      </c>
      <c r="L2833" s="3">
        <f>+IFERROR(IF(J2833="","",H2833*K2833),"as per slab")</f>
        <v/>
      </c>
    </row>
    <row r="2834">
      <c r="A2834" s="7" t="n"/>
      <c r="B2834" s="7" t="n"/>
      <c r="C2834" s="8" t="n"/>
      <c r="D2834" s="9" t="n"/>
      <c r="E2834" s="8" t="n"/>
      <c r="F2834" s="9" t="n"/>
      <c r="G2834" s="9" t="n"/>
      <c r="H2834" s="3">
        <f>IF(AND(D2834&lt;&gt;"",F2834&lt;&gt;""),F2834-D2834-G2834,"")</f>
        <v/>
      </c>
      <c r="I2834" s="14">
        <f>IF(E2834&lt;&gt;"", YEARFRAC(C2834, E2834) * 12, "")</f>
        <v/>
      </c>
      <c r="J2834" s="2">
        <f>IF(I2834="", "", IF(OR(AND(A2834="Listed Equity Shares", I2834&gt;12), AND(A2834="Unlisted Equity Shares", I2834&gt;24)), "Long Term", "Short Term"))</f>
        <v/>
      </c>
      <c r="K2834" s="5">
        <f>IF(J2834="", "", IF(J2834="Long Term", 12.5%,"as per slab"))</f>
        <v/>
      </c>
      <c r="L2834" s="3">
        <f>+IFERROR(IF(J2834="","",H2834*K2834),"as per slab")</f>
        <v/>
      </c>
    </row>
    <row r="2835">
      <c r="A2835" s="7" t="n"/>
      <c r="B2835" s="7" t="n"/>
      <c r="C2835" s="8" t="n"/>
      <c r="D2835" s="9" t="n"/>
      <c r="E2835" s="8" t="n"/>
      <c r="F2835" s="9" t="n"/>
      <c r="G2835" s="9" t="n"/>
      <c r="H2835" s="3">
        <f>IF(AND(D2835&lt;&gt;"",F2835&lt;&gt;""),F2835-D2835-G2835,"")</f>
        <v/>
      </c>
      <c r="I2835" s="14">
        <f>IF(E2835&lt;&gt;"", YEARFRAC(C2835, E2835) * 12, "")</f>
        <v/>
      </c>
      <c r="J2835" s="2">
        <f>IF(I2835="", "", IF(OR(AND(A2835="Listed Equity Shares", I2835&gt;12), AND(A2835="Unlisted Equity Shares", I2835&gt;24)), "Long Term", "Short Term"))</f>
        <v/>
      </c>
      <c r="K2835" s="5">
        <f>IF(J2835="", "", IF(J2835="Long Term", 12.5%,"as per slab"))</f>
        <v/>
      </c>
      <c r="L2835" s="3">
        <f>+IFERROR(IF(J2835="","",H2835*K2835),"as per slab")</f>
        <v/>
      </c>
    </row>
    <row r="2836">
      <c r="A2836" s="7" t="n"/>
      <c r="B2836" s="7" t="n"/>
      <c r="C2836" s="8" t="n"/>
      <c r="D2836" s="9" t="n"/>
      <c r="E2836" s="8" t="n"/>
      <c r="F2836" s="9" t="n"/>
      <c r="G2836" s="9" t="n"/>
      <c r="H2836" s="3">
        <f>IF(AND(D2836&lt;&gt;"",F2836&lt;&gt;""),F2836-D2836-G2836,"")</f>
        <v/>
      </c>
      <c r="I2836" s="14">
        <f>IF(E2836&lt;&gt;"", YEARFRAC(C2836, E2836) * 12, "")</f>
        <v/>
      </c>
      <c r="J2836" s="2">
        <f>IF(I2836="", "", IF(OR(AND(A2836="Listed Equity Shares", I2836&gt;12), AND(A2836="Unlisted Equity Shares", I2836&gt;24)), "Long Term", "Short Term"))</f>
        <v/>
      </c>
      <c r="K2836" s="5">
        <f>IF(J2836="", "", IF(J2836="Long Term", 12.5%,"as per slab"))</f>
        <v/>
      </c>
      <c r="L2836" s="3">
        <f>+IFERROR(IF(J2836="","",H2836*K2836),"as per slab")</f>
        <v/>
      </c>
    </row>
    <row r="2837">
      <c r="A2837" s="7" t="n"/>
      <c r="B2837" s="7" t="n"/>
      <c r="C2837" s="8" t="n"/>
      <c r="D2837" s="9" t="n"/>
      <c r="E2837" s="8" t="n"/>
      <c r="F2837" s="9" t="n"/>
      <c r="G2837" s="9" t="n"/>
      <c r="H2837" s="3">
        <f>IF(AND(D2837&lt;&gt;"",F2837&lt;&gt;""),F2837-D2837-G2837,"")</f>
        <v/>
      </c>
      <c r="I2837" s="14">
        <f>IF(E2837&lt;&gt;"", YEARFRAC(C2837, E2837) * 12, "")</f>
        <v/>
      </c>
      <c r="J2837" s="2">
        <f>IF(I2837="", "", IF(OR(AND(A2837="Listed Equity Shares", I2837&gt;12), AND(A2837="Unlisted Equity Shares", I2837&gt;24)), "Long Term", "Short Term"))</f>
        <v/>
      </c>
      <c r="K2837" s="5">
        <f>IF(J2837="", "", IF(J2837="Long Term", 12.5%,"as per slab"))</f>
        <v/>
      </c>
      <c r="L2837" s="3">
        <f>+IFERROR(IF(J2837="","",H2837*K2837),"as per slab")</f>
        <v/>
      </c>
    </row>
    <row r="2838">
      <c r="A2838" s="7" t="n"/>
      <c r="B2838" s="7" t="n"/>
      <c r="C2838" s="8" t="n"/>
      <c r="D2838" s="9" t="n"/>
      <c r="E2838" s="8" t="n"/>
      <c r="F2838" s="9" t="n"/>
      <c r="G2838" s="9" t="n"/>
      <c r="H2838" s="3">
        <f>IF(AND(D2838&lt;&gt;"",F2838&lt;&gt;""),F2838-D2838-G2838,"")</f>
        <v/>
      </c>
      <c r="I2838" s="14">
        <f>IF(E2838&lt;&gt;"", YEARFRAC(C2838, E2838) * 12, "")</f>
        <v/>
      </c>
      <c r="J2838" s="2">
        <f>IF(I2838="", "", IF(OR(AND(A2838="Listed Equity Shares", I2838&gt;12), AND(A2838="Unlisted Equity Shares", I2838&gt;24)), "Long Term", "Short Term"))</f>
        <v/>
      </c>
      <c r="K2838" s="5">
        <f>IF(J2838="", "", IF(J2838="Long Term", 12.5%,"as per slab"))</f>
        <v/>
      </c>
      <c r="L2838" s="3">
        <f>+IFERROR(IF(J2838="","",H2838*K2838),"as per slab")</f>
        <v/>
      </c>
    </row>
    <row r="2839">
      <c r="A2839" s="7" t="n"/>
      <c r="B2839" s="7" t="n"/>
      <c r="C2839" s="8" t="n"/>
      <c r="D2839" s="9" t="n"/>
      <c r="E2839" s="8" t="n"/>
      <c r="F2839" s="9" t="n"/>
      <c r="G2839" s="9" t="n"/>
      <c r="H2839" s="3">
        <f>IF(AND(D2839&lt;&gt;"",F2839&lt;&gt;""),F2839-D2839-G2839,"")</f>
        <v/>
      </c>
      <c r="I2839" s="14">
        <f>IF(E2839&lt;&gt;"", YEARFRAC(C2839, E2839) * 12, "")</f>
        <v/>
      </c>
      <c r="J2839" s="2">
        <f>IF(I2839="", "", IF(OR(AND(A2839="Listed Equity Shares", I2839&gt;12), AND(A2839="Unlisted Equity Shares", I2839&gt;24)), "Long Term", "Short Term"))</f>
        <v/>
      </c>
      <c r="K2839" s="5">
        <f>IF(J2839="", "", IF(J2839="Long Term", 12.5%,"as per slab"))</f>
        <v/>
      </c>
      <c r="L2839" s="3">
        <f>+IFERROR(IF(J2839="","",H2839*K2839),"as per slab")</f>
        <v/>
      </c>
    </row>
    <row r="2840">
      <c r="A2840" s="7" t="n"/>
      <c r="B2840" s="7" t="n"/>
      <c r="C2840" s="8" t="n"/>
      <c r="D2840" s="9" t="n"/>
      <c r="E2840" s="8" t="n"/>
      <c r="F2840" s="9" t="n"/>
      <c r="G2840" s="9" t="n"/>
      <c r="H2840" s="3">
        <f>IF(AND(D2840&lt;&gt;"",F2840&lt;&gt;""),F2840-D2840-G2840,"")</f>
        <v/>
      </c>
      <c r="I2840" s="14">
        <f>IF(E2840&lt;&gt;"", YEARFRAC(C2840, E2840) * 12, "")</f>
        <v/>
      </c>
      <c r="J2840" s="2">
        <f>IF(I2840="", "", IF(OR(AND(A2840="Listed Equity Shares", I2840&gt;12), AND(A2840="Unlisted Equity Shares", I2840&gt;24)), "Long Term", "Short Term"))</f>
        <v/>
      </c>
      <c r="K2840" s="5">
        <f>IF(J2840="", "", IF(J2840="Long Term", 12.5%,"as per slab"))</f>
        <v/>
      </c>
      <c r="L2840" s="3">
        <f>+IFERROR(IF(J2840="","",H2840*K2840),"as per slab")</f>
        <v/>
      </c>
    </row>
    <row r="2841">
      <c r="A2841" s="7" t="n"/>
      <c r="B2841" s="7" t="n"/>
      <c r="C2841" s="8" t="n"/>
      <c r="D2841" s="9" t="n"/>
      <c r="E2841" s="8" t="n"/>
      <c r="F2841" s="9" t="n"/>
      <c r="G2841" s="9" t="n"/>
      <c r="H2841" s="3">
        <f>IF(AND(D2841&lt;&gt;"",F2841&lt;&gt;""),F2841-D2841-G2841,"")</f>
        <v/>
      </c>
      <c r="I2841" s="14">
        <f>IF(E2841&lt;&gt;"", YEARFRAC(C2841, E2841) * 12, "")</f>
        <v/>
      </c>
      <c r="J2841" s="2">
        <f>IF(I2841="", "", IF(OR(AND(A2841="Listed Equity Shares", I2841&gt;12), AND(A2841="Unlisted Equity Shares", I2841&gt;24)), "Long Term", "Short Term"))</f>
        <v/>
      </c>
      <c r="K2841" s="5">
        <f>IF(J2841="", "", IF(J2841="Long Term", 12.5%,"as per slab"))</f>
        <v/>
      </c>
      <c r="L2841" s="3">
        <f>+IFERROR(IF(J2841="","",H2841*K2841),"as per slab")</f>
        <v/>
      </c>
    </row>
    <row r="2842">
      <c r="A2842" s="7" t="n"/>
      <c r="B2842" s="7" t="n"/>
      <c r="C2842" s="8" t="n"/>
      <c r="D2842" s="9" t="n"/>
      <c r="E2842" s="8" t="n"/>
      <c r="F2842" s="9" t="n"/>
      <c r="G2842" s="9" t="n"/>
      <c r="H2842" s="3">
        <f>IF(AND(D2842&lt;&gt;"",F2842&lt;&gt;""),F2842-D2842-G2842,"")</f>
        <v/>
      </c>
      <c r="I2842" s="14">
        <f>IF(E2842&lt;&gt;"", YEARFRAC(C2842, E2842) * 12, "")</f>
        <v/>
      </c>
      <c r="J2842" s="2">
        <f>IF(I2842="", "", IF(OR(AND(A2842="Listed Equity Shares", I2842&gt;12), AND(A2842="Unlisted Equity Shares", I2842&gt;24)), "Long Term", "Short Term"))</f>
        <v/>
      </c>
      <c r="K2842" s="5">
        <f>IF(J2842="", "", IF(J2842="Long Term", 12.5%,"as per slab"))</f>
        <v/>
      </c>
      <c r="L2842" s="3">
        <f>+IFERROR(IF(J2842="","",H2842*K2842),"as per slab")</f>
        <v/>
      </c>
    </row>
    <row r="2843">
      <c r="A2843" s="7" t="n"/>
      <c r="B2843" s="7" t="n"/>
      <c r="C2843" s="8" t="n"/>
      <c r="D2843" s="9" t="n"/>
      <c r="E2843" s="8" t="n"/>
      <c r="F2843" s="9" t="n"/>
      <c r="G2843" s="9" t="n"/>
      <c r="H2843" s="3">
        <f>IF(AND(D2843&lt;&gt;"",F2843&lt;&gt;""),F2843-D2843-G2843,"")</f>
        <v/>
      </c>
      <c r="I2843" s="14">
        <f>IF(E2843&lt;&gt;"", YEARFRAC(C2843, E2843) * 12, "")</f>
        <v/>
      </c>
      <c r="J2843" s="2">
        <f>IF(I2843="", "", IF(OR(AND(A2843="Listed Equity Shares", I2843&gt;12), AND(A2843="Unlisted Equity Shares", I2843&gt;24)), "Long Term", "Short Term"))</f>
        <v/>
      </c>
      <c r="K2843" s="5">
        <f>IF(J2843="", "", IF(J2843="Long Term", 12.5%,"as per slab"))</f>
        <v/>
      </c>
      <c r="L2843" s="3">
        <f>+IFERROR(IF(J2843="","",H2843*K2843),"as per slab")</f>
        <v/>
      </c>
    </row>
    <row r="2844">
      <c r="A2844" s="7" t="n"/>
      <c r="B2844" s="7" t="n"/>
      <c r="C2844" s="8" t="n"/>
      <c r="D2844" s="9" t="n"/>
      <c r="E2844" s="8" t="n"/>
      <c r="F2844" s="9" t="n"/>
      <c r="G2844" s="9" t="n"/>
      <c r="H2844" s="3">
        <f>IF(AND(D2844&lt;&gt;"",F2844&lt;&gt;""),F2844-D2844-G2844,"")</f>
        <v/>
      </c>
      <c r="I2844" s="14">
        <f>IF(E2844&lt;&gt;"", YEARFRAC(C2844, E2844) * 12, "")</f>
        <v/>
      </c>
      <c r="J2844" s="2">
        <f>IF(I2844="", "", IF(OR(AND(A2844="Listed Equity Shares", I2844&gt;12), AND(A2844="Unlisted Equity Shares", I2844&gt;24)), "Long Term", "Short Term"))</f>
        <v/>
      </c>
      <c r="K2844" s="5">
        <f>IF(J2844="", "", IF(J2844="Long Term", 12.5%,"as per slab"))</f>
        <v/>
      </c>
      <c r="L2844" s="3">
        <f>+IFERROR(IF(J2844="","",H2844*K2844),"as per slab")</f>
        <v/>
      </c>
    </row>
    <row r="2845">
      <c r="A2845" s="7" t="n"/>
      <c r="B2845" s="7" t="n"/>
      <c r="C2845" s="8" t="n"/>
      <c r="D2845" s="9" t="n"/>
      <c r="E2845" s="8" t="n"/>
      <c r="F2845" s="9" t="n"/>
      <c r="G2845" s="9" t="n"/>
      <c r="H2845" s="3">
        <f>IF(AND(D2845&lt;&gt;"",F2845&lt;&gt;""),F2845-D2845-G2845,"")</f>
        <v/>
      </c>
      <c r="I2845" s="14">
        <f>IF(E2845&lt;&gt;"", YEARFRAC(C2845, E2845) * 12, "")</f>
        <v/>
      </c>
      <c r="J2845" s="2">
        <f>IF(I2845="", "", IF(OR(AND(A2845="Listed Equity Shares", I2845&gt;12), AND(A2845="Unlisted Equity Shares", I2845&gt;24)), "Long Term", "Short Term"))</f>
        <v/>
      </c>
      <c r="K2845" s="5">
        <f>IF(J2845="", "", IF(J2845="Long Term", 12.5%,"as per slab"))</f>
        <v/>
      </c>
      <c r="L2845" s="3">
        <f>+IFERROR(IF(J2845="","",H2845*K2845),"as per slab")</f>
        <v/>
      </c>
    </row>
    <row r="2846">
      <c r="A2846" s="7" t="n"/>
      <c r="B2846" s="7" t="n"/>
      <c r="C2846" s="8" t="n"/>
      <c r="D2846" s="9" t="n"/>
      <c r="E2846" s="8" t="n"/>
      <c r="F2846" s="9" t="n"/>
      <c r="G2846" s="9" t="n"/>
      <c r="H2846" s="3">
        <f>IF(AND(D2846&lt;&gt;"",F2846&lt;&gt;""),F2846-D2846-G2846,"")</f>
        <v/>
      </c>
      <c r="I2846" s="14">
        <f>IF(E2846&lt;&gt;"", YEARFRAC(C2846, E2846) * 12, "")</f>
        <v/>
      </c>
      <c r="J2846" s="2">
        <f>IF(I2846="", "", IF(OR(AND(A2846="Listed Equity Shares", I2846&gt;12), AND(A2846="Unlisted Equity Shares", I2846&gt;24)), "Long Term", "Short Term"))</f>
        <v/>
      </c>
      <c r="K2846" s="5">
        <f>IF(J2846="", "", IF(J2846="Long Term", 12.5%,"as per slab"))</f>
        <v/>
      </c>
      <c r="L2846" s="3">
        <f>+IFERROR(IF(J2846="","",H2846*K2846),"as per slab")</f>
        <v/>
      </c>
    </row>
    <row r="2847">
      <c r="A2847" s="7" t="n"/>
      <c r="B2847" s="7" t="n"/>
      <c r="C2847" s="8" t="n"/>
      <c r="D2847" s="9" t="n"/>
      <c r="E2847" s="8" t="n"/>
      <c r="F2847" s="9" t="n"/>
      <c r="G2847" s="9" t="n"/>
      <c r="H2847" s="3">
        <f>IF(AND(D2847&lt;&gt;"",F2847&lt;&gt;""),F2847-D2847-G2847,"")</f>
        <v/>
      </c>
      <c r="I2847" s="14">
        <f>IF(E2847&lt;&gt;"", YEARFRAC(C2847, E2847) * 12, "")</f>
        <v/>
      </c>
      <c r="J2847" s="2">
        <f>IF(I2847="", "", IF(OR(AND(A2847="Listed Equity Shares", I2847&gt;12), AND(A2847="Unlisted Equity Shares", I2847&gt;24)), "Long Term", "Short Term"))</f>
        <v/>
      </c>
      <c r="K2847" s="5">
        <f>IF(J2847="", "", IF(J2847="Long Term", 12.5%,"as per slab"))</f>
        <v/>
      </c>
      <c r="L2847" s="3">
        <f>+IFERROR(IF(J2847="","",H2847*K2847),"as per slab")</f>
        <v/>
      </c>
    </row>
    <row r="2848">
      <c r="A2848" s="7" t="n"/>
      <c r="B2848" s="7" t="n"/>
      <c r="C2848" s="8" t="n"/>
      <c r="D2848" s="9" t="n"/>
      <c r="E2848" s="8" t="n"/>
      <c r="F2848" s="9" t="n"/>
      <c r="G2848" s="9" t="n"/>
      <c r="H2848" s="3">
        <f>IF(AND(D2848&lt;&gt;"",F2848&lt;&gt;""),F2848-D2848-G2848,"")</f>
        <v/>
      </c>
      <c r="I2848" s="14">
        <f>IF(E2848&lt;&gt;"", YEARFRAC(C2848, E2848) * 12, "")</f>
        <v/>
      </c>
      <c r="J2848" s="2">
        <f>IF(I2848="", "", IF(OR(AND(A2848="Listed Equity Shares", I2848&gt;12), AND(A2848="Unlisted Equity Shares", I2848&gt;24)), "Long Term", "Short Term"))</f>
        <v/>
      </c>
      <c r="K2848" s="5">
        <f>IF(J2848="", "", IF(J2848="Long Term", 12.5%,"as per slab"))</f>
        <v/>
      </c>
      <c r="L2848" s="3">
        <f>+IFERROR(IF(J2848="","",H2848*K2848),"as per slab")</f>
        <v/>
      </c>
    </row>
    <row r="2849">
      <c r="A2849" s="7" t="n"/>
      <c r="B2849" s="7" t="n"/>
      <c r="C2849" s="8" t="n"/>
      <c r="D2849" s="9" t="n"/>
      <c r="E2849" s="8" t="n"/>
      <c r="F2849" s="9" t="n"/>
      <c r="G2849" s="9" t="n"/>
      <c r="H2849" s="3">
        <f>IF(AND(D2849&lt;&gt;"",F2849&lt;&gt;""),F2849-D2849-G2849,"")</f>
        <v/>
      </c>
      <c r="I2849" s="14">
        <f>IF(E2849&lt;&gt;"", YEARFRAC(C2849, E2849) * 12, "")</f>
        <v/>
      </c>
      <c r="J2849" s="2">
        <f>IF(I2849="", "", IF(OR(AND(A2849="Listed Equity Shares", I2849&gt;12), AND(A2849="Unlisted Equity Shares", I2849&gt;24)), "Long Term", "Short Term"))</f>
        <v/>
      </c>
      <c r="K2849" s="5">
        <f>IF(J2849="", "", IF(J2849="Long Term", 12.5%,"as per slab"))</f>
        <v/>
      </c>
      <c r="L2849" s="3">
        <f>+IFERROR(IF(J2849="","",H2849*K2849),"as per slab")</f>
        <v/>
      </c>
    </row>
    <row r="2850">
      <c r="A2850" s="7" t="n"/>
      <c r="B2850" s="7" t="n"/>
      <c r="C2850" s="8" t="n"/>
      <c r="D2850" s="9" t="n"/>
      <c r="E2850" s="8" t="n"/>
      <c r="F2850" s="9" t="n"/>
      <c r="G2850" s="9" t="n"/>
      <c r="H2850" s="3">
        <f>IF(AND(D2850&lt;&gt;"",F2850&lt;&gt;""),F2850-D2850-G2850,"")</f>
        <v/>
      </c>
      <c r="I2850" s="14">
        <f>IF(E2850&lt;&gt;"", YEARFRAC(C2850, E2850) * 12, "")</f>
        <v/>
      </c>
      <c r="J2850" s="2">
        <f>IF(I2850="", "", IF(OR(AND(A2850="Listed Equity Shares", I2850&gt;12), AND(A2850="Unlisted Equity Shares", I2850&gt;24)), "Long Term", "Short Term"))</f>
        <v/>
      </c>
      <c r="K2850" s="5">
        <f>IF(J2850="", "", IF(J2850="Long Term", 12.5%,"as per slab"))</f>
        <v/>
      </c>
      <c r="L2850" s="3">
        <f>+IFERROR(IF(J2850="","",H2850*K2850),"as per slab")</f>
        <v/>
      </c>
    </row>
    <row r="2851">
      <c r="A2851" s="7" t="n"/>
      <c r="B2851" s="7" t="n"/>
      <c r="C2851" s="8" t="n"/>
      <c r="D2851" s="9" t="n"/>
      <c r="E2851" s="8" t="n"/>
      <c r="F2851" s="9" t="n"/>
      <c r="G2851" s="9" t="n"/>
      <c r="H2851" s="3">
        <f>IF(AND(D2851&lt;&gt;"",F2851&lt;&gt;""),F2851-D2851-G2851,"")</f>
        <v/>
      </c>
      <c r="I2851" s="14">
        <f>IF(E2851&lt;&gt;"", YEARFRAC(C2851, E2851) * 12, "")</f>
        <v/>
      </c>
      <c r="J2851" s="2">
        <f>IF(I2851="", "", IF(OR(AND(A2851="Listed Equity Shares", I2851&gt;12), AND(A2851="Unlisted Equity Shares", I2851&gt;24)), "Long Term", "Short Term"))</f>
        <v/>
      </c>
      <c r="K2851" s="5">
        <f>IF(J2851="", "", IF(J2851="Long Term", 12.5%,"as per slab"))</f>
        <v/>
      </c>
      <c r="L2851" s="3">
        <f>+IFERROR(IF(J2851="","",H2851*K2851),"as per slab")</f>
        <v/>
      </c>
    </row>
    <row r="2852">
      <c r="A2852" s="7" t="n"/>
      <c r="B2852" s="7" t="n"/>
      <c r="C2852" s="8" t="n"/>
      <c r="D2852" s="9" t="n"/>
      <c r="E2852" s="8" t="n"/>
      <c r="F2852" s="9" t="n"/>
      <c r="G2852" s="9" t="n"/>
      <c r="H2852" s="3">
        <f>IF(AND(D2852&lt;&gt;"",F2852&lt;&gt;""),F2852-D2852-G2852,"")</f>
        <v/>
      </c>
      <c r="I2852" s="14">
        <f>IF(E2852&lt;&gt;"", YEARFRAC(C2852, E2852) * 12, "")</f>
        <v/>
      </c>
      <c r="J2852" s="2">
        <f>IF(I2852="", "", IF(OR(AND(A2852="Listed Equity Shares", I2852&gt;12), AND(A2852="Unlisted Equity Shares", I2852&gt;24)), "Long Term", "Short Term"))</f>
        <v/>
      </c>
      <c r="K2852" s="5">
        <f>IF(J2852="", "", IF(J2852="Long Term", 12.5%,"as per slab"))</f>
        <v/>
      </c>
      <c r="L2852" s="3">
        <f>+IFERROR(IF(J2852="","",H2852*K2852),"as per slab")</f>
        <v/>
      </c>
    </row>
    <row r="2853">
      <c r="A2853" s="7" t="n"/>
      <c r="B2853" s="7" t="n"/>
      <c r="C2853" s="8" t="n"/>
      <c r="D2853" s="9" t="n"/>
      <c r="E2853" s="8" t="n"/>
      <c r="F2853" s="9" t="n"/>
      <c r="G2853" s="9" t="n"/>
      <c r="H2853" s="3">
        <f>IF(AND(D2853&lt;&gt;"",F2853&lt;&gt;""),F2853-D2853-G2853,"")</f>
        <v/>
      </c>
      <c r="I2853" s="14">
        <f>IF(E2853&lt;&gt;"", YEARFRAC(C2853, E2853) * 12, "")</f>
        <v/>
      </c>
      <c r="J2853" s="2">
        <f>IF(I2853="", "", IF(OR(AND(A2853="Listed Equity Shares", I2853&gt;12), AND(A2853="Unlisted Equity Shares", I2853&gt;24)), "Long Term", "Short Term"))</f>
        <v/>
      </c>
      <c r="K2853" s="5">
        <f>IF(J2853="", "", IF(J2853="Long Term", 12.5%,"as per slab"))</f>
        <v/>
      </c>
      <c r="L2853" s="3">
        <f>+IFERROR(IF(J2853="","",H2853*K2853),"as per slab")</f>
        <v/>
      </c>
    </row>
    <row r="2854">
      <c r="A2854" s="7" t="n"/>
      <c r="B2854" s="7" t="n"/>
      <c r="C2854" s="8" t="n"/>
      <c r="D2854" s="9" t="n"/>
      <c r="E2854" s="8" t="n"/>
      <c r="F2854" s="9" t="n"/>
      <c r="G2854" s="9" t="n"/>
      <c r="H2854" s="3">
        <f>IF(AND(D2854&lt;&gt;"",F2854&lt;&gt;""),F2854-D2854-G2854,"")</f>
        <v/>
      </c>
      <c r="I2854" s="14">
        <f>IF(E2854&lt;&gt;"", YEARFRAC(C2854, E2854) * 12, "")</f>
        <v/>
      </c>
      <c r="J2854" s="2">
        <f>IF(I2854="", "", IF(OR(AND(A2854="Listed Equity Shares", I2854&gt;12), AND(A2854="Unlisted Equity Shares", I2854&gt;24)), "Long Term", "Short Term"))</f>
        <v/>
      </c>
      <c r="K2854" s="5">
        <f>IF(J2854="", "", IF(J2854="Long Term", 12.5%,"as per slab"))</f>
        <v/>
      </c>
      <c r="L2854" s="3">
        <f>+IFERROR(IF(J2854="","",H2854*K2854),"as per slab")</f>
        <v/>
      </c>
    </row>
    <row r="2855">
      <c r="A2855" s="7" t="n"/>
      <c r="B2855" s="7" t="n"/>
      <c r="C2855" s="8" t="n"/>
      <c r="D2855" s="9" t="n"/>
      <c r="E2855" s="8" t="n"/>
      <c r="F2855" s="9" t="n"/>
      <c r="G2855" s="9" t="n"/>
      <c r="H2855" s="3">
        <f>IF(AND(D2855&lt;&gt;"",F2855&lt;&gt;""),F2855-D2855-G2855,"")</f>
        <v/>
      </c>
      <c r="I2855" s="14">
        <f>IF(E2855&lt;&gt;"", YEARFRAC(C2855, E2855) * 12, "")</f>
        <v/>
      </c>
      <c r="J2855" s="2">
        <f>IF(I2855="", "", IF(OR(AND(A2855="Listed Equity Shares", I2855&gt;12), AND(A2855="Unlisted Equity Shares", I2855&gt;24)), "Long Term", "Short Term"))</f>
        <v/>
      </c>
      <c r="K2855" s="5">
        <f>IF(J2855="", "", IF(J2855="Long Term", 12.5%,"as per slab"))</f>
        <v/>
      </c>
      <c r="L2855" s="3">
        <f>+IFERROR(IF(J2855="","",H2855*K2855),"as per slab")</f>
        <v/>
      </c>
    </row>
    <row r="2856">
      <c r="A2856" s="7" t="n"/>
      <c r="B2856" s="7" t="n"/>
      <c r="C2856" s="8" t="n"/>
      <c r="D2856" s="9" t="n"/>
      <c r="E2856" s="8" t="n"/>
      <c r="F2856" s="9" t="n"/>
      <c r="G2856" s="9" t="n"/>
      <c r="H2856" s="3">
        <f>IF(AND(D2856&lt;&gt;"",F2856&lt;&gt;""),F2856-D2856-G2856,"")</f>
        <v/>
      </c>
      <c r="I2856" s="14">
        <f>IF(E2856&lt;&gt;"", YEARFRAC(C2856, E2856) * 12, "")</f>
        <v/>
      </c>
      <c r="J2856" s="2">
        <f>IF(I2856="", "", IF(OR(AND(A2856="Listed Equity Shares", I2856&gt;12), AND(A2856="Unlisted Equity Shares", I2856&gt;24)), "Long Term", "Short Term"))</f>
        <v/>
      </c>
      <c r="K2856" s="5">
        <f>IF(J2856="", "", IF(J2856="Long Term", 12.5%,"as per slab"))</f>
        <v/>
      </c>
      <c r="L2856" s="3">
        <f>+IFERROR(IF(J2856="","",H2856*K2856),"as per slab")</f>
        <v/>
      </c>
    </row>
    <row r="2857">
      <c r="A2857" s="7" t="n"/>
      <c r="B2857" s="7" t="n"/>
      <c r="C2857" s="8" t="n"/>
      <c r="D2857" s="9" t="n"/>
      <c r="E2857" s="8" t="n"/>
      <c r="F2857" s="9" t="n"/>
      <c r="G2857" s="9" t="n"/>
      <c r="H2857" s="3">
        <f>IF(AND(D2857&lt;&gt;"",F2857&lt;&gt;""),F2857-D2857-G2857,"")</f>
        <v/>
      </c>
      <c r="I2857" s="14">
        <f>IF(E2857&lt;&gt;"", YEARFRAC(C2857, E2857) * 12, "")</f>
        <v/>
      </c>
      <c r="J2857" s="2">
        <f>IF(I2857="", "", IF(OR(AND(A2857="Listed Equity Shares", I2857&gt;12), AND(A2857="Unlisted Equity Shares", I2857&gt;24)), "Long Term", "Short Term"))</f>
        <v/>
      </c>
      <c r="K2857" s="5">
        <f>IF(J2857="", "", IF(J2857="Long Term", 12.5%,"as per slab"))</f>
        <v/>
      </c>
      <c r="L2857" s="3">
        <f>+IFERROR(IF(J2857="","",H2857*K2857),"as per slab")</f>
        <v/>
      </c>
    </row>
    <row r="2858">
      <c r="A2858" s="7" t="n"/>
      <c r="B2858" s="7" t="n"/>
      <c r="C2858" s="8" t="n"/>
      <c r="D2858" s="9" t="n"/>
      <c r="E2858" s="8" t="n"/>
      <c r="F2858" s="9" t="n"/>
      <c r="G2858" s="9" t="n"/>
      <c r="H2858" s="3">
        <f>IF(AND(D2858&lt;&gt;"",F2858&lt;&gt;""),F2858-D2858-G2858,"")</f>
        <v/>
      </c>
      <c r="I2858" s="14">
        <f>IF(E2858&lt;&gt;"", YEARFRAC(C2858, E2858) * 12, "")</f>
        <v/>
      </c>
      <c r="J2858" s="2">
        <f>IF(I2858="", "", IF(OR(AND(A2858="Listed Equity Shares", I2858&gt;12), AND(A2858="Unlisted Equity Shares", I2858&gt;24)), "Long Term", "Short Term"))</f>
        <v/>
      </c>
      <c r="K2858" s="5">
        <f>IF(J2858="", "", IF(J2858="Long Term", 12.5%,"as per slab"))</f>
        <v/>
      </c>
      <c r="L2858" s="3">
        <f>+IFERROR(IF(J2858="","",H2858*K2858),"as per slab")</f>
        <v/>
      </c>
    </row>
    <row r="2859">
      <c r="A2859" s="7" t="n"/>
      <c r="B2859" s="7" t="n"/>
      <c r="C2859" s="8" t="n"/>
      <c r="D2859" s="9" t="n"/>
      <c r="E2859" s="8" t="n"/>
      <c r="F2859" s="9" t="n"/>
      <c r="G2859" s="9" t="n"/>
      <c r="H2859" s="3">
        <f>IF(AND(D2859&lt;&gt;"",F2859&lt;&gt;""),F2859-D2859-G2859,"")</f>
        <v/>
      </c>
      <c r="I2859" s="14">
        <f>IF(E2859&lt;&gt;"", YEARFRAC(C2859, E2859) * 12, "")</f>
        <v/>
      </c>
      <c r="J2859" s="2">
        <f>IF(I2859="", "", IF(OR(AND(A2859="Listed Equity Shares", I2859&gt;12), AND(A2859="Unlisted Equity Shares", I2859&gt;24)), "Long Term", "Short Term"))</f>
        <v/>
      </c>
      <c r="K2859" s="5">
        <f>IF(J2859="", "", IF(J2859="Long Term", 12.5%,"as per slab"))</f>
        <v/>
      </c>
      <c r="L2859" s="3">
        <f>+IFERROR(IF(J2859="","",H2859*K2859),"as per slab")</f>
        <v/>
      </c>
    </row>
    <row r="2860">
      <c r="A2860" s="7" t="n"/>
      <c r="B2860" s="7" t="n"/>
      <c r="C2860" s="8" t="n"/>
      <c r="D2860" s="9" t="n"/>
      <c r="E2860" s="8" t="n"/>
      <c r="F2860" s="9" t="n"/>
      <c r="G2860" s="9" t="n"/>
      <c r="H2860" s="3">
        <f>IF(AND(D2860&lt;&gt;"",F2860&lt;&gt;""),F2860-D2860-G2860,"")</f>
        <v/>
      </c>
      <c r="I2860" s="14">
        <f>IF(E2860&lt;&gt;"", YEARFRAC(C2860, E2860) * 12, "")</f>
        <v/>
      </c>
      <c r="J2860" s="2">
        <f>IF(I2860="", "", IF(OR(AND(A2860="Listed Equity Shares", I2860&gt;12), AND(A2860="Unlisted Equity Shares", I2860&gt;24)), "Long Term", "Short Term"))</f>
        <v/>
      </c>
      <c r="K2860" s="5">
        <f>IF(J2860="", "", IF(J2860="Long Term", 12.5%,"as per slab"))</f>
        <v/>
      </c>
      <c r="L2860" s="3">
        <f>+IFERROR(IF(J2860="","",H2860*K2860),"as per slab")</f>
        <v/>
      </c>
    </row>
    <row r="2861">
      <c r="A2861" s="7" t="n"/>
      <c r="B2861" s="7" t="n"/>
      <c r="C2861" s="8" t="n"/>
      <c r="D2861" s="9" t="n"/>
      <c r="E2861" s="8" t="n"/>
      <c r="F2861" s="9" t="n"/>
      <c r="G2861" s="9" t="n"/>
      <c r="H2861" s="3">
        <f>IF(AND(D2861&lt;&gt;"",F2861&lt;&gt;""),F2861-D2861-G2861,"")</f>
        <v/>
      </c>
      <c r="I2861" s="14">
        <f>IF(E2861&lt;&gt;"", YEARFRAC(C2861, E2861) * 12, "")</f>
        <v/>
      </c>
      <c r="J2861" s="2">
        <f>IF(I2861="", "", IF(OR(AND(A2861="Listed Equity Shares", I2861&gt;12), AND(A2861="Unlisted Equity Shares", I2861&gt;24)), "Long Term", "Short Term"))</f>
        <v/>
      </c>
      <c r="K2861" s="5">
        <f>IF(J2861="", "", IF(J2861="Long Term", 12.5%,"as per slab"))</f>
        <v/>
      </c>
      <c r="L2861" s="3">
        <f>+IFERROR(IF(J2861="","",H2861*K2861),"as per slab")</f>
        <v/>
      </c>
    </row>
    <row r="2862">
      <c r="A2862" s="7" t="n"/>
      <c r="B2862" s="7" t="n"/>
      <c r="C2862" s="8" t="n"/>
      <c r="D2862" s="9" t="n"/>
      <c r="E2862" s="8" t="n"/>
      <c r="F2862" s="9" t="n"/>
      <c r="G2862" s="9" t="n"/>
      <c r="H2862" s="3">
        <f>IF(AND(D2862&lt;&gt;"",F2862&lt;&gt;""),F2862-D2862-G2862,"")</f>
        <v/>
      </c>
      <c r="I2862" s="14">
        <f>IF(E2862&lt;&gt;"", YEARFRAC(C2862, E2862) * 12, "")</f>
        <v/>
      </c>
      <c r="J2862" s="2">
        <f>IF(I2862="", "", IF(OR(AND(A2862="Listed Equity Shares", I2862&gt;12), AND(A2862="Unlisted Equity Shares", I2862&gt;24)), "Long Term", "Short Term"))</f>
        <v/>
      </c>
      <c r="K2862" s="5">
        <f>IF(J2862="", "", IF(J2862="Long Term", 12.5%,"as per slab"))</f>
        <v/>
      </c>
      <c r="L2862" s="3">
        <f>+IFERROR(IF(J2862="","",H2862*K2862),"as per slab")</f>
        <v/>
      </c>
    </row>
    <row r="2863">
      <c r="A2863" s="7" t="n"/>
      <c r="B2863" s="7" t="n"/>
      <c r="C2863" s="8" t="n"/>
      <c r="D2863" s="9" t="n"/>
      <c r="E2863" s="8" t="n"/>
      <c r="F2863" s="9" t="n"/>
      <c r="G2863" s="9" t="n"/>
      <c r="H2863" s="3">
        <f>IF(AND(D2863&lt;&gt;"",F2863&lt;&gt;""),F2863-D2863-G2863,"")</f>
        <v/>
      </c>
      <c r="I2863" s="14">
        <f>IF(E2863&lt;&gt;"", YEARFRAC(C2863, E2863) * 12, "")</f>
        <v/>
      </c>
      <c r="J2863" s="2">
        <f>IF(I2863="", "", IF(OR(AND(A2863="Listed Equity Shares", I2863&gt;12), AND(A2863="Unlisted Equity Shares", I2863&gt;24)), "Long Term", "Short Term"))</f>
        <v/>
      </c>
      <c r="K2863" s="5">
        <f>IF(J2863="", "", IF(J2863="Long Term", 12.5%,"as per slab"))</f>
        <v/>
      </c>
      <c r="L2863" s="3">
        <f>+IFERROR(IF(J2863="","",H2863*K2863),"as per slab")</f>
        <v/>
      </c>
    </row>
    <row r="2864">
      <c r="A2864" s="7" t="n"/>
      <c r="B2864" s="7" t="n"/>
      <c r="C2864" s="8" t="n"/>
      <c r="D2864" s="9" t="n"/>
      <c r="E2864" s="8" t="n"/>
      <c r="F2864" s="9" t="n"/>
      <c r="G2864" s="9" t="n"/>
      <c r="H2864" s="3">
        <f>IF(AND(D2864&lt;&gt;"",F2864&lt;&gt;""),F2864-D2864-G2864,"")</f>
        <v/>
      </c>
      <c r="I2864" s="14">
        <f>IF(E2864&lt;&gt;"", YEARFRAC(C2864, E2864) * 12, "")</f>
        <v/>
      </c>
      <c r="J2864" s="2">
        <f>IF(I2864="", "", IF(OR(AND(A2864="Listed Equity Shares", I2864&gt;12), AND(A2864="Unlisted Equity Shares", I2864&gt;24)), "Long Term", "Short Term"))</f>
        <v/>
      </c>
      <c r="K2864" s="5">
        <f>IF(J2864="", "", IF(J2864="Long Term", 12.5%,"as per slab"))</f>
        <v/>
      </c>
      <c r="L2864" s="3">
        <f>+IFERROR(IF(J2864="","",H2864*K2864),"as per slab")</f>
        <v/>
      </c>
    </row>
    <row r="2865">
      <c r="A2865" s="7" t="n"/>
      <c r="B2865" s="7" t="n"/>
      <c r="C2865" s="8" t="n"/>
      <c r="D2865" s="9" t="n"/>
      <c r="E2865" s="8" t="n"/>
      <c r="F2865" s="9" t="n"/>
      <c r="G2865" s="9" t="n"/>
      <c r="H2865" s="3">
        <f>IF(AND(D2865&lt;&gt;"",F2865&lt;&gt;""),F2865-D2865-G2865,"")</f>
        <v/>
      </c>
      <c r="I2865" s="14">
        <f>IF(E2865&lt;&gt;"", YEARFRAC(C2865, E2865) * 12, "")</f>
        <v/>
      </c>
      <c r="J2865" s="2">
        <f>IF(I2865="", "", IF(OR(AND(A2865="Listed Equity Shares", I2865&gt;12), AND(A2865="Unlisted Equity Shares", I2865&gt;24)), "Long Term", "Short Term"))</f>
        <v/>
      </c>
      <c r="K2865" s="5">
        <f>IF(J2865="", "", IF(J2865="Long Term", 12.5%,"as per slab"))</f>
        <v/>
      </c>
      <c r="L2865" s="3">
        <f>+IFERROR(IF(J2865="","",H2865*K2865),"as per slab")</f>
        <v/>
      </c>
    </row>
    <row r="2866">
      <c r="A2866" s="7" t="n"/>
      <c r="B2866" s="7" t="n"/>
      <c r="C2866" s="8" t="n"/>
      <c r="D2866" s="9" t="n"/>
      <c r="E2866" s="8" t="n"/>
      <c r="F2866" s="9" t="n"/>
      <c r="G2866" s="9" t="n"/>
      <c r="H2866" s="3">
        <f>IF(AND(D2866&lt;&gt;"",F2866&lt;&gt;""),F2866-D2866-G2866,"")</f>
        <v/>
      </c>
      <c r="I2866" s="14">
        <f>IF(E2866&lt;&gt;"", YEARFRAC(C2866, E2866) * 12, "")</f>
        <v/>
      </c>
      <c r="J2866" s="2">
        <f>IF(I2866="", "", IF(OR(AND(A2866="Listed Equity Shares", I2866&gt;12), AND(A2866="Unlisted Equity Shares", I2866&gt;24)), "Long Term", "Short Term"))</f>
        <v/>
      </c>
      <c r="K2866" s="5">
        <f>IF(J2866="", "", IF(J2866="Long Term", 12.5%,"as per slab"))</f>
        <v/>
      </c>
      <c r="L2866" s="3">
        <f>+IFERROR(IF(J2866="","",H2866*K2866),"as per slab")</f>
        <v/>
      </c>
    </row>
    <row r="2867">
      <c r="A2867" s="7" t="n"/>
      <c r="B2867" s="7" t="n"/>
      <c r="C2867" s="8" t="n"/>
      <c r="D2867" s="9" t="n"/>
      <c r="E2867" s="8" t="n"/>
      <c r="F2867" s="9" t="n"/>
      <c r="G2867" s="9" t="n"/>
      <c r="H2867" s="3">
        <f>IF(AND(D2867&lt;&gt;"",F2867&lt;&gt;""),F2867-D2867-G2867,"")</f>
        <v/>
      </c>
      <c r="I2867" s="14">
        <f>IF(E2867&lt;&gt;"", YEARFRAC(C2867, E2867) * 12, "")</f>
        <v/>
      </c>
      <c r="J2867" s="2">
        <f>IF(I2867="", "", IF(OR(AND(A2867="Listed Equity Shares", I2867&gt;12), AND(A2867="Unlisted Equity Shares", I2867&gt;24)), "Long Term", "Short Term"))</f>
        <v/>
      </c>
      <c r="K2867" s="5">
        <f>IF(J2867="", "", IF(J2867="Long Term", 12.5%,"as per slab"))</f>
        <v/>
      </c>
      <c r="L2867" s="3">
        <f>+IFERROR(IF(J2867="","",H2867*K2867),"as per slab")</f>
        <v/>
      </c>
    </row>
    <row r="2868">
      <c r="A2868" s="7" t="n"/>
      <c r="B2868" s="7" t="n"/>
      <c r="C2868" s="8" t="n"/>
      <c r="D2868" s="9" t="n"/>
      <c r="E2868" s="8" t="n"/>
      <c r="F2868" s="9" t="n"/>
      <c r="G2868" s="9" t="n"/>
      <c r="H2868" s="3">
        <f>IF(AND(D2868&lt;&gt;"",F2868&lt;&gt;""),F2868-D2868-G2868,"")</f>
        <v/>
      </c>
      <c r="I2868" s="14">
        <f>IF(E2868&lt;&gt;"", YEARFRAC(C2868, E2868) * 12, "")</f>
        <v/>
      </c>
      <c r="J2868" s="2">
        <f>IF(I2868="", "", IF(OR(AND(A2868="Listed Equity Shares", I2868&gt;12), AND(A2868="Unlisted Equity Shares", I2868&gt;24)), "Long Term", "Short Term"))</f>
        <v/>
      </c>
      <c r="K2868" s="5">
        <f>IF(J2868="", "", IF(J2868="Long Term", 12.5%,"as per slab"))</f>
        <v/>
      </c>
      <c r="L2868" s="3">
        <f>+IFERROR(IF(J2868="","",H2868*K2868),"as per slab")</f>
        <v/>
      </c>
    </row>
    <row r="2869">
      <c r="A2869" s="7" t="n"/>
      <c r="B2869" s="7" t="n"/>
      <c r="C2869" s="8" t="n"/>
      <c r="D2869" s="9" t="n"/>
      <c r="E2869" s="8" t="n"/>
      <c r="F2869" s="9" t="n"/>
      <c r="G2869" s="9" t="n"/>
      <c r="H2869" s="3">
        <f>IF(AND(D2869&lt;&gt;"",F2869&lt;&gt;""),F2869-D2869-G2869,"")</f>
        <v/>
      </c>
      <c r="I2869" s="14">
        <f>IF(E2869&lt;&gt;"", YEARFRAC(C2869, E2869) * 12, "")</f>
        <v/>
      </c>
      <c r="J2869" s="2">
        <f>IF(I2869="", "", IF(OR(AND(A2869="Listed Equity Shares", I2869&gt;12), AND(A2869="Unlisted Equity Shares", I2869&gt;24)), "Long Term", "Short Term"))</f>
        <v/>
      </c>
      <c r="K2869" s="5">
        <f>IF(J2869="", "", IF(J2869="Long Term", 12.5%,"as per slab"))</f>
        <v/>
      </c>
      <c r="L2869" s="3">
        <f>+IFERROR(IF(J2869="","",H2869*K2869),"as per slab")</f>
        <v/>
      </c>
    </row>
    <row r="2870">
      <c r="A2870" s="7" t="n"/>
      <c r="B2870" s="7" t="n"/>
      <c r="C2870" s="8" t="n"/>
      <c r="D2870" s="9" t="n"/>
      <c r="E2870" s="8" t="n"/>
      <c r="F2870" s="9" t="n"/>
      <c r="G2870" s="9" t="n"/>
      <c r="H2870" s="3">
        <f>IF(AND(D2870&lt;&gt;"",F2870&lt;&gt;""),F2870-D2870-G2870,"")</f>
        <v/>
      </c>
      <c r="I2870" s="14">
        <f>IF(E2870&lt;&gt;"", YEARFRAC(C2870, E2870) * 12, "")</f>
        <v/>
      </c>
      <c r="J2870" s="2">
        <f>IF(I2870="", "", IF(OR(AND(A2870="Listed Equity Shares", I2870&gt;12), AND(A2870="Unlisted Equity Shares", I2870&gt;24)), "Long Term", "Short Term"))</f>
        <v/>
      </c>
      <c r="K2870" s="5">
        <f>IF(J2870="", "", IF(J2870="Long Term", 12.5%,"as per slab"))</f>
        <v/>
      </c>
      <c r="L2870" s="3">
        <f>+IFERROR(IF(J2870="","",H2870*K2870),"as per slab")</f>
        <v/>
      </c>
    </row>
    <row r="2871">
      <c r="A2871" s="7" t="n"/>
      <c r="B2871" s="7" t="n"/>
      <c r="C2871" s="8" t="n"/>
      <c r="D2871" s="9" t="n"/>
      <c r="E2871" s="8" t="n"/>
      <c r="F2871" s="9" t="n"/>
      <c r="G2871" s="9" t="n"/>
      <c r="H2871" s="3">
        <f>IF(AND(D2871&lt;&gt;"",F2871&lt;&gt;""),F2871-D2871-G2871,"")</f>
        <v/>
      </c>
      <c r="I2871" s="14">
        <f>IF(E2871&lt;&gt;"", YEARFRAC(C2871, E2871) * 12, "")</f>
        <v/>
      </c>
      <c r="J2871" s="2">
        <f>IF(I2871="", "", IF(OR(AND(A2871="Listed Equity Shares", I2871&gt;12), AND(A2871="Unlisted Equity Shares", I2871&gt;24)), "Long Term", "Short Term"))</f>
        <v/>
      </c>
      <c r="K2871" s="5">
        <f>IF(J2871="", "", IF(J2871="Long Term", 12.5%,"as per slab"))</f>
        <v/>
      </c>
      <c r="L2871" s="3">
        <f>+IFERROR(IF(J2871="","",H2871*K2871),"as per slab")</f>
        <v/>
      </c>
    </row>
    <row r="2872">
      <c r="A2872" s="7" t="n"/>
      <c r="B2872" s="7" t="n"/>
      <c r="C2872" s="8" t="n"/>
      <c r="D2872" s="9" t="n"/>
      <c r="E2872" s="8" t="n"/>
      <c r="F2872" s="9" t="n"/>
      <c r="G2872" s="9" t="n"/>
      <c r="H2872" s="3">
        <f>IF(AND(D2872&lt;&gt;"",F2872&lt;&gt;""),F2872-D2872-G2872,"")</f>
        <v/>
      </c>
      <c r="I2872" s="14">
        <f>IF(E2872&lt;&gt;"", YEARFRAC(C2872, E2872) * 12, "")</f>
        <v/>
      </c>
      <c r="J2872" s="2">
        <f>IF(I2872="", "", IF(OR(AND(A2872="Listed Equity Shares", I2872&gt;12), AND(A2872="Unlisted Equity Shares", I2872&gt;24)), "Long Term", "Short Term"))</f>
        <v/>
      </c>
      <c r="K2872" s="5">
        <f>IF(J2872="", "", IF(J2872="Long Term", 12.5%,"as per slab"))</f>
        <v/>
      </c>
      <c r="L2872" s="3">
        <f>+IFERROR(IF(J2872="","",H2872*K2872),"as per slab")</f>
        <v/>
      </c>
    </row>
    <row r="2873">
      <c r="A2873" s="7" t="n"/>
      <c r="B2873" s="7" t="n"/>
      <c r="C2873" s="8" t="n"/>
      <c r="D2873" s="9" t="n"/>
      <c r="E2873" s="8" t="n"/>
      <c r="F2873" s="9" t="n"/>
      <c r="G2873" s="9" t="n"/>
      <c r="H2873" s="3">
        <f>IF(AND(D2873&lt;&gt;"",F2873&lt;&gt;""),F2873-D2873-G2873,"")</f>
        <v/>
      </c>
      <c r="I2873" s="14">
        <f>IF(E2873&lt;&gt;"", YEARFRAC(C2873, E2873) * 12, "")</f>
        <v/>
      </c>
      <c r="J2873" s="2">
        <f>IF(I2873="", "", IF(OR(AND(A2873="Listed Equity Shares", I2873&gt;12), AND(A2873="Unlisted Equity Shares", I2873&gt;24)), "Long Term", "Short Term"))</f>
        <v/>
      </c>
      <c r="K2873" s="5">
        <f>IF(J2873="", "", IF(J2873="Long Term", 12.5%,"as per slab"))</f>
        <v/>
      </c>
      <c r="L2873" s="3">
        <f>+IFERROR(IF(J2873="","",H2873*K2873),"as per slab")</f>
        <v/>
      </c>
    </row>
    <row r="2874">
      <c r="A2874" s="7" t="n"/>
      <c r="B2874" s="7" t="n"/>
      <c r="C2874" s="8" t="n"/>
      <c r="D2874" s="9" t="n"/>
      <c r="E2874" s="8" t="n"/>
      <c r="F2874" s="9" t="n"/>
      <c r="G2874" s="9" t="n"/>
      <c r="H2874" s="3">
        <f>IF(AND(D2874&lt;&gt;"",F2874&lt;&gt;""),F2874-D2874-G2874,"")</f>
        <v/>
      </c>
      <c r="I2874" s="14">
        <f>IF(E2874&lt;&gt;"", YEARFRAC(C2874, E2874) * 12, "")</f>
        <v/>
      </c>
      <c r="J2874" s="2">
        <f>IF(I2874="", "", IF(OR(AND(A2874="Listed Equity Shares", I2874&gt;12), AND(A2874="Unlisted Equity Shares", I2874&gt;24)), "Long Term", "Short Term"))</f>
        <v/>
      </c>
      <c r="K2874" s="5">
        <f>IF(J2874="", "", IF(J2874="Long Term", 12.5%,"as per slab"))</f>
        <v/>
      </c>
      <c r="L2874" s="3">
        <f>+IFERROR(IF(J2874="","",H2874*K2874),"as per slab")</f>
        <v/>
      </c>
    </row>
    <row r="2875">
      <c r="A2875" s="7" t="n"/>
      <c r="B2875" s="7" t="n"/>
      <c r="C2875" s="8" t="n"/>
      <c r="D2875" s="9" t="n"/>
      <c r="E2875" s="8" t="n"/>
      <c r="F2875" s="9" t="n"/>
      <c r="G2875" s="9" t="n"/>
      <c r="H2875" s="3">
        <f>IF(AND(D2875&lt;&gt;"",F2875&lt;&gt;""),F2875-D2875-G2875,"")</f>
        <v/>
      </c>
      <c r="I2875" s="14">
        <f>IF(E2875&lt;&gt;"", YEARFRAC(C2875, E2875) * 12, "")</f>
        <v/>
      </c>
      <c r="J2875" s="2">
        <f>IF(I2875="", "", IF(OR(AND(A2875="Listed Equity Shares", I2875&gt;12), AND(A2875="Unlisted Equity Shares", I2875&gt;24)), "Long Term", "Short Term"))</f>
        <v/>
      </c>
      <c r="K2875" s="5">
        <f>IF(J2875="", "", IF(J2875="Long Term", 12.5%,"as per slab"))</f>
        <v/>
      </c>
      <c r="L2875" s="3">
        <f>+IFERROR(IF(J2875="","",H2875*K2875),"as per slab")</f>
        <v/>
      </c>
    </row>
    <row r="2876">
      <c r="A2876" s="7" t="n"/>
      <c r="B2876" s="7" t="n"/>
      <c r="C2876" s="8" t="n"/>
      <c r="D2876" s="9" t="n"/>
      <c r="E2876" s="8" t="n"/>
      <c r="F2876" s="9" t="n"/>
      <c r="G2876" s="9" t="n"/>
      <c r="H2876" s="3">
        <f>IF(AND(D2876&lt;&gt;"",F2876&lt;&gt;""),F2876-D2876-G2876,"")</f>
        <v/>
      </c>
      <c r="I2876" s="14">
        <f>IF(E2876&lt;&gt;"", YEARFRAC(C2876, E2876) * 12, "")</f>
        <v/>
      </c>
      <c r="J2876" s="2">
        <f>IF(I2876="", "", IF(OR(AND(A2876="Listed Equity Shares", I2876&gt;12), AND(A2876="Unlisted Equity Shares", I2876&gt;24)), "Long Term", "Short Term"))</f>
        <v/>
      </c>
      <c r="K2876" s="5">
        <f>IF(J2876="", "", IF(J2876="Long Term", 12.5%,"as per slab"))</f>
        <v/>
      </c>
      <c r="L2876" s="3">
        <f>+IFERROR(IF(J2876="","",H2876*K2876),"as per slab")</f>
        <v/>
      </c>
    </row>
    <row r="2877">
      <c r="A2877" s="7" t="n"/>
      <c r="B2877" s="7" t="n"/>
      <c r="C2877" s="8" t="n"/>
      <c r="D2877" s="9" t="n"/>
      <c r="E2877" s="8" t="n"/>
      <c r="F2877" s="9" t="n"/>
      <c r="G2877" s="9" t="n"/>
      <c r="H2877" s="3">
        <f>IF(AND(D2877&lt;&gt;"",F2877&lt;&gt;""),F2877-D2877-G2877,"")</f>
        <v/>
      </c>
      <c r="I2877" s="14">
        <f>IF(E2877&lt;&gt;"", YEARFRAC(C2877, E2877) * 12, "")</f>
        <v/>
      </c>
      <c r="J2877" s="2">
        <f>IF(I2877="", "", IF(OR(AND(A2877="Listed Equity Shares", I2877&gt;12), AND(A2877="Unlisted Equity Shares", I2877&gt;24)), "Long Term", "Short Term"))</f>
        <v/>
      </c>
      <c r="K2877" s="5">
        <f>IF(J2877="", "", IF(J2877="Long Term", 12.5%,"as per slab"))</f>
        <v/>
      </c>
      <c r="L2877" s="3">
        <f>+IFERROR(IF(J2877="","",H2877*K2877),"as per slab")</f>
        <v/>
      </c>
    </row>
    <row r="2878">
      <c r="A2878" s="7" t="n"/>
      <c r="B2878" s="7" t="n"/>
      <c r="C2878" s="8" t="n"/>
      <c r="D2878" s="9" t="n"/>
      <c r="E2878" s="8" t="n"/>
      <c r="F2878" s="9" t="n"/>
      <c r="G2878" s="9" t="n"/>
      <c r="H2878" s="3">
        <f>IF(AND(D2878&lt;&gt;"",F2878&lt;&gt;""),F2878-D2878-G2878,"")</f>
        <v/>
      </c>
      <c r="I2878" s="14">
        <f>IF(E2878&lt;&gt;"", YEARFRAC(C2878, E2878) * 12, "")</f>
        <v/>
      </c>
      <c r="J2878" s="2">
        <f>IF(I2878="", "", IF(OR(AND(A2878="Listed Equity Shares", I2878&gt;12), AND(A2878="Unlisted Equity Shares", I2878&gt;24)), "Long Term", "Short Term"))</f>
        <v/>
      </c>
      <c r="K2878" s="5">
        <f>IF(J2878="", "", IF(J2878="Long Term", 12.5%,"as per slab"))</f>
        <v/>
      </c>
      <c r="L2878" s="3">
        <f>+IFERROR(IF(J2878="","",H2878*K2878),"as per slab")</f>
        <v/>
      </c>
    </row>
    <row r="2879">
      <c r="A2879" s="7" t="n"/>
      <c r="B2879" s="7" t="n"/>
      <c r="C2879" s="8" t="n"/>
      <c r="D2879" s="9" t="n"/>
      <c r="E2879" s="8" t="n"/>
      <c r="F2879" s="9" t="n"/>
      <c r="G2879" s="9" t="n"/>
      <c r="H2879" s="3">
        <f>IF(AND(D2879&lt;&gt;"",F2879&lt;&gt;""),F2879-D2879-G2879,"")</f>
        <v/>
      </c>
      <c r="I2879" s="14">
        <f>IF(E2879&lt;&gt;"", YEARFRAC(C2879, E2879) * 12, "")</f>
        <v/>
      </c>
      <c r="J2879" s="2">
        <f>IF(I2879="", "", IF(OR(AND(A2879="Listed Equity Shares", I2879&gt;12), AND(A2879="Unlisted Equity Shares", I2879&gt;24)), "Long Term", "Short Term"))</f>
        <v/>
      </c>
      <c r="K2879" s="5">
        <f>IF(J2879="", "", IF(J2879="Long Term", 12.5%,"as per slab"))</f>
        <v/>
      </c>
      <c r="L2879" s="3">
        <f>+IFERROR(IF(J2879="","",H2879*K2879),"as per slab")</f>
        <v/>
      </c>
    </row>
    <row r="2880">
      <c r="A2880" s="7" t="n"/>
      <c r="B2880" s="7" t="n"/>
      <c r="C2880" s="8" t="n"/>
      <c r="D2880" s="9" t="n"/>
      <c r="E2880" s="8" t="n"/>
      <c r="F2880" s="9" t="n"/>
      <c r="G2880" s="9" t="n"/>
      <c r="H2880" s="3">
        <f>IF(AND(D2880&lt;&gt;"",F2880&lt;&gt;""),F2880-D2880-G2880,"")</f>
        <v/>
      </c>
      <c r="I2880" s="14">
        <f>IF(E2880&lt;&gt;"", YEARFRAC(C2880, E2880) * 12, "")</f>
        <v/>
      </c>
      <c r="J2880" s="2">
        <f>IF(I2880="", "", IF(OR(AND(A2880="Listed Equity Shares", I2880&gt;12), AND(A2880="Unlisted Equity Shares", I2880&gt;24)), "Long Term", "Short Term"))</f>
        <v/>
      </c>
      <c r="K2880" s="5">
        <f>IF(J2880="", "", IF(J2880="Long Term", 12.5%,"as per slab"))</f>
        <v/>
      </c>
      <c r="L2880" s="3">
        <f>+IFERROR(IF(J2880="","",H2880*K2880),"as per slab")</f>
        <v/>
      </c>
    </row>
    <row r="2881">
      <c r="A2881" s="7" t="n"/>
      <c r="B2881" s="7" t="n"/>
      <c r="C2881" s="8" t="n"/>
      <c r="D2881" s="9" t="n"/>
      <c r="E2881" s="8" t="n"/>
      <c r="F2881" s="9" t="n"/>
      <c r="G2881" s="9" t="n"/>
      <c r="H2881" s="3">
        <f>IF(AND(D2881&lt;&gt;"",F2881&lt;&gt;""),F2881-D2881-G2881,"")</f>
        <v/>
      </c>
      <c r="I2881" s="14">
        <f>IF(E2881&lt;&gt;"", YEARFRAC(C2881, E2881) * 12, "")</f>
        <v/>
      </c>
      <c r="J2881" s="2">
        <f>IF(I2881="", "", IF(OR(AND(A2881="Listed Equity Shares", I2881&gt;12), AND(A2881="Unlisted Equity Shares", I2881&gt;24)), "Long Term", "Short Term"))</f>
        <v/>
      </c>
      <c r="K2881" s="5">
        <f>IF(J2881="", "", IF(J2881="Long Term", 12.5%,"as per slab"))</f>
        <v/>
      </c>
      <c r="L2881" s="3">
        <f>+IFERROR(IF(J2881="","",H2881*K2881),"as per slab")</f>
        <v/>
      </c>
    </row>
    <row r="2882">
      <c r="A2882" s="7" t="n"/>
      <c r="B2882" s="7" t="n"/>
      <c r="C2882" s="8" t="n"/>
      <c r="D2882" s="9" t="n"/>
      <c r="E2882" s="8" t="n"/>
      <c r="F2882" s="9" t="n"/>
      <c r="G2882" s="9" t="n"/>
      <c r="H2882" s="3">
        <f>IF(AND(D2882&lt;&gt;"",F2882&lt;&gt;""),F2882-D2882-G2882,"")</f>
        <v/>
      </c>
      <c r="I2882" s="14">
        <f>IF(E2882&lt;&gt;"", YEARFRAC(C2882, E2882) * 12, "")</f>
        <v/>
      </c>
      <c r="J2882" s="2">
        <f>IF(I2882="", "", IF(OR(AND(A2882="Listed Equity Shares", I2882&gt;12), AND(A2882="Unlisted Equity Shares", I2882&gt;24)), "Long Term", "Short Term"))</f>
        <v/>
      </c>
      <c r="K2882" s="5">
        <f>IF(J2882="", "", IF(J2882="Long Term", 12.5%,"as per slab"))</f>
        <v/>
      </c>
      <c r="L2882" s="3">
        <f>+IFERROR(IF(J2882="","",H2882*K2882),"as per slab")</f>
        <v/>
      </c>
    </row>
    <row r="2883">
      <c r="A2883" s="7" t="n"/>
      <c r="B2883" s="7" t="n"/>
      <c r="C2883" s="8" t="n"/>
      <c r="D2883" s="9" t="n"/>
      <c r="E2883" s="8" t="n"/>
      <c r="F2883" s="9" t="n"/>
      <c r="G2883" s="9" t="n"/>
      <c r="H2883" s="3">
        <f>IF(AND(D2883&lt;&gt;"",F2883&lt;&gt;""),F2883-D2883-G2883,"")</f>
        <v/>
      </c>
      <c r="I2883" s="14">
        <f>IF(E2883&lt;&gt;"", YEARFRAC(C2883, E2883) * 12, "")</f>
        <v/>
      </c>
      <c r="J2883" s="2">
        <f>IF(I2883="", "", IF(OR(AND(A2883="Listed Equity Shares", I2883&gt;12), AND(A2883="Unlisted Equity Shares", I2883&gt;24)), "Long Term", "Short Term"))</f>
        <v/>
      </c>
      <c r="K2883" s="5">
        <f>IF(J2883="", "", IF(J2883="Long Term", 12.5%,"as per slab"))</f>
        <v/>
      </c>
      <c r="L2883" s="3">
        <f>+IFERROR(IF(J2883="","",H2883*K2883),"as per slab")</f>
        <v/>
      </c>
    </row>
    <row r="2884">
      <c r="A2884" s="7" t="n"/>
      <c r="B2884" s="7" t="n"/>
      <c r="C2884" s="8" t="n"/>
      <c r="D2884" s="9" t="n"/>
      <c r="E2884" s="8" t="n"/>
      <c r="F2884" s="9" t="n"/>
      <c r="G2884" s="9" t="n"/>
      <c r="H2884" s="3">
        <f>IF(AND(D2884&lt;&gt;"",F2884&lt;&gt;""),F2884-D2884-G2884,"")</f>
        <v/>
      </c>
      <c r="I2884" s="14">
        <f>IF(E2884&lt;&gt;"", YEARFRAC(C2884, E2884) * 12, "")</f>
        <v/>
      </c>
      <c r="J2884" s="2">
        <f>IF(I2884="", "", IF(OR(AND(A2884="Listed Equity Shares", I2884&gt;12), AND(A2884="Unlisted Equity Shares", I2884&gt;24)), "Long Term", "Short Term"))</f>
        <v/>
      </c>
      <c r="K2884" s="5">
        <f>IF(J2884="", "", IF(J2884="Long Term", 12.5%,"as per slab"))</f>
        <v/>
      </c>
      <c r="L2884" s="3">
        <f>+IFERROR(IF(J2884="","",H2884*K2884),"as per slab")</f>
        <v/>
      </c>
    </row>
    <row r="2885">
      <c r="A2885" s="7" t="n"/>
      <c r="B2885" s="7" t="n"/>
      <c r="C2885" s="8" t="n"/>
      <c r="D2885" s="9" t="n"/>
      <c r="E2885" s="8" t="n"/>
      <c r="F2885" s="9" t="n"/>
      <c r="G2885" s="9" t="n"/>
      <c r="H2885" s="3">
        <f>IF(AND(D2885&lt;&gt;"",F2885&lt;&gt;""),F2885-D2885-G2885,"")</f>
        <v/>
      </c>
      <c r="I2885" s="14">
        <f>IF(E2885&lt;&gt;"", YEARFRAC(C2885, E2885) * 12, "")</f>
        <v/>
      </c>
      <c r="J2885" s="2">
        <f>IF(I2885="", "", IF(OR(AND(A2885="Listed Equity Shares", I2885&gt;12), AND(A2885="Unlisted Equity Shares", I2885&gt;24)), "Long Term", "Short Term"))</f>
        <v/>
      </c>
      <c r="K2885" s="5">
        <f>IF(J2885="", "", IF(J2885="Long Term", 12.5%,"as per slab"))</f>
        <v/>
      </c>
      <c r="L2885" s="3">
        <f>+IFERROR(IF(J2885="","",H2885*K2885),"as per slab")</f>
        <v/>
      </c>
    </row>
    <row r="2886">
      <c r="A2886" s="7" t="n"/>
      <c r="B2886" s="7" t="n"/>
      <c r="C2886" s="8" t="n"/>
      <c r="D2886" s="9" t="n"/>
      <c r="E2886" s="8" t="n"/>
      <c r="F2886" s="9" t="n"/>
      <c r="G2886" s="9" t="n"/>
      <c r="H2886" s="3">
        <f>IF(AND(D2886&lt;&gt;"",F2886&lt;&gt;""),F2886-D2886-G2886,"")</f>
        <v/>
      </c>
      <c r="I2886" s="14">
        <f>IF(E2886&lt;&gt;"", YEARFRAC(C2886, E2886) * 12, "")</f>
        <v/>
      </c>
      <c r="J2886" s="2">
        <f>IF(I2886="", "", IF(OR(AND(A2886="Listed Equity Shares", I2886&gt;12), AND(A2886="Unlisted Equity Shares", I2886&gt;24)), "Long Term", "Short Term"))</f>
        <v/>
      </c>
      <c r="K2886" s="5">
        <f>IF(J2886="", "", IF(J2886="Long Term", 12.5%,"as per slab"))</f>
        <v/>
      </c>
      <c r="L2886" s="3">
        <f>+IFERROR(IF(J2886="","",H2886*K2886),"as per slab")</f>
        <v/>
      </c>
    </row>
    <row r="2887">
      <c r="A2887" s="7" t="n"/>
      <c r="B2887" s="7" t="n"/>
      <c r="C2887" s="8" t="n"/>
      <c r="D2887" s="9" t="n"/>
      <c r="E2887" s="8" t="n"/>
      <c r="F2887" s="9" t="n"/>
      <c r="G2887" s="9" t="n"/>
      <c r="H2887" s="3">
        <f>IF(AND(D2887&lt;&gt;"",F2887&lt;&gt;""),F2887-D2887-G2887,"")</f>
        <v/>
      </c>
      <c r="I2887" s="14">
        <f>IF(E2887&lt;&gt;"", YEARFRAC(C2887, E2887) * 12, "")</f>
        <v/>
      </c>
      <c r="J2887" s="2">
        <f>IF(I2887="", "", IF(OR(AND(A2887="Listed Equity Shares", I2887&gt;12), AND(A2887="Unlisted Equity Shares", I2887&gt;24)), "Long Term", "Short Term"))</f>
        <v/>
      </c>
      <c r="K2887" s="5">
        <f>IF(J2887="", "", IF(J2887="Long Term", 12.5%,"as per slab"))</f>
        <v/>
      </c>
      <c r="L2887" s="3">
        <f>+IFERROR(IF(J2887="","",H2887*K2887),"as per slab")</f>
        <v/>
      </c>
    </row>
    <row r="2888">
      <c r="A2888" s="7" t="n"/>
      <c r="B2888" s="7" t="n"/>
      <c r="C2888" s="8" t="n"/>
      <c r="D2888" s="9" t="n"/>
      <c r="E2888" s="8" t="n"/>
      <c r="F2888" s="9" t="n"/>
      <c r="G2888" s="9" t="n"/>
      <c r="H2888" s="3">
        <f>IF(AND(D2888&lt;&gt;"",F2888&lt;&gt;""),F2888-D2888-G2888,"")</f>
        <v/>
      </c>
      <c r="I2888" s="14">
        <f>IF(E2888&lt;&gt;"", YEARFRAC(C2888, E2888) * 12, "")</f>
        <v/>
      </c>
      <c r="J2888" s="2">
        <f>IF(I2888="", "", IF(OR(AND(A2888="Listed Equity Shares", I2888&gt;12), AND(A2888="Unlisted Equity Shares", I2888&gt;24)), "Long Term", "Short Term"))</f>
        <v/>
      </c>
      <c r="K2888" s="5">
        <f>IF(J2888="", "", IF(J2888="Long Term", 12.5%,"as per slab"))</f>
        <v/>
      </c>
      <c r="L2888" s="3">
        <f>+IFERROR(IF(J2888="","",H2888*K2888),"as per slab")</f>
        <v/>
      </c>
    </row>
    <row r="2889">
      <c r="A2889" s="7" t="n"/>
      <c r="B2889" s="7" t="n"/>
      <c r="C2889" s="8" t="n"/>
      <c r="D2889" s="9" t="n"/>
      <c r="E2889" s="8" t="n"/>
      <c r="F2889" s="9" t="n"/>
      <c r="G2889" s="9" t="n"/>
      <c r="H2889" s="3">
        <f>IF(AND(D2889&lt;&gt;"",F2889&lt;&gt;""),F2889-D2889-G2889,"")</f>
        <v/>
      </c>
      <c r="I2889" s="14">
        <f>IF(E2889&lt;&gt;"", YEARFRAC(C2889, E2889) * 12, "")</f>
        <v/>
      </c>
      <c r="J2889" s="2">
        <f>IF(I2889="", "", IF(OR(AND(A2889="Listed Equity Shares", I2889&gt;12), AND(A2889="Unlisted Equity Shares", I2889&gt;24)), "Long Term", "Short Term"))</f>
        <v/>
      </c>
      <c r="K2889" s="5">
        <f>IF(J2889="", "", IF(J2889="Long Term", 12.5%,"as per slab"))</f>
        <v/>
      </c>
      <c r="L2889" s="3">
        <f>+IFERROR(IF(J2889="","",H2889*K2889),"as per slab")</f>
        <v/>
      </c>
    </row>
    <row r="2890">
      <c r="A2890" s="7" t="n"/>
      <c r="B2890" s="7" t="n"/>
      <c r="C2890" s="8" t="n"/>
      <c r="D2890" s="9" t="n"/>
      <c r="E2890" s="8" t="n"/>
      <c r="F2890" s="9" t="n"/>
      <c r="G2890" s="9" t="n"/>
      <c r="H2890" s="3">
        <f>IF(AND(D2890&lt;&gt;"",F2890&lt;&gt;""),F2890-D2890-G2890,"")</f>
        <v/>
      </c>
      <c r="I2890" s="14">
        <f>IF(E2890&lt;&gt;"", YEARFRAC(C2890, E2890) * 12, "")</f>
        <v/>
      </c>
      <c r="J2890" s="2">
        <f>IF(I2890="", "", IF(OR(AND(A2890="Listed Equity Shares", I2890&gt;12), AND(A2890="Unlisted Equity Shares", I2890&gt;24)), "Long Term", "Short Term"))</f>
        <v/>
      </c>
      <c r="K2890" s="5">
        <f>IF(J2890="", "", IF(J2890="Long Term", 12.5%,"as per slab"))</f>
        <v/>
      </c>
      <c r="L2890" s="3">
        <f>+IFERROR(IF(J2890="","",H2890*K2890),"as per slab")</f>
        <v/>
      </c>
    </row>
    <row r="2891">
      <c r="A2891" s="7" t="n"/>
      <c r="B2891" s="7" t="n"/>
      <c r="C2891" s="8" t="n"/>
      <c r="D2891" s="9" t="n"/>
      <c r="E2891" s="8" t="n"/>
      <c r="F2891" s="9" t="n"/>
      <c r="G2891" s="9" t="n"/>
      <c r="H2891" s="3">
        <f>IF(AND(D2891&lt;&gt;"",F2891&lt;&gt;""),F2891-D2891-G2891,"")</f>
        <v/>
      </c>
      <c r="I2891" s="14">
        <f>IF(E2891&lt;&gt;"", YEARFRAC(C2891, E2891) * 12, "")</f>
        <v/>
      </c>
      <c r="J2891" s="2">
        <f>IF(I2891="", "", IF(OR(AND(A2891="Listed Equity Shares", I2891&gt;12), AND(A2891="Unlisted Equity Shares", I2891&gt;24)), "Long Term", "Short Term"))</f>
        <v/>
      </c>
      <c r="K2891" s="5">
        <f>IF(J2891="", "", IF(J2891="Long Term", 12.5%,"as per slab"))</f>
        <v/>
      </c>
      <c r="L2891" s="3">
        <f>+IFERROR(IF(J2891="","",H2891*K2891),"as per slab")</f>
        <v/>
      </c>
    </row>
    <row r="2892">
      <c r="A2892" s="7" t="n"/>
      <c r="B2892" s="7" t="n"/>
      <c r="C2892" s="8" t="n"/>
      <c r="D2892" s="9" t="n"/>
      <c r="E2892" s="8" t="n"/>
      <c r="F2892" s="9" t="n"/>
      <c r="G2892" s="9" t="n"/>
      <c r="H2892" s="3">
        <f>IF(AND(D2892&lt;&gt;"",F2892&lt;&gt;""),F2892-D2892-G2892,"")</f>
        <v/>
      </c>
      <c r="I2892" s="14">
        <f>IF(E2892&lt;&gt;"", YEARFRAC(C2892, E2892) * 12, "")</f>
        <v/>
      </c>
      <c r="J2892" s="2">
        <f>IF(I2892="", "", IF(OR(AND(A2892="Listed Equity Shares", I2892&gt;12), AND(A2892="Unlisted Equity Shares", I2892&gt;24)), "Long Term", "Short Term"))</f>
        <v/>
      </c>
      <c r="K2892" s="5">
        <f>IF(J2892="", "", IF(J2892="Long Term", 12.5%,"as per slab"))</f>
        <v/>
      </c>
      <c r="L2892" s="3">
        <f>+IFERROR(IF(J2892="","",H2892*K2892),"as per slab")</f>
        <v/>
      </c>
    </row>
    <row r="2893">
      <c r="A2893" s="7" t="n"/>
      <c r="B2893" s="7" t="n"/>
      <c r="C2893" s="8" t="n"/>
      <c r="D2893" s="9" t="n"/>
      <c r="E2893" s="8" t="n"/>
      <c r="F2893" s="9" t="n"/>
      <c r="G2893" s="9" t="n"/>
      <c r="H2893" s="3">
        <f>IF(AND(D2893&lt;&gt;"",F2893&lt;&gt;""),F2893-D2893-G2893,"")</f>
        <v/>
      </c>
      <c r="I2893" s="14">
        <f>IF(E2893&lt;&gt;"", YEARFRAC(C2893, E2893) * 12, "")</f>
        <v/>
      </c>
      <c r="J2893" s="2">
        <f>IF(I2893="", "", IF(OR(AND(A2893="Listed Equity Shares", I2893&gt;12), AND(A2893="Unlisted Equity Shares", I2893&gt;24)), "Long Term", "Short Term"))</f>
        <v/>
      </c>
      <c r="K2893" s="5">
        <f>IF(J2893="", "", IF(J2893="Long Term", 12.5%,"as per slab"))</f>
        <v/>
      </c>
      <c r="L2893" s="3">
        <f>+IFERROR(IF(J2893="","",H2893*K2893),"as per slab")</f>
        <v/>
      </c>
    </row>
    <row r="2894">
      <c r="A2894" s="7" t="n"/>
      <c r="B2894" s="7" t="n"/>
      <c r="C2894" s="8" t="n"/>
      <c r="D2894" s="9" t="n"/>
      <c r="E2894" s="8" t="n"/>
      <c r="F2894" s="9" t="n"/>
      <c r="G2894" s="9" t="n"/>
      <c r="H2894" s="3">
        <f>IF(AND(D2894&lt;&gt;"",F2894&lt;&gt;""),F2894-D2894-G2894,"")</f>
        <v/>
      </c>
      <c r="I2894" s="14">
        <f>IF(E2894&lt;&gt;"", YEARFRAC(C2894, E2894) * 12, "")</f>
        <v/>
      </c>
      <c r="J2894" s="2">
        <f>IF(I2894="", "", IF(OR(AND(A2894="Listed Equity Shares", I2894&gt;12), AND(A2894="Unlisted Equity Shares", I2894&gt;24)), "Long Term", "Short Term"))</f>
        <v/>
      </c>
      <c r="K2894" s="5">
        <f>IF(J2894="", "", IF(J2894="Long Term", 12.5%,"as per slab"))</f>
        <v/>
      </c>
      <c r="L2894" s="3">
        <f>+IFERROR(IF(J2894="","",H2894*K2894),"as per slab")</f>
        <v/>
      </c>
    </row>
    <row r="2895">
      <c r="A2895" s="7" t="n"/>
      <c r="B2895" s="7" t="n"/>
      <c r="C2895" s="8" t="n"/>
      <c r="D2895" s="9" t="n"/>
      <c r="E2895" s="8" t="n"/>
      <c r="F2895" s="9" t="n"/>
      <c r="G2895" s="9" t="n"/>
      <c r="H2895" s="3">
        <f>IF(AND(D2895&lt;&gt;"",F2895&lt;&gt;""),F2895-D2895-G2895,"")</f>
        <v/>
      </c>
      <c r="I2895" s="14">
        <f>IF(E2895&lt;&gt;"", YEARFRAC(C2895, E2895) * 12, "")</f>
        <v/>
      </c>
      <c r="J2895" s="2">
        <f>IF(I2895="", "", IF(OR(AND(A2895="Listed Equity Shares", I2895&gt;12), AND(A2895="Unlisted Equity Shares", I2895&gt;24)), "Long Term", "Short Term"))</f>
        <v/>
      </c>
      <c r="K2895" s="5">
        <f>IF(J2895="", "", IF(J2895="Long Term", 12.5%,"as per slab"))</f>
        <v/>
      </c>
      <c r="L2895" s="3">
        <f>+IFERROR(IF(J2895="","",H2895*K2895),"as per slab")</f>
        <v/>
      </c>
    </row>
    <row r="2896">
      <c r="A2896" s="7" t="n"/>
      <c r="B2896" s="7" t="n"/>
      <c r="C2896" s="8" t="n"/>
      <c r="D2896" s="9" t="n"/>
      <c r="E2896" s="8" t="n"/>
      <c r="F2896" s="9" t="n"/>
      <c r="G2896" s="9" t="n"/>
      <c r="H2896" s="3">
        <f>IF(AND(D2896&lt;&gt;"",F2896&lt;&gt;""),F2896-D2896-G2896,"")</f>
        <v/>
      </c>
      <c r="I2896" s="14">
        <f>IF(E2896&lt;&gt;"", YEARFRAC(C2896, E2896) * 12, "")</f>
        <v/>
      </c>
      <c r="J2896" s="2">
        <f>IF(I2896="", "", IF(OR(AND(A2896="Listed Equity Shares", I2896&gt;12), AND(A2896="Unlisted Equity Shares", I2896&gt;24)), "Long Term", "Short Term"))</f>
        <v/>
      </c>
      <c r="K2896" s="5">
        <f>IF(J2896="", "", IF(J2896="Long Term", 12.5%,"as per slab"))</f>
        <v/>
      </c>
      <c r="L2896" s="3">
        <f>+IFERROR(IF(J2896="","",H2896*K2896),"as per slab")</f>
        <v/>
      </c>
    </row>
    <row r="2897">
      <c r="A2897" s="7" t="n"/>
      <c r="B2897" s="7" t="n"/>
      <c r="C2897" s="8" t="n"/>
      <c r="D2897" s="9" t="n"/>
      <c r="E2897" s="8" t="n"/>
      <c r="F2897" s="9" t="n"/>
      <c r="G2897" s="9" t="n"/>
      <c r="H2897" s="3">
        <f>IF(AND(D2897&lt;&gt;"",F2897&lt;&gt;""),F2897-D2897-G2897,"")</f>
        <v/>
      </c>
      <c r="I2897" s="14">
        <f>IF(E2897&lt;&gt;"", YEARFRAC(C2897, E2897) * 12, "")</f>
        <v/>
      </c>
      <c r="J2897" s="2">
        <f>IF(I2897="", "", IF(OR(AND(A2897="Listed Equity Shares", I2897&gt;12), AND(A2897="Unlisted Equity Shares", I2897&gt;24)), "Long Term", "Short Term"))</f>
        <v/>
      </c>
      <c r="K2897" s="5">
        <f>IF(J2897="", "", IF(J2897="Long Term", 12.5%,"as per slab"))</f>
        <v/>
      </c>
      <c r="L2897" s="3">
        <f>+IFERROR(IF(J2897="","",H2897*K2897),"as per slab")</f>
        <v/>
      </c>
    </row>
    <row r="2898">
      <c r="A2898" s="7" t="n"/>
      <c r="B2898" s="7" t="n"/>
      <c r="C2898" s="8" t="n"/>
      <c r="D2898" s="9" t="n"/>
      <c r="E2898" s="8" t="n"/>
      <c r="F2898" s="9" t="n"/>
      <c r="G2898" s="9" t="n"/>
      <c r="H2898" s="3">
        <f>IF(AND(D2898&lt;&gt;"",F2898&lt;&gt;""),F2898-D2898-G2898,"")</f>
        <v/>
      </c>
      <c r="I2898" s="14">
        <f>IF(E2898&lt;&gt;"", YEARFRAC(C2898, E2898) * 12, "")</f>
        <v/>
      </c>
      <c r="J2898" s="2">
        <f>IF(I2898="", "", IF(OR(AND(A2898="Listed Equity Shares", I2898&gt;12), AND(A2898="Unlisted Equity Shares", I2898&gt;24)), "Long Term", "Short Term"))</f>
        <v/>
      </c>
      <c r="K2898" s="5">
        <f>IF(J2898="", "", IF(J2898="Long Term", 12.5%,"as per slab"))</f>
        <v/>
      </c>
      <c r="L2898" s="3">
        <f>+IFERROR(IF(J2898="","",H2898*K2898),"as per slab")</f>
        <v/>
      </c>
    </row>
    <row r="2899">
      <c r="A2899" s="7" t="n"/>
      <c r="B2899" s="7" t="n"/>
      <c r="C2899" s="8" t="n"/>
      <c r="D2899" s="9" t="n"/>
      <c r="E2899" s="8" t="n"/>
      <c r="F2899" s="9" t="n"/>
      <c r="G2899" s="9" t="n"/>
      <c r="H2899" s="3">
        <f>IF(AND(D2899&lt;&gt;"",F2899&lt;&gt;""),F2899-D2899-G2899,"")</f>
        <v/>
      </c>
      <c r="I2899" s="14">
        <f>IF(E2899&lt;&gt;"", YEARFRAC(C2899, E2899) * 12, "")</f>
        <v/>
      </c>
      <c r="J2899" s="2">
        <f>IF(I2899="", "", IF(OR(AND(A2899="Listed Equity Shares", I2899&gt;12), AND(A2899="Unlisted Equity Shares", I2899&gt;24)), "Long Term", "Short Term"))</f>
        <v/>
      </c>
      <c r="K2899" s="5">
        <f>IF(J2899="", "", IF(J2899="Long Term", 12.5%,"as per slab"))</f>
        <v/>
      </c>
      <c r="L2899" s="3">
        <f>+IFERROR(IF(J2899="","",H2899*K2899),"as per slab")</f>
        <v/>
      </c>
    </row>
    <row r="2900">
      <c r="A2900" s="7" t="n"/>
      <c r="B2900" s="7" t="n"/>
      <c r="C2900" s="8" t="n"/>
      <c r="D2900" s="9" t="n"/>
      <c r="E2900" s="8" t="n"/>
      <c r="F2900" s="9" t="n"/>
      <c r="G2900" s="9" t="n"/>
      <c r="H2900" s="3">
        <f>IF(AND(D2900&lt;&gt;"",F2900&lt;&gt;""),F2900-D2900-G2900,"")</f>
        <v/>
      </c>
      <c r="I2900" s="14">
        <f>IF(E2900&lt;&gt;"", YEARFRAC(C2900, E2900) * 12, "")</f>
        <v/>
      </c>
      <c r="J2900" s="2">
        <f>IF(I2900="", "", IF(OR(AND(A2900="Listed Equity Shares", I2900&gt;12), AND(A2900="Unlisted Equity Shares", I2900&gt;24)), "Long Term", "Short Term"))</f>
        <v/>
      </c>
      <c r="K2900" s="5">
        <f>IF(J2900="", "", IF(J2900="Long Term", 12.5%,"as per slab"))</f>
        <v/>
      </c>
      <c r="L2900" s="3">
        <f>+IFERROR(IF(J2900="","",H2900*K2900),"as per slab")</f>
        <v/>
      </c>
    </row>
    <row r="2901">
      <c r="A2901" s="7" t="n"/>
      <c r="B2901" s="7" t="n"/>
      <c r="C2901" s="8" t="n"/>
      <c r="D2901" s="9" t="n"/>
      <c r="E2901" s="8" t="n"/>
      <c r="F2901" s="9" t="n"/>
      <c r="G2901" s="9" t="n"/>
      <c r="H2901" s="3">
        <f>IF(AND(D2901&lt;&gt;"",F2901&lt;&gt;""),F2901-D2901-G2901,"")</f>
        <v/>
      </c>
      <c r="I2901" s="14">
        <f>IF(E2901&lt;&gt;"", YEARFRAC(C2901, E2901) * 12, "")</f>
        <v/>
      </c>
      <c r="J2901" s="2">
        <f>IF(I2901="", "", IF(OR(AND(A2901="Listed Equity Shares", I2901&gt;12), AND(A2901="Unlisted Equity Shares", I2901&gt;24)), "Long Term", "Short Term"))</f>
        <v/>
      </c>
      <c r="K2901" s="5">
        <f>IF(J2901="", "", IF(J2901="Long Term", 12.5%,"as per slab"))</f>
        <v/>
      </c>
      <c r="L2901" s="3">
        <f>+IFERROR(IF(J2901="","",H2901*K2901),"as per slab")</f>
        <v/>
      </c>
    </row>
    <row r="2902">
      <c r="A2902" s="7" t="n"/>
      <c r="B2902" s="7" t="n"/>
      <c r="C2902" s="8" t="n"/>
      <c r="D2902" s="9" t="n"/>
      <c r="E2902" s="8" t="n"/>
      <c r="F2902" s="9" t="n"/>
      <c r="G2902" s="9" t="n"/>
      <c r="H2902" s="3">
        <f>IF(AND(D2902&lt;&gt;"",F2902&lt;&gt;""),F2902-D2902-G2902,"")</f>
        <v/>
      </c>
      <c r="I2902" s="14">
        <f>IF(E2902&lt;&gt;"", YEARFRAC(C2902, E2902) * 12, "")</f>
        <v/>
      </c>
      <c r="J2902" s="2">
        <f>IF(I2902="", "", IF(OR(AND(A2902="Listed Equity Shares", I2902&gt;12), AND(A2902="Unlisted Equity Shares", I2902&gt;24)), "Long Term", "Short Term"))</f>
        <v/>
      </c>
      <c r="K2902" s="5">
        <f>IF(J2902="", "", IF(J2902="Long Term", 12.5%,"as per slab"))</f>
        <v/>
      </c>
      <c r="L2902" s="3">
        <f>+IFERROR(IF(J2902="","",H2902*K2902),"as per slab")</f>
        <v/>
      </c>
    </row>
    <row r="2903">
      <c r="A2903" s="7" t="n"/>
      <c r="B2903" s="7" t="n"/>
      <c r="C2903" s="8" t="n"/>
      <c r="D2903" s="9" t="n"/>
      <c r="E2903" s="8" t="n"/>
      <c r="F2903" s="9" t="n"/>
      <c r="G2903" s="9" t="n"/>
      <c r="H2903" s="3">
        <f>IF(AND(D2903&lt;&gt;"",F2903&lt;&gt;""),F2903-D2903-G2903,"")</f>
        <v/>
      </c>
      <c r="I2903" s="14">
        <f>IF(E2903&lt;&gt;"", YEARFRAC(C2903, E2903) * 12, "")</f>
        <v/>
      </c>
      <c r="J2903" s="2">
        <f>IF(I2903="", "", IF(OR(AND(A2903="Listed Equity Shares", I2903&gt;12), AND(A2903="Unlisted Equity Shares", I2903&gt;24)), "Long Term", "Short Term"))</f>
        <v/>
      </c>
      <c r="K2903" s="5">
        <f>IF(J2903="", "", IF(J2903="Long Term", 12.5%,"as per slab"))</f>
        <v/>
      </c>
      <c r="L2903" s="3">
        <f>+IFERROR(IF(J2903="","",H2903*K2903),"as per slab")</f>
        <v/>
      </c>
    </row>
    <row r="2904">
      <c r="A2904" s="7" t="n"/>
      <c r="B2904" s="7" t="n"/>
      <c r="C2904" s="8" t="n"/>
      <c r="D2904" s="9" t="n"/>
      <c r="E2904" s="8" t="n"/>
      <c r="F2904" s="9" t="n"/>
      <c r="G2904" s="9" t="n"/>
      <c r="H2904" s="3">
        <f>IF(AND(D2904&lt;&gt;"",F2904&lt;&gt;""),F2904-D2904-G2904,"")</f>
        <v/>
      </c>
      <c r="I2904" s="14">
        <f>IF(E2904&lt;&gt;"", YEARFRAC(C2904, E2904) * 12, "")</f>
        <v/>
      </c>
      <c r="J2904" s="2">
        <f>IF(I2904="", "", IF(OR(AND(A2904="Listed Equity Shares", I2904&gt;12), AND(A2904="Unlisted Equity Shares", I2904&gt;24)), "Long Term", "Short Term"))</f>
        <v/>
      </c>
      <c r="K2904" s="5">
        <f>IF(J2904="", "", IF(J2904="Long Term", 12.5%,"as per slab"))</f>
        <v/>
      </c>
      <c r="L2904" s="3">
        <f>+IFERROR(IF(J2904="","",H2904*K2904),"as per slab")</f>
        <v/>
      </c>
    </row>
    <row r="2905">
      <c r="A2905" s="7" t="n"/>
      <c r="B2905" s="7" t="n"/>
      <c r="C2905" s="8" t="n"/>
      <c r="D2905" s="9" t="n"/>
      <c r="E2905" s="8" t="n"/>
      <c r="F2905" s="9" t="n"/>
      <c r="G2905" s="9" t="n"/>
      <c r="H2905" s="3">
        <f>IF(AND(D2905&lt;&gt;"",F2905&lt;&gt;""),F2905-D2905-G2905,"")</f>
        <v/>
      </c>
      <c r="I2905" s="14">
        <f>IF(E2905&lt;&gt;"", YEARFRAC(C2905, E2905) * 12, "")</f>
        <v/>
      </c>
      <c r="J2905" s="2">
        <f>IF(I2905="", "", IF(OR(AND(A2905="Listed Equity Shares", I2905&gt;12), AND(A2905="Unlisted Equity Shares", I2905&gt;24)), "Long Term", "Short Term"))</f>
        <v/>
      </c>
      <c r="K2905" s="5">
        <f>IF(J2905="", "", IF(J2905="Long Term", 12.5%,"as per slab"))</f>
        <v/>
      </c>
      <c r="L2905" s="3">
        <f>+IFERROR(IF(J2905="","",H2905*K2905),"as per slab")</f>
        <v/>
      </c>
    </row>
    <row r="2906">
      <c r="A2906" s="7" t="n"/>
      <c r="B2906" s="7" t="n"/>
      <c r="C2906" s="8" t="n"/>
      <c r="D2906" s="9" t="n"/>
      <c r="E2906" s="8" t="n"/>
      <c r="F2906" s="9" t="n"/>
      <c r="G2906" s="9" t="n"/>
      <c r="H2906" s="3">
        <f>IF(AND(D2906&lt;&gt;"",F2906&lt;&gt;""),F2906-D2906-G2906,"")</f>
        <v/>
      </c>
      <c r="I2906" s="14">
        <f>IF(E2906&lt;&gt;"", YEARFRAC(C2906, E2906) * 12, "")</f>
        <v/>
      </c>
      <c r="J2906" s="2">
        <f>IF(I2906="", "", IF(OR(AND(A2906="Listed Equity Shares", I2906&gt;12), AND(A2906="Unlisted Equity Shares", I2906&gt;24)), "Long Term", "Short Term"))</f>
        <v/>
      </c>
      <c r="K2906" s="5">
        <f>IF(J2906="", "", IF(J2906="Long Term", 12.5%,"as per slab"))</f>
        <v/>
      </c>
      <c r="L2906" s="3">
        <f>+IFERROR(IF(J2906="","",H2906*K2906),"as per slab")</f>
        <v/>
      </c>
    </row>
    <row r="2907">
      <c r="A2907" s="7" t="n"/>
      <c r="B2907" s="7" t="n"/>
      <c r="C2907" s="8" t="n"/>
      <c r="D2907" s="9" t="n"/>
      <c r="E2907" s="8" t="n"/>
      <c r="F2907" s="9" t="n"/>
      <c r="G2907" s="9" t="n"/>
      <c r="H2907" s="3">
        <f>IF(AND(D2907&lt;&gt;"",F2907&lt;&gt;""),F2907-D2907-G2907,"")</f>
        <v/>
      </c>
      <c r="I2907" s="14">
        <f>IF(E2907&lt;&gt;"", YEARFRAC(C2907, E2907) * 12, "")</f>
        <v/>
      </c>
      <c r="J2907" s="2">
        <f>IF(I2907="", "", IF(OR(AND(A2907="Listed Equity Shares", I2907&gt;12), AND(A2907="Unlisted Equity Shares", I2907&gt;24)), "Long Term", "Short Term"))</f>
        <v/>
      </c>
      <c r="K2907" s="5">
        <f>IF(J2907="", "", IF(J2907="Long Term", 12.5%,"as per slab"))</f>
        <v/>
      </c>
      <c r="L2907" s="3">
        <f>+IFERROR(IF(J2907="","",H2907*K2907),"as per slab")</f>
        <v/>
      </c>
    </row>
    <row r="2908">
      <c r="A2908" s="7" t="n"/>
      <c r="B2908" s="7" t="n"/>
      <c r="C2908" s="8" t="n"/>
      <c r="D2908" s="9" t="n"/>
      <c r="E2908" s="8" t="n"/>
      <c r="F2908" s="9" t="n"/>
      <c r="G2908" s="9" t="n"/>
      <c r="H2908" s="3">
        <f>IF(AND(D2908&lt;&gt;"",F2908&lt;&gt;""),F2908-D2908-G2908,"")</f>
        <v/>
      </c>
      <c r="I2908" s="14">
        <f>IF(E2908&lt;&gt;"", YEARFRAC(C2908, E2908) * 12, "")</f>
        <v/>
      </c>
      <c r="J2908" s="2">
        <f>IF(I2908="", "", IF(OR(AND(A2908="Listed Equity Shares", I2908&gt;12), AND(A2908="Unlisted Equity Shares", I2908&gt;24)), "Long Term", "Short Term"))</f>
        <v/>
      </c>
      <c r="K2908" s="5">
        <f>IF(J2908="", "", IF(J2908="Long Term", 12.5%,"as per slab"))</f>
        <v/>
      </c>
      <c r="L2908" s="3">
        <f>+IFERROR(IF(J2908="","",H2908*K2908),"as per slab")</f>
        <v/>
      </c>
    </row>
    <row r="2909">
      <c r="A2909" s="7" t="n"/>
      <c r="B2909" s="7" t="n"/>
      <c r="C2909" s="8" t="n"/>
      <c r="D2909" s="9" t="n"/>
      <c r="E2909" s="8" t="n"/>
      <c r="F2909" s="9" t="n"/>
      <c r="G2909" s="9" t="n"/>
      <c r="H2909" s="3">
        <f>IF(AND(D2909&lt;&gt;"",F2909&lt;&gt;""),F2909-D2909-G2909,"")</f>
        <v/>
      </c>
      <c r="I2909" s="14">
        <f>IF(E2909&lt;&gt;"", YEARFRAC(C2909, E2909) * 12, "")</f>
        <v/>
      </c>
      <c r="J2909" s="2">
        <f>IF(I2909="", "", IF(OR(AND(A2909="Listed Equity Shares", I2909&gt;12), AND(A2909="Unlisted Equity Shares", I2909&gt;24)), "Long Term", "Short Term"))</f>
        <v/>
      </c>
      <c r="K2909" s="5">
        <f>IF(J2909="", "", IF(J2909="Long Term", 12.5%,"as per slab"))</f>
        <v/>
      </c>
      <c r="L2909" s="3">
        <f>+IFERROR(IF(J2909="","",H2909*K2909),"as per slab")</f>
        <v/>
      </c>
    </row>
    <row r="2910">
      <c r="A2910" s="7" t="n"/>
      <c r="B2910" s="7" t="n"/>
      <c r="C2910" s="8" t="n"/>
      <c r="D2910" s="9" t="n"/>
      <c r="E2910" s="8" t="n"/>
      <c r="F2910" s="9" t="n"/>
      <c r="G2910" s="9" t="n"/>
      <c r="H2910" s="3">
        <f>IF(AND(D2910&lt;&gt;"",F2910&lt;&gt;""),F2910-D2910-G2910,"")</f>
        <v/>
      </c>
      <c r="I2910" s="14">
        <f>IF(E2910&lt;&gt;"", YEARFRAC(C2910, E2910) * 12, "")</f>
        <v/>
      </c>
      <c r="J2910" s="2">
        <f>IF(I2910="", "", IF(OR(AND(A2910="Listed Equity Shares", I2910&gt;12), AND(A2910="Unlisted Equity Shares", I2910&gt;24)), "Long Term", "Short Term"))</f>
        <v/>
      </c>
      <c r="K2910" s="5">
        <f>IF(J2910="", "", IF(J2910="Long Term", 12.5%,"as per slab"))</f>
        <v/>
      </c>
      <c r="L2910" s="3">
        <f>+IFERROR(IF(J2910="","",H2910*K2910),"as per slab")</f>
        <v/>
      </c>
    </row>
    <row r="2911">
      <c r="A2911" s="7" t="n"/>
      <c r="B2911" s="7" t="n"/>
      <c r="C2911" s="8" t="n"/>
      <c r="D2911" s="9" t="n"/>
      <c r="E2911" s="8" t="n"/>
      <c r="F2911" s="9" t="n"/>
      <c r="G2911" s="9" t="n"/>
      <c r="H2911" s="3">
        <f>IF(AND(D2911&lt;&gt;"",F2911&lt;&gt;""),F2911-D2911-G2911,"")</f>
        <v/>
      </c>
      <c r="I2911" s="14">
        <f>IF(E2911&lt;&gt;"", YEARFRAC(C2911, E2911) * 12, "")</f>
        <v/>
      </c>
      <c r="J2911" s="2">
        <f>IF(I2911="", "", IF(OR(AND(A2911="Listed Equity Shares", I2911&gt;12), AND(A2911="Unlisted Equity Shares", I2911&gt;24)), "Long Term", "Short Term"))</f>
        <v/>
      </c>
      <c r="K2911" s="5">
        <f>IF(J2911="", "", IF(J2911="Long Term", 12.5%,"as per slab"))</f>
        <v/>
      </c>
      <c r="L2911" s="3">
        <f>+IFERROR(IF(J2911="","",H2911*K2911),"as per slab")</f>
        <v/>
      </c>
    </row>
    <row r="2912">
      <c r="A2912" s="7" t="n"/>
      <c r="B2912" s="7" t="n"/>
      <c r="C2912" s="8" t="n"/>
      <c r="D2912" s="9" t="n"/>
      <c r="E2912" s="8" t="n"/>
      <c r="F2912" s="9" t="n"/>
      <c r="G2912" s="9" t="n"/>
      <c r="H2912" s="3">
        <f>IF(AND(D2912&lt;&gt;"",F2912&lt;&gt;""),F2912-D2912-G2912,"")</f>
        <v/>
      </c>
      <c r="I2912" s="14">
        <f>IF(E2912&lt;&gt;"", YEARFRAC(C2912, E2912) * 12, "")</f>
        <v/>
      </c>
      <c r="J2912" s="2">
        <f>IF(I2912="", "", IF(OR(AND(A2912="Listed Equity Shares", I2912&gt;12), AND(A2912="Unlisted Equity Shares", I2912&gt;24)), "Long Term", "Short Term"))</f>
        <v/>
      </c>
      <c r="K2912" s="5">
        <f>IF(J2912="", "", IF(J2912="Long Term", 12.5%,"as per slab"))</f>
        <v/>
      </c>
      <c r="L2912" s="3">
        <f>+IFERROR(IF(J2912="","",H2912*K2912),"as per slab")</f>
        <v/>
      </c>
    </row>
    <row r="2913">
      <c r="A2913" s="7" t="n"/>
      <c r="B2913" s="7" t="n"/>
      <c r="C2913" s="8" t="n"/>
      <c r="D2913" s="9" t="n"/>
      <c r="E2913" s="8" t="n"/>
      <c r="F2913" s="9" t="n"/>
      <c r="G2913" s="9" t="n"/>
      <c r="H2913" s="3">
        <f>IF(AND(D2913&lt;&gt;"",F2913&lt;&gt;""),F2913-D2913-G2913,"")</f>
        <v/>
      </c>
      <c r="I2913" s="14">
        <f>IF(E2913&lt;&gt;"", YEARFRAC(C2913, E2913) * 12, "")</f>
        <v/>
      </c>
      <c r="J2913" s="2">
        <f>IF(I2913="", "", IF(OR(AND(A2913="Listed Equity Shares", I2913&gt;12), AND(A2913="Unlisted Equity Shares", I2913&gt;24)), "Long Term", "Short Term"))</f>
        <v/>
      </c>
      <c r="K2913" s="5">
        <f>IF(J2913="", "", IF(J2913="Long Term", 12.5%,"as per slab"))</f>
        <v/>
      </c>
      <c r="L2913" s="3">
        <f>+IFERROR(IF(J2913="","",H2913*K2913),"as per slab")</f>
        <v/>
      </c>
    </row>
    <row r="2914">
      <c r="A2914" s="7" t="n"/>
      <c r="B2914" s="7" t="n"/>
      <c r="C2914" s="8" t="n"/>
      <c r="D2914" s="9" t="n"/>
      <c r="E2914" s="8" t="n"/>
      <c r="F2914" s="9" t="n"/>
      <c r="G2914" s="9" t="n"/>
      <c r="H2914" s="3">
        <f>IF(AND(D2914&lt;&gt;"",F2914&lt;&gt;""),F2914-D2914-G2914,"")</f>
        <v/>
      </c>
      <c r="I2914" s="14">
        <f>IF(E2914&lt;&gt;"", YEARFRAC(C2914, E2914) * 12, "")</f>
        <v/>
      </c>
      <c r="J2914" s="2">
        <f>IF(I2914="", "", IF(OR(AND(A2914="Listed Equity Shares", I2914&gt;12), AND(A2914="Unlisted Equity Shares", I2914&gt;24)), "Long Term", "Short Term"))</f>
        <v/>
      </c>
      <c r="K2914" s="5">
        <f>IF(J2914="", "", IF(J2914="Long Term", 12.5%,"as per slab"))</f>
        <v/>
      </c>
      <c r="L2914" s="3">
        <f>+IFERROR(IF(J2914="","",H2914*K2914),"as per slab")</f>
        <v/>
      </c>
    </row>
    <row r="2915">
      <c r="A2915" s="7" t="n"/>
      <c r="B2915" s="7" t="n"/>
      <c r="C2915" s="8" t="n"/>
      <c r="D2915" s="9" t="n"/>
      <c r="E2915" s="8" t="n"/>
      <c r="F2915" s="9" t="n"/>
      <c r="G2915" s="9" t="n"/>
      <c r="H2915" s="3">
        <f>IF(AND(D2915&lt;&gt;"",F2915&lt;&gt;""),F2915-D2915-G2915,"")</f>
        <v/>
      </c>
      <c r="I2915" s="14">
        <f>IF(E2915&lt;&gt;"", YEARFRAC(C2915, E2915) * 12, "")</f>
        <v/>
      </c>
      <c r="J2915" s="2">
        <f>IF(I2915="", "", IF(OR(AND(A2915="Listed Equity Shares", I2915&gt;12), AND(A2915="Unlisted Equity Shares", I2915&gt;24)), "Long Term", "Short Term"))</f>
        <v/>
      </c>
      <c r="K2915" s="5">
        <f>IF(J2915="", "", IF(J2915="Long Term", 12.5%,"as per slab"))</f>
        <v/>
      </c>
      <c r="L2915" s="3">
        <f>+IFERROR(IF(J2915="","",H2915*K2915),"as per slab")</f>
        <v/>
      </c>
    </row>
    <row r="2916">
      <c r="A2916" s="7" t="n"/>
      <c r="B2916" s="7" t="n"/>
      <c r="C2916" s="8" t="n"/>
      <c r="D2916" s="9" t="n"/>
      <c r="E2916" s="8" t="n"/>
      <c r="F2916" s="9" t="n"/>
      <c r="G2916" s="9" t="n"/>
      <c r="H2916" s="3">
        <f>IF(AND(D2916&lt;&gt;"",F2916&lt;&gt;""),F2916-D2916-G2916,"")</f>
        <v/>
      </c>
      <c r="I2916" s="14">
        <f>IF(E2916&lt;&gt;"", YEARFRAC(C2916, E2916) * 12, "")</f>
        <v/>
      </c>
      <c r="J2916" s="2">
        <f>IF(I2916="", "", IF(OR(AND(A2916="Listed Equity Shares", I2916&gt;12), AND(A2916="Unlisted Equity Shares", I2916&gt;24)), "Long Term", "Short Term"))</f>
        <v/>
      </c>
      <c r="K2916" s="5">
        <f>IF(J2916="", "", IF(J2916="Long Term", 12.5%,"as per slab"))</f>
        <v/>
      </c>
      <c r="L2916" s="3">
        <f>+IFERROR(IF(J2916="","",H2916*K2916),"as per slab")</f>
        <v/>
      </c>
    </row>
    <row r="2917">
      <c r="A2917" s="7" t="n"/>
      <c r="B2917" s="7" t="n"/>
      <c r="C2917" s="8" t="n"/>
      <c r="D2917" s="9" t="n"/>
      <c r="E2917" s="8" t="n"/>
      <c r="F2917" s="9" t="n"/>
      <c r="G2917" s="9" t="n"/>
      <c r="H2917" s="3">
        <f>IF(AND(D2917&lt;&gt;"",F2917&lt;&gt;""),F2917-D2917-G2917,"")</f>
        <v/>
      </c>
      <c r="I2917" s="14">
        <f>IF(E2917&lt;&gt;"", YEARFRAC(C2917, E2917) * 12, "")</f>
        <v/>
      </c>
      <c r="J2917" s="2">
        <f>IF(I2917="", "", IF(OR(AND(A2917="Listed Equity Shares", I2917&gt;12), AND(A2917="Unlisted Equity Shares", I2917&gt;24)), "Long Term", "Short Term"))</f>
        <v/>
      </c>
      <c r="K2917" s="5">
        <f>IF(J2917="", "", IF(J2917="Long Term", 12.5%,"as per slab"))</f>
        <v/>
      </c>
      <c r="L2917" s="3">
        <f>+IFERROR(IF(J2917="","",H2917*K2917),"as per slab")</f>
        <v/>
      </c>
    </row>
    <row r="2918">
      <c r="A2918" s="7" t="n"/>
      <c r="B2918" s="7" t="n"/>
      <c r="C2918" s="8" t="n"/>
      <c r="D2918" s="9" t="n"/>
      <c r="E2918" s="8" t="n"/>
      <c r="F2918" s="9" t="n"/>
      <c r="G2918" s="9" t="n"/>
      <c r="H2918" s="3">
        <f>IF(AND(D2918&lt;&gt;"",F2918&lt;&gt;""),F2918-D2918-G2918,"")</f>
        <v/>
      </c>
      <c r="I2918" s="14">
        <f>IF(E2918&lt;&gt;"", YEARFRAC(C2918, E2918) * 12, "")</f>
        <v/>
      </c>
      <c r="J2918" s="2">
        <f>IF(I2918="", "", IF(OR(AND(A2918="Listed Equity Shares", I2918&gt;12), AND(A2918="Unlisted Equity Shares", I2918&gt;24)), "Long Term", "Short Term"))</f>
        <v/>
      </c>
      <c r="K2918" s="5">
        <f>IF(J2918="", "", IF(J2918="Long Term", 12.5%,"as per slab"))</f>
        <v/>
      </c>
      <c r="L2918" s="3">
        <f>+IFERROR(IF(J2918="","",H2918*K2918),"as per slab")</f>
        <v/>
      </c>
    </row>
    <row r="2919">
      <c r="A2919" s="7" t="n"/>
      <c r="B2919" s="7" t="n"/>
      <c r="C2919" s="8" t="n"/>
      <c r="D2919" s="9" t="n"/>
      <c r="E2919" s="8" t="n"/>
      <c r="F2919" s="9" t="n"/>
      <c r="G2919" s="9" t="n"/>
      <c r="H2919" s="3">
        <f>IF(AND(D2919&lt;&gt;"",F2919&lt;&gt;""),F2919-D2919-G2919,"")</f>
        <v/>
      </c>
      <c r="I2919" s="14">
        <f>IF(E2919&lt;&gt;"", YEARFRAC(C2919, E2919) * 12, "")</f>
        <v/>
      </c>
      <c r="J2919" s="2">
        <f>IF(I2919="", "", IF(OR(AND(A2919="Listed Equity Shares", I2919&gt;12), AND(A2919="Unlisted Equity Shares", I2919&gt;24)), "Long Term", "Short Term"))</f>
        <v/>
      </c>
      <c r="K2919" s="5">
        <f>IF(J2919="", "", IF(J2919="Long Term", 12.5%,"as per slab"))</f>
        <v/>
      </c>
      <c r="L2919" s="3">
        <f>+IFERROR(IF(J2919="","",H2919*K2919),"as per slab")</f>
        <v/>
      </c>
    </row>
    <row r="2920">
      <c r="A2920" s="7" t="n"/>
      <c r="B2920" s="7" t="n"/>
      <c r="C2920" s="8" t="n"/>
      <c r="D2920" s="9" t="n"/>
      <c r="E2920" s="8" t="n"/>
      <c r="F2920" s="9" t="n"/>
      <c r="G2920" s="9" t="n"/>
      <c r="H2920" s="3">
        <f>IF(AND(D2920&lt;&gt;"",F2920&lt;&gt;""),F2920-D2920-G2920,"")</f>
        <v/>
      </c>
      <c r="I2920" s="14">
        <f>IF(E2920&lt;&gt;"", YEARFRAC(C2920, E2920) * 12, "")</f>
        <v/>
      </c>
      <c r="J2920" s="2">
        <f>IF(I2920="", "", IF(OR(AND(A2920="Listed Equity Shares", I2920&gt;12), AND(A2920="Unlisted Equity Shares", I2920&gt;24)), "Long Term", "Short Term"))</f>
        <v/>
      </c>
      <c r="K2920" s="5">
        <f>IF(J2920="", "", IF(J2920="Long Term", 12.5%,"as per slab"))</f>
        <v/>
      </c>
      <c r="L2920" s="3">
        <f>+IFERROR(IF(J2920="","",H2920*K2920),"as per slab")</f>
        <v/>
      </c>
    </row>
    <row r="2921">
      <c r="A2921" s="7" t="n"/>
      <c r="B2921" s="7" t="n"/>
      <c r="C2921" s="8" t="n"/>
      <c r="D2921" s="9" t="n"/>
      <c r="E2921" s="8" t="n"/>
      <c r="F2921" s="9" t="n"/>
      <c r="G2921" s="9" t="n"/>
      <c r="H2921" s="3">
        <f>IF(AND(D2921&lt;&gt;"",F2921&lt;&gt;""),F2921-D2921-G2921,"")</f>
        <v/>
      </c>
      <c r="I2921" s="14">
        <f>IF(E2921&lt;&gt;"", YEARFRAC(C2921, E2921) * 12, "")</f>
        <v/>
      </c>
      <c r="J2921" s="2">
        <f>IF(I2921="", "", IF(OR(AND(A2921="Listed Equity Shares", I2921&gt;12), AND(A2921="Unlisted Equity Shares", I2921&gt;24)), "Long Term", "Short Term"))</f>
        <v/>
      </c>
      <c r="K2921" s="5">
        <f>IF(J2921="", "", IF(J2921="Long Term", 12.5%,"as per slab"))</f>
        <v/>
      </c>
      <c r="L2921" s="3">
        <f>+IFERROR(IF(J2921="","",H2921*K2921),"as per slab")</f>
        <v/>
      </c>
    </row>
    <row r="2922">
      <c r="A2922" s="7" t="n"/>
      <c r="B2922" s="7" t="n"/>
      <c r="C2922" s="8" t="n"/>
      <c r="D2922" s="9" t="n"/>
      <c r="E2922" s="8" t="n"/>
      <c r="F2922" s="9" t="n"/>
      <c r="G2922" s="9" t="n"/>
      <c r="H2922" s="3">
        <f>IF(AND(D2922&lt;&gt;"",F2922&lt;&gt;""),F2922-D2922-G2922,"")</f>
        <v/>
      </c>
      <c r="I2922" s="14">
        <f>IF(E2922&lt;&gt;"", YEARFRAC(C2922, E2922) * 12, "")</f>
        <v/>
      </c>
      <c r="J2922" s="2">
        <f>IF(I2922="", "", IF(OR(AND(A2922="Listed Equity Shares", I2922&gt;12), AND(A2922="Unlisted Equity Shares", I2922&gt;24)), "Long Term", "Short Term"))</f>
        <v/>
      </c>
      <c r="K2922" s="5">
        <f>IF(J2922="", "", IF(J2922="Long Term", 12.5%,"as per slab"))</f>
        <v/>
      </c>
      <c r="L2922" s="3">
        <f>+IFERROR(IF(J2922="","",H2922*K2922),"as per slab")</f>
        <v/>
      </c>
    </row>
    <row r="2923">
      <c r="A2923" s="7" t="n"/>
      <c r="B2923" s="7" t="n"/>
      <c r="C2923" s="8" t="n"/>
      <c r="D2923" s="9" t="n"/>
      <c r="E2923" s="8" t="n"/>
      <c r="F2923" s="9" t="n"/>
      <c r="G2923" s="9" t="n"/>
      <c r="H2923" s="3">
        <f>IF(AND(D2923&lt;&gt;"",F2923&lt;&gt;""),F2923-D2923-G2923,"")</f>
        <v/>
      </c>
      <c r="I2923" s="14">
        <f>IF(E2923&lt;&gt;"", YEARFRAC(C2923, E2923) * 12, "")</f>
        <v/>
      </c>
      <c r="J2923" s="2">
        <f>IF(I2923="", "", IF(OR(AND(A2923="Listed Equity Shares", I2923&gt;12), AND(A2923="Unlisted Equity Shares", I2923&gt;24)), "Long Term", "Short Term"))</f>
        <v/>
      </c>
      <c r="K2923" s="5">
        <f>IF(J2923="", "", IF(J2923="Long Term", 12.5%,"as per slab"))</f>
        <v/>
      </c>
      <c r="L2923" s="3">
        <f>+IFERROR(IF(J2923="","",H2923*K2923),"as per slab")</f>
        <v/>
      </c>
    </row>
    <row r="2924">
      <c r="A2924" s="7" t="n"/>
      <c r="B2924" s="7" t="n"/>
      <c r="C2924" s="8" t="n"/>
      <c r="D2924" s="9" t="n"/>
      <c r="E2924" s="8" t="n"/>
      <c r="F2924" s="9" t="n"/>
      <c r="G2924" s="9" t="n"/>
      <c r="H2924" s="3">
        <f>IF(AND(D2924&lt;&gt;"",F2924&lt;&gt;""),F2924-D2924-G2924,"")</f>
        <v/>
      </c>
      <c r="I2924" s="14">
        <f>IF(E2924&lt;&gt;"", YEARFRAC(C2924, E2924) * 12, "")</f>
        <v/>
      </c>
      <c r="J2924" s="2">
        <f>IF(I2924="", "", IF(OR(AND(A2924="Listed Equity Shares", I2924&gt;12), AND(A2924="Unlisted Equity Shares", I2924&gt;24)), "Long Term", "Short Term"))</f>
        <v/>
      </c>
      <c r="K2924" s="5">
        <f>IF(J2924="", "", IF(J2924="Long Term", 12.5%,"as per slab"))</f>
        <v/>
      </c>
      <c r="L2924" s="3">
        <f>+IFERROR(IF(J2924="","",H2924*K2924),"as per slab")</f>
        <v/>
      </c>
    </row>
    <row r="2925">
      <c r="A2925" s="7" t="n"/>
      <c r="B2925" s="7" t="n"/>
      <c r="C2925" s="8" t="n"/>
      <c r="D2925" s="9" t="n"/>
      <c r="E2925" s="8" t="n"/>
      <c r="F2925" s="9" t="n"/>
      <c r="G2925" s="9" t="n"/>
      <c r="H2925" s="3">
        <f>IF(AND(D2925&lt;&gt;"",F2925&lt;&gt;""),F2925-D2925-G2925,"")</f>
        <v/>
      </c>
      <c r="I2925" s="14">
        <f>IF(E2925&lt;&gt;"", YEARFRAC(C2925, E2925) * 12, "")</f>
        <v/>
      </c>
      <c r="J2925" s="2">
        <f>IF(I2925="", "", IF(OR(AND(A2925="Listed Equity Shares", I2925&gt;12), AND(A2925="Unlisted Equity Shares", I2925&gt;24)), "Long Term", "Short Term"))</f>
        <v/>
      </c>
      <c r="K2925" s="5">
        <f>IF(J2925="", "", IF(J2925="Long Term", 12.5%,"as per slab"))</f>
        <v/>
      </c>
      <c r="L2925" s="3">
        <f>+IFERROR(IF(J2925="","",H2925*K2925),"as per slab")</f>
        <v/>
      </c>
    </row>
    <row r="2926">
      <c r="A2926" s="7" t="n"/>
      <c r="B2926" s="7" t="n"/>
      <c r="C2926" s="8" t="n"/>
      <c r="D2926" s="9" t="n"/>
      <c r="E2926" s="8" t="n"/>
      <c r="F2926" s="9" t="n"/>
      <c r="G2926" s="9" t="n"/>
      <c r="H2926" s="3">
        <f>IF(AND(D2926&lt;&gt;"",F2926&lt;&gt;""),F2926-D2926-G2926,"")</f>
        <v/>
      </c>
      <c r="I2926" s="14">
        <f>IF(E2926&lt;&gt;"", YEARFRAC(C2926, E2926) * 12, "")</f>
        <v/>
      </c>
      <c r="J2926" s="2">
        <f>IF(I2926="", "", IF(OR(AND(A2926="Listed Equity Shares", I2926&gt;12), AND(A2926="Unlisted Equity Shares", I2926&gt;24)), "Long Term", "Short Term"))</f>
        <v/>
      </c>
      <c r="K2926" s="5">
        <f>IF(J2926="", "", IF(J2926="Long Term", 12.5%,"as per slab"))</f>
        <v/>
      </c>
      <c r="L2926" s="3">
        <f>+IFERROR(IF(J2926="","",H2926*K2926),"as per slab")</f>
        <v/>
      </c>
    </row>
    <row r="2927">
      <c r="A2927" s="7" t="n"/>
      <c r="B2927" s="7" t="n"/>
      <c r="C2927" s="8" t="n"/>
      <c r="D2927" s="9" t="n"/>
      <c r="E2927" s="8" t="n"/>
      <c r="F2927" s="9" t="n"/>
      <c r="G2927" s="9" t="n"/>
      <c r="H2927" s="3">
        <f>IF(AND(D2927&lt;&gt;"",F2927&lt;&gt;""),F2927-D2927-G2927,"")</f>
        <v/>
      </c>
      <c r="I2927" s="14">
        <f>IF(E2927&lt;&gt;"", YEARFRAC(C2927, E2927) * 12, "")</f>
        <v/>
      </c>
      <c r="J2927" s="2">
        <f>IF(I2927="", "", IF(OR(AND(A2927="Listed Equity Shares", I2927&gt;12), AND(A2927="Unlisted Equity Shares", I2927&gt;24)), "Long Term", "Short Term"))</f>
        <v/>
      </c>
      <c r="K2927" s="5">
        <f>IF(J2927="", "", IF(J2927="Long Term", 12.5%,"as per slab"))</f>
        <v/>
      </c>
      <c r="L2927" s="3">
        <f>+IFERROR(IF(J2927="","",H2927*K2927),"as per slab")</f>
        <v/>
      </c>
    </row>
    <row r="2928">
      <c r="A2928" s="7" t="n"/>
      <c r="B2928" s="7" t="n"/>
      <c r="C2928" s="8" t="n"/>
      <c r="D2928" s="9" t="n"/>
      <c r="E2928" s="8" t="n"/>
      <c r="F2928" s="9" t="n"/>
      <c r="G2928" s="9" t="n"/>
      <c r="H2928" s="3">
        <f>IF(AND(D2928&lt;&gt;"",F2928&lt;&gt;""),F2928-D2928-G2928,"")</f>
        <v/>
      </c>
      <c r="I2928" s="14">
        <f>IF(E2928&lt;&gt;"", YEARFRAC(C2928, E2928) * 12, "")</f>
        <v/>
      </c>
      <c r="J2928" s="2">
        <f>IF(I2928="", "", IF(OR(AND(A2928="Listed Equity Shares", I2928&gt;12), AND(A2928="Unlisted Equity Shares", I2928&gt;24)), "Long Term", "Short Term"))</f>
        <v/>
      </c>
      <c r="K2928" s="5">
        <f>IF(J2928="", "", IF(J2928="Long Term", 12.5%,"as per slab"))</f>
        <v/>
      </c>
      <c r="L2928" s="3">
        <f>+IFERROR(IF(J2928="","",H2928*K2928),"as per slab")</f>
        <v/>
      </c>
    </row>
    <row r="2929">
      <c r="A2929" s="7" t="n"/>
      <c r="B2929" s="7" t="n"/>
      <c r="C2929" s="8" t="n"/>
      <c r="D2929" s="9" t="n"/>
      <c r="E2929" s="8" t="n"/>
      <c r="F2929" s="9" t="n"/>
      <c r="G2929" s="9" t="n"/>
      <c r="H2929" s="3">
        <f>IF(AND(D2929&lt;&gt;"",F2929&lt;&gt;""),F2929-D2929-G2929,"")</f>
        <v/>
      </c>
      <c r="I2929" s="14">
        <f>IF(E2929&lt;&gt;"", YEARFRAC(C2929, E2929) * 12, "")</f>
        <v/>
      </c>
      <c r="J2929" s="2">
        <f>IF(I2929="", "", IF(OR(AND(A2929="Listed Equity Shares", I2929&gt;12), AND(A2929="Unlisted Equity Shares", I2929&gt;24)), "Long Term", "Short Term"))</f>
        <v/>
      </c>
      <c r="K2929" s="5">
        <f>IF(J2929="", "", IF(J2929="Long Term", 12.5%,"as per slab"))</f>
        <v/>
      </c>
      <c r="L2929" s="3">
        <f>+IFERROR(IF(J2929="","",H2929*K2929),"as per slab")</f>
        <v/>
      </c>
    </row>
    <row r="2930">
      <c r="A2930" s="7" t="n"/>
      <c r="B2930" s="7" t="n"/>
      <c r="C2930" s="8" t="n"/>
      <c r="D2930" s="9" t="n"/>
      <c r="E2930" s="8" t="n"/>
      <c r="F2930" s="9" t="n"/>
      <c r="G2930" s="9" t="n"/>
      <c r="H2930" s="3">
        <f>IF(AND(D2930&lt;&gt;"",F2930&lt;&gt;""),F2930-D2930-G2930,"")</f>
        <v/>
      </c>
      <c r="I2930" s="14">
        <f>IF(E2930&lt;&gt;"", YEARFRAC(C2930, E2930) * 12, "")</f>
        <v/>
      </c>
      <c r="J2930" s="2">
        <f>IF(I2930="", "", IF(OR(AND(A2930="Listed Equity Shares", I2930&gt;12), AND(A2930="Unlisted Equity Shares", I2930&gt;24)), "Long Term", "Short Term"))</f>
        <v/>
      </c>
      <c r="K2930" s="5">
        <f>IF(J2930="", "", IF(J2930="Long Term", 12.5%,"as per slab"))</f>
        <v/>
      </c>
      <c r="L2930" s="3">
        <f>+IFERROR(IF(J2930="","",H2930*K2930),"as per slab")</f>
        <v/>
      </c>
    </row>
    <row r="2931">
      <c r="A2931" s="7" t="n"/>
      <c r="B2931" s="7" t="n"/>
      <c r="C2931" s="8" t="n"/>
      <c r="D2931" s="9" t="n"/>
      <c r="E2931" s="8" t="n"/>
      <c r="F2931" s="9" t="n"/>
      <c r="G2931" s="9" t="n"/>
      <c r="H2931" s="3">
        <f>IF(AND(D2931&lt;&gt;"",F2931&lt;&gt;""),F2931-D2931-G2931,"")</f>
        <v/>
      </c>
      <c r="I2931" s="14">
        <f>IF(E2931&lt;&gt;"", YEARFRAC(C2931, E2931) * 12, "")</f>
        <v/>
      </c>
      <c r="J2931" s="2">
        <f>IF(I2931="", "", IF(OR(AND(A2931="Listed Equity Shares", I2931&gt;12), AND(A2931="Unlisted Equity Shares", I2931&gt;24)), "Long Term", "Short Term"))</f>
        <v/>
      </c>
      <c r="K2931" s="5">
        <f>IF(J2931="", "", IF(J2931="Long Term", 12.5%,"as per slab"))</f>
        <v/>
      </c>
      <c r="L2931" s="3">
        <f>+IFERROR(IF(J2931="","",H2931*K2931),"as per slab")</f>
        <v/>
      </c>
    </row>
    <row r="2932">
      <c r="A2932" s="7" t="n"/>
      <c r="B2932" s="7" t="n"/>
      <c r="C2932" s="8" t="n"/>
      <c r="D2932" s="9" t="n"/>
      <c r="E2932" s="8" t="n"/>
      <c r="F2932" s="9" t="n"/>
      <c r="G2932" s="9" t="n"/>
      <c r="H2932" s="3">
        <f>IF(AND(D2932&lt;&gt;"",F2932&lt;&gt;""),F2932-D2932-G2932,"")</f>
        <v/>
      </c>
      <c r="I2932" s="14">
        <f>IF(E2932&lt;&gt;"", YEARFRAC(C2932, E2932) * 12, "")</f>
        <v/>
      </c>
      <c r="J2932" s="2">
        <f>IF(I2932="", "", IF(OR(AND(A2932="Listed Equity Shares", I2932&gt;12), AND(A2932="Unlisted Equity Shares", I2932&gt;24)), "Long Term", "Short Term"))</f>
        <v/>
      </c>
      <c r="K2932" s="5">
        <f>IF(J2932="", "", IF(J2932="Long Term", 12.5%,"as per slab"))</f>
        <v/>
      </c>
      <c r="L2932" s="3">
        <f>+IFERROR(IF(J2932="","",H2932*K2932),"as per slab")</f>
        <v/>
      </c>
    </row>
    <row r="2933">
      <c r="A2933" s="7" t="n"/>
      <c r="B2933" s="7" t="n"/>
      <c r="C2933" s="8" t="n"/>
      <c r="D2933" s="9" t="n"/>
      <c r="E2933" s="8" t="n"/>
      <c r="F2933" s="9" t="n"/>
      <c r="G2933" s="9" t="n"/>
      <c r="H2933" s="3">
        <f>IF(AND(D2933&lt;&gt;"",F2933&lt;&gt;""),F2933-D2933-G2933,"")</f>
        <v/>
      </c>
      <c r="I2933" s="14">
        <f>IF(E2933&lt;&gt;"", YEARFRAC(C2933, E2933) * 12, "")</f>
        <v/>
      </c>
      <c r="J2933" s="2">
        <f>IF(I2933="", "", IF(OR(AND(A2933="Listed Equity Shares", I2933&gt;12), AND(A2933="Unlisted Equity Shares", I2933&gt;24)), "Long Term", "Short Term"))</f>
        <v/>
      </c>
      <c r="K2933" s="5">
        <f>IF(J2933="", "", IF(J2933="Long Term", 12.5%,"as per slab"))</f>
        <v/>
      </c>
      <c r="L2933" s="3">
        <f>+IFERROR(IF(J2933="","",H2933*K2933),"as per slab")</f>
        <v/>
      </c>
    </row>
    <row r="2934">
      <c r="A2934" s="7" t="n"/>
      <c r="B2934" s="7" t="n"/>
      <c r="C2934" s="8" t="n"/>
      <c r="D2934" s="9" t="n"/>
      <c r="E2934" s="8" t="n"/>
      <c r="F2934" s="9" t="n"/>
      <c r="G2934" s="9" t="n"/>
      <c r="H2934" s="3">
        <f>IF(AND(D2934&lt;&gt;"",F2934&lt;&gt;""),F2934-D2934-G2934,"")</f>
        <v/>
      </c>
      <c r="I2934" s="14">
        <f>IF(E2934&lt;&gt;"", YEARFRAC(C2934, E2934) * 12, "")</f>
        <v/>
      </c>
      <c r="J2934" s="2">
        <f>IF(I2934="", "", IF(OR(AND(A2934="Listed Equity Shares", I2934&gt;12), AND(A2934="Unlisted Equity Shares", I2934&gt;24)), "Long Term", "Short Term"))</f>
        <v/>
      </c>
      <c r="K2934" s="5">
        <f>IF(J2934="", "", IF(J2934="Long Term", 12.5%,"as per slab"))</f>
        <v/>
      </c>
      <c r="L2934" s="3">
        <f>+IFERROR(IF(J2934="","",H2934*K2934),"as per slab")</f>
        <v/>
      </c>
    </row>
    <row r="2935">
      <c r="A2935" s="7" t="n"/>
      <c r="B2935" s="7" t="n"/>
      <c r="C2935" s="8" t="n"/>
      <c r="D2935" s="9" t="n"/>
      <c r="E2935" s="8" t="n"/>
      <c r="F2935" s="9" t="n"/>
      <c r="G2935" s="9" t="n"/>
      <c r="H2935" s="3">
        <f>IF(AND(D2935&lt;&gt;"",F2935&lt;&gt;""),F2935-D2935-G2935,"")</f>
        <v/>
      </c>
      <c r="I2935" s="14">
        <f>IF(E2935&lt;&gt;"", YEARFRAC(C2935, E2935) * 12, "")</f>
        <v/>
      </c>
      <c r="J2935" s="2">
        <f>IF(I2935="", "", IF(OR(AND(A2935="Listed Equity Shares", I2935&gt;12), AND(A2935="Unlisted Equity Shares", I2935&gt;24)), "Long Term", "Short Term"))</f>
        <v/>
      </c>
      <c r="K2935" s="5">
        <f>IF(J2935="", "", IF(J2935="Long Term", 12.5%,"as per slab"))</f>
        <v/>
      </c>
      <c r="L2935" s="3">
        <f>+IFERROR(IF(J2935="","",H2935*K2935),"as per slab")</f>
        <v/>
      </c>
    </row>
    <row r="2936">
      <c r="A2936" s="7" t="n"/>
      <c r="B2936" s="7" t="n"/>
      <c r="C2936" s="8" t="n"/>
      <c r="D2936" s="9" t="n"/>
      <c r="E2936" s="8" t="n"/>
      <c r="F2936" s="9" t="n"/>
      <c r="G2936" s="9" t="n"/>
      <c r="H2936" s="3">
        <f>IF(AND(D2936&lt;&gt;"",F2936&lt;&gt;""),F2936-D2936-G2936,"")</f>
        <v/>
      </c>
      <c r="I2936" s="14">
        <f>IF(E2936&lt;&gt;"", YEARFRAC(C2936, E2936) * 12, "")</f>
        <v/>
      </c>
      <c r="J2936" s="2">
        <f>IF(I2936="", "", IF(OR(AND(A2936="Listed Equity Shares", I2936&gt;12), AND(A2936="Unlisted Equity Shares", I2936&gt;24)), "Long Term", "Short Term"))</f>
        <v/>
      </c>
      <c r="K2936" s="5">
        <f>IF(J2936="", "", IF(J2936="Long Term", 12.5%,"as per slab"))</f>
        <v/>
      </c>
      <c r="L2936" s="3">
        <f>+IFERROR(IF(J2936="","",H2936*K2936),"as per slab")</f>
        <v/>
      </c>
    </row>
    <row r="2937">
      <c r="A2937" s="7" t="n"/>
      <c r="B2937" s="7" t="n"/>
      <c r="C2937" s="8" t="n"/>
      <c r="D2937" s="9" t="n"/>
      <c r="E2937" s="8" t="n"/>
      <c r="F2937" s="9" t="n"/>
      <c r="G2937" s="9" t="n"/>
      <c r="H2937" s="3">
        <f>IF(AND(D2937&lt;&gt;"",F2937&lt;&gt;""),F2937-D2937-G2937,"")</f>
        <v/>
      </c>
      <c r="I2937" s="14">
        <f>IF(E2937&lt;&gt;"", YEARFRAC(C2937, E2937) * 12, "")</f>
        <v/>
      </c>
      <c r="J2937" s="2">
        <f>IF(I2937="", "", IF(OR(AND(A2937="Listed Equity Shares", I2937&gt;12), AND(A2937="Unlisted Equity Shares", I2937&gt;24)), "Long Term", "Short Term"))</f>
        <v/>
      </c>
      <c r="K2937" s="5">
        <f>IF(J2937="", "", IF(J2937="Long Term", 12.5%,"as per slab"))</f>
        <v/>
      </c>
      <c r="L2937" s="3">
        <f>+IFERROR(IF(J2937="","",H2937*K2937),"as per slab")</f>
        <v/>
      </c>
    </row>
    <row r="2938">
      <c r="A2938" s="7" t="n"/>
      <c r="B2938" s="7" t="n"/>
      <c r="C2938" s="8" t="n"/>
      <c r="D2938" s="9" t="n"/>
      <c r="E2938" s="8" t="n"/>
      <c r="F2938" s="9" t="n"/>
      <c r="G2938" s="9" t="n"/>
      <c r="H2938" s="3">
        <f>IF(AND(D2938&lt;&gt;"",F2938&lt;&gt;""),F2938-D2938-G2938,"")</f>
        <v/>
      </c>
      <c r="I2938" s="14">
        <f>IF(E2938&lt;&gt;"", YEARFRAC(C2938, E2938) * 12, "")</f>
        <v/>
      </c>
      <c r="J2938" s="2">
        <f>IF(I2938="", "", IF(OR(AND(A2938="Listed Equity Shares", I2938&gt;12), AND(A2938="Unlisted Equity Shares", I2938&gt;24)), "Long Term", "Short Term"))</f>
        <v/>
      </c>
      <c r="K2938" s="5">
        <f>IF(J2938="", "", IF(J2938="Long Term", 12.5%,"as per slab"))</f>
        <v/>
      </c>
      <c r="L2938" s="3">
        <f>+IFERROR(IF(J2938="","",H2938*K2938),"as per slab")</f>
        <v/>
      </c>
    </row>
    <row r="2939">
      <c r="A2939" s="7" t="n"/>
      <c r="B2939" s="7" t="n"/>
      <c r="C2939" s="8" t="n"/>
      <c r="D2939" s="9" t="n"/>
      <c r="E2939" s="8" t="n"/>
      <c r="F2939" s="9" t="n"/>
      <c r="G2939" s="9" t="n"/>
      <c r="H2939" s="3">
        <f>IF(AND(D2939&lt;&gt;"",F2939&lt;&gt;""),F2939-D2939-G2939,"")</f>
        <v/>
      </c>
      <c r="I2939" s="14">
        <f>IF(E2939&lt;&gt;"", YEARFRAC(C2939, E2939) * 12, "")</f>
        <v/>
      </c>
      <c r="J2939" s="2">
        <f>IF(I2939="", "", IF(OR(AND(A2939="Listed Equity Shares", I2939&gt;12), AND(A2939="Unlisted Equity Shares", I2939&gt;24)), "Long Term", "Short Term"))</f>
        <v/>
      </c>
      <c r="K2939" s="5">
        <f>IF(J2939="", "", IF(J2939="Long Term", 12.5%,"as per slab"))</f>
        <v/>
      </c>
      <c r="L2939" s="3">
        <f>+IFERROR(IF(J2939="","",H2939*K2939),"as per slab")</f>
        <v/>
      </c>
    </row>
    <row r="2940">
      <c r="A2940" s="7" t="n"/>
      <c r="B2940" s="7" t="n"/>
      <c r="C2940" s="8" t="n"/>
      <c r="D2940" s="9" t="n"/>
      <c r="E2940" s="8" t="n"/>
      <c r="F2940" s="9" t="n"/>
      <c r="G2940" s="9" t="n"/>
      <c r="H2940" s="3">
        <f>IF(AND(D2940&lt;&gt;"",F2940&lt;&gt;""),F2940-D2940-G2940,"")</f>
        <v/>
      </c>
      <c r="I2940" s="14">
        <f>IF(E2940&lt;&gt;"", YEARFRAC(C2940, E2940) * 12, "")</f>
        <v/>
      </c>
      <c r="J2940" s="2">
        <f>IF(I2940="", "", IF(OR(AND(A2940="Listed Equity Shares", I2940&gt;12), AND(A2940="Unlisted Equity Shares", I2940&gt;24)), "Long Term", "Short Term"))</f>
        <v/>
      </c>
      <c r="K2940" s="5">
        <f>IF(J2940="", "", IF(J2940="Long Term", 12.5%,"as per slab"))</f>
        <v/>
      </c>
      <c r="L2940" s="3">
        <f>+IFERROR(IF(J2940="","",H2940*K2940),"as per slab")</f>
        <v/>
      </c>
    </row>
    <row r="2941">
      <c r="A2941" s="7" t="n"/>
      <c r="B2941" s="7" t="n"/>
      <c r="C2941" s="8" t="n"/>
      <c r="D2941" s="9" t="n"/>
      <c r="E2941" s="8" t="n"/>
      <c r="F2941" s="9" t="n"/>
      <c r="G2941" s="9" t="n"/>
      <c r="H2941" s="3">
        <f>IF(AND(D2941&lt;&gt;"",F2941&lt;&gt;""),F2941-D2941-G2941,"")</f>
        <v/>
      </c>
      <c r="I2941" s="14">
        <f>IF(E2941&lt;&gt;"", YEARFRAC(C2941, E2941) * 12, "")</f>
        <v/>
      </c>
      <c r="J2941" s="2">
        <f>IF(I2941="", "", IF(OR(AND(A2941="Listed Equity Shares", I2941&gt;12), AND(A2941="Unlisted Equity Shares", I2941&gt;24)), "Long Term", "Short Term"))</f>
        <v/>
      </c>
      <c r="K2941" s="5">
        <f>IF(J2941="", "", IF(J2941="Long Term", 12.5%,"as per slab"))</f>
        <v/>
      </c>
      <c r="L2941" s="3">
        <f>+IFERROR(IF(J2941="","",H2941*K2941),"as per slab")</f>
        <v/>
      </c>
    </row>
    <row r="2942">
      <c r="A2942" s="7" t="n"/>
      <c r="B2942" s="7" t="n"/>
      <c r="C2942" s="8" t="n"/>
      <c r="D2942" s="9" t="n"/>
      <c r="E2942" s="8" t="n"/>
      <c r="F2942" s="9" t="n"/>
      <c r="G2942" s="9" t="n"/>
      <c r="H2942" s="3">
        <f>IF(AND(D2942&lt;&gt;"",F2942&lt;&gt;""),F2942-D2942-G2942,"")</f>
        <v/>
      </c>
      <c r="I2942" s="14">
        <f>IF(E2942&lt;&gt;"", YEARFRAC(C2942, E2942) * 12, "")</f>
        <v/>
      </c>
      <c r="J2942" s="2">
        <f>IF(I2942="", "", IF(OR(AND(A2942="Listed Equity Shares", I2942&gt;12), AND(A2942="Unlisted Equity Shares", I2942&gt;24)), "Long Term", "Short Term"))</f>
        <v/>
      </c>
      <c r="K2942" s="5">
        <f>IF(J2942="", "", IF(J2942="Long Term", 12.5%,"as per slab"))</f>
        <v/>
      </c>
      <c r="L2942" s="3">
        <f>+IFERROR(IF(J2942="","",H2942*K2942),"as per slab")</f>
        <v/>
      </c>
    </row>
    <row r="2943">
      <c r="A2943" s="7" t="n"/>
      <c r="B2943" s="7" t="n"/>
      <c r="C2943" s="8" t="n"/>
      <c r="D2943" s="9" t="n"/>
      <c r="E2943" s="8" t="n"/>
      <c r="F2943" s="9" t="n"/>
      <c r="G2943" s="9" t="n"/>
      <c r="H2943" s="3">
        <f>IF(AND(D2943&lt;&gt;"",F2943&lt;&gt;""),F2943-D2943-G2943,"")</f>
        <v/>
      </c>
      <c r="I2943" s="14">
        <f>IF(E2943&lt;&gt;"", YEARFRAC(C2943, E2943) * 12, "")</f>
        <v/>
      </c>
      <c r="J2943" s="2">
        <f>IF(I2943="", "", IF(OR(AND(A2943="Listed Equity Shares", I2943&gt;12), AND(A2943="Unlisted Equity Shares", I2943&gt;24)), "Long Term", "Short Term"))</f>
        <v/>
      </c>
      <c r="K2943" s="5">
        <f>IF(J2943="", "", IF(J2943="Long Term", 12.5%,"as per slab"))</f>
        <v/>
      </c>
      <c r="L2943" s="3">
        <f>+IFERROR(IF(J2943="","",H2943*K2943),"as per slab")</f>
        <v/>
      </c>
    </row>
    <row r="2944">
      <c r="A2944" s="7" t="n"/>
      <c r="B2944" s="7" t="n"/>
      <c r="C2944" s="8" t="n"/>
      <c r="D2944" s="9" t="n"/>
      <c r="E2944" s="8" t="n"/>
      <c r="F2944" s="9" t="n"/>
      <c r="G2944" s="9" t="n"/>
      <c r="H2944" s="3">
        <f>IF(AND(D2944&lt;&gt;"",F2944&lt;&gt;""),F2944-D2944-G2944,"")</f>
        <v/>
      </c>
      <c r="I2944" s="14">
        <f>IF(E2944&lt;&gt;"", YEARFRAC(C2944, E2944) * 12, "")</f>
        <v/>
      </c>
      <c r="J2944" s="2">
        <f>IF(I2944="", "", IF(OR(AND(A2944="Listed Equity Shares", I2944&gt;12), AND(A2944="Unlisted Equity Shares", I2944&gt;24)), "Long Term", "Short Term"))</f>
        <v/>
      </c>
      <c r="K2944" s="5">
        <f>IF(J2944="", "", IF(J2944="Long Term", 12.5%,"as per slab"))</f>
        <v/>
      </c>
      <c r="L2944" s="3">
        <f>+IFERROR(IF(J2944="","",H2944*K2944),"as per slab")</f>
        <v/>
      </c>
    </row>
    <row r="2945">
      <c r="A2945" s="7" t="n"/>
      <c r="B2945" s="7" t="n"/>
      <c r="C2945" s="8" t="n"/>
      <c r="D2945" s="9" t="n"/>
      <c r="E2945" s="8" t="n"/>
      <c r="F2945" s="9" t="n"/>
      <c r="G2945" s="9" t="n"/>
      <c r="H2945" s="3">
        <f>IF(AND(D2945&lt;&gt;"",F2945&lt;&gt;""),F2945-D2945-G2945,"")</f>
        <v/>
      </c>
      <c r="I2945" s="14">
        <f>IF(E2945&lt;&gt;"", YEARFRAC(C2945, E2945) * 12, "")</f>
        <v/>
      </c>
      <c r="J2945" s="2">
        <f>IF(I2945="", "", IF(OR(AND(A2945="Listed Equity Shares", I2945&gt;12), AND(A2945="Unlisted Equity Shares", I2945&gt;24)), "Long Term", "Short Term"))</f>
        <v/>
      </c>
      <c r="K2945" s="5">
        <f>IF(J2945="", "", IF(J2945="Long Term", 12.5%,"as per slab"))</f>
        <v/>
      </c>
      <c r="L2945" s="3">
        <f>+IFERROR(IF(J2945="","",H2945*K2945),"as per slab")</f>
        <v/>
      </c>
    </row>
    <row r="2946">
      <c r="A2946" s="7" t="n"/>
      <c r="B2946" s="7" t="n"/>
      <c r="C2946" s="8" t="n"/>
      <c r="D2946" s="9" t="n"/>
      <c r="E2946" s="8" t="n"/>
      <c r="F2946" s="9" t="n"/>
      <c r="G2946" s="9" t="n"/>
      <c r="H2946" s="3">
        <f>IF(AND(D2946&lt;&gt;"",F2946&lt;&gt;""),F2946-D2946-G2946,"")</f>
        <v/>
      </c>
      <c r="I2946" s="14">
        <f>IF(E2946&lt;&gt;"", YEARFRAC(C2946, E2946) * 12, "")</f>
        <v/>
      </c>
      <c r="J2946" s="2">
        <f>IF(I2946="", "", IF(OR(AND(A2946="Listed Equity Shares", I2946&gt;12), AND(A2946="Unlisted Equity Shares", I2946&gt;24)), "Long Term", "Short Term"))</f>
        <v/>
      </c>
      <c r="K2946" s="5">
        <f>IF(J2946="", "", IF(J2946="Long Term", 12.5%,"as per slab"))</f>
        <v/>
      </c>
      <c r="L2946" s="3">
        <f>+IFERROR(IF(J2946="","",H2946*K2946),"as per slab")</f>
        <v/>
      </c>
    </row>
    <row r="2947">
      <c r="A2947" s="7" t="n"/>
      <c r="B2947" s="7" t="n"/>
      <c r="C2947" s="8" t="n"/>
      <c r="D2947" s="9" t="n"/>
      <c r="E2947" s="8" t="n"/>
      <c r="F2947" s="9" t="n"/>
      <c r="G2947" s="9" t="n"/>
      <c r="H2947" s="3">
        <f>IF(AND(D2947&lt;&gt;"",F2947&lt;&gt;""),F2947-D2947-G2947,"")</f>
        <v/>
      </c>
      <c r="I2947" s="14">
        <f>IF(E2947&lt;&gt;"", YEARFRAC(C2947, E2947) * 12, "")</f>
        <v/>
      </c>
      <c r="J2947" s="2">
        <f>IF(I2947="", "", IF(OR(AND(A2947="Listed Equity Shares", I2947&gt;12), AND(A2947="Unlisted Equity Shares", I2947&gt;24)), "Long Term", "Short Term"))</f>
        <v/>
      </c>
      <c r="K2947" s="5">
        <f>IF(J2947="", "", IF(J2947="Long Term", 12.5%,"as per slab"))</f>
        <v/>
      </c>
      <c r="L2947" s="3">
        <f>+IFERROR(IF(J2947="","",H2947*K2947),"as per slab")</f>
        <v/>
      </c>
    </row>
    <row r="2948">
      <c r="A2948" s="7" t="n"/>
      <c r="B2948" s="7" t="n"/>
      <c r="C2948" s="8" t="n"/>
      <c r="D2948" s="9" t="n"/>
      <c r="E2948" s="8" t="n"/>
      <c r="F2948" s="9" t="n"/>
      <c r="G2948" s="9" t="n"/>
      <c r="H2948" s="3">
        <f>IF(AND(D2948&lt;&gt;"",F2948&lt;&gt;""),F2948-D2948-G2948,"")</f>
        <v/>
      </c>
      <c r="I2948" s="14">
        <f>IF(E2948&lt;&gt;"", YEARFRAC(C2948, E2948) * 12, "")</f>
        <v/>
      </c>
      <c r="J2948" s="2">
        <f>IF(I2948="", "", IF(OR(AND(A2948="Listed Equity Shares", I2948&gt;12), AND(A2948="Unlisted Equity Shares", I2948&gt;24)), "Long Term", "Short Term"))</f>
        <v/>
      </c>
      <c r="K2948" s="5">
        <f>IF(J2948="", "", IF(J2948="Long Term", 12.5%,"as per slab"))</f>
        <v/>
      </c>
      <c r="L2948" s="3">
        <f>+IFERROR(IF(J2948="","",H2948*K2948),"as per slab")</f>
        <v/>
      </c>
    </row>
    <row r="2949">
      <c r="A2949" s="7" t="n"/>
      <c r="B2949" s="7" t="n"/>
      <c r="C2949" s="8" t="n"/>
      <c r="D2949" s="9" t="n"/>
      <c r="E2949" s="8" t="n"/>
      <c r="F2949" s="9" t="n"/>
      <c r="G2949" s="9" t="n"/>
      <c r="H2949" s="3">
        <f>IF(AND(D2949&lt;&gt;"",F2949&lt;&gt;""),F2949-D2949-G2949,"")</f>
        <v/>
      </c>
      <c r="I2949" s="14">
        <f>IF(E2949&lt;&gt;"", YEARFRAC(C2949, E2949) * 12, "")</f>
        <v/>
      </c>
      <c r="J2949" s="2">
        <f>IF(I2949="", "", IF(OR(AND(A2949="Listed Equity Shares", I2949&gt;12), AND(A2949="Unlisted Equity Shares", I2949&gt;24)), "Long Term", "Short Term"))</f>
        <v/>
      </c>
      <c r="K2949" s="5">
        <f>IF(J2949="", "", IF(J2949="Long Term", 12.5%,"as per slab"))</f>
        <v/>
      </c>
      <c r="L2949" s="3">
        <f>+IFERROR(IF(J2949="","",H2949*K2949),"as per slab")</f>
        <v/>
      </c>
    </row>
    <row r="2950">
      <c r="A2950" s="7" t="n"/>
      <c r="B2950" s="7" t="n"/>
      <c r="C2950" s="8" t="n"/>
      <c r="D2950" s="9" t="n"/>
      <c r="E2950" s="8" t="n"/>
      <c r="F2950" s="9" t="n"/>
      <c r="G2950" s="9" t="n"/>
      <c r="H2950" s="3">
        <f>IF(AND(D2950&lt;&gt;"",F2950&lt;&gt;""),F2950-D2950-G2950,"")</f>
        <v/>
      </c>
      <c r="I2950" s="14">
        <f>IF(E2950&lt;&gt;"", YEARFRAC(C2950, E2950) * 12, "")</f>
        <v/>
      </c>
      <c r="J2950" s="2">
        <f>IF(I2950="", "", IF(OR(AND(A2950="Listed Equity Shares", I2950&gt;12), AND(A2950="Unlisted Equity Shares", I2950&gt;24)), "Long Term", "Short Term"))</f>
        <v/>
      </c>
      <c r="K2950" s="5">
        <f>IF(J2950="", "", IF(J2950="Long Term", 12.5%,"as per slab"))</f>
        <v/>
      </c>
      <c r="L2950" s="3">
        <f>+IFERROR(IF(J2950="","",H2950*K2950),"as per slab")</f>
        <v/>
      </c>
    </row>
    <row r="2951">
      <c r="A2951" s="7" t="n"/>
      <c r="B2951" s="7" t="n"/>
      <c r="C2951" s="8" t="n"/>
      <c r="D2951" s="9" t="n"/>
      <c r="E2951" s="8" t="n"/>
      <c r="F2951" s="9" t="n"/>
      <c r="G2951" s="9" t="n"/>
      <c r="H2951" s="3">
        <f>IF(AND(D2951&lt;&gt;"",F2951&lt;&gt;""),F2951-D2951-G2951,"")</f>
        <v/>
      </c>
      <c r="I2951" s="14">
        <f>IF(E2951&lt;&gt;"", YEARFRAC(C2951, E2951) * 12, "")</f>
        <v/>
      </c>
      <c r="J2951" s="2">
        <f>IF(I2951="", "", IF(OR(AND(A2951="Listed Equity Shares", I2951&gt;12), AND(A2951="Unlisted Equity Shares", I2951&gt;24)), "Long Term", "Short Term"))</f>
        <v/>
      </c>
      <c r="K2951" s="5">
        <f>IF(J2951="", "", IF(J2951="Long Term", 12.5%,"as per slab"))</f>
        <v/>
      </c>
      <c r="L2951" s="3">
        <f>+IFERROR(IF(J2951="","",H2951*K2951),"as per slab")</f>
        <v/>
      </c>
    </row>
    <row r="2952">
      <c r="A2952" s="7" t="n"/>
      <c r="B2952" s="7" t="n"/>
      <c r="C2952" s="8" t="n"/>
      <c r="D2952" s="9" t="n"/>
      <c r="E2952" s="8" t="n"/>
      <c r="F2952" s="9" t="n"/>
      <c r="G2952" s="9" t="n"/>
      <c r="H2952" s="3">
        <f>IF(AND(D2952&lt;&gt;"",F2952&lt;&gt;""),F2952-D2952-G2952,"")</f>
        <v/>
      </c>
      <c r="I2952" s="14">
        <f>IF(E2952&lt;&gt;"", YEARFRAC(C2952, E2952) * 12, "")</f>
        <v/>
      </c>
      <c r="J2952" s="2">
        <f>IF(I2952="", "", IF(OR(AND(A2952="Listed Equity Shares", I2952&gt;12), AND(A2952="Unlisted Equity Shares", I2952&gt;24)), "Long Term", "Short Term"))</f>
        <v/>
      </c>
      <c r="K2952" s="5">
        <f>IF(J2952="", "", IF(J2952="Long Term", 12.5%,"as per slab"))</f>
        <v/>
      </c>
      <c r="L2952" s="3">
        <f>+IFERROR(IF(J2952="","",H2952*K2952),"as per slab")</f>
        <v/>
      </c>
    </row>
    <row r="2953">
      <c r="A2953" s="7" t="n"/>
      <c r="B2953" s="7" t="n"/>
      <c r="C2953" s="8" t="n"/>
      <c r="D2953" s="9" t="n"/>
      <c r="E2953" s="8" t="n"/>
      <c r="F2953" s="9" t="n"/>
      <c r="G2953" s="9" t="n"/>
      <c r="H2953" s="3">
        <f>IF(AND(D2953&lt;&gt;"",F2953&lt;&gt;""),F2953-D2953-G2953,"")</f>
        <v/>
      </c>
      <c r="I2953" s="14">
        <f>IF(E2953&lt;&gt;"", YEARFRAC(C2953, E2953) * 12, "")</f>
        <v/>
      </c>
      <c r="J2953" s="2">
        <f>IF(I2953="", "", IF(OR(AND(A2953="Listed Equity Shares", I2953&gt;12), AND(A2953="Unlisted Equity Shares", I2953&gt;24)), "Long Term", "Short Term"))</f>
        <v/>
      </c>
      <c r="K2953" s="5">
        <f>IF(J2953="", "", IF(J2953="Long Term", 12.5%,"as per slab"))</f>
        <v/>
      </c>
      <c r="L2953" s="3">
        <f>+IFERROR(IF(J2953="","",H2953*K2953),"as per slab")</f>
        <v/>
      </c>
    </row>
    <row r="2954">
      <c r="A2954" s="7" t="n"/>
      <c r="B2954" s="7" t="n"/>
      <c r="C2954" s="8" t="n"/>
      <c r="D2954" s="9" t="n"/>
      <c r="E2954" s="8" t="n"/>
      <c r="F2954" s="9" t="n"/>
      <c r="G2954" s="9" t="n"/>
      <c r="H2954" s="3">
        <f>IF(AND(D2954&lt;&gt;"",F2954&lt;&gt;""),F2954-D2954-G2954,"")</f>
        <v/>
      </c>
      <c r="I2954" s="14">
        <f>IF(E2954&lt;&gt;"", YEARFRAC(C2954, E2954) * 12, "")</f>
        <v/>
      </c>
      <c r="J2954" s="2">
        <f>IF(I2954="", "", IF(OR(AND(A2954="Listed Equity Shares", I2954&gt;12), AND(A2954="Unlisted Equity Shares", I2954&gt;24)), "Long Term", "Short Term"))</f>
        <v/>
      </c>
      <c r="K2954" s="5">
        <f>IF(J2954="", "", IF(J2954="Long Term", 12.5%,"as per slab"))</f>
        <v/>
      </c>
      <c r="L2954" s="3">
        <f>+IFERROR(IF(J2954="","",H2954*K2954),"as per slab")</f>
        <v/>
      </c>
    </row>
    <row r="2955">
      <c r="A2955" s="7" t="n"/>
      <c r="B2955" s="7" t="n"/>
      <c r="C2955" s="8" t="n"/>
      <c r="D2955" s="9" t="n"/>
      <c r="E2955" s="8" t="n"/>
      <c r="F2955" s="9" t="n"/>
      <c r="G2955" s="9" t="n"/>
      <c r="H2955" s="3">
        <f>IF(AND(D2955&lt;&gt;"",F2955&lt;&gt;""),F2955-D2955-G2955,"")</f>
        <v/>
      </c>
      <c r="I2955" s="14">
        <f>IF(E2955&lt;&gt;"", YEARFRAC(C2955, E2955) * 12, "")</f>
        <v/>
      </c>
      <c r="J2955" s="2">
        <f>IF(I2955="", "", IF(OR(AND(A2955="Listed Equity Shares", I2955&gt;12), AND(A2955="Unlisted Equity Shares", I2955&gt;24)), "Long Term", "Short Term"))</f>
        <v/>
      </c>
      <c r="K2955" s="5">
        <f>IF(J2955="", "", IF(J2955="Long Term", 12.5%,"as per slab"))</f>
        <v/>
      </c>
      <c r="L2955" s="3">
        <f>+IFERROR(IF(J2955="","",H2955*K2955),"as per slab")</f>
        <v/>
      </c>
    </row>
    <row r="2956">
      <c r="A2956" s="7" t="n"/>
      <c r="B2956" s="7" t="n"/>
      <c r="C2956" s="8" t="n"/>
      <c r="D2956" s="9" t="n"/>
      <c r="E2956" s="8" t="n"/>
      <c r="F2956" s="9" t="n"/>
      <c r="G2956" s="9" t="n"/>
      <c r="H2956" s="3">
        <f>IF(AND(D2956&lt;&gt;"",F2956&lt;&gt;""),F2956-D2956-G2956,"")</f>
        <v/>
      </c>
      <c r="I2956" s="14">
        <f>IF(E2956&lt;&gt;"", YEARFRAC(C2956, E2956) * 12, "")</f>
        <v/>
      </c>
      <c r="J2956" s="2">
        <f>IF(I2956="", "", IF(OR(AND(A2956="Listed Equity Shares", I2956&gt;12), AND(A2956="Unlisted Equity Shares", I2956&gt;24)), "Long Term", "Short Term"))</f>
        <v/>
      </c>
      <c r="K2956" s="5">
        <f>IF(J2956="", "", IF(J2956="Long Term", 12.5%,"as per slab"))</f>
        <v/>
      </c>
      <c r="L2956" s="3">
        <f>+IFERROR(IF(J2956="","",H2956*K2956),"as per slab")</f>
        <v/>
      </c>
    </row>
    <row r="2957">
      <c r="A2957" s="7" t="n"/>
      <c r="B2957" s="7" t="n"/>
      <c r="C2957" s="8" t="n"/>
      <c r="D2957" s="9" t="n"/>
      <c r="E2957" s="8" t="n"/>
      <c r="F2957" s="9" t="n"/>
      <c r="G2957" s="9" t="n"/>
      <c r="H2957" s="3">
        <f>IF(AND(D2957&lt;&gt;"",F2957&lt;&gt;""),F2957-D2957-G2957,"")</f>
        <v/>
      </c>
      <c r="I2957" s="14">
        <f>IF(E2957&lt;&gt;"", YEARFRAC(C2957, E2957) * 12, "")</f>
        <v/>
      </c>
      <c r="J2957" s="2">
        <f>IF(I2957="", "", IF(OR(AND(A2957="Listed Equity Shares", I2957&gt;12), AND(A2957="Unlisted Equity Shares", I2957&gt;24)), "Long Term", "Short Term"))</f>
        <v/>
      </c>
      <c r="K2957" s="5">
        <f>IF(J2957="", "", IF(J2957="Long Term", 12.5%,"as per slab"))</f>
        <v/>
      </c>
      <c r="L2957" s="3">
        <f>+IFERROR(IF(J2957="","",H2957*K2957),"as per slab")</f>
        <v/>
      </c>
    </row>
    <row r="2958">
      <c r="A2958" s="7" t="n"/>
      <c r="B2958" s="7" t="n"/>
      <c r="C2958" s="8" t="n"/>
      <c r="D2958" s="9" t="n"/>
      <c r="E2958" s="8" t="n"/>
      <c r="F2958" s="9" t="n"/>
      <c r="G2958" s="9" t="n"/>
      <c r="H2958" s="3">
        <f>IF(AND(D2958&lt;&gt;"",F2958&lt;&gt;""),F2958-D2958-G2958,"")</f>
        <v/>
      </c>
      <c r="I2958" s="14">
        <f>IF(E2958&lt;&gt;"", YEARFRAC(C2958, E2958) * 12, "")</f>
        <v/>
      </c>
      <c r="J2958" s="2">
        <f>IF(I2958="", "", IF(OR(AND(A2958="Listed Equity Shares", I2958&gt;12), AND(A2958="Unlisted Equity Shares", I2958&gt;24)), "Long Term", "Short Term"))</f>
        <v/>
      </c>
      <c r="K2958" s="5">
        <f>IF(J2958="", "", IF(J2958="Long Term", 12.5%,"as per slab"))</f>
        <v/>
      </c>
      <c r="L2958" s="3">
        <f>+IFERROR(IF(J2958="","",H2958*K2958),"as per slab")</f>
        <v/>
      </c>
    </row>
    <row r="2959">
      <c r="A2959" s="7" t="n"/>
      <c r="B2959" s="7" t="n"/>
      <c r="C2959" s="8" t="n"/>
      <c r="D2959" s="9" t="n"/>
      <c r="E2959" s="8" t="n"/>
      <c r="F2959" s="9" t="n"/>
      <c r="G2959" s="9" t="n"/>
      <c r="H2959" s="3">
        <f>IF(AND(D2959&lt;&gt;"",F2959&lt;&gt;""),F2959-D2959-G2959,"")</f>
        <v/>
      </c>
      <c r="I2959" s="14">
        <f>IF(E2959&lt;&gt;"", YEARFRAC(C2959, E2959) * 12, "")</f>
        <v/>
      </c>
      <c r="J2959" s="2">
        <f>IF(I2959="", "", IF(OR(AND(A2959="Listed Equity Shares", I2959&gt;12), AND(A2959="Unlisted Equity Shares", I2959&gt;24)), "Long Term", "Short Term"))</f>
        <v/>
      </c>
      <c r="K2959" s="5">
        <f>IF(J2959="", "", IF(J2959="Long Term", 12.5%,"as per slab"))</f>
        <v/>
      </c>
      <c r="L2959" s="3">
        <f>+IFERROR(IF(J2959="","",H2959*K2959),"as per slab")</f>
        <v/>
      </c>
    </row>
    <row r="2960">
      <c r="A2960" s="7" t="n"/>
      <c r="B2960" s="7" t="n"/>
      <c r="C2960" s="8" t="n"/>
      <c r="D2960" s="9" t="n"/>
      <c r="E2960" s="8" t="n"/>
      <c r="F2960" s="9" t="n"/>
      <c r="G2960" s="9" t="n"/>
      <c r="H2960" s="3">
        <f>IF(AND(D2960&lt;&gt;"",F2960&lt;&gt;""),F2960-D2960-G2960,"")</f>
        <v/>
      </c>
      <c r="I2960" s="14">
        <f>IF(E2960&lt;&gt;"", YEARFRAC(C2960, E2960) * 12, "")</f>
        <v/>
      </c>
      <c r="J2960" s="2">
        <f>IF(I2960="", "", IF(OR(AND(A2960="Listed Equity Shares", I2960&gt;12), AND(A2960="Unlisted Equity Shares", I2960&gt;24)), "Long Term", "Short Term"))</f>
        <v/>
      </c>
      <c r="K2960" s="5">
        <f>IF(J2960="", "", IF(J2960="Long Term", 12.5%,"as per slab"))</f>
        <v/>
      </c>
      <c r="L2960" s="3">
        <f>+IFERROR(IF(J2960="","",H2960*K2960),"as per slab")</f>
        <v/>
      </c>
    </row>
    <row r="2961">
      <c r="A2961" s="7" t="n"/>
      <c r="B2961" s="7" t="n"/>
      <c r="C2961" s="8" t="n"/>
      <c r="D2961" s="9" t="n"/>
      <c r="E2961" s="8" t="n"/>
      <c r="F2961" s="9" t="n"/>
      <c r="G2961" s="9" t="n"/>
      <c r="H2961" s="3">
        <f>IF(AND(D2961&lt;&gt;"",F2961&lt;&gt;""),F2961-D2961-G2961,"")</f>
        <v/>
      </c>
      <c r="I2961" s="14">
        <f>IF(E2961&lt;&gt;"", YEARFRAC(C2961, E2961) * 12, "")</f>
        <v/>
      </c>
      <c r="J2961" s="2">
        <f>IF(I2961="", "", IF(OR(AND(A2961="Listed Equity Shares", I2961&gt;12), AND(A2961="Unlisted Equity Shares", I2961&gt;24)), "Long Term", "Short Term"))</f>
        <v/>
      </c>
      <c r="K2961" s="5">
        <f>IF(J2961="", "", IF(J2961="Long Term", 12.5%,"as per slab"))</f>
        <v/>
      </c>
      <c r="L2961" s="3">
        <f>+IFERROR(IF(J2961="","",H2961*K2961),"as per slab")</f>
        <v/>
      </c>
    </row>
    <row r="2962">
      <c r="A2962" s="7" t="n"/>
      <c r="B2962" s="7" t="n"/>
      <c r="C2962" s="8" t="n"/>
      <c r="D2962" s="9" t="n"/>
      <c r="E2962" s="8" t="n"/>
      <c r="F2962" s="9" t="n"/>
      <c r="G2962" s="9" t="n"/>
      <c r="H2962" s="3">
        <f>IF(AND(D2962&lt;&gt;"",F2962&lt;&gt;""),F2962-D2962-G2962,"")</f>
        <v/>
      </c>
      <c r="I2962" s="14">
        <f>IF(E2962&lt;&gt;"", YEARFRAC(C2962, E2962) * 12, "")</f>
        <v/>
      </c>
      <c r="J2962" s="2">
        <f>IF(I2962="", "", IF(OR(AND(A2962="Listed Equity Shares", I2962&gt;12), AND(A2962="Unlisted Equity Shares", I2962&gt;24)), "Long Term", "Short Term"))</f>
        <v/>
      </c>
      <c r="K2962" s="5">
        <f>IF(J2962="", "", IF(J2962="Long Term", 12.5%,"as per slab"))</f>
        <v/>
      </c>
      <c r="L2962" s="3">
        <f>+IFERROR(IF(J2962="","",H2962*K2962),"as per slab")</f>
        <v/>
      </c>
    </row>
    <row r="2963">
      <c r="A2963" s="7" t="n"/>
      <c r="B2963" s="7" t="n"/>
      <c r="C2963" s="8" t="n"/>
      <c r="D2963" s="9" t="n"/>
      <c r="E2963" s="8" t="n"/>
      <c r="F2963" s="9" t="n"/>
      <c r="G2963" s="9" t="n"/>
      <c r="H2963" s="3">
        <f>IF(AND(D2963&lt;&gt;"",F2963&lt;&gt;""),F2963-D2963-G2963,"")</f>
        <v/>
      </c>
      <c r="I2963" s="14">
        <f>IF(E2963&lt;&gt;"", YEARFRAC(C2963, E2963) * 12, "")</f>
        <v/>
      </c>
      <c r="J2963" s="2">
        <f>IF(I2963="", "", IF(OR(AND(A2963="Listed Equity Shares", I2963&gt;12), AND(A2963="Unlisted Equity Shares", I2963&gt;24)), "Long Term", "Short Term"))</f>
        <v/>
      </c>
      <c r="K2963" s="5">
        <f>IF(J2963="", "", IF(J2963="Long Term", 12.5%,"as per slab"))</f>
        <v/>
      </c>
      <c r="L2963" s="3">
        <f>+IFERROR(IF(J2963="","",H2963*K2963),"as per slab")</f>
        <v/>
      </c>
    </row>
    <row r="2964">
      <c r="A2964" s="7" t="n"/>
      <c r="B2964" s="7" t="n"/>
      <c r="C2964" s="8" t="n"/>
      <c r="D2964" s="9" t="n"/>
      <c r="E2964" s="8" t="n"/>
      <c r="F2964" s="9" t="n"/>
      <c r="G2964" s="9" t="n"/>
      <c r="H2964" s="3">
        <f>IF(AND(D2964&lt;&gt;"",F2964&lt;&gt;""),F2964-D2964-G2964,"")</f>
        <v/>
      </c>
      <c r="I2964" s="14">
        <f>IF(E2964&lt;&gt;"", YEARFRAC(C2964, E2964) * 12, "")</f>
        <v/>
      </c>
      <c r="J2964" s="2">
        <f>IF(I2964="", "", IF(OR(AND(A2964="Listed Equity Shares", I2964&gt;12), AND(A2964="Unlisted Equity Shares", I2964&gt;24)), "Long Term", "Short Term"))</f>
        <v/>
      </c>
      <c r="K2964" s="5">
        <f>IF(J2964="", "", IF(J2964="Long Term", 12.5%,"as per slab"))</f>
        <v/>
      </c>
      <c r="L2964" s="3">
        <f>+IFERROR(IF(J2964="","",H2964*K2964),"as per slab")</f>
        <v/>
      </c>
    </row>
    <row r="2965">
      <c r="A2965" s="7" t="n"/>
      <c r="B2965" s="7" t="n"/>
      <c r="C2965" s="8" t="n"/>
      <c r="D2965" s="9" t="n"/>
      <c r="E2965" s="8" t="n"/>
      <c r="F2965" s="9" t="n"/>
      <c r="G2965" s="9" t="n"/>
      <c r="H2965" s="3">
        <f>IF(AND(D2965&lt;&gt;"",F2965&lt;&gt;""),F2965-D2965-G2965,"")</f>
        <v/>
      </c>
      <c r="I2965" s="14">
        <f>IF(E2965&lt;&gt;"", YEARFRAC(C2965, E2965) * 12, "")</f>
        <v/>
      </c>
      <c r="J2965" s="2">
        <f>IF(I2965="", "", IF(OR(AND(A2965="Listed Equity Shares", I2965&gt;12), AND(A2965="Unlisted Equity Shares", I2965&gt;24)), "Long Term", "Short Term"))</f>
        <v/>
      </c>
      <c r="K2965" s="5">
        <f>IF(J2965="", "", IF(J2965="Long Term", 12.5%,"as per slab"))</f>
        <v/>
      </c>
      <c r="L2965" s="3">
        <f>+IFERROR(IF(J2965="","",H2965*K2965),"as per slab")</f>
        <v/>
      </c>
    </row>
    <row r="2966">
      <c r="A2966" s="7" t="n"/>
      <c r="B2966" s="7" t="n"/>
      <c r="C2966" s="8" t="n"/>
      <c r="D2966" s="9" t="n"/>
      <c r="E2966" s="8" t="n"/>
      <c r="F2966" s="9" t="n"/>
      <c r="G2966" s="9" t="n"/>
      <c r="H2966" s="3">
        <f>IF(AND(D2966&lt;&gt;"",F2966&lt;&gt;""),F2966-D2966-G2966,"")</f>
        <v/>
      </c>
      <c r="I2966" s="14">
        <f>IF(E2966&lt;&gt;"", YEARFRAC(C2966, E2966) * 12, "")</f>
        <v/>
      </c>
      <c r="J2966" s="2">
        <f>IF(I2966="", "", IF(OR(AND(A2966="Listed Equity Shares", I2966&gt;12), AND(A2966="Unlisted Equity Shares", I2966&gt;24)), "Long Term", "Short Term"))</f>
        <v/>
      </c>
      <c r="K2966" s="5">
        <f>IF(J2966="", "", IF(J2966="Long Term", 12.5%,"as per slab"))</f>
        <v/>
      </c>
      <c r="L2966" s="3">
        <f>+IFERROR(IF(J2966="","",H2966*K2966),"as per slab")</f>
        <v/>
      </c>
    </row>
    <row r="2967">
      <c r="A2967" s="7" t="n"/>
      <c r="B2967" s="7" t="n"/>
      <c r="C2967" s="8" t="n"/>
      <c r="D2967" s="9" t="n"/>
      <c r="E2967" s="8" t="n"/>
      <c r="F2967" s="9" t="n"/>
      <c r="G2967" s="9" t="n"/>
      <c r="H2967" s="3">
        <f>IF(AND(D2967&lt;&gt;"",F2967&lt;&gt;""),F2967-D2967-G2967,"")</f>
        <v/>
      </c>
      <c r="I2967" s="14">
        <f>IF(E2967&lt;&gt;"", YEARFRAC(C2967, E2967) * 12, "")</f>
        <v/>
      </c>
      <c r="J2967" s="2">
        <f>IF(I2967="", "", IF(OR(AND(A2967="Listed Equity Shares", I2967&gt;12), AND(A2967="Unlisted Equity Shares", I2967&gt;24)), "Long Term", "Short Term"))</f>
        <v/>
      </c>
      <c r="K2967" s="5">
        <f>IF(J2967="", "", IF(J2967="Long Term", 12.5%,"as per slab"))</f>
        <v/>
      </c>
      <c r="L2967" s="3">
        <f>+IFERROR(IF(J2967="","",H2967*K2967),"as per slab")</f>
        <v/>
      </c>
    </row>
    <row r="2968">
      <c r="A2968" s="7" t="n"/>
      <c r="B2968" s="7" t="n"/>
      <c r="C2968" s="8" t="n"/>
      <c r="D2968" s="9" t="n"/>
      <c r="E2968" s="8" t="n"/>
      <c r="F2968" s="9" t="n"/>
      <c r="G2968" s="9" t="n"/>
      <c r="H2968" s="3">
        <f>IF(AND(D2968&lt;&gt;"",F2968&lt;&gt;""),F2968-D2968-G2968,"")</f>
        <v/>
      </c>
      <c r="I2968" s="14">
        <f>IF(E2968&lt;&gt;"", YEARFRAC(C2968, E2968) * 12, "")</f>
        <v/>
      </c>
      <c r="J2968" s="2">
        <f>IF(I2968="", "", IF(OR(AND(A2968="Listed Equity Shares", I2968&gt;12), AND(A2968="Unlisted Equity Shares", I2968&gt;24)), "Long Term", "Short Term"))</f>
        <v/>
      </c>
      <c r="K2968" s="5">
        <f>IF(J2968="", "", IF(J2968="Long Term", 12.5%,"as per slab"))</f>
        <v/>
      </c>
      <c r="L2968" s="3">
        <f>+IFERROR(IF(J2968="","",H2968*K2968),"as per slab")</f>
        <v/>
      </c>
    </row>
    <row r="2969">
      <c r="A2969" s="7" t="n"/>
      <c r="B2969" s="7" t="n"/>
      <c r="C2969" s="8" t="n"/>
      <c r="D2969" s="9" t="n"/>
      <c r="E2969" s="8" t="n"/>
      <c r="F2969" s="9" t="n"/>
      <c r="G2969" s="9" t="n"/>
      <c r="H2969" s="3">
        <f>IF(AND(D2969&lt;&gt;"",F2969&lt;&gt;""),F2969-D2969-G2969,"")</f>
        <v/>
      </c>
      <c r="I2969" s="14">
        <f>IF(E2969&lt;&gt;"", YEARFRAC(C2969, E2969) * 12, "")</f>
        <v/>
      </c>
      <c r="J2969" s="2">
        <f>IF(I2969="", "", IF(OR(AND(A2969="Listed Equity Shares", I2969&gt;12), AND(A2969="Unlisted Equity Shares", I2969&gt;24)), "Long Term", "Short Term"))</f>
        <v/>
      </c>
      <c r="K2969" s="5">
        <f>IF(J2969="", "", IF(J2969="Long Term", 12.5%,"as per slab"))</f>
        <v/>
      </c>
      <c r="L2969" s="3">
        <f>+IFERROR(IF(J2969="","",H2969*K2969),"as per slab")</f>
        <v/>
      </c>
    </row>
    <row r="2970">
      <c r="A2970" s="7" t="n"/>
      <c r="B2970" s="7" t="n"/>
      <c r="C2970" s="8" t="n"/>
      <c r="D2970" s="9" t="n"/>
      <c r="E2970" s="8" t="n"/>
      <c r="F2970" s="9" t="n"/>
      <c r="G2970" s="9" t="n"/>
      <c r="H2970" s="3">
        <f>IF(AND(D2970&lt;&gt;"",F2970&lt;&gt;""),F2970-D2970-G2970,"")</f>
        <v/>
      </c>
      <c r="I2970" s="14">
        <f>IF(E2970&lt;&gt;"", YEARFRAC(C2970, E2970) * 12, "")</f>
        <v/>
      </c>
      <c r="J2970" s="2">
        <f>IF(I2970="", "", IF(OR(AND(A2970="Listed Equity Shares", I2970&gt;12), AND(A2970="Unlisted Equity Shares", I2970&gt;24)), "Long Term", "Short Term"))</f>
        <v/>
      </c>
      <c r="K2970" s="5">
        <f>IF(J2970="", "", IF(J2970="Long Term", 12.5%,"as per slab"))</f>
        <v/>
      </c>
      <c r="L2970" s="3">
        <f>+IFERROR(IF(J2970="","",H2970*K2970),"as per slab")</f>
        <v/>
      </c>
    </row>
    <row r="2971">
      <c r="A2971" s="7" t="n"/>
      <c r="B2971" s="7" t="n"/>
      <c r="C2971" s="8" t="n"/>
      <c r="D2971" s="9" t="n"/>
      <c r="E2971" s="8" t="n"/>
      <c r="F2971" s="9" t="n"/>
      <c r="G2971" s="9" t="n"/>
      <c r="H2971" s="3">
        <f>IF(AND(D2971&lt;&gt;"",F2971&lt;&gt;""),F2971-D2971-G2971,"")</f>
        <v/>
      </c>
      <c r="I2971" s="14">
        <f>IF(E2971&lt;&gt;"", YEARFRAC(C2971, E2971) * 12, "")</f>
        <v/>
      </c>
      <c r="J2971" s="2">
        <f>IF(I2971="", "", IF(OR(AND(A2971="Listed Equity Shares", I2971&gt;12), AND(A2971="Unlisted Equity Shares", I2971&gt;24)), "Long Term", "Short Term"))</f>
        <v/>
      </c>
      <c r="K2971" s="5">
        <f>IF(J2971="", "", IF(J2971="Long Term", 12.5%,"as per slab"))</f>
        <v/>
      </c>
      <c r="L2971" s="3">
        <f>+IFERROR(IF(J2971="","",H2971*K2971),"as per slab")</f>
        <v/>
      </c>
    </row>
    <row r="2972">
      <c r="A2972" s="7" t="n"/>
      <c r="B2972" s="7" t="n"/>
      <c r="C2972" s="8" t="n"/>
      <c r="D2972" s="9" t="n"/>
      <c r="E2972" s="8" t="n"/>
      <c r="F2972" s="9" t="n"/>
      <c r="G2972" s="9" t="n"/>
      <c r="H2972" s="3">
        <f>IF(AND(D2972&lt;&gt;"",F2972&lt;&gt;""),F2972-D2972-G2972,"")</f>
        <v/>
      </c>
      <c r="I2972" s="14">
        <f>IF(E2972&lt;&gt;"", YEARFRAC(C2972, E2972) * 12, "")</f>
        <v/>
      </c>
      <c r="J2972" s="2">
        <f>IF(I2972="", "", IF(OR(AND(A2972="Listed Equity Shares", I2972&gt;12), AND(A2972="Unlisted Equity Shares", I2972&gt;24)), "Long Term", "Short Term"))</f>
        <v/>
      </c>
      <c r="K2972" s="5">
        <f>IF(J2972="", "", IF(J2972="Long Term", 12.5%,"as per slab"))</f>
        <v/>
      </c>
      <c r="L2972" s="3">
        <f>+IFERROR(IF(J2972="","",H2972*K2972),"as per slab")</f>
        <v/>
      </c>
    </row>
    <row r="2973">
      <c r="A2973" s="7" t="n"/>
      <c r="B2973" s="7" t="n"/>
      <c r="C2973" s="8" t="n"/>
      <c r="D2973" s="9" t="n"/>
      <c r="E2973" s="8" t="n"/>
      <c r="F2973" s="9" t="n"/>
      <c r="G2973" s="9" t="n"/>
      <c r="H2973" s="3">
        <f>IF(AND(D2973&lt;&gt;"",F2973&lt;&gt;""),F2973-D2973-G2973,"")</f>
        <v/>
      </c>
      <c r="I2973" s="14">
        <f>IF(E2973&lt;&gt;"", YEARFRAC(C2973, E2973) * 12, "")</f>
        <v/>
      </c>
      <c r="J2973" s="2">
        <f>IF(I2973="", "", IF(OR(AND(A2973="Listed Equity Shares", I2973&gt;12), AND(A2973="Unlisted Equity Shares", I2973&gt;24)), "Long Term", "Short Term"))</f>
        <v/>
      </c>
      <c r="K2973" s="5">
        <f>IF(J2973="", "", IF(J2973="Long Term", 12.5%,"as per slab"))</f>
        <v/>
      </c>
      <c r="L2973" s="3">
        <f>+IFERROR(IF(J2973="","",H2973*K2973),"as per slab")</f>
        <v/>
      </c>
    </row>
    <row r="2974">
      <c r="A2974" s="7" t="n"/>
      <c r="B2974" s="7" t="n"/>
      <c r="C2974" s="8" t="n"/>
      <c r="D2974" s="9" t="n"/>
      <c r="E2974" s="8" t="n"/>
      <c r="F2974" s="9" t="n"/>
      <c r="G2974" s="9" t="n"/>
      <c r="H2974" s="3">
        <f>IF(AND(D2974&lt;&gt;"",F2974&lt;&gt;""),F2974-D2974-G2974,"")</f>
        <v/>
      </c>
      <c r="I2974" s="14">
        <f>IF(E2974&lt;&gt;"", YEARFRAC(C2974, E2974) * 12, "")</f>
        <v/>
      </c>
      <c r="J2974" s="2">
        <f>IF(I2974="", "", IF(OR(AND(A2974="Listed Equity Shares", I2974&gt;12), AND(A2974="Unlisted Equity Shares", I2974&gt;24)), "Long Term", "Short Term"))</f>
        <v/>
      </c>
      <c r="K2974" s="5">
        <f>IF(J2974="", "", IF(J2974="Long Term", 12.5%,"as per slab"))</f>
        <v/>
      </c>
      <c r="L2974" s="3">
        <f>+IFERROR(IF(J2974="","",H2974*K2974),"as per slab")</f>
        <v/>
      </c>
    </row>
    <row r="2975">
      <c r="A2975" s="7" t="n"/>
      <c r="B2975" s="7" t="n"/>
      <c r="C2975" s="8" t="n"/>
      <c r="D2975" s="9" t="n"/>
      <c r="E2975" s="8" t="n"/>
      <c r="F2975" s="9" t="n"/>
      <c r="G2975" s="9" t="n"/>
      <c r="H2975" s="3">
        <f>IF(AND(D2975&lt;&gt;"",F2975&lt;&gt;""),F2975-D2975-G2975,"")</f>
        <v/>
      </c>
      <c r="I2975" s="14">
        <f>IF(E2975&lt;&gt;"", YEARFRAC(C2975, E2975) * 12, "")</f>
        <v/>
      </c>
      <c r="J2975" s="2">
        <f>IF(I2975="", "", IF(OR(AND(A2975="Listed Equity Shares", I2975&gt;12), AND(A2975="Unlisted Equity Shares", I2975&gt;24)), "Long Term", "Short Term"))</f>
        <v/>
      </c>
      <c r="K2975" s="5">
        <f>IF(J2975="", "", IF(J2975="Long Term", 12.5%,"as per slab"))</f>
        <v/>
      </c>
      <c r="L2975" s="3">
        <f>+IFERROR(IF(J2975="","",H2975*K2975),"as per slab")</f>
        <v/>
      </c>
    </row>
    <row r="2976">
      <c r="A2976" s="7" t="n"/>
      <c r="B2976" s="7" t="n"/>
      <c r="C2976" s="8" t="n"/>
      <c r="D2976" s="9" t="n"/>
      <c r="E2976" s="8" t="n"/>
      <c r="F2976" s="9" t="n"/>
      <c r="G2976" s="9" t="n"/>
      <c r="H2976" s="3">
        <f>IF(AND(D2976&lt;&gt;"",F2976&lt;&gt;""),F2976-D2976-G2976,"")</f>
        <v/>
      </c>
      <c r="I2976" s="14">
        <f>IF(E2976&lt;&gt;"", YEARFRAC(C2976, E2976) * 12, "")</f>
        <v/>
      </c>
      <c r="J2976" s="2">
        <f>IF(I2976="", "", IF(OR(AND(A2976="Listed Equity Shares", I2976&gt;12), AND(A2976="Unlisted Equity Shares", I2976&gt;24)), "Long Term", "Short Term"))</f>
        <v/>
      </c>
      <c r="K2976" s="5">
        <f>IF(J2976="", "", IF(J2976="Long Term", 12.5%,"as per slab"))</f>
        <v/>
      </c>
      <c r="L2976" s="3">
        <f>+IFERROR(IF(J2976="","",H2976*K2976),"as per slab")</f>
        <v/>
      </c>
    </row>
    <row r="2977">
      <c r="A2977" s="7" t="n"/>
      <c r="B2977" s="7" t="n"/>
      <c r="C2977" s="8" t="n"/>
      <c r="D2977" s="9" t="n"/>
      <c r="E2977" s="8" t="n"/>
      <c r="F2977" s="9" t="n"/>
      <c r="G2977" s="9" t="n"/>
      <c r="H2977" s="3">
        <f>IF(AND(D2977&lt;&gt;"",F2977&lt;&gt;""),F2977-D2977-G2977,"")</f>
        <v/>
      </c>
      <c r="I2977" s="14">
        <f>IF(E2977&lt;&gt;"", YEARFRAC(C2977, E2977) * 12, "")</f>
        <v/>
      </c>
      <c r="J2977" s="2">
        <f>IF(I2977="", "", IF(OR(AND(A2977="Listed Equity Shares", I2977&gt;12), AND(A2977="Unlisted Equity Shares", I2977&gt;24)), "Long Term", "Short Term"))</f>
        <v/>
      </c>
      <c r="K2977" s="5">
        <f>IF(J2977="", "", IF(J2977="Long Term", 12.5%,"as per slab"))</f>
        <v/>
      </c>
      <c r="L2977" s="3">
        <f>+IFERROR(IF(J2977="","",H2977*K2977),"as per slab")</f>
        <v/>
      </c>
    </row>
    <row r="2978">
      <c r="A2978" s="7" t="n"/>
      <c r="B2978" s="7" t="n"/>
      <c r="C2978" s="8" t="n"/>
      <c r="D2978" s="9" t="n"/>
      <c r="E2978" s="8" t="n"/>
      <c r="F2978" s="9" t="n"/>
      <c r="G2978" s="9" t="n"/>
      <c r="H2978" s="3">
        <f>IF(AND(D2978&lt;&gt;"",F2978&lt;&gt;""),F2978-D2978-G2978,"")</f>
        <v/>
      </c>
      <c r="I2978" s="14">
        <f>IF(E2978&lt;&gt;"", YEARFRAC(C2978, E2978) * 12, "")</f>
        <v/>
      </c>
      <c r="J2978" s="2">
        <f>IF(I2978="", "", IF(OR(AND(A2978="Listed Equity Shares", I2978&gt;12), AND(A2978="Unlisted Equity Shares", I2978&gt;24)), "Long Term", "Short Term"))</f>
        <v/>
      </c>
      <c r="K2978" s="5">
        <f>IF(J2978="", "", IF(J2978="Long Term", 12.5%,"as per slab"))</f>
        <v/>
      </c>
      <c r="L2978" s="3">
        <f>+IFERROR(IF(J2978="","",H2978*K2978),"as per slab")</f>
        <v/>
      </c>
    </row>
    <row r="2979">
      <c r="A2979" s="7" t="n"/>
      <c r="B2979" s="7" t="n"/>
      <c r="C2979" s="8" t="n"/>
      <c r="D2979" s="9" t="n"/>
      <c r="E2979" s="8" t="n"/>
      <c r="F2979" s="9" t="n"/>
      <c r="G2979" s="9" t="n"/>
      <c r="H2979" s="3">
        <f>IF(AND(D2979&lt;&gt;"",F2979&lt;&gt;""),F2979-D2979-G2979,"")</f>
        <v/>
      </c>
      <c r="I2979" s="14">
        <f>IF(E2979&lt;&gt;"", YEARFRAC(C2979, E2979) * 12, "")</f>
        <v/>
      </c>
      <c r="J2979" s="2">
        <f>IF(I2979="", "", IF(OR(AND(A2979="Listed Equity Shares", I2979&gt;12), AND(A2979="Unlisted Equity Shares", I2979&gt;24)), "Long Term", "Short Term"))</f>
        <v/>
      </c>
      <c r="K2979" s="5">
        <f>IF(J2979="", "", IF(J2979="Long Term", 12.5%,"as per slab"))</f>
        <v/>
      </c>
      <c r="L2979" s="3">
        <f>+IFERROR(IF(J2979="","",H2979*K2979),"as per slab")</f>
        <v/>
      </c>
    </row>
    <row r="2980">
      <c r="A2980" s="7" t="n"/>
      <c r="B2980" s="7" t="n"/>
      <c r="C2980" s="8" t="n"/>
      <c r="D2980" s="9" t="n"/>
      <c r="E2980" s="8" t="n"/>
      <c r="F2980" s="9" t="n"/>
      <c r="G2980" s="9" t="n"/>
      <c r="H2980" s="3">
        <f>IF(AND(D2980&lt;&gt;"",F2980&lt;&gt;""),F2980-D2980-G2980,"")</f>
        <v/>
      </c>
      <c r="I2980" s="14">
        <f>IF(E2980&lt;&gt;"", YEARFRAC(C2980, E2980) * 12, "")</f>
        <v/>
      </c>
      <c r="J2980" s="2">
        <f>IF(I2980="", "", IF(OR(AND(A2980="Listed Equity Shares", I2980&gt;12), AND(A2980="Unlisted Equity Shares", I2980&gt;24)), "Long Term", "Short Term"))</f>
        <v/>
      </c>
      <c r="K2980" s="5">
        <f>IF(J2980="", "", IF(J2980="Long Term", 12.5%,"as per slab"))</f>
        <v/>
      </c>
      <c r="L2980" s="3">
        <f>+IFERROR(IF(J2980="","",H2980*K2980),"as per slab")</f>
        <v/>
      </c>
    </row>
    <row r="2981">
      <c r="A2981" s="7" t="n"/>
      <c r="B2981" s="7" t="n"/>
      <c r="C2981" s="8" t="n"/>
      <c r="D2981" s="9" t="n"/>
      <c r="E2981" s="8" t="n"/>
      <c r="F2981" s="9" t="n"/>
      <c r="G2981" s="9" t="n"/>
      <c r="H2981" s="3">
        <f>IF(AND(D2981&lt;&gt;"",F2981&lt;&gt;""),F2981-D2981-G2981,"")</f>
        <v/>
      </c>
      <c r="I2981" s="14">
        <f>IF(E2981&lt;&gt;"", YEARFRAC(C2981, E2981) * 12, "")</f>
        <v/>
      </c>
      <c r="J2981" s="2">
        <f>IF(I2981="", "", IF(OR(AND(A2981="Listed Equity Shares", I2981&gt;12), AND(A2981="Unlisted Equity Shares", I2981&gt;24)), "Long Term", "Short Term"))</f>
        <v/>
      </c>
      <c r="K2981" s="5">
        <f>IF(J2981="", "", IF(J2981="Long Term", 12.5%,"as per slab"))</f>
        <v/>
      </c>
      <c r="L2981" s="3">
        <f>+IFERROR(IF(J2981="","",H2981*K2981),"as per slab")</f>
        <v/>
      </c>
    </row>
    <row r="2982">
      <c r="A2982" s="7" t="n"/>
      <c r="B2982" s="7" t="n"/>
      <c r="C2982" s="8" t="n"/>
      <c r="D2982" s="9" t="n"/>
      <c r="E2982" s="8" t="n"/>
      <c r="F2982" s="9" t="n"/>
      <c r="G2982" s="9" t="n"/>
      <c r="H2982" s="3">
        <f>IF(AND(D2982&lt;&gt;"",F2982&lt;&gt;""),F2982-D2982-G2982,"")</f>
        <v/>
      </c>
      <c r="I2982" s="14">
        <f>IF(E2982&lt;&gt;"", YEARFRAC(C2982, E2982) * 12, "")</f>
        <v/>
      </c>
      <c r="J2982" s="2">
        <f>IF(I2982="", "", IF(OR(AND(A2982="Listed Equity Shares", I2982&gt;12), AND(A2982="Unlisted Equity Shares", I2982&gt;24)), "Long Term", "Short Term"))</f>
        <v/>
      </c>
      <c r="K2982" s="5">
        <f>IF(J2982="", "", IF(J2982="Long Term", 12.5%,"as per slab"))</f>
        <v/>
      </c>
      <c r="L2982" s="3">
        <f>+IFERROR(IF(J2982="","",H2982*K2982),"as per slab")</f>
        <v/>
      </c>
    </row>
    <row r="2983">
      <c r="A2983" s="7" t="n"/>
      <c r="B2983" s="7" t="n"/>
      <c r="C2983" s="8" t="n"/>
      <c r="D2983" s="9" t="n"/>
      <c r="E2983" s="8" t="n"/>
      <c r="F2983" s="9" t="n"/>
      <c r="G2983" s="9" t="n"/>
      <c r="H2983" s="3">
        <f>IF(AND(D2983&lt;&gt;"",F2983&lt;&gt;""),F2983-D2983-G2983,"")</f>
        <v/>
      </c>
      <c r="I2983" s="14">
        <f>IF(E2983&lt;&gt;"", YEARFRAC(C2983, E2983) * 12, "")</f>
        <v/>
      </c>
      <c r="J2983" s="2">
        <f>IF(I2983="", "", IF(OR(AND(A2983="Listed Equity Shares", I2983&gt;12), AND(A2983="Unlisted Equity Shares", I2983&gt;24)), "Long Term", "Short Term"))</f>
        <v/>
      </c>
      <c r="K2983" s="5">
        <f>IF(J2983="", "", IF(J2983="Long Term", 12.5%,"as per slab"))</f>
        <v/>
      </c>
      <c r="L2983" s="3">
        <f>+IFERROR(IF(J2983="","",H2983*K2983),"as per slab")</f>
        <v/>
      </c>
    </row>
    <row r="2984">
      <c r="A2984" s="7" t="n"/>
      <c r="B2984" s="7" t="n"/>
      <c r="C2984" s="8" t="n"/>
      <c r="D2984" s="9" t="n"/>
      <c r="E2984" s="8" t="n"/>
      <c r="F2984" s="9" t="n"/>
      <c r="G2984" s="9" t="n"/>
      <c r="H2984" s="3">
        <f>IF(AND(D2984&lt;&gt;"",F2984&lt;&gt;""),F2984-D2984-G2984,"")</f>
        <v/>
      </c>
      <c r="I2984" s="14">
        <f>IF(E2984&lt;&gt;"", YEARFRAC(C2984, E2984) * 12, "")</f>
        <v/>
      </c>
      <c r="J2984" s="2">
        <f>IF(I2984="", "", IF(OR(AND(A2984="Listed Equity Shares", I2984&gt;12), AND(A2984="Unlisted Equity Shares", I2984&gt;24)), "Long Term", "Short Term"))</f>
        <v/>
      </c>
      <c r="K2984" s="5">
        <f>IF(J2984="", "", IF(J2984="Long Term", 12.5%,"as per slab"))</f>
        <v/>
      </c>
      <c r="L2984" s="3">
        <f>+IFERROR(IF(J2984="","",H2984*K2984),"as per slab")</f>
        <v/>
      </c>
    </row>
    <row r="2985">
      <c r="A2985" s="7" t="n"/>
      <c r="B2985" s="7" t="n"/>
      <c r="C2985" s="8" t="n"/>
      <c r="D2985" s="9" t="n"/>
      <c r="E2985" s="8" t="n"/>
      <c r="F2985" s="9" t="n"/>
      <c r="G2985" s="9" t="n"/>
      <c r="H2985" s="3">
        <f>IF(AND(D2985&lt;&gt;"",F2985&lt;&gt;""),F2985-D2985-G2985,"")</f>
        <v/>
      </c>
      <c r="I2985" s="14">
        <f>IF(E2985&lt;&gt;"", YEARFRAC(C2985, E2985) * 12, "")</f>
        <v/>
      </c>
      <c r="J2985" s="2">
        <f>IF(I2985="", "", IF(OR(AND(A2985="Listed Equity Shares", I2985&gt;12), AND(A2985="Unlisted Equity Shares", I2985&gt;24)), "Long Term", "Short Term"))</f>
        <v/>
      </c>
      <c r="K2985" s="5">
        <f>IF(J2985="", "", IF(J2985="Long Term", 12.5%,"as per slab"))</f>
        <v/>
      </c>
      <c r="L2985" s="3">
        <f>+IFERROR(IF(J2985="","",H2985*K2985),"as per slab")</f>
        <v/>
      </c>
    </row>
    <row r="2986">
      <c r="A2986" s="7" t="n"/>
      <c r="B2986" s="7" t="n"/>
      <c r="C2986" s="8" t="n"/>
      <c r="D2986" s="9" t="n"/>
      <c r="E2986" s="8" t="n"/>
      <c r="F2986" s="9" t="n"/>
      <c r="G2986" s="9" t="n"/>
      <c r="H2986" s="3">
        <f>IF(AND(D2986&lt;&gt;"",F2986&lt;&gt;""),F2986-D2986-G2986,"")</f>
        <v/>
      </c>
      <c r="I2986" s="14">
        <f>IF(E2986&lt;&gt;"", YEARFRAC(C2986, E2986) * 12, "")</f>
        <v/>
      </c>
      <c r="J2986" s="2">
        <f>IF(I2986="", "", IF(OR(AND(A2986="Listed Equity Shares", I2986&gt;12), AND(A2986="Unlisted Equity Shares", I2986&gt;24)), "Long Term", "Short Term"))</f>
        <v/>
      </c>
      <c r="K2986" s="5">
        <f>IF(J2986="", "", IF(J2986="Long Term", 12.5%,"as per slab"))</f>
        <v/>
      </c>
      <c r="L2986" s="3">
        <f>+IFERROR(IF(J2986="","",H2986*K2986),"as per slab")</f>
        <v/>
      </c>
    </row>
    <row r="2987">
      <c r="A2987" s="7" t="n"/>
      <c r="B2987" s="7" t="n"/>
      <c r="C2987" s="8" t="n"/>
      <c r="D2987" s="9" t="n"/>
      <c r="E2987" s="8" t="n"/>
      <c r="F2987" s="9" t="n"/>
      <c r="G2987" s="9" t="n"/>
      <c r="H2987" s="3">
        <f>IF(AND(D2987&lt;&gt;"",F2987&lt;&gt;""),F2987-D2987-G2987,"")</f>
        <v/>
      </c>
      <c r="I2987" s="14">
        <f>IF(E2987&lt;&gt;"", YEARFRAC(C2987, E2987) * 12, "")</f>
        <v/>
      </c>
      <c r="J2987" s="2">
        <f>IF(I2987="", "", IF(OR(AND(A2987="Listed Equity Shares", I2987&gt;12), AND(A2987="Unlisted Equity Shares", I2987&gt;24)), "Long Term", "Short Term"))</f>
        <v/>
      </c>
      <c r="K2987" s="5">
        <f>IF(J2987="", "", IF(J2987="Long Term", 12.5%,"as per slab"))</f>
        <v/>
      </c>
      <c r="L2987" s="3">
        <f>+IFERROR(IF(J2987="","",H2987*K2987),"as per slab")</f>
        <v/>
      </c>
    </row>
    <row r="2988">
      <c r="A2988" s="7" t="n"/>
      <c r="B2988" s="7" t="n"/>
      <c r="C2988" s="8" t="n"/>
      <c r="D2988" s="9" t="n"/>
      <c r="E2988" s="8" t="n"/>
      <c r="F2988" s="9" t="n"/>
      <c r="G2988" s="9" t="n"/>
      <c r="H2988" s="3">
        <f>IF(AND(D2988&lt;&gt;"",F2988&lt;&gt;""),F2988-D2988-G2988,"")</f>
        <v/>
      </c>
      <c r="I2988" s="14">
        <f>IF(E2988&lt;&gt;"", YEARFRAC(C2988, E2988) * 12, "")</f>
        <v/>
      </c>
      <c r="J2988" s="2">
        <f>IF(I2988="", "", IF(OR(AND(A2988="Listed Equity Shares", I2988&gt;12), AND(A2988="Unlisted Equity Shares", I2988&gt;24)), "Long Term", "Short Term"))</f>
        <v/>
      </c>
      <c r="K2988" s="5">
        <f>IF(J2988="", "", IF(J2988="Long Term", 12.5%,"as per slab"))</f>
        <v/>
      </c>
      <c r="L2988" s="3">
        <f>+IFERROR(IF(J2988="","",H2988*K2988),"as per slab")</f>
        <v/>
      </c>
    </row>
    <row r="2989">
      <c r="A2989" s="7" t="n"/>
      <c r="B2989" s="7" t="n"/>
      <c r="C2989" s="8" t="n"/>
      <c r="D2989" s="9" t="n"/>
      <c r="E2989" s="8" t="n"/>
      <c r="F2989" s="9" t="n"/>
      <c r="G2989" s="9" t="n"/>
      <c r="H2989" s="3">
        <f>IF(AND(D2989&lt;&gt;"",F2989&lt;&gt;""),F2989-D2989-G2989,"")</f>
        <v/>
      </c>
      <c r="I2989" s="14">
        <f>IF(E2989&lt;&gt;"", YEARFRAC(C2989, E2989) * 12, "")</f>
        <v/>
      </c>
      <c r="J2989" s="2">
        <f>IF(I2989="", "", IF(OR(AND(A2989="Listed Equity Shares", I2989&gt;12), AND(A2989="Unlisted Equity Shares", I2989&gt;24)), "Long Term", "Short Term"))</f>
        <v/>
      </c>
      <c r="K2989" s="5">
        <f>IF(J2989="", "", IF(J2989="Long Term", 12.5%,"as per slab"))</f>
        <v/>
      </c>
      <c r="L2989" s="3">
        <f>+IFERROR(IF(J2989="","",H2989*K2989),"as per slab")</f>
        <v/>
      </c>
    </row>
    <row r="2990">
      <c r="A2990" s="7" t="n"/>
      <c r="B2990" s="7" t="n"/>
      <c r="C2990" s="8" t="n"/>
      <c r="D2990" s="9" t="n"/>
      <c r="E2990" s="8" t="n"/>
      <c r="F2990" s="9" t="n"/>
      <c r="G2990" s="9" t="n"/>
      <c r="H2990" s="3">
        <f>IF(AND(D2990&lt;&gt;"",F2990&lt;&gt;""),F2990-D2990-G2990,"")</f>
        <v/>
      </c>
      <c r="I2990" s="14">
        <f>IF(E2990&lt;&gt;"", YEARFRAC(C2990, E2990) * 12, "")</f>
        <v/>
      </c>
      <c r="J2990" s="2">
        <f>IF(I2990="", "", IF(OR(AND(A2990="Listed Equity Shares", I2990&gt;12), AND(A2990="Unlisted Equity Shares", I2990&gt;24)), "Long Term", "Short Term"))</f>
        <v/>
      </c>
      <c r="K2990" s="5">
        <f>IF(J2990="", "", IF(J2990="Long Term", 12.5%,"as per slab"))</f>
        <v/>
      </c>
      <c r="L2990" s="3">
        <f>+IFERROR(IF(J2990="","",H2990*K2990),"as per slab")</f>
        <v/>
      </c>
    </row>
    <row r="2991">
      <c r="A2991" s="7" t="n"/>
      <c r="B2991" s="7" t="n"/>
      <c r="C2991" s="8" t="n"/>
      <c r="D2991" s="9" t="n"/>
      <c r="E2991" s="8" t="n"/>
      <c r="F2991" s="9" t="n"/>
      <c r="G2991" s="9" t="n"/>
      <c r="H2991" s="3">
        <f>IF(AND(D2991&lt;&gt;"",F2991&lt;&gt;""),F2991-D2991-G2991,"")</f>
        <v/>
      </c>
      <c r="I2991" s="14">
        <f>IF(E2991&lt;&gt;"", YEARFRAC(C2991, E2991) * 12, "")</f>
        <v/>
      </c>
      <c r="J2991" s="2">
        <f>IF(I2991="", "", IF(OR(AND(A2991="Listed Equity Shares", I2991&gt;12), AND(A2991="Unlisted Equity Shares", I2991&gt;24)), "Long Term", "Short Term"))</f>
        <v/>
      </c>
      <c r="K2991" s="5">
        <f>IF(J2991="", "", IF(J2991="Long Term", 12.5%,"as per slab"))</f>
        <v/>
      </c>
      <c r="L2991" s="3">
        <f>+IFERROR(IF(J2991="","",H2991*K2991),"as per slab")</f>
        <v/>
      </c>
    </row>
    <row r="2992">
      <c r="A2992" s="7" t="n"/>
      <c r="B2992" s="7" t="n"/>
      <c r="C2992" s="8" t="n"/>
      <c r="D2992" s="9" t="n"/>
      <c r="E2992" s="8" t="n"/>
      <c r="F2992" s="9" t="n"/>
      <c r="G2992" s="9" t="n"/>
      <c r="H2992" s="3">
        <f>IF(AND(D2992&lt;&gt;"",F2992&lt;&gt;""),F2992-D2992-G2992,"")</f>
        <v/>
      </c>
      <c r="I2992" s="14">
        <f>IF(E2992&lt;&gt;"", YEARFRAC(C2992, E2992) * 12, "")</f>
        <v/>
      </c>
      <c r="J2992" s="2">
        <f>IF(I2992="", "", IF(OR(AND(A2992="Listed Equity Shares", I2992&gt;12), AND(A2992="Unlisted Equity Shares", I2992&gt;24)), "Long Term", "Short Term"))</f>
        <v/>
      </c>
      <c r="K2992" s="5">
        <f>IF(J2992="", "", IF(J2992="Long Term", 12.5%,"as per slab"))</f>
        <v/>
      </c>
      <c r="L2992" s="3">
        <f>+IFERROR(IF(J2992="","",H2992*K2992),"as per slab")</f>
        <v/>
      </c>
    </row>
    <row r="2993">
      <c r="A2993" s="7" t="n"/>
      <c r="B2993" s="7" t="n"/>
      <c r="C2993" s="8" t="n"/>
      <c r="D2993" s="9" t="n"/>
      <c r="E2993" s="8" t="n"/>
      <c r="F2993" s="9" t="n"/>
      <c r="G2993" s="9" t="n"/>
      <c r="H2993" s="3">
        <f>IF(AND(D2993&lt;&gt;"",F2993&lt;&gt;""),F2993-D2993-G2993,"")</f>
        <v/>
      </c>
      <c r="I2993" s="14">
        <f>IF(E2993&lt;&gt;"", YEARFRAC(C2993, E2993) * 12, "")</f>
        <v/>
      </c>
      <c r="J2993" s="2">
        <f>IF(I2993="", "", IF(OR(AND(A2993="Listed Equity Shares", I2993&gt;12), AND(A2993="Unlisted Equity Shares", I2993&gt;24)), "Long Term", "Short Term"))</f>
        <v/>
      </c>
      <c r="K2993" s="5">
        <f>IF(J2993="", "", IF(J2993="Long Term", 12.5%,"as per slab"))</f>
        <v/>
      </c>
      <c r="L2993" s="3">
        <f>+IFERROR(IF(J2993="","",H2993*K2993),"as per slab")</f>
        <v/>
      </c>
    </row>
    <row r="2994">
      <c r="A2994" s="7" t="n"/>
      <c r="B2994" s="7" t="n"/>
      <c r="C2994" s="8" t="n"/>
      <c r="D2994" s="9" t="n"/>
      <c r="E2994" s="8" t="n"/>
      <c r="F2994" s="9" t="n"/>
      <c r="G2994" s="9" t="n"/>
      <c r="H2994" s="3">
        <f>IF(AND(D2994&lt;&gt;"",F2994&lt;&gt;""),F2994-D2994-G2994,"")</f>
        <v/>
      </c>
      <c r="I2994" s="14">
        <f>IF(E2994&lt;&gt;"", YEARFRAC(C2994, E2994) * 12, "")</f>
        <v/>
      </c>
      <c r="J2994" s="2">
        <f>IF(I2994="", "", IF(OR(AND(A2994="Listed Equity Shares", I2994&gt;12), AND(A2994="Unlisted Equity Shares", I2994&gt;24)), "Long Term", "Short Term"))</f>
        <v/>
      </c>
      <c r="K2994" s="5">
        <f>IF(J2994="", "", IF(J2994="Long Term", 12.5%,"as per slab"))</f>
        <v/>
      </c>
      <c r="L2994" s="3">
        <f>+IFERROR(IF(J2994="","",H2994*K2994),"as per slab")</f>
        <v/>
      </c>
    </row>
    <row r="2995">
      <c r="A2995" s="7" t="n"/>
      <c r="B2995" s="7" t="n"/>
      <c r="C2995" s="8" t="n"/>
      <c r="D2995" s="9" t="n"/>
      <c r="E2995" s="8" t="n"/>
      <c r="F2995" s="9" t="n"/>
      <c r="G2995" s="9" t="n"/>
      <c r="H2995" s="3">
        <f>IF(AND(D2995&lt;&gt;"",F2995&lt;&gt;""),F2995-D2995-G2995,"")</f>
        <v/>
      </c>
      <c r="I2995" s="14">
        <f>IF(E2995&lt;&gt;"", YEARFRAC(C2995, E2995) * 12, "")</f>
        <v/>
      </c>
      <c r="J2995" s="2">
        <f>IF(I2995="", "", IF(OR(AND(A2995="Listed Equity Shares", I2995&gt;12), AND(A2995="Unlisted Equity Shares", I2995&gt;24)), "Long Term", "Short Term"))</f>
        <v/>
      </c>
      <c r="K2995" s="5">
        <f>IF(J2995="", "", IF(J2995="Long Term", 12.5%,"as per slab"))</f>
        <v/>
      </c>
      <c r="L2995" s="3">
        <f>+IFERROR(IF(J2995="","",H2995*K2995),"as per slab")</f>
        <v/>
      </c>
    </row>
    <row r="2996">
      <c r="A2996" s="7" t="n"/>
      <c r="B2996" s="7" t="n"/>
      <c r="C2996" s="8" t="n"/>
      <c r="D2996" s="9" t="n"/>
      <c r="E2996" s="8" t="n"/>
      <c r="F2996" s="9" t="n"/>
      <c r="G2996" s="9" t="n"/>
      <c r="H2996" s="3">
        <f>IF(AND(D2996&lt;&gt;"",F2996&lt;&gt;""),F2996-D2996-G2996,"")</f>
        <v/>
      </c>
      <c r="I2996" s="14">
        <f>IF(E2996&lt;&gt;"", YEARFRAC(C2996, E2996) * 12, "")</f>
        <v/>
      </c>
      <c r="J2996" s="2">
        <f>IF(I2996="", "", IF(OR(AND(A2996="Listed Equity Shares", I2996&gt;12), AND(A2996="Unlisted Equity Shares", I2996&gt;24)), "Long Term", "Short Term"))</f>
        <v/>
      </c>
      <c r="K2996" s="5">
        <f>IF(J2996="", "", IF(J2996="Long Term", 12.5%,"as per slab"))</f>
        <v/>
      </c>
      <c r="L2996" s="3">
        <f>+IFERROR(IF(J2996="","",H2996*K2996),"as per slab")</f>
        <v/>
      </c>
    </row>
    <row r="2997">
      <c r="A2997" s="7" t="n"/>
      <c r="B2997" s="7" t="n"/>
      <c r="C2997" s="8" t="n"/>
      <c r="D2997" s="9" t="n"/>
      <c r="E2997" s="8" t="n"/>
      <c r="F2997" s="9" t="n"/>
      <c r="G2997" s="9" t="n"/>
      <c r="H2997" s="3">
        <f>IF(AND(D2997&lt;&gt;"",F2997&lt;&gt;""),F2997-D2997-G2997,"")</f>
        <v/>
      </c>
      <c r="I2997" s="14">
        <f>IF(E2997&lt;&gt;"", YEARFRAC(C2997, E2997) * 12, "")</f>
        <v/>
      </c>
      <c r="J2997" s="2">
        <f>IF(I2997="", "", IF(OR(AND(A2997="Listed Equity Shares", I2997&gt;12), AND(A2997="Unlisted Equity Shares", I2997&gt;24)), "Long Term", "Short Term"))</f>
        <v/>
      </c>
      <c r="K2997" s="5">
        <f>IF(J2997="", "", IF(J2997="Long Term", 12.5%,"as per slab"))</f>
        <v/>
      </c>
      <c r="L2997" s="3">
        <f>+IFERROR(IF(J2997="","",H2997*K2997),"as per slab")</f>
        <v/>
      </c>
    </row>
    <row r="2998">
      <c r="A2998" s="7" t="n"/>
      <c r="B2998" s="7" t="n"/>
      <c r="C2998" s="8" t="n"/>
      <c r="D2998" s="9" t="n"/>
      <c r="E2998" s="8" t="n"/>
      <c r="F2998" s="9" t="n"/>
      <c r="G2998" s="9" t="n"/>
      <c r="H2998" s="3">
        <f>IF(AND(D2998&lt;&gt;"",F2998&lt;&gt;""),F2998-D2998-G2998,"")</f>
        <v/>
      </c>
      <c r="I2998" s="14">
        <f>IF(E2998&lt;&gt;"", YEARFRAC(C2998, E2998) * 12, "")</f>
        <v/>
      </c>
      <c r="J2998" s="2">
        <f>IF(I2998="", "", IF(OR(AND(A2998="Listed Equity Shares", I2998&gt;12), AND(A2998="Unlisted Equity Shares", I2998&gt;24)), "Long Term", "Short Term"))</f>
        <v/>
      </c>
      <c r="K2998" s="5">
        <f>IF(J2998="", "", IF(J2998="Long Term", 12.5%,"as per slab"))</f>
        <v/>
      </c>
      <c r="L2998" s="3">
        <f>+IFERROR(IF(J2998="","",H2998*K2998),"as per slab")</f>
        <v/>
      </c>
    </row>
    <row r="2999">
      <c r="A2999" s="7" t="n"/>
      <c r="B2999" s="7" t="n"/>
      <c r="C2999" s="8" t="n"/>
      <c r="D2999" s="9" t="n"/>
      <c r="E2999" s="8" t="n"/>
      <c r="F2999" s="9" t="n"/>
      <c r="G2999" s="9" t="n"/>
      <c r="H2999" s="3">
        <f>IF(AND(D2999&lt;&gt;"",F2999&lt;&gt;""),F2999-D2999-G2999,"")</f>
        <v/>
      </c>
      <c r="I2999" s="14">
        <f>IF(E2999&lt;&gt;"", YEARFRAC(C2999, E2999) * 12, "")</f>
        <v/>
      </c>
      <c r="J2999" s="2">
        <f>IF(I2999="", "", IF(OR(AND(A2999="Listed Equity Shares", I2999&gt;12), AND(A2999="Unlisted Equity Shares", I2999&gt;24)), "Long Term", "Short Term"))</f>
        <v/>
      </c>
      <c r="K2999" s="5">
        <f>IF(J2999="", "", IF(J2999="Long Term", 12.5%,"as per slab"))</f>
        <v/>
      </c>
      <c r="L2999" s="3">
        <f>+IFERROR(IF(J2999="","",H2999*K2999),"as per slab")</f>
        <v/>
      </c>
    </row>
    <row r="3000">
      <c r="A3000" s="7" t="n"/>
      <c r="B3000" s="7" t="n"/>
      <c r="C3000" s="8" t="n"/>
      <c r="D3000" s="9" t="n"/>
      <c r="E3000" s="8" t="n"/>
      <c r="F3000" s="9" t="n"/>
      <c r="G3000" s="9" t="n"/>
      <c r="H3000" s="3">
        <f>IF(AND(D3000&lt;&gt;"",F3000&lt;&gt;""),F3000-D3000-G3000,"")</f>
        <v/>
      </c>
      <c r="I3000" s="14">
        <f>IF(E3000&lt;&gt;"", YEARFRAC(C3000, E3000) * 12, "")</f>
        <v/>
      </c>
      <c r="J3000" s="2">
        <f>IF(I3000="", "", IF(OR(AND(A3000="Listed Equity Shares", I3000&gt;12), AND(A3000="Unlisted Equity Shares", I3000&gt;24)), "Long Term", "Short Term"))</f>
        <v/>
      </c>
      <c r="K3000" s="5">
        <f>IF(J3000="", "", IF(J3000="Long Term", 12.5%,"as per slab"))</f>
        <v/>
      </c>
      <c r="L3000" s="3">
        <f>+IFERROR(IF(J3000="","",H3000*K3000),"as per slab")</f>
        <v/>
      </c>
    </row>
    <row r="3001">
      <c r="A3001" s="7" t="n"/>
      <c r="B3001" s="7" t="n"/>
      <c r="C3001" s="8" t="n"/>
      <c r="D3001" s="9" t="n"/>
      <c r="E3001" s="8" t="n"/>
      <c r="F3001" s="9" t="n"/>
      <c r="G3001" s="9" t="n"/>
      <c r="H3001" s="3">
        <f>IF(AND(D3001&lt;&gt;"",F3001&lt;&gt;""),F3001-D3001-G3001,"")</f>
        <v/>
      </c>
      <c r="I3001" s="14">
        <f>IF(E3001&lt;&gt;"", YEARFRAC(C3001, E3001) * 12, "")</f>
        <v/>
      </c>
      <c r="J3001" s="2">
        <f>IF(I3001="", "", IF(OR(AND(A3001="Listed Equity Shares", I3001&gt;12), AND(A3001="Unlisted Equity Shares", I3001&gt;24)), "Long Term", "Short Term"))</f>
        <v/>
      </c>
      <c r="K3001" s="5">
        <f>IF(J3001="", "", IF(J3001="Long Term", 12.5%,"as per slab"))</f>
        <v/>
      </c>
      <c r="L3001" s="3">
        <f>+IFERROR(IF(J3001="","",H3001*K3001),"as per slab")</f>
        <v/>
      </c>
    </row>
    <row r="3002">
      <c r="A3002" s="1" t="n">
        <v>0</v>
      </c>
      <c r="B3002" s="1" t="n">
        <v>0</v>
      </c>
      <c r="C3002" s="1" t="n">
        <v>0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4">
        <f>IF(E3002&lt;&gt;"", YEARFRAC(C3002, E3002) * 12, "")</f>
        <v/>
      </c>
      <c r="J3002" s="1" t="n">
        <v>0</v>
      </c>
      <c r="K3002" s="5">
        <f>IF(J3002="", "", IF(J3002="Long Term", 12.5%,"as per slab"))</f>
        <v/>
      </c>
      <c r="L3002" s="3">
        <f>+IFERROR(IF(J3002="","",H3002*K3002),"as per slab")</f>
        <v/>
      </c>
      <c r="M3002" s="1" t="n">
        <v>0</v>
      </c>
      <c r="N3002" s="1" t="n">
        <v>0</v>
      </c>
      <c r="O3002" s="1" t="n">
        <v>0</v>
      </c>
      <c r="P3002" s="1" t="n">
        <v>0</v>
      </c>
      <c r="Q3002" s="1" t="n">
        <v>0</v>
      </c>
      <c r="R3002" s="1" t="n">
        <v>0</v>
      </c>
      <c r="S3002" s="1" t="n">
        <v>0</v>
      </c>
      <c r="T3002" s="1" t="n">
        <v>0</v>
      </c>
      <c r="U3002" s="1" t="n">
        <v>0</v>
      </c>
      <c r="V3002" s="1" t="n">
        <v>0</v>
      </c>
      <c r="W3002" s="1" t="n">
        <v>0</v>
      </c>
      <c r="X3002" s="1" t="n">
        <v>0</v>
      </c>
      <c r="Y3002" s="1" t="n">
        <v>0</v>
      </c>
      <c r="Z3002" s="1" t="n">
        <v>0</v>
      </c>
      <c r="AA3002" s="1" t="n">
        <v>0</v>
      </c>
      <c r="AB3002" s="1" t="n">
        <v>0</v>
      </c>
      <c r="AC3002" s="1" t="n">
        <v>0</v>
      </c>
      <c r="AD3002" s="1" t="n">
        <v>0</v>
      </c>
      <c r="AE3002" s="1" t="n">
        <v>0</v>
      </c>
      <c r="AF3002" s="1" t="n">
        <v>0</v>
      </c>
      <c r="AG3002" s="1" t="n">
        <v>0</v>
      </c>
      <c r="AH3002" s="1" t="n">
        <v>0</v>
      </c>
      <c r="AI3002" s="1" t="n">
        <v>0</v>
      </c>
      <c r="AJ3002" s="1" t="n">
        <v>0</v>
      </c>
      <c r="AK3002" s="1" t="n">
        <v>0</v>
      </c>
      <c r="AL3002" s="1" t="n">
        <v>0</v>
      </c>
      <c r="AM3002" s="1" t="n">
        <v>0</v>
      </c>
      <c r="AN3002" s="1" t="n">
        <v>0</v>
      </c>
      <c r="AO3002" s="1" t="n">
        <v>0</v>
      </c>
      <c r="AP3002" s="1" t="n">
        <v>0</v>
      </c>
      <c r="AQ3002" s="1" t="n">
        <v>0</v>
      </c>
      <c r="AR3002" s="1" t="n">
        <v>0</v>
      </c>
      <c r="AS3002" s="1" t="n">
        <v>0</v>
      </c>
      <c r="AT3002" s="1" t="n">
        <v>0</v>
      </c>
      <c r="AU3002" s="1" t="n">
        <v>0</v>
      </c>
      <c r="AV3002" s="1" t="n">
        <v>0</v>
      </c>
      <c r="AW3002" s="1" t="n">
        <v>0</v>
      </c>
      <c r="AX3002" s="1" t="n">
        <v>0</v>
      </c>
      <c r="AY3002" s="1" t="n">
        <v>0</v>
      </c>
      <c r="AZ3002" s="1" t="n">
        <v>0</v>
      </c>
      <c r="BA3002" s="1" t="n">
        <v>0</v>
      </c>
      <c r="BB3002" s="1" t="n">
        <v>0</v>
      </c>
      <c r="BC3002" s="1" t="n">
        <v>0</v>
      </c>
      <c r="BD3002" s="1" t="n">
        <v>0</v>
      </c>
      <c r="BE3002" s="1" t="n">
        <v>0</v>
      </c>
      <c r="BF3002" s="1" t="n">
        <v>0</v>
      </c>
      <c r="BG3002" s="1" t="n">
        <v>0</v>
      </c>
      <c r="BH3002" s="1" t="n">
        <v>0</v>
      </c>
      <c r="BI3002" s="1" t="n">
        <v>0</v>
      </c>
      <c r="BJ3002" s="1" t="n">
        <v>0</v>
      </c>
      <c r="BK3002" s="1" t="n">
        <v>0</v>
      </c>
      <c r="BL3002" s="1" t="n">
        <v>0</v>
      </c>
      <c r="BM3002" s="1" t="n">
        <v>0</v>
      </c>
      <c r="BN3002" s="1" t="n">
        <v>0</v>
      </c>
      <c r="BO3002" s="1" t="n">
        <v>0</v>
      </c>
      <c r="BP3002" s="1" t="n">
        <v>0</v>
      </c>
      <c r="BQ3002" s="1" t="n">
        <v>0</v>
      </c>
      <c r="BR3002" s="1" t="n">
        <v>0</v>
      </c>
      <c r="BS3002" s="1" t="n">
        <v>0</v>
      </c>
      <c r="BT3002" s="1" t="n">
        <v>0</v>
      </c>
      <c r="BU3002" s="1" t="n">
        <v>0</v>
      </c>
      <c r="BV3002" s="1" t="n">
        <v>0</v>
      </c>
      <c r="BW3002" s="1" t="n">
        <v>0</v>
      </c>
      <c r="BX3002" s="1" t="n">
        <v>0</v>
      </c>
      <c r="BY3002" s="1" t="n">
        <v>0</v>
      </c>
      <c r="BZ3002" s="1" t="n">
        <v>0</v>
      </c>
      <c r="CA3002" s="1" t="n">
        <v>0</v>
      </c>
      <c r="CB3002" s="1" t="n">
        <v>0</v>
      </c>
      <c r="CC3002" s="1" t="n">
        <v>0</v>
      </c>
      <c r="CD3002" s="1" t="n">
        <v>0</v>
      </c>
      <c r="CE3002" s="1" t="n">
        <v>0</v>
      </c>
      <c r="CF3002" s="1" t="n">
        <v>0</v>
      </c>
      <c r="CG3002" s="1" t="n">
        <v>0</v>
      </c>
      <c r="CH3002" s="1" t="n">
        <v>0</v>
      </c>
      <c r="CI3002" s="1" t="n">
        <v>0</v>
      </c>
      <c r="CJ3002" s="1" t="n">
        <v>0</v>
      </c>
      <c r="CK3002" s="1" t="n">
        <v>0</v>
      </c>
      <c r="CL3002" s="1" t="n">
        <v>0</v>
      </c>
      <c r="CM3002" s="1" t="n">
        <v>0</v>
      </c>
      <c r="CN3002" s="1" t="n">
        <v>0</v>
      </c>
      <c r="CO3002" s="1" t="n">
        <v>0</v>
      </c>
      <c r="CP3002" s="1" t="n">
        <v>0</v>
      </c>
      <c r="CQ3002" s="1" t="n">
        <v>0</v>
      </c>
      <c r="CR3002" s="1" t="n">
        <v>0</v>
      </c>
      <c r="CS3002" s="1" t="n">
        <v>0</v>
      </c>
      <c r="CT3002" s="1" t="n">
        <v>0</v>
      </c>
      <c r="CU3002" s="1" t="n">
        <v>0</v>
      </c>
      <c r="CV3002" s="1" t="n">
        <v>0</v>
      </c>
      <c r="CW3002" s="1" t="n">
        <v>0</v>
      </c>
      <c r="CX3002" s="1" t="n">
        <v>0</v>
      </c>
      <c r="CY3002" s="1" t="n">
        <v>0</v>
      </c>
      <c r="CZ3002" s="1" t="n">
        <v>0</v>
      </c>
      <c r="DA3002" s="1" t="n">
        <v>0</v>
      </c>
      <c r="DB3002" s="1" t="n">
        <v>0</v>
      </c>
      <c r="DC3002" s="1" t="n">
        <v>0</v>
      </c>
      <c r="DD3002" s="1" t="n">
        <v>0</v>
      </c>
      <c r="DE3002" s="1" t="n">
        <v>0</v>
      </c>
      <c r="DF3002" s="1" t="n">
        <v>0</v>
      </c>
      <c r="DG3002" s="1" t="n">
        <v>0</v>
      </c>
      <c r="DH3002" s="1" t="n">
        <v>0</v>
      </c>
      <c r="DI3002" s="1" t="n">
        <v>0</v>
      </c>
      <c r="DJ3002" s="1" t="n">
        <v>0</v>
      </c>
      <c r="DK3002" s="1" t="n">
        <v>0</v>
      </c>
      <c r="DL3002" s="1" t="n">
        <v>0</v>
      </c>
      <c r="DM3002" s="1" t="n">
        <v>0</v>
      </c>
      <c r="DN3002" s="1" t="n">
        <v>0</v>
      </c>
      <c r="DO3002" s="1" t="n">
        <v>0</v>
      </c>
      <c r="DP3002" s="1" t="n">
        <v>0</v>
      </c>
      <c r="DQ3002" s="1" t="n">
        <v>0</v>
      </c>
      <c r="DR3002" s="1" t="n">
        <v>0</v>
      </c>
      <c r="DS3002" s="1" t="n">
        <v>0</v>
      </c>
      <c r="DT3002" s="1" t="n">
        <v>0</v>
      </c>
      <c r="DU3002" s="1" t="n">
        <v>0</v>
      </c>
      <c r="DV3002" s="1" t="n">
        <v>0</v>
      </c>
      <c r="DW3002" s="1" t="n">
        <v>0</v>
      </c>
      <c r="DX3002" s="1" t="n">
        <v>0</v>
      </c>
      <c r="DY3002" s="1" t="n">
        <v>0</v>
      </c>
      <c r="DZ3002" s="1" t="n">
        <v>0</v>
      </c>
      <c r="EA3002" s="1" t="n">
        <v>0</v>
      </c>
      <c r="EB3002" s="1" t="n">
        <v>0</v>
      </c>
      <c r="EC3002" s="1" t="n">
        <v>0</v>
      </c>
      <c r="ED3002" s="1" t="n">
        <v>0</v>
      </c>
      <c r="EE3002" s="1" t="n">
        <v>0</v>
      </c>
      <c r="EF3002" s="1" t="n">
        <v>0</v>
      </c>
      <c r="EG3002" s="1" t="n">
        <v>0</v>
      </c>
      <c r="EH3002" s="1" t="n">
        <v>0</v>
      </c>
      <c r="EI3002" s="1" t="n">
        <v>0</v>
      </c>
      <c r="EJ3002" s="1" t="n">
        <v>0</v>
      </c>
      <c r="EK3002" s="1" t="n">
        <v>0</v>
      </c>
      <c r="EL3002" s="1" t="n">
        <v>0</v>
      </c>
      <c r="EM3002" s="1" t="n">
        <v>0</v>
      </c>
      <c r="EN3002" s="1" t="n">
        <v>0</v>
      </c>
      <c r="EO3002" s="1" t="n">
        <v>0</v>
      </c>
      <c r="EP3002" s="1" t="n">
        <v>0</v>
      </c>
      <c r="EQ3002" s="1" t="n">
        <v>0</v>
      </c>
      <c r="ER3002" s="1" t="n">
        <v>0</v>
      </c>
      <c r="ES3002" s="1" t="n">
        <v>0</v>
      </c>
      <c r="ET3002" s="1" t="n">
        <v>0</v>
      </c>
      <c r="EU3002" s="1" t="n">
        <v>0</v>
      </c>
      <c r="EV3002" s="1" t="n">
        <v>0</v>
      </c>
      <c r="EW3002" s="1" t="n">
        <v>0</v>
      </c>
      <c r="EX3002" s="1" t="n">
        <v>0</v>
      </c>
      <c r="EY3002" s="1" t="n">
        <v>0</v>
      </c>
      <c r="EZ3002" s="1" t="n">
        <v>0</v>
      </c>
      <c r="FA3002" s="1" t="n">
        <v>0</v>
      </c>
      <c r="FB3002" s="1" t="n">
        <v>0</v>
      </c>
      <c r="FC3002" s="1" t="n">
        <v>0</v>
      </c>
      <c r="FD3002" s="1" t="n">
        <v>0</v>
      </c>
      <c r="FE3002" s="1" t="n">
        <v>0</v>
      </c>
      <c r="FF3002" s="1" t="n">
        <v>0</v>
      </c>
      <c r="FG3002" s="1" t="n">
        <v>0</v>
      </c>
      <c r="FH3002" s="1" t="n">
        <v>0</v>
      </c>
      <c r="FI3002" s="1" t="n">
        <v>0</v>
      </c>
      <c r="FJ3002" s="1" t="n">
        <v>0</v>
      </c>
      <c r="FK3002" s="1" t="n">
        <v>0</v>
      </c>
      <c r="FL3002" s="1" t="n">
        <v>0</v>
      </c>
      <c r="FM3002" s="1" t="n">
        <v>0</v>
      </c>
      <c r="FN3002" s="1" t="n">
        <v>0</v>
      </c>
      <c r="FO3002" s="1" t="n">
        <v>0</v>
      </c>
      <c r="FP3002" s="1" t="n">
        <v>0</v>
      </c>
      <c r="FQ3002" s="1" t="n">
        <v>0</v>
      </c>
      <c r="FR3002" s="1" t="n">
        <v>0</v>
      </c>
      <c r="FS3002" s="1" t="n">
        <v>0</v>
      </c>
      <c r="FT3002" s="1" t="n">
        <v>0</v>
      </c>
      <c r="FU3002" s="1" t="n">
        <v>0</v>
      </c>
      <c r="FV3002" s="1" t="n">
        <v>0</v>
      </c>
      <c r="FW3002" s="1" t="n">
        <v>0</v>
      </c>
      <c r="FX3002" s="1" t="n">
        <v>0</v>
      </c>
      <c r="FY3002" s="1" t="n">
        <v>0</v>
      </c>
      <c r="FZ3002" s="1" t="n">
        <v>0</v>
      </c>
      <c r="GA3002" s="1" t="n">
        <v>0</v>
      </c>
      <c r="GB3002" s="1" t="n">
        <v>0</v>
      </c>
      <c r="GC3002" s="1" t="n">
        <v>0</v>
      </c>
      <c r="GD3002" s="1" t="n">
        <v>0</v>
      </c>
      <c r="GE3002" s="1" t="n">
        <v>0</v>
      </c>
      <c r="GF3002" s="1" t="n">
        <v>0</v>
      </c>
      <c r="GG3002" s="1" t="n">
        <v>0</v>
      </c>
      <c r="GH3002" s="1" t="n">
        <v>0</v>
      </c>
      <c r="GI3002" s="1" t="n">
        <v>0</v>
      </c>
      <c r="GJ3002" s="1" t="n">
        <v>0</v>
      </c>
      <c r="GK3002" s="1" t="n">
        <v>0</v>
      </c>
      <c r="GL3002" s="1" t="n">
        <v>0</v>
      </c>
      <c r="GM3002" s="1" t="n">
        <v>0</v>
      </c>
      <c r="GN3002" s="1" t="n">
        <v>0</v>
      </c>
      <c r="GO3002" s="1" t="n">
        <v>0</v>
      </c>
      <c r="GP3002" s="1" t="n">
        <v>0</v>
      </c>
      <c r="GQ3002" s="1" t="n">
        <v>0</v>
      </c>
      <c r="GR3002" s="1" t="n">
        <v>0</v>
      </c>
      <c r="GS3002" s="1" t="n">
        <v>0</v>
      </c>
      <c r="GT3002" s="1" t="n">
        <v>0</v>
      </c>
      <c r="GU3002" s="1" t="n">
        <v>0</v>
      </c>
      <c r="GV3002" s="1" t="n">
        <v>0</v>
      </c>
      <c r="GW3002" s="1" t="n">
        <v>0</v>
      </c>
      <c r="GX3002" s="1" t="n">
        <v>0</v>
      </c>
      <c r="GY3002" s="1" t="n">
        <v>0</v>
      </c>
      <c r="GZ3002" s="1" t="n">
        <v>0</v>
      </c>
      <c r="HA3002" s="1" t="n">
        <v>0</v>
      </c>
      <c r="HB3002" s="1" t="n">
        <v>0</v>
      </c>
      <c r="HC3002" s="1" t="n">
        <v>0</v>
      </c>
      <c r="HD3002" s="1" t="n">
        <v>0</v>
      </c>
      <c r="HE3002" s="1" t="n">
        <v>0</v>
      </c>
      <c r="HF3002" s="1" t="n">
        <v>0</v>
      </c>
      <c r="HG3002" s="1" t="n">
        <v>0</v>
      </c>
      <c r="HH3002" s="1" t="n">
        <v>0</v>
      </c>
      <c r="HI3002" s="1" t="n">
        <v>0</v>
      </c>
      <c r="HJ3002" s="1" t="n">
        <v>0</v>
      </c>
      <c r="HK3002" s="1" t="n">
        <v>0</v>
      </c>
      <c r="HL3002" s="1" t="n">
        <v>0</v>
      </c>
      <c r="HM3002" s="1" t="n">
        <v>0</v>
      </c>
      <c r="HN3002" s="1" t="n">
        <v>0</v>
      </c>
      <c r="HO3002" s="1" t="n">
        <v>0</v>
      </c>
      <c r="HP3002" s="1" t="n">
        <v>0</v>
      </c>
      <c r="HQ3002" s="1" t="n">
        <v>0</v>
      </c>
      <c r="HR3002" s="1" t="n">
        <v>0</v>
      </c>
      <c r="HS3002" s="1" t="n">
        <v>0</v>
      </c>
      <c r="HT3002" s="1" t="n">
        <v>0</v>
      </c>
      <c r="HU3002" s="1" t="n">
        <v>0</v>
      </c>
      <c r="HV3002" s="1" t="n">
        <v>0</v>
      </c>
      <c r="HW3002" s="1" t="n">
        <v>0</v>
      </c>
      <c r="HX3002" s="1" t="n">
        <v>0</v>
      </c>
      <c r="HY3002" s="1" t="n">
        <v>0</v>
      </c>
      <c r="HZ3002" s="1" t="n">
        <v>0</v>
      </c>
      <c r="IA3002" s="1" t="n">
        <v>0</v>
      </c>
      <c r="IB3002" s="1" t="n">
        <v>0</v>
      </c>
      <c r="IC3002" s="1" t="n">
        <v>0</v>
      </c>
      <c r="ID3002" s="1" t="n">
        <v>0</v>
      </c>
      <c r="IE3002" s="1" t="n">
        <v>0</v>
      </c>
      <c r="IF3002" s="1" t="n">
        <v>0</v>
      </c>
      <c r="IG3002" s="1" t="n">
        <v>0</v>
      </c>
      <c r="IH3002" s="1" t="n">
        <v>0</v>
      </c>
      <c r="II3002" s="1" t="n">
        <v>0</v>
      </c>
      <c r="IJ3002" s="1" t="n">
        <v>0</v>
      </c>
      <c r="IK3002" s="1" t="n">
        <v>0</v>
      </c>
      <c r="IL3002" s="1" t="n">
        <v>0</v>
      </c>
      <c r="IM3002" s="1" t="n">
        <v>0</v>
      </c>
      <c r="IN3002" s="1" t="n">
        <v>0</v>
      </c>
      <c r="IO3002" s="1" t="n">
        <v>0</v>
      </c>
      <c r="IP3002" s="1" t="n">
        <v>0</v>
      </c>
      <c r="IQ3002" s="1" t="n">
        <v>0</v>
      </c>
      <c r="IR3002" s="1" t="n">
        <v>0</v>
      </c>
      <c r="IS3002" s="1" t="n">
        <v>0</v>
      </c>
      <c r="IT3002" s="1" t="n">
        <v>0</v>
      </c>
      <c r="IU3002" s="1" t="n">
        <v>0</v>
      </c>
      <c r="IV3002" s="1" t="n">
        <v>0</v>
      </c>
      <c r="IW3002" s="1" t="n">
        <v>0</v>
      </c>
      <c r="IX3002" s="1" t="n">
        <v>0</v>
      </c>
      <c r="IY3002" s="1" t="n">
        <v>0</v>
      </c>
      <c r="IZ3002" s="1" t="n">
        <v>0</v>
      </c>
      <c r="JA3002" s="1" t="n">
        <v>0</v>
      </c>
      <c r="JB3002" s="1" t="n">
        <v>0</v>
      </c>
      <c r="JC3002" s="1" t="n">
        <v>0</v>
      </c>
      <c r="JD3002" s="1" t="n">
        <v>0</v>
      </c>
      <c r="JE3002" s="1" t="n">
        <v>0</v>
      </c>
      <c r="JF3002" s="1" t="n">
        <v>0</v>
      </c>
      <c r="JG3002" s="1" t="n">
        <v>0</v>
      </c>
      <c r="JH3002" s="1" t="n">
        <v>0</v>
      </c>
      <c r="JI3002" s="1" t="n">
        <v>0</v>
      </c>
      <c r="JJ3002" s="1" t="n">
        <v>0</v>
      </c>
      <c r="JK3002" s="1" t="n">
        <v>0</v>
      </c>
      <c r="JL3002" s="1" t="n">
        <v>0</v>
      </c>
      <c r="JM3002" s="1" t="n">
        <v>0</v>
      </c>
      <c r="JN3002" s="1" t="n">
        <v>0</v>
      </c>
      <c r="JO3002" s="1" t="n">
        <v>0</v>
      </c>
      <c r="JP3002" s="1" t="n">
        <v>0</v>
      </c>
      <c r="JQ3002" s="1" t="n">
        <v>0</v>
      </c>
      <c r="JR3002" s="1" t="n">
        <v>0</v>
      </c>
      <c r="JS3002" s="1" t="n">
        <v>0</v>
      </c>
      <c r="JT3002" s="1" t="n">
        <v>0</v>
      </c>
      <c r="JU3002" s="1" t="n">
        <v>0</v>
      </c>
      <c r="JV3002" s="1" t="n">
        <v>0</v>
      </c>
      <c r="JW3002" s="1" t="n">
        <v>0</v>
      </c>
      <c r="JX3002" s="1" t="n">
        <v>0</v>
      </c>
      <c r="JY3002" s="1" t="n">
        <v>0</v>
      </c>
      <c r="JZ3002" s="1" t="n">
        <v>0</v>
      </c>
      <c r="KA3002" s="1" t="n">
        <v>0</v>
      </c>
      <c r="KB3002" s="1" t="n">
        <v>0</v>
      </c>
      <c r="KC3002" s="1" t="n">
        <v>0</v>
      </c>
      <c r="KD3002" s="1" t="n">
        <v>0</v>
      </c>
      <c r="KE3002" s="1" t="n">
        <v>0</v>
      </c>
      <c r="KF3002" s="1" t="n">
        <v>0</v>
      </c>
      <c r="KG3002" s="1" t="n">
        <v>0</v>
      </c>
      <c r="KH3002" s="1" t="n">
        <v>0</v>
      </c>
      <c r="KI3002" s="1" t="n">
        <v>0</v>
      </c>
      <c r="KJ3002" s="1" t="n">
        <v>0</v>
      </c>
      <c r="KK3002" s="1" t="n">
        <v>0</v>
      </c>
      <c r="KL3002" s="1" t="n">
        <v>0</v>
      </c>
      <c r="KM3002" s="1" t="n">
        <v>0</v>
      </c>
      <c r="KN3002" s="1" t="n">
        <v>0</v>
      </c>
      <c r="KO3002" s="1" t="n">
        <v>0</v>
      </c>
      <c r="KP3002" s="1" t="n">
        <v>0</v>
      </c>
      <c r="KQ3002" s="1" t="n">
        <v>0</v>
      </c>
      <c r="KR3002" s="1" t="n">
        <v>0</v>
      </c>
      <c r="KS3002" s="1" t="n">
        <v>0</v>
      </c>
      <c r="KT3002" s="1" t="n">
        <v>0</v>
      </c>
      <c r="KU3002" s="1" t="n">
        <v>0</v>
      </c>
      <c r="KV3002" s="1" t="n">
        <v>0</v>
      </c>
      <c r="KW3002" s="1" t="n">
        <v>0</v>
      </c>
      <c r="KX3002" s="1" t="n">
        <v>0</v>
      </c>
      <c r="KY3002" s="1" t="n">
        <v>0</v>
      </c>
      <c r="KZ3002" s="1" t="n">
        <v>0</v>
      </c>
      <c r="LA3002" s="1" t="n">
        <v>0</v>
      </c>
      <c r="LB3002" s="1" t="n">
        <v>0</v>
      </c>
      <c r="LC3002" s="1" t="n">
        <v>0</v>
      </c>
      <c r="LD3002" s="1" t="n">
        <v>0</v>
      </c>
      <c r="LE3002" s="1" t="n">
        <v>0</v>
      </c>
      <c r="LF3002" s="1" t="n">
        <v>0</v>
      </c>
      <c r="LG3002" s="1" t="n">
        <v>0</v>
      </c>
      <c r="LH3002" s="1" t="n">
        <v>0</v>
      </c>
      <c r="LI3002" s="1" t="n">
        <v>0</v>
      </c>
      <c r="LJ3002" s="1" t="n">
        <v>0</v>
      </c>
      <c r="LK3002" s="1" t="n">
        <v>0</v>
      </c>
      <c r="LL3002" s="1" t="n">
        <v>0</v>
      </c>
      <c r="LM3002" s="1" t="n">
        <v>0</v>
      </c>
      <c r="LN3002" s="1" t="n">
        <v>0</v>
      </c>
      <c r="LO3002" s="1" t="n">
        <v>0</v>
      </c>
      <c r="LP3002" s="1" t="n">
        <v>0</v>
      </c>
      <c r="LQ3002" s="1" t="n">
        <v>0</v>
      </c>
      <c r="LR3002" s="1" t="n">
        <v>0</v>
      </c>
      <c r="LS3002" s="1" t="n">
        <v>0</v>
      </c>
      <c r="LT3002" s="1" t="n">
        <v>0</v>
      </c>
      <c r="LU3002" s="1" t="n">
        <v>0</v>
      </c>
      <c r="LV3002" s="1" t="n">
        <v>0</v>
      </c>
      <c r="LW3002" s="1" t="n">
        <v>0</v>
      </c>
      <c r="LX3002" s="1" t="n">
        <v>0</v>
      </c>
      <c r="LY3002" s="1" t="n">
        <v>0</v>
      </c>
      <c r="LZ3002" s="1" t="n">
        <v>0</v>
      </c>
      <c r="MA3002" s="1" t="n">
        <v>0</v>
      </c>
      <c r="MB3002" s="1" t="n">
        <v>0</v>
      </c>
      <c r="MC3002" s="1" t="n">
        <v>0</v>
      </c>
      <c r="MD3002" s="1" t="n">
        <v>0</v>
      </c>
      <c r="ME3002" s="1" t="n">
        <v>0</v>
      </c>
      <c r="MF3002" s="1" t="n">
        <v>0</v>
      </c>
      <c r="MG3002" s="1" t="n">
        <v>0</v>
      </c>
      <c r="MH3002" s="1" t="n">
        <v>0</v>
      </c>
      <c r="MI3002" s="1" t="n">
        <v>0</v>
      </c>
      <c r="MJ3002" s="1" t="n">
        <v>0</v>
      </c>
      <c r="MK3002" s="1" t="n">
        <v>0</v>
      </c>
      <c r="ML3002" s="1" t="n">
        <v>0</v>
      </c>
      <c r="MM3002" s="1" t="n">
        <v>0</v>
      </c>
      <c r="MN3002" s="1" t="n">
        <v>0</v>
      </c>
      <c r="MO3002" s="1" t="n">
        <v>0</v>
      </c>
      <c r="MP3002" s="1" t="n">
        <v>0</v>
      </c>
      <c r="MQ3002" s="1" t="n">
        <v>0</v>
      </c>
      <c r="MR3002" s="1" t="n">
        <v>0</v>
      </c>
      <c r="MS3002" s="1" t="n">
        <v>0</v>
      </c>
      <c r="MT3002" s="1" t="n">
        <v>0</v>
      </c>
      <c r="MU3002" s="1" t="n">
        <v>0</v>
      </c>
      <c r="MV3002" s="1" t="n">
        <v>0</v>
      </c>
      <c r="MW3002" s="1" t="n">
        <v>0</v>
      </c>
      <c r="MX3002" s="1" t="n">
        <v>0</v>
      </c>
      <c r="MY3002" s="1" t="n">
        <v>0</v>
      </c>
      <c r="MZ3002" s="1" t="n">
        <v>0</v>
      </c>
      <c r="NA3002" s="1" t="n">
        <v>0</v>
      </c>
      <c r="NB3002" s="1" t="n">
        <v>0</v>
      </c>
      <c r="NC3002" s="1" t="n">
        <v>0</v>
      </c>
      <c r="ND3002" s="1" t="n">
        <v>0</v>
      </c>
      <c r="NE3002" s="1" t="n">
        <v>0</v>
      </c>
      <c r="NF3002" s="1" t="n">
        <v>0</v>
      </c>
      <c r="NG3002" s="1" t="n">
        <v>0</v>
      </c>
      <c r="NH3002" s="1" t="n">
        <v>0</v>
      </c>
      <c r="NI3002" s="1" t="n">
        <v>0</v>
      </c>
      <c r="NJ3002" s="1" t="n">
        <v>0</v>
      </c>
      <c r="NK3002" s="1" t="n">
        <v>0</v>
      </c>
      <c r="NL3002" s="1" t="n">
        <v>0</v>
      </c>
      <c r="NM3002" s="1" t="n">
        <v>0</v>
      </c>
      <c r="NN3002" s="1" t="n">
        <v>0</v>
      </c>
      <c r="NO3002" s="1" t="n">
        <v>0</v>
      </c>
      <c r="NP3002" s="1" t="n">
        <v>0</v>
      </c>
      <c r="NQ3002" s="1" t="n">
        <v>0</v>
      </c>
      <c r="NR3002" s="1" t="n">
        <v>0</v>
      </c>
      <c r="NS3002" s="1" t="n">
        <v>0</v>
      </c>
      <c r="NT3002" s="1" t="n">
        <v>0</v>
      </c>
      <c r="NU3002" s="1" t="n">
        <v>0</v>
      </c>
      <c r="NV3002" s="1" t="n">
        <v>0</v>
      </c>
      <c r="NW3002" s="1" t="n">
        <v>0</v>
      </c>
      <c r="NX3002" s="1" t="n">
        <v>0</v>
      </c>
      <c r="NY3002" s="1" t="n">
        <v>0</v>
      </c>
      <c r="NZ3002" s="1" t="n">
        <v>0</v>
      </c>
      <c r="OA3002" s="1" t="n">
        <v>0</v>
      </c>
      <c r="OB3002" s="1" t="n">
        <v>0</v>
      </c>
      <c r="OC3002" s="1" t="n">
        <v>0</v>
      </c>
      <c r="OD3002" s="1" t="n">
        <v>0</v>
      </c>
      <c r="OE3002" s="1" t="n">
        <v>0</v>
      </c>
      <c r="OF3002" s="1" t="n">
        <v>0</v>
      </c>
      <c r="OG3002" s="1" t="n">
        <v>0</v>
      </c>
      <c r="OH3002" s="1" t="n">
        <v>0</v>
      </c>
      <c r="OI3002" s="1" t="n">
        <v>0</v>
      </c>
      <c r="OJ3002" s="1" t="n">
        <v>0</v>
      </c>
      <c r="OK3002" s="1" t="n">
        <v>0</v>
      </c>
      <c r="OL3002" s="1" t="n">
        <v>0</v>
      </c>
      <c r="OM3002" s="1" t="n">
        <v>0</v>
      </c>
      <c r="ON3002" s="1" t="n">
        <v>0</v>
      </c>
      <c r="OO3002" s="1" t="n">
        <v>0</v>
      </c>
      <c r="OP3002" s="1" t="n">
        <v>0</v>
      </c>
      <c r="OQ3002" s="1" t="n">
        <v>0</v>
      </c>
      <c r="OR3002" s="1" t="n">
        <v>0</v>
      </c>
      <c r="OS3002" s="1" t="n">
        <v>0</v>
      </c>
      <c r="OT3002" s="1" t="n">
        <v>0</v>
      </c>
      <c r="OU3002" s="1" t="n">
        <v>0</v>
      </c>
      <c r="OV3002" s="1" t="n">
        <v>0</v>
      </c>
      <c r="OW3002" s="1" t="n">
        <v>0</v>
      </c>
      <c r="OX3002" s="1" t="n">
        <v>0</v>
      </c>
      <c r="OY3002" s="1" t="n">
        <v>0</v>
      </c>
      <c r="OZ3002" s="1" t="n">
        <v>0</v>
      </c>
      <c r="PA3002" s="1" t="n">
        <v>0</v>
      </c>
      <c r="PB3002" s="1" t="n">
        <v>0</v>
      </c>
      <c r="PC3002" s="1" t="n">
        <v>0</v>
      </c>
      <c r="PD3002" s="1" t="n">
        <v>0</v>
      </c>
      <c r="PE3002" s="1" t="n">
        <v>0</v>
      </c>
      <c r="PF3002" s="1" t="n">
        <v>0</v>
      </c>
      <c r="PG3002" s="1" t="n">
        <v>0</v>
      </c>
      <c r="PH3002" s="1" t="n">
        <v>0</v>
      </c>
      <c r="PI3002" s="1" t="n">
        <v>0</v>
      </c>
      <c r="PJ3002" s="1" t="n">
        <v>0</v>
      </c>
      <c r="PK3002" s="1" t="n">
        <v>0</v>
      </c>
      <c r="PL3002" s="1" t="n">
        <v>0</v>
      </c>
      <c r="PM3002" s="1" t="n">
        <v>0</v>
      </c>
      <c r="PN3002" s="1" t="n">
        <v>0</v>
      </c>
      <c r="PO3002" s="1" t="n">
        <v>0</v>
      </c>
      <c r="PP3002" s="1" t="n">
        <v>0</v>
      </c>
      <c r="PQ3002" s="1" t="n">
        <v>0</v>
      </c>
      <c r="PR3002" s="1" t="n">
        <v>0</v>
      </c>
      <c r="PS3002" s="1" t="n">
        <v>0</v>
      </c>
      <c r="PT3002" s="1" t="n">
        <v>0</v>
      </c>
      <c r="PU3002" s="1" t="n">
        <v>0</v>
      </c>
      <c r="PV3002" s="1" t="n">
        <v>0</v>
      </c>
      <c r="PW3002" s="1" t="n">
        <v>0</v>
      </c>
      <c r="PX3002" s="1" t="n">
        <v>0</v>
      </c>
      <c r="PY3002" s="1" t="n">
        <v>0</v>
      </c>
      <c r="PZ3002" s="1" t="n">
        <v>0</v>
      </c>
      <c r="QA3002" s="1" t="n">
        <v>0</v>
      </c>
      <c r="QB3002" s="1" t="n">
        <v>0</v>
      </c>
      <c r="QC3002" s="1" t="n">
        <v>0</v>
      </c>
      <c r="QD3002" s="1" t="n">
        <v>0</v>
      </c>
      <c r="QE3002" s="1" t="n">
        <v>0</v>
      </c>
      <c r="QF3002" s="1" t="n">
        <v>0</v>
      </c>
      <c r="QG3002" s="1" t="n">
        <v>0</v>
      </c>
      <c r="QH3002" s="1" t="n">
        <v>0</v>
      </c>
      <c r="QI3002" s="1" t="n">
        <v>0</v>
      </c>
      <c r="QJ3002" s="1" t="n">
        <v>0</v>
      </c>
      <c r="QK3002" s="1" t="n">
        <v>0</v>
      </c>
      <c r="QL3002" s="1" t="n">
        <v>0</v>
      </c>
      <c r="QM3002" s="1" t="n">
        <v>0</v>
      </c>
      <c r="QN3002" s="1" t="n">
        <v>0</v>
      </c>
      <c r="QO3002" s="1" t="n">
        <v>0</v>
      </c>
      <c r="QP3002" s="1" t="n">
        <v>0</v>
      </c>
      <c r="QQ3002" s="1" t="n">
        <v>0</v>
      </c>
      <c r="QR3002" s="1" t="n">
        <v>0</v>
      </c>
      <c r="QS3002" s="1" t="n">
        <v>0</v>
      </c>
      <c r="QT3002" s="1" t="n">
        <v>0</v>
      </c>
      <c r="QU3002" s="1" t="n">
        <v>0</v>
      </c>
      <c r="QV3002" s="1" t="n">
        <v>0</v>
      </c>
      <c r="QW3002" s="1" t="n">
        <v>0</v>
      </c>
      <c r="QX3002" s="1" t="n">
        <v>0</v>
      </c>
      <c r="QY3002" s="1" t="n">
        <v>0</v>
      </c>
      <c r="QZ3002" s="1" t="n">
        <v>0</v>
      </c>
      <c r="RA3002" s="1" t="n">
        <v>0</v>
      </c>
      <c r="RB3002" s="1" t="n">
        <v>0</v>
      </c>
      <c r="RC3002" s="1" t="n">
        <v>0</v>
      </c>
      <c r="RD3002" s="1" t="n">
        <v>0</v>
      </c>
      <c r="RE3002" s="1" t="n">
        <v>0</v>
      </c>
      <c r="RF3002" s="1" t="n">
        <v>0</v>
      </c>
      <c r="RG3002" s="1" t="n">
        <v>0</v>
      </c>
      <c r="RH3002" s="1" t="n">
        <v>0</v>
      </c>
      <c r="RI3002" s="1" t="n">
        <v>0</v>
      </c>
      <c r="RJ3002" s="1" t="n">
        <v>0</v>
      </c>
      <c r="RK3002" s="1" t="n">
        <v>0</v>
      </c>
      <c r="RL3002" s="1" t="n">
        <v>0</v>
      </c>
      <c r="RM3002" s="1" t="n">
        <v>0</v>
      </c>
      <c r="RN3002" s="1" t="n">
        <v>0</v>
      </c>
      <c r="RO3002" s="1" t="n">
        <v>0</v>
      </c>
      <c r="RP3002" s="1" t="n">
        <v>0</v>
      </c>
      <c r="RQ3002" s="1" t="n">
        <v>0</v>
      </c>
      <c r="RR3002" s="1" t="n">
        <v>0</v>
      </c>
      <c r="RS3002" s="1" t="n">
        <v>0</v>
      </c>
      <c r="RT3002" s="1" t="n">
        <v>0</v>
      </c>
      <c r="RU3002" s="1" t="n">
        <v>0</v>
      </c>
      <c r="RV3002" s="1" t="n">
        <v>0</v>
      </c>
      <c r="RW3002" s="1" t="n">
        <v>0</v>
      </c>
      <c r="RX3002" s="1" t="n">
        <v>0</v>
      </c>
      <c r="RY3002" s="1" t="n">
        <v>0</v>
      </c>
      <c r="RZ3002" s="1" t="n">
        <v>0</v>
      </c>
      <c r="SA3002" s="1" t="n">
        <v>0</v>
      </c>
      <c r="SB3002" s="1" t="n">
        <v>0</v>
      </c>
      <c r="SC3002" s="1" t="n">
        <v>0</v>
      </c>
      <c r="SD3002" s="1" t="n">
        <v>0</v>
      </c>
      <c r="SE3002" s="1" t="n">
        <v>0</v>
      </c>
      <c r="SF3002" s="1" t="n">
        <v>0</v>
      </c>
      <c r="SG3002" s="1" t="n">
        <v>0</v>
      </c>
      <c r="SH3002" s="1" t="n">
        <v>0</v>
      </c>
      <c r="SI3002" s="1" t="n">
        <v>0</v>
      </c>
      <c r="SJ3002" s="1" t="n">
        <v>0</v>
      </c>
      <c r="SK3002" s="1" t="n">
        <v>0</v>
      </c>
      <c r="SL3002" s="1" t="n">
        <v>0</v>
      </c>
      <c r="SM3002" s="1" t="n">
        <v>0</v>
      </c>
      <c r="SN3002" s="1" t="n">
        <v>0</v>
      </c>
      <c r="SO3002" s="1" t="n">
        <v>0</v>
      </c>
      <c r="SP3002" s="1" t="n">
        <v>0</v>
      </c>
      <c r="SQ3002" s="1" t="n">
        <v>0</v>
      </c>
      <c r="SR3002" s="1" t="n">
        <v>0</v>
      </c>
      <c r="SS3002" s="1" t="n">
        <v>0</v>
      </c>
      <c r="ST3002" s="1" t="n">
        <v>0</v>
      </c>
      <c r="SU3002" s="1" t="n">
        <v>0</v>
      </c>
      <c r="SV3002" s="1" t="n">
        <v>0</v>
      </c>
      <c r="SW3002" s="1" t="n">
        <v>0</v>
      </c>
      <c r="SX3002" s="1" t="n">
        <v>0</v>
      </c>
      <c r="SY3002" s="1" t="n">
        <v>0</v>
      </c>
      <c r="SZ3002" s="1" t="n">
        <v>0</v>
      </c>
      <c r="TA3002" s="1" t="n">
        <v>0</v>
      </c>
      <c r="TB3002" s="1" t="n">
        <v>0</v>
      </c>
      <c r="TC3002" s="1" t="n">
        <v>0</v>
      </c>
      <c r="TD3002" s="1" t="n">
        <v>0</v>
      </c>
      <c r="TE3002" s="1" t="n">
        <v>0</v>
      </c>
      <c r="TF3002" s="1" t="n">
        <v>0</v>
      </c>
      <c r="TG3002" s="1" t="n">
        <v>0</v>
      </c>
      <c r="TH3002" s="1" t="n">
        <v>0</v>
      </c>
      <c r="TI3002" s="1" t="n">
        <v>0</v>
      </c>
      <c r="TJ3002" s="1" t="n">
        <v>0</v>
      </c>
      <c r="TK3002" s="1" t="n">
        <v>0</v>
      </c>
      <c r="TL3002" s="1" t="n">
        <v>0</v>
      </c>
      <c r="TM3002" s="1" t="n">
        <v>0</v>
      </c>
      <c r="TN3002" s="1" t="n">
        <v>0</v>
      </c>
      <c r="TO3002" s="1" t="n">
        <v>0</v>
      </c>
      <c r="TP3002" s="1" t="n">
        <v>0</v>
      </c>
      <c r="TQ3002" s="1" t="n">
        <v>0</v>
      </c>
      <c r="TR3002" s="1" t="n">
        <v>0</v>
      </c>
      <c r="TS3002" s="1" t="n">
        <v>0</v>
      </c>
      <c r="TT3002" s="1" t="n">
        <v>0</v>
      </c>
      <c r="TU3002" s="1" t="n">
        <v>0</v>
      </c>
      <c r="TV3002" s="1" t="n">
        <v>0</v>
      </c>
      <c r="TW3002" s="1" t="n">
        <v>0</v>
      </c>
      <c r="TX3002" s="1" t="n">
        <v>0</v>
      </c>
      <c r="TY3002" s="1" t="n">
        <v>0</v>
      </c>
      <c r="TZ3002" s="1" t="n">
        <v>0</v>
      </c>
      <c r="UA3002" s="1" t="n">
        <v>0</v>
      </c>
      <c r="UB3002" s="1" t="n">
        <v>0</v>
      </c>
      <c r="UC3002" s="1" t="n">
        <v>0</v>
      </c>
      <c r="UD3002" s="1" t="n">
        <v>0</v>
      </c>
      <c r="UE3002" s="1" t="n">
        <v>0</v>
      </c>
      <c r="UF3002" s="1" t="n">
        <v>0</v>
      </c>
      <c r="UG3002" s="1" t="n">
        <v>0</v>
      </c>
      <c r="UH3002" s="1" t="n">
        <v>0</v>
      </c>
      <c r="UI3002" s="1" t="n">
        <v>0</v>
      </c>
      <c r="UJ3002" s="1" t="n">
        <v>0</v>
      </c>
      <c r="UK3002" s="1" t="n">
        <v>0</v>
      </c>
      <c r="UL3002" s="1" t="n">
        <v>0</v>
      </c>
      <c r="UM3002" s="1" t="n">
        <v>0</v>
      </c>
      <c r="UN3002" s="1" t="n">
        <v>0</v>
      </c>
      <c r="UO3002" s="1" t="n">
        <v>0</v>
      </c>
      <c r="UP3002" s="1" t="n">
        <v>0</v>
      </c>
      <c r="UQ3002" s="1" t="n">
        <v>0</v>
      </c>
      <c r="UR3002" s="1" t="n">
        <v>0</v>
      </c>
      <c r="US3002" s="1" t="n">
        <v>0</v>
      </c>
      <c r="UT3002" s="1" t="n">
        <v>0</v>
      </c>
      <c r="UU3002" s="1" t="n">
        <v>0</v>
      </c>
      <c r="UV3002" s="1" t="n">
        <v>0</v>
      </c>
      <c r="UW3002" s="1" t="n">
        <v>0</v>
      </c>
      <c r="UX3002" s="1" t="n">
        <v>0</v>
      </c>
      <c r="UY3002" s="1" t="n">
        <v>0</v>
      </c>
      <c r="UZ3002" s="1" t="n">
        <v>0</v>
      </c>
      <c r="VA3002" s="1" t="n">
        <v>0</v>
      </c>
      <c r="VB3002" s="1" t="n">
        <v>0</v>
      </c>
      <c r="VC3002" s="1" t="n">
        <v>0</v>
      </c>
      <c r="VD3002" s="1" t="n">
        <v>0</v>
      </c>
      <c r="VE3002" s="1" t="n">
        <v>0</v>
      </c>
      <c r="VF3002" s="1" t="n">
        <v>0</v>
      </c>
      <c r="VG3002" s="1" t="n">
        <v>0</v>
      </c>
      <c r="VH3002" s="1" t="n">
        <v>0</v>
      </c>
      <c r="VI3002" s="1" t="n">
        <v>0</v>
      </c>
      <c r="VJ3002" s="1" t="n">
        <v>0</v>
      </c>
      <c r="VK3002" s="1" t="n">
        <v>0</v>
      </c>
      <c r="VL3002" s="1" t="n">
        <v>0</v>
      </c>
      <c r="VM3002" s="1" t="n">
        <v>0</v>
      </c>
      <c r="VN3002" s="1" t="n">
        <v>0</v>
      </c>
      <c r="VO3002" s="1" t="n">
        <v>0</v>
      </c>
      <c r="VP3002" s="1" t="n">
        <v>0</v>
      </c>
      <c r="VQ3002" s="1" t="n">
        <v>0</v>
      </c>
      <c r="VR3002" s="1" t="n">
        <v>0</v>
      </c>
      <c r="VS3002" s="1" t="n">
        <v>0</v>
      </c>
      <c r="VT3002" s="1" t="n">
        <v>0</v>
      </c>
      <c r="VU3002" s="1" t="n">
        <v>0</v>
      </c>
      <c r="VV3002" s="1" t="n">
        <v>0</v>
      </c>
      <c r="VW3002" s="1" t="n">
        <v>0</v>
      </c>
      <c r="VX3002" s="1" t="n">
        <v>0</v>
      </c>
      <c r="VY3002" s="1" t="n">
        <v>0</v>
      </c>
      <c r="VZ3002" s="1" t="n">
        <v>0</v>
      </c>
      <c r="WA3002" s="1" t="n">
        <v>0</v>
      </c>
      <c r="WB3002" s="1" t="n">
        <v>0</v>
      </c>
      <c r="WC3002" s="1" t="n">
        <v>0</v>
      </c>
      <c r="WD3002" s="1" t="n">
        <v>0</v>
      </c>
      <c r="WE3002" s="1" t="n">
        <v>0</v>
      </c>
      <c r="WF3002" s="1" t="n">
        <v>0</v>
      </c>
      <c r="WG3002" s="1" t="n">
        <v>0</v>
      </c>
      <c r="WH3002" s="1" t="n">
        <v>0</v>
      </c>
      <c r="WI3002" s="1" t="n">
        <v>0</v>
      </c>
      <c r="WJ3002" s="1" t="n">
        <v>0</v>
      </c>
      <c r="WK3002" s="1" t="n">
        <v>0</v>
      </c>
      <c r="WL3002" s="1" t="n">
        <v>0</v>
      </c>
      <c r="WM3002" s="1" t="n">
        <v>0</v>
      </c>
      <c r="WN3002" s="1" t="n">
        <v>0</v>
      </c>
      <c r="WO3002" s="1" t="n">
        <v>0</v>
      </c>
      <c r="WP3002" s="1" t="n">
        <v>0</v>
      </c>
      <c r="WQ3002" s="1" t="n">
        <v>0</v>
      </c>
      <c r="WR3002" s="1" t="n">
        <v>0</v>
      </c>
      <c r="WS3002" s="1" t="n">
        <v>0</v>
      </c>
      <c r="WT3002" s="1" t="n">
        <v>0</v>
      </c>
      <c r="WU3002" s="1" t="n">
        <v>0</v>
      </c>
      <c r="WV3002" s="1" t="n">
        <v>0</v>
      </c>
      <c r="WW3002" s="1" t="n">
        <v>0</v>
      </c>
      <c r="WX3002" s="1" t="n">
        <v>0</v>
      </c>
      <c r="WY3002" s="1" t="n">
        <v>0</v>
      </c>
      <c r="WZ3002" s="1" t="n">
        <v>0</v>
      </c>
      <c r="XA3002" s="1" t="n">
        <v>0</v>
      </c>
      <c r="XB3002" s="1" t="n">
        <v>0</v>
      </c>
      <c r="XC3002" s="1" t="n">
        <v>0</v>
      </c>
      <c r="XD3002" s="1" t="n">
        <v>0</v>
      </c>
      <c r="XE3002" s="1" t="n">
        <v>0</v>
      </c>
      <c r="XF3002" s="1" t="n">
        <v>0</v>
      </c>
      <c r="XG3002" s="1" t="n">
        <v>0</v>
      </c>
      <c r="XH3002" s="1" t="n">
        <v>0</v>
      </c>
      <c r="XI3002" s="1" t="n">
        <v>0</v>
      </c>
      <c r="XJ3002" s="1" t="n">
        <v>0</v>
      </c>
      <c r="XK3002" s="1" t="n">
        <v>0</v>
      </c>
      <c r="XL3002" s="1" t="n">
        <v>0</v>
      </c>
      <c r="XM3002" s="1" t="n">
        <v>0</v>
      </c>
      <c r="XN3002" s="1" t="n">
        <v>0</v>
      </c>
      <c r="XO3002" s="1" t="n">
        <v>0</v>
      </c>
      <c r="XP3002" s="1" t="n">
        <v>0</v>
      </c>
      <c r="XQ3002" s="1" t="n">
        <v>0</v>
      </c>
      <c r="XR3002" s="1" t="n">
        <v>0</v>
      </c>
      <c r="XS3002" s="1" t="n">
        <v>0</v>
      </c>
      <c r="XT3002" s="1" t="n">
        <v>0</v>
      </c>
      <c r="XU3002" s="1" t="n">
        <v>0</v>
      </c>
      <c r="XV3002" s="1" t="n">
        <v>0</v>
      </c>
      <c r="XW3002" s="1" t="n">
        <v>0</v>
      </c>
      <c r="XX3002" s="1" t="n">
        <v>0</v>
      </c>
      <c r="XY3002" s="1" t="n">
        <v>0</v>
      </c>
      <c r="XZ3002" s="1" t="n">
        <v>0</v>
      </c>
      <c r="YA3002" s="1" t="n">
        <v>0</v>
      </c>
      <c r="YB3002" s="1" t="n">
        <v>0</v>
      </c>
      <c r="YC3002" s="1" t="n">
        <v>0</v>
      </c>
      <c r="YD3002" s="1" t="n">
        <v>0</v>
      </c>
      <c r="YE3002" s="1" t="n">
        <v>0</v>
      </c>
      <c r="YF3002" s="1" t="n">
        <v>0</v>
      </c>
      <c r="YG3002" s="1" t="n">
        <v>0</v>
      </c>
      <c r="YH3002" s="1" t="n">
        <v>0</v>
      </c>
      <c r="YI3002" s="1" t="n">
        <v>0</v>
      </c>
      <c r="YJ3002" s="1" t="n">
        <v>0</v>
      </c>
      <c r="YK3002" s="1" t="n">
        <v>0</v>
      </c>
      <c r="YL3002" s="1" t="n">
        <v>0</v>
      </c>
      <c r="YM3002" s="1" t="n">
        <v>0</v>
      </c>
      <c r="YN3002" s="1" t="n">
        <v>0</v>
      </c>
      <c r="YO3002" s="1" t="n">
        <v>0</v>
      </c>
      <c r="YP3002" s="1" t="n">
        <v>0</v>
      </c>
      <c r="YQ3002" s="1" t="n">
        <v>0</v>
      </c>
      <c r="YR3002" s="1" t="n">
        <v>0</v>
      </c>
      <c r="YS3002" s="1" t="n">
        <v>0</v>
      </c>
      <c r="YT3002" s="1" t="n">
        <v>0</v>
      </c>
      <c r="YU3002" s="1" t="n">
        <v>0</v>
      </c>
      <c r="YV3002" s="1" t="n">
        <v>0</v>
      </c>
      <c r="YW3002" s="1" t="n">
        <v>0</v>
      </c>
      <c r="YX3002" s="1" t="n">
        <v>0</v>
      </c>
      <c r="YY3002" s="1" t="n">
        <v>0</v>
      </c>
      <c r="YZ3002" s="1" t="n">
        <v>0</v>
      </c>
      <c r="ZA3002" s="1" t="n">
        <v>0</v>
      </c>
      <c r="ZB3002" s="1" t="n">
        <v>0</v>
      </c>
      <c r="ZC3002" s="1" t="n">
        <v>0</v>
      </c>
      <c r="ZD3002" s="1" t="n">
        <v>0</v>
      </c>
      <c r="ZE3002" s="1" t="n">
        <v>0</v>
      </c>
      <c r="ZF3002" s="1" t="n">
        <v>0</v>
      </c>
      <c r="ZG3002" s="1" t="n">
        <v>0</v>
      </c>
      <c r="ZH3002" s="1" t="n">
        <v>0</v>
      </c>
      <c r="ZI3002" s="1" t="n">
        <v>0</v>
      </c>
      <c r="ZJ3002" s="1" t="n">
        <v>0</v>
      </c>
      <c r="ZK3002" s="1" t="n">
        <v>0</v>
      </c>
      <c r="ZL3002" s="1" t="n">
        <v>0</v>
      </c>
      <c r="ZM3002" s="1" t="n">
        <v>0</v>
      </c>
      <c r="ZN3002" s="1" t="n">
        <v>0</v>
      </c>
      <c r="ZO3002" s="1" t="n">
        <v>0</v>
      </c>
      <c r="ZP3002" s="1" t="n">
        <v>0</v>
      </c>
      <c r="ZQ3002" s="1" t="n">
        <v>0</v>
      </c>
      <c r="ZR3002" s="1" t="n">
        <v>0</v>
      </c>
      <c r="ZS3002" s="1" t="n">
        <v>0</v>
      </c>
      <c r="ZT3002" s="1" t="n">
        <v>0</v>
      </c>
      <c r="ZU3002" s="1" t="n">
        <v>0</v>
      </c>
      <c r="ZV3002" s="1" t="n">
        <v>0</v>
      </c>
      <c r="ZW3002" s="1" t="n">
        <v>0</v>
      </c>
      <c r="ZX3002" s="1" t="n">
        <v>0</v>
      </c>
      <c r="ZY3002" s="1" t="n">
        <v>0</v>
      </c>
      <c r="ZZ3002" s="1" t="n">
        <v>0</v>
      </c>
      <c r="AAA3002" s="1" t="n">
        <v>0</v>
      </c>
      <c r="AAB3002" s="1" t="n">
        <v>0</v>
      </c>
      <c r="AAC3002" s="1" t="n">
        <v>0</v>
      </c>
      <c r="AAD3002" s="1" t="n">
        <v>0</v>
      </c>
      <c r="AAE3002" s="1" t="n">
        <v>0</v>
      </c>
      <c r="AAF3002" s="1" t="n">
        <v>0</v>
      </c>
      <c r="AAG3002" s="1" t="n">
        <v>0</v>
      </c>
      <c r="AAH3002" s="1" t="n">
        <v>0</v>
      </c>
      <c r="AAI3002" s="1" t="n">
        <v>0</v>
      </c>
      <c r="AAJ3002" s="1" t="n">
        <v>0</v>
      </c>
      <c r="AAK3002" s="1" t="n">
        <v>0</v>
      </c>
      <c r="AAL3002" s="1" t="n">
        <v>0</v>
      </c>
      <c r="AAM3002" s="1" t="n">
        <v>0</v>
      </c>
      <c r="AAN3002" s="1" t="n">
        <v>0</v>
      </c>
      <c r="AAO3002" s="1" t="n">
        <v>0</v>
      </c>
      <c r="AAP3002" s="1" t="n">
        <v>0</v>
      </c>
      <c r="AAQ3002" s="1" t="n">
        <v>0</v>
      </c>
      <c r="AAR3002" s="1" t="n">
        <v>0</v>
      </c>
      <c r="AAS3002" s="1" t="n">
        <v>0</v>
      </c>
      <c r="AAT3002" s="1" t="n">
        <v>0</v>
      </c>
      <c r="AAU3002" s="1" t="n">
        <v>0</v>
      </c>
      <c r="AAV3002" s="1" t="n">
        <v>0</v>
      </c>
      <c r="AAW3002" s="1" t="n">
        <v>0</v>
      </c>
      <c r="AAX3002" s="1" t="n">
        <v>0</v>
      </c>
      <c r="AAY3002" s="1" t="n">
        <v>0</v>
      </c>
      <c r="AAZ3002" s="1" t="n">
        <v>0</v>
      </c>
      <c r="ABA3002" s="1" t="n">
        <v>0</v>
      </c>
      <c r="ABB3002" s="1" t="n">
        <v>0</v>
      </c>
      <c r="ABC3002" s="1" t="n">
        <v>0</v>
      </c>
      <c r="ABD3002" s="1" t="n">
        <v>0</v>
      </c>
      <c r="ABE3002" s="1" t="n">
        <v>0</v>
      </c>
      <c r="ABF3002" s="1" t="n">
        <v>0</v>
      </c>
      <c r="ABG3002" s="1" t="n">
        <v>0</v>
      </c>
      <c r="ABH3002" s="1" t="n">
        <v>0</v>
      </c>
      <c r="ABI3002" s="1" t="n">
        <v>0</v>
      </c>
      <c r="ABJ3002" s="1" t="n">
        <v>0</v>
      </c>
      <c r="ABK3002" s="1" t="n">
        <v>0</v>
      </c>
      <c r="ABL3002" s="1" t="n">
        <v>0</v>
      </c>
      <c r="ABM3002" s="1" t="n">
        <v>0</v>
      </c>
      <c r="ABN3002" s="1" t="n">
        <v>0</v>
      </c>
      <c r="ABO3002" s="1" t="n">
        <v>0</v>
      </c>
      <c r="ABP3002" s="1" t="n">
        <v>0</v>
      </c>
      <c r="ABQ3002" s="1" t="n">
        <v>0</v>
      </c>
      <c r="ABR3002" s="1" t="n">
        <v>0</v>
      </c>
      <c r="ABS3002" s="1" t="n">
        <v>0</v>
      </c>
      <c r="ABT3002" s="1" t="n">
        <v>0</v>
      </c>
      <c r="ABU3002" s="1" t="n">
        <v>0</v>
      </c>
      <c r="ABV3002" s="1" t="n">
        <v>0</v>
      </c>
      <c r="ABW3002" s="1" t="n">
        <v>0</v>
      </c>
      <c r="ABX3002" s="1" t="n">
        <v>0</v>
      </c>
      <c r="ABY3002" s="1" t="n">
        <v>0</v>
      </c>
      <c r="ABZ3002" s="1" t="n">
        <v>0</v>
      </c>
      <c r="ACA3002" s="1" t="n">
        <v>0</v>
      </c>
      <c r="ACB3002" s="1" t="n">
        <v>0</v>
      </c>
      <c r="ACC3002" s="1" t="n">
        <v>0</v>
      </c>
      <c r="ACD3002" s="1" t="n">
        <v>0</v>
      </c>
      <c r="ACE3002" s="1" t="n">
        <v>0</v>
      </c>
      <c r="ACF3002" s="1" t="n">
        <v>0</v>
      </c>
      <c r="ACG3002" s="1" t="n">
        <v>0</v>
      </c>
      <c r="ACH3002" s="1" t="n">
        <v>0</v>
      </c>
      <c r="ACI3002" s="1" t="n">
        <v>0</v>
      </c>
      <c r="ACJ3002" s="1" t="n">
        <v>0</v>
      </c>
      <c r="ACK3002" s="1" t="n">
        <v>0</v>
      </c>
      <c r="ACL3002" s="1" t="n">
        <v>0</v>
      </c>
      <c r="ACM3002" s="1" t="n">
        <v>0</v>
      </c>
      <c r="ACN3002" s="1" t="n">
        <v>0</v>
      </c>
      <c r="ACO3002" s="1" t="n">
        <v>0</v>
      </c>
      <c r="ACP3002" s="1" t="n">
        <v>0</v>
      </c>
      <c r="ACQ3002" s="1" t="n">
        <v>0</v>
      </c>
      <c r="ACR3002" s="1" t="n">
        <v>0</v>
      </c>
      <c r="ACS3002" s="1" t="n">
        <v>0</v>
      </c>
      <c r="ACT3002" s="1" t="n">
        <v>0</v>
      </c>
      <c r="ACU3002" s="1" t="n">
        <v>0</v>
      </c>
      <c r="ACV3002" s="1" t="n">
        <v>0</v>
      </c>
      <c r="ACW3002" s="1" t="n">
        <v>0</v>
      </c>
      <c r="ACX3002" s="1" t="n">
        <v>0</v>
      </c>
      <c r="ACY3002" s="1" t="n">
        <v>0</v>
      </c>
      <c r="ACZ3002" s="1" t="n">
        <v>0</v>
      </c>
      <c r="ADA3002" s="1" t="n">
        <v>0</v>
      </c>
      <c r="ADB3002" s="1" t="n">
        <v>0</v>
      </c>
      <c r="ADC3002" s="1" t="n">
        <v>0</v>
      </c>
      <c r="ADD3002" s="1" t="n">
        <v>0</v>
      </c>
      <c r="ADE3002" s="1" t="n">
        <v>0</v>
      </c>
      <c r="ADF3002" s="1" t="n">
        <v>0</v>
      </c>
      <c r="ADG3002" s="1" t="n">
        <v>0</v>
      </c>
      <c r="ADH3002" s="1" t="n">
        <v>0</v>
      </c>
      <c r="ADI3002" s="1" t="n">
        <v>0</v>
      </c>
      <c r="ADJ3002" s="1" t="n">
        <v>0</v>
      </c>
      <c r="ADK3002" s="1" t="n">
        <v>0</v>
      </c>
      <c r="ADL3002" s="1" t="n">
        <v>0</v>
      </c>
      <c r="ADM3002" s="1" t="n">
        <v>0</v>
      </c>
      <c r="ADN3002" s="1" t="n">
        <v>0</v>
      </c>
      <c r="ADO3002" s="1" t="n">
        <v>0</v>
      </c>
      <c r="ADP3002" s="1" t="n">
        <v>0</v>
      </c>
      <c r="ADQ3002" s="1" t="n">
        <v>0</v>
      </c>
      <c r="ADR3002" s="1" t="n">
        <v>0</v>
      </c>
      <c r="ADS3002" s="1" t="n">
        <v>0</v>
      </c>
      <c r="ADT3002" s="1" t="n">
        <v>0</v>
      </c>
      <c r="ADU3002" s="1" t="n">
        <v>0</v>
      </c>
      <c r="ADV3002" s="1" t="n">
        <v>0</v>
      </c>
      <c r="ADW3002" s="1" t="n">
        <v>0</v>
      </c>
      <c r="ADX3002" s="1" t="n">
        <v>0</v>
      </c>
      <c r="ADY3002" s="1" t="n">
        <v>0</v>
      </c>
      <c r="ADZ3002" s="1" t="n">
        <v>0</v>
      </c>
      <c r="AEA3002" s="1" t="n">
        <v>0</v>
      </c>
      <c r="AEB3002" s="1" t="n">
        <v>0</v>
      </c>
      <c r="AEC3002" s="1" t="n">
        <v>0</v>
      </c>
      <c r="AED3002" s="1" t="n">
        <v>0</v>
      </c>
      <c r="AEE3002" s="1" t="n">
        <v>0</v>
      </c>
      <c r="AEF3002" s="1" t="n">
        <v>0</v>
      </c>
      <c r="AEG3002" s="1" t="n">
        <v>0</v>
      </c>
      <c r="AEH3002" s="1" t="n">
        <v>0</v>
      </c>
      <c r="AEI3002" s="1" t="n">
        <v>0</v>
      </c>
      <c r="AEJ3002" s="1" t="n">
        <v>0</v>
      </c>
      <c r="AEK3002" s="1" t="n">
        <v>0</v>
      </c>
      <c r="AEL3002" s="1" t="n">
        <v>0</v>
      </c>
      <c r="AEM3002" s="1" t="n">
        <v>0</v>
      </c>
      <c r="AEN3002" s="1" t="n">
        <v>0</v>
      </c>
      <c r="AEO3002" s="1" t="n">
        <v>0</v>
      </c>
      <c r="AEP3002" s="1" t="n">
        <v>0</v>
      </c>
      <c r="AEQ3002" s="1" t="n">
        <v>0</v>
      </c>
      <c r="AER3002" s="1" t="n">
        <v>0</v>
      </c>
      <c r="AES3002" s="1" t="n">
        <v>0</v>
      </c>
      <c r="AET3002" s="1" t="n">
        <v>0</v>
      </c>
      <c r="AEU3002" s="1" t="n">
        <v>0</v>
      </c>
      <c r="AEV3002" s="1" t="n">
        <v>0</v>
      </c>
      <c r="AEW3002" s="1" t="n">
        <v>0</v>
      </c>
      <c r="AEX3002" s="1" t="n">
        <v>0</v>
      </c>
      <c r="AEY3002" s="1" t="n">
        <v>0</v>
      </c>
      <c r="AEZ3002" s="1" t="n">
        <v>0</v>
      </c>
      <c r="AFA3002" s="1" t="n">
        <v>0</v>
      </c>
      <c r="AFB3002" s="1" t="n">
        <v>0</v>
      </c>
      <c r="AFC3002" s="1" t="n">
        <v>0</v>
      </c>
      <c r="AFD3002" s="1" t="n">
        <v>0</v>
      </c>
      <c r="AFE3002" s="1" t="n">
        <v>0</v>
      </c>
      <c r="AFF3002" s="1" t="n">
        <v>0</v>
      </c>
      <c r="AFG3002" s="1" t="n">
        <v>0</v>
      </c>
      <c r="AFH3002" s="1" t="n">
        <v>0</v>
      </c>
      <c r="AFI3002" s="1" t="n">
        <v>0</v>
      </c>
      <c r="AFJ3002" s="1" t="n">
        <v>0</v>
      </c>
      <c r="AFK3002" s="1" t="n">
        <v>0</v>
      </c>
      <c r="AFL3002" s="1" t="n">
        <v>0</v>
      </c>
      <c r="AFM3002" s="1" t="n">
        <v>0</v>
      </c>
      <c r="AFN3002" s="1" t="n">
        <v>0</v>
      </c>
      <c r="AFO3002" s="1" t="n">
        <v>0</v>
      </c>
      <c r="AFP3002" s="1" t="n">
        <v>0</v>
      </c>
      <c r="AFQ3002" s="1" t="n">
        <v>0</v>
      </c>
      <c r="AFR3002" s="1" t="n">
        <v>0</v>
      </c>
      <c r="AFS3002" s="1" t="n">
        <v>0</v>
      </c>
      <c r="AFT3002" s="1" t="n">
        <v>0</v>
      </c>
      <c r="AFU3002" s="1" t="n">
        <v>0</v>
      </c>
      <c r="AFV3002" s="1" t="n">
        <v>0</v>
      </c>
      <c r="AFW3002" s="1" t="n">
        <v>0</v>
      </c>
      <c r="AFX3002" s="1" t="n">
        <v>0</v>
      </c>
      <c r="AFY3002" s="1" t="n">
        <v>0</v>
      </c>
      <c r="AFZ3002" s="1" t="n">
        <v>0</v>
      </c>
      <c r="AGA3002" s="1" t="n">
        <v>0</v>
      </c>
      <c r="AGB3002" s="1" t="n">
        <v>0</v>
      </c>
      <c r="AGC3002" s="1" t="n">
        <v>0</v>
      </c>
      <c r="AGD3002" s="1" t="n">
        <v>0</v>
      </c>
      <c r="AGE3002" s="1" t="n">
        <v>0</v>
      </c>
      <c r="AGF3002" s="1" t="n">
        <v>0</v>
      </c>
      <c r="AGG3002" s="1" t="n">
        <v>0</v>
      </c>
      <c r="AGH3002" s="1" t="n">
        <v>0</v>
      </c>
      <c r="AGI3002" s="1" t="n">
        <v>0</v>
      </c>
      <c r="AGJ3002" s="1" t="n">
        <v>0</v>
      </c>
      <c r="AGK3002" s="1" t="n">
        <v>0</v>
      </c>
      <c r="AGL3002" s="1" t="n">
        <v>0</v>
      </c>
      <c r="AGM3002" s="1" t="n">
        <v>0</v>
      </c>
      <c r="AGN3002" s="1" t="n">
        <v>0</v>
      </c>
      <c r="AGO3002" s="1" t="n">
        <v>0</v>
      </c>
      <c r="AGP3002" s="1" t="n">
        <v>0</v>
      </c>
      <c r="AGQ3002" s="1" t="n">
        <v>0</v>
      </c>
      <c r="AGR3002" s="1" t="n">
        <v>0</v>
      </c>
      <c r="AGS3002" s="1" t="n">
        <v>0</v>
      </c>
      <c r="AGT3002" s="1" t="n">
        <v>0</v>
      </c>
      <c r="AGU3002" s="1" t="n">
        <v>0</v>
      </c>
      <c r="AGV3002" s="1" t="n">
        <v>0</v>
      </c>
      <c r="AGW3002" s="1" t="n">
        <v>0</v>
      </c>
      <c r="AGX3002" s="1" t="n">
        <v>0</v>
      </c>
      <c r="AGY3002" s="1" t="n">
        <v>0</v>
      </c>
      <c r="AGZ3002" s="1" t="n">
        <v>0</v>
      </c>
      <c r="AHA3002" s="1" t="n">
        <v>0</v>
      </c>
      <c r="AHB3002" s="1" t="n">
        <v>0</v>
      </c>
      <c r="AHC3002" s="1" t="n">
        <v>0</v>
      </c>
      <c r="AHD3002" s="1" t="n">
        <v>0</v>
      </c>
      <c r="AHE3002" s="1" t="n">
        <v>0</v>
      </c>
      <c r="AHF3002" s="1" t="n">
        <v>0</v>
      </c>
      <c r="AHG3002" s="1" t="n">
        <v>0</v>
      </c>
      <c r="AHH3002" s="1" t="n">
        <v>0</v>
      </c>
      <c r="AHI3002" s="1" t="n">
        <v>0</v>
      </c>
      <c r="AHJ3002" s="1" t="n">
        <v>0</v>
      </c>
      <c r="AHK3002" s="1" t="n">
        <v>0</v>
      </c>
      <c r="AHL3002" s="1" t="n">
        <v>0</v>
      </c>
      <c r="AHM3002" s="1" t="n">
        <v>0</v>
      </c>
      <c r="AHN3002" s="1" t="n">
        <v>0</v>
      </c>
      <c r="AHO3002" s="1" t="n">
        <v>0</v>
      </c>
      <c r="AHP3002" s="1" t="n">
        <v>0</v>
      </c>
      <c r="AHQ3002" s="1" t="n">
        <v>0</v>
      </c>
      <c r="AHR3002" s="1" t="n">
        <v>0</v>
      </c>
      <c r="AHS3002" s="1" t="n">
        <v>0</v>
      </c>
      <c r="AHT3002" s="1" t="n">
        <v>0</v>
      </c>
      <c r="AHU3002" s="1" t="n">
        <v>0</v>
      </c>
      <c r="AHV3002" s="1" t="n">
        <v>0</v>
      </c>
      <c r="AHW3002" s="1" t="n">
        <v>0</v>
      </c>
      <c r="AHX3002" s="1" t="n">
        <v>0</v>
      </c>
      <c r="AHY3002" s="1" t="n">
        <v>0</v>
      </c>
      <c r="AHZ3002" s="1" t="n">
        <v>0</v>
      </c>
      <c r="AIA3002" s="1" t="n">
        <v>0</v>
      </c>
      <c r="AIB3002" s="1" t="n">
        <v>0</v>
      </c>
      <c r="AIC3002" s="1" t="n">
        <v>0</v>
      </c>
      <c r="AID3002" s="1" t="n">
        <v>0</v>
      </c>
      <c r="AIE3002" s="1" t="n">
        <v>0</v>
      </c>
      <c r="AIF3002" s="1" t="n">
        <v>0</v>
      </c>
      <c r="AIG3002" s="1" t="n">
        <v>0</v>
      </c>
      <c r="AIH3002" s="1" t="n">
        <v>0</v>
      </c>
      <c r="AII3002" s="1" t="n">
        <v>0</v>
      </c>
      <c r="AIJ3002" s="1" t="n">
        <v>0</v>
      </c>
      <c r="AIK3002" s="1" t="n">
        <v>0</v>
      </c>
      <c r="AIL3002" s="1" t="n">
        <v>0</v>
      </c>
      <c r="AIM3002" s="1" t="n">
        <v>0</v>
      </c>
      <c r="AIN3002" s="1" t="n">
        <v>0</v>
      </c>
      <c r="AIO3002" s="1" t="n">
        <v>0</v>
      </c>
      <c r="AIP3002" s="1" t="n">
        <v>0</v>
      </c>
      <c r="AIQ3002" s="1" t="n">
        <v>0</v>
      </c>
      <c r="AIR3002" s="1" t="n">
        <v>0</v>
      </c>
      <c r="AIS3002" s="1" t="n">
        <v>0</v>
      </c>
      <c r="AIT3002" s="1" t="n">
        <v>0</v>
      </c>
      <c r="AIU3002" s="1" t="n">
        <v>0</v>
      </c>
      <c r="AIV3002" s="1" t="n">
        <v>0</v>
      </c>
      <c r="AIW3002" s="1" t="n">
        <v>0</v>
      </c>
      <c r="AIX3002" s="1" t="n">
        <v>0</v>
      </c>
      <c r="AIY3002" s="1" t="n">
        <v>0</v>
      </c>
      <c r="AIZ3002" s="1" t="n">
        <v>0</v>
      </c>
      <c r="AJA3002" s="1" t="n">
        <v>0</v>
      </c>
      <c r="AJB3002" s="1" t="n">
        <v>0</v>
      </c>
      <c r="AJC3002" s="1" t="n">
        <v>0</v>
      </c>
      <c r="AJD3002" s="1" t="n">
        <v>0</v>
      </c>
      <c r="AJE3002" s="1" t="n">
        <v>0</v>
      </c>
      <c r="AJF3002" s="1" t="n">
        <v>0</v>
      </c>
      <c r="AJG3002" s="1" t="n">
        <v>0</v>
      </c>
      <c r="AJH3002" s="1" t="n">
        <v>0</v>
      </c>
      <c r="AJI3002" s="1" t="n">
        <v>0</v>
      </c>
      <c r="AJJ3002" s="1" t="n">
        <v>0</v>
      </c>
      <c r="AJK3002" s="1" t="n">
        <v>0</v>
      </c>
      <c r="AJL3002" s="1" t="n">
        <v>0</v>
      </c>
      <c r="AJM3002" s="1" t="n">
        <v>0</v>
      </c>
      <c r="AJN3002" s="1" t="n">
        <v>0</v>
      </c>
      <c r="AJO3002" s="1" t="n">
        <v>0</v>
      </c>
      <c r="AJP3002" s="1" t="n">
        <v>0</v>
      </c>
      <c r="AJQ3002" s="1" t="n">
        <v>0</v>
      </c>
      <c r="AJR3002" s="1" t="n">
        <v>0</v>
      </c>
      <c r="AJS3002" s="1" t="n">
        <v>0</v>
      </c>
      <c r="AJT3002" s="1" t="n">
        <v>0</v>
      </c>
      <c r="AJU3002" s="1" t="n">
        <v>0</v>
      </c>
      <c r="AJV3002" s="1" t="n">
        <v>0</v>
      </c>
      <c r="AJW3002" s="1" t="n">
        <v>0</v>
      </c>
      <c r="AJX3002" s="1" t="n">
        <v>0</v>
      </c>
      <c r="AJY3002" s="1" t="n">
        <v>0</v>
      </c>
      <c r="AJZ3002" s="1" t="n">
        <v>0</v>
      </c>
      <c r="AKA3002" s="1" t="n">
        <v>0</v>
      </c>
      <c r="AKB3002" s="1" t="n">
        <v>0</v>
      </c>
      <c r="AKC3002" s="1" t="n">
        <v>0</v>
      </c>
      <c r="AKD3002" s="1" t="n">
        <v>0</v>
      </c>
      <c r="AKE3002" s="1" t="n">
        <v>0</v>
      </c>
      <c r="AKF3002" s="1" t="n">
        <v>0</v>
      </c>
      <c r="AKG3002" s="1" t="n">
        <v>0</v>
      </c>
      <c r="AKH3002" s="1" t="n">
        <v>0</v>
      </c>
      <c r="AKI3002" s="1" t="n">
        <v>0</v>
      </c>
      <c r="AKJ3002" s="1" t="n">
        <v>0</v>
      </c>
      <c r="AKK3002" s="1" t="n">
        <v>0</v>
      </c>
      <c r="AKL3002" s="1" t="n">
        <v>0</v>
      </c>
      <c r="AKM3002" s="1" t="n">
        <v>0</v>
      </c>
      <c r="AKN3002" s="1" t="n">
        <v>0</v>
      </c>
      <c r="AKO3002" s="1" t="n">
        <v>0</v>
      </c>
      <c r="AKP3002" s="1" t="n">
        <v>0</v>
      </c>
      <c r="AKQ3002" s="1" t="n">
        <v>0</v>
      </c>
      <c r="AKR3002" s="1" t="n">
        <v>0</v>
      </c>
      <c r="AKS3002" s="1" t="n">
        <v>0</v>
      </c>
      <c r="AKT3002" s="1" t="n">
        <v>0</v>
      </c>
      <c r="AKU3002" s="1" t="n">
        <v>0</v>
      </c>
      <c r="AKV3002" s="1" t="n">
        <v>0</v>
      </c>
      <c r="AKW3002" s="1" t="n">
        <v>0</v>
      </c>
      <c r="AKX3002" s="1" t="n">
        <v>0</v>
      </c>
      <c r="AKY3002" s="1" t="n">
        <v>0</v>
      </c>
      <c r="AKZ3002" s="1" t="n">
        <v>0</v>
      </c>
      <c r="ALA3002" s="1" t="n">
        <v>0</v>
      </c>
      <c r="ALB3002" s="1" t="n">
        <v>0</v>
      </c>
      <c r="ALC3002" s="1" t="n">
        <v>0</v>
      </c>
      <c r="ALD3002" s="1" t="n">
        <v>0</v>
      </c>
      <c r="ALE3002" s="1" t="n">
        <v>0</v>
      </c>
      <c r="ALF3002" s="1" t="n">
        <v>0</v>
      </c>
      <c r="ALG3002" s="1" t="n">
        <v>0</v>
      </c>
      <c r="ALH3002" s="1" t="n">
        <v>0</v>
      </c>
      <c r="ALI3002" s="1" t="n">
        <v>0</v>
      </c>
      <c r="ALJ3002" s="1" t="n">
        <v>0</v>
      </c>
      <c r="ALK3002" s="1" t="n">
        <v>0</v>
      </c>
      <c r="ALL3002" s="1" t="n">
        <v>0</v>
      </c>
      <c r="ALM3002" s="1" t="n">
        <v>0</v>
      </c>
      <c r="ALN3002" s="1" t="n">
        <v>0</v>
      </c>
      <c r="ALO3002" s="1" t="n">
        <v>0</v>
      </c>
      <c r="ALP3002" s="1" t="n">
        <v>0</v>
      </c>
      <c r="ALQ3002" s="1" t="n">
        <v>0</v>
      </c>
      <c r="ALR3002" s="1" t="n">
        <v>0</v>
      </c>
      <c r="ALS3002" s="1" t="n">
        <v>0</v>
      </c>
      <c r="ALT3002" s="1" t="n">
        <v>0</v>
      </c>
      <c r="ALU3002" s="1" t="n">
        <v>0</v>
      </c>
      <c r="ALV3002" s="1" t="n">
        <v>0</v>
      </c>
      <c r="ALW3002" s="1" t="n">
        <v>0</v>
      </c>
      <c r="ALX3002" s="1" t="n">
        <v>0</v>
      </c>
      <c r="ALY3002" s="1" t="n">
        <v>0</v>
      </c>
      <c r="ALZ3002" s="1" t="n">
        <v>0</v>
      </c>
      <c r="AMA3002" s="1" t="n">
        <v>0</v>
      </c>
      <c r="AMB3002" s="1" t="n">
        <v>0</v>
      </c>
      <c r="AMC3002" s="1" t="n">
        <v>0</v>
      </c>
      <c r="AMD3002" s="1" t="n">
        <v>0</v>
      </c>
      <c r="AME3002" s="1" t="n">
        <v>0</v>
      </c>
      <c r="AMF3002" s="1" t="n">
        <v>0</v>
      </c>
      <c r="AMG3002" s="1" t="n">
        <v>0</v>
      </c>
      <c r="AMH3002" s="1" t="n">
        <v>0</v>
      </c>
      <c r="AMI3002" s="1" t="n">
        <v>0</v>
      </c>
      <c r="AMJ3002" s="1" t="n">
        <v>0</v>
      </c>
      <c r="AMK3002" s="1" t="n">
        <v>0</v>
      </c>
      <c r="AML3002" s="1" t="n">
        <v>0</v>
      </c>
      <c r="AMM3002" s="1" t="n">
        <v>0</v>
      </c>
      <c r="AMN3002" s="1" t="n">
        <v>0</v>
      </c>
      <c r="AMO3002" s="1" t="n">
        <v>0</v>
      </c>
      <c r="AMP3002" s="1" t="n">
        <v>0</v>
      </c>
      <c r="AMQ3002" s="1" t="n">
        <v>0</v>
      </c>
      <c r="AMR3002" s="1" t="n">
        <v>0</v>
      </c>
      <c r="AMS3002" s="1" t="n">
        <v>0</v>
      </c>
      <c r="AMT3002" s="1" t="n">
        <v>0</v>
      </c>
      <c r="AMU3002" s="1" t="n">
        <v>0</v>
      </c>
      <c r="AMV3002" s="1" t="n">
        <v>0</v>
      </c>
      <c r="AMW3002" s="1" t="n">
        <v>0</v>
      </c>
      <c r="AMX3002" s="1" t="n">
        <v>0</v>
      </c>
      <c r="AMY3002" s="1" t="n">
        <v>0</v>
      </c>
      <c r="AMZ3002" s="1" t="n">
        <v>0</v>
      </c>
      <c r="ANA3002" s="1" t="n">
        <v>0</v>
      </c>
      <c r="ANB3002" s="1" t="n">
        <v>0</v>
      </c>
      <c r="ANC3002" s="1" t="n">
        <v>0</v>
      </c>
      <c r="AND3002" s="1" t="n">
        <v>0</v>
      </c>
      <c r="ANE3002" s="1" t="n">
        <v>0</v>
      </c>
      <c r="ANF3002" s="1" t="n">
        <v>0</v>
      </c>
      <c r="ANG3002" s="1" t="n">
        <v>0</v>
      </c>
      <c r="ANH3002" s="1" t="n">
        <v>0</v>
      </c>
      <c r="ANI3002" s="1" t="n">
        <v>0</v>
      </c>
      <c r="ANJ3002" s="1" t="n">
        <v>0</v>
      </c>
      <c r="ANK3002" s="1" t="n">
        <v>0</v>
      </c>
      <c r="ANL3002" s="1" t="n">
        <v>0</v>
      </c>
      <c r="ANM3002" s="1" t="n">
        <v>0</v>
      </c>
      <c r="ANN3002" s="1" t="n">
        <v>0</v>
      </c>
      <c r="ANO3002" s="1" t="n">
        <v>0</v>
      </c>
      <c r="ANP3002" s="1" t="n">
        <v>0</v>
      </c>
      <c r="ANQ3002" s="1" t="n">
        <v>0</v>
      </c>
      <c r="ANR3002" s="1" t="n">
        <v>0</v>
      </c>
      <c r="ANS3002" s="1" t="n">
        <v>0</v>
      </c>
      <c r="ANT3002" s="1" t="n">
        <v>0</v>
      </c>
      <c r="ANU3002" s="1" t="n">
        <v>0</v>
      </c>
      <c r="ANV3002" s="1" t="n">
        <v>0</v>
      </c>
      <c r="ANW3002" s="1" t="n">
        <v>0</v>
      </c>
      <c r="ANX3002" s="1" t="n">
        <v>0</v>
      </c>
      <c r="ANY3002" s="1" t="n">
        <v>0</v>
      </c>
      <c r="ANZ3002" s="1" t="n">
        <v>0</v>
      </c>
      <c r="AOA3002" s="1" t="n">
        <v>0</v>
      </c>
      <c r="AOB3002" s="1" t="n">
        <v>0</v>
      </c>
      <c r="AOC3002" s="1" t="n">
        <v>0</v>
      </c>
      <c r="AOD3002" s="1" t="n">
        <v>0</v>
      </c>
      <c r="AOE3002" s="1" t="n">
        <v>0</v>
      </c>
      <c r="AOF3002" s="1" t="n">
        <v>0</v>
      </c>
      <c r="AOG3002" s="1" t="n">
        <v>0</v>
      </c>
      <c r="AOH3002" s="1" t="n">
        <v>0</v>
      </c>
      <c r="AOI3002" s="1" t="n">
        <v>0</v>
      </c>
      <c r="AOJ3002" s="1" t="n">
        <v>0</v>
      </c>
      <c r="AOK3002" s="1" t="n">
        <v>0</v>
      </c>
      <c r="AOL3002" s="1" t="n">
        <v>0</v>
      </c>
      <c r="AOM3002" s="1" t="n">
        <v>0</v>
      </c>
      <c r="AON3002" s="1" t="n">
        <v>0</v>
      </c>
      <c r="AOO3002" s="1" t="n">
        <v>0</v>
      </c>
      <c r="AOP3002" s="1" t="n">
        <v>0</v>
      </c>
      <c r="AOQ3002" s="1" t="n">
        <v>0</v>
      </c>
      <c r="AOR3002" s="1" t="n">
        <v>0</v>
      </c>
      <c r="AOS3002" s="1" t="n">
        <v>0</v>
      </c>
      <c r="AOT3002" s="1" t="n">
        <v>0</v>
      </c>
      <c r="AOU3002" s="1" t="n">
        <v>0</v>
      </c>
      <c r="AOV3002" s="1" t="n">
        <v>0</v>
      </c>
      <c r="AOW3002" s="1" t="n">
        <v>0</v>
      </c>
      <c r="AOX3002" s="1" t="n">
        <v>0</v>
      </c>
      <c r="AOY3002" s="1" t="n">
        <v>0</v>
      </c>
      <c r="AOZ3002" s="1" t="n">
        <v>0</v>
      </c>
      <c r="APA3002" s="1" t="n">
        <v>0</v>
      </c>
      <c r="APB3002" s="1" t="n">
        <v>0</v>
      </c>
      <c r="APC3002" s="1" t="n">
        <v>0</v>
      </c>
      <c r="APD3002" s="1" t="n">
        <v>0</v>
      </c>
      <c r="APE3002" s="1" t="n">
        <v>0</v>
      </c>
      <c r="APF3002" s="1" t="n">
        <v>0</v>
      </c>
      <c r="APG3002" s="1" t="n">
        <v>0</v>
      </c>
      <c r="APH3002" s="1" t="n">
        <v>0</v>
      </c>
      <c r="API3002" s="1" t="n">
        <v>0</v>
      </c>
      <c r="APJ3002" s="1" t="n">
        <v>0</v>
      </c>
      <c r="APK3002" s="1" t="n">
        <v>0</v>
      </c>
      <c r="APL3002" s="1" t="n">
        <v>0</v>
      </c>
      <c r="APM3002" s="1" t="n">
        <v>0</v>
      </c>
      <c r="APN3002" s="1" t="n">
        <v>0</v>
      </c>
      <c r="APO3002" s="1" t="n">
        <v>0</v>
      </c>
      <c r="APP3002" s="1" t="n">
        <v>0</v>
      </c>
      <c r="APQ3002" s="1" t="n">
        <v>0</v>
      </c>
      <c r="APR3002" s="1" t="n">
        <v>0</v>
      </c>
      <c r="APS3002" s="1" t="n">
        <v>0</v>
      </c>
      <c r="APT3002" s="1" t="n">
        <v>0</v>
      </c>
      <c r="APU3002" s="1" t="n">
        <v>0</v>
      </c>
      <c r="APV3002" s="1" t="n">
        <v>0</v>
      </c>
      <c r="APW3002" s="1" t="n">
        <v>0</v>
      </c>
      <c r="APX3002" s="1" t="n">
        <v>0</v>
      </c>
      <c r="APY3002" s="1" t="n">
        <v>0</v>
      </c>
      <c r="APZ3002" s="1" t="n">
        <v>0</v>
      </c>
      <c r="AQA3002" s="1" t="n">
        <v>0</v>
      </c>
      <c r="AQB3002" s="1" t="n">
        <v>0</v>
      </c>
      <c r="AQC3002" s="1" t="n">
        <v>0</v>
      </c>
      <c r="AQD3002" s="1" t="n">
        <v>0</v>
      </c>
      <c r="AQE3002" s="1" t="n">
        <v>0</v>
      </c>
      <c r="AQF3002" s="1" t="n">
        <v>0</v>
      </c>
      <c r="AQG3002" s="1" t="n">
        <v>0</v>
      </c>
      <c r="AQH3002" s="1" t="n">
        <v>0</v>
      </c>
      <c r="AQI3002" s="1" t="n">
        <v>0</v>
      </c>
      <c r="AQJ3002" s="1" t="n">
        <v>0</v>
      </c>
      <c r="AQK3002" s="1" t="n">
        <v>0</v>
      </c>
      <c r="AQL3002" s="1" t="n">
        <v>0</v>
      </c>
      <c r="AQM3002" s="1" t="n">
        <v>0</v>
      </c>
      <c r="AQN3002" s="1" t="n">
        <v>0</v>
      </c>
      <c r="AQO3002" s="1" t="n">
        <v>0</v>
      </c>
      <c r="AQP3002" s="1" t="n">
        <v>0</v>
      </c>
      <c r="AQQ3002" s="1" t="n">
        <v>0</v>
      </c>
      <c r="AQR3002" s="1" t="n">
        <v>0</v>
      </c>
      <c r="AQS3002" s="1" t="n">
        <v>0</v>
      </c>
      <c r="AQT3002" s="1" t="n">
        <v>0</v>
      </c>
      <c r="AQU3002" s="1" t="n">
        <v>0</v>
      </c>
      <c r="AQV3002" s="1" t="n">
        <v>0</v>
      </c>
      <c r="AQW3002" s="1" t="n">
        <v>0</v>
      </c>
      <c r="AQX3002" s="1" t="n">
        <v>0</v>
      </c>
      <c r="AQY3002" s="1" t="n">
        <v>0</v>
      </c>
      <c r="AQZ3002" s="1" t="n">
        <v>0</v>
      </c>
      <c r="ARA3002" s="1" t="n">
        <v>0</v>
      </c>
      <c r="ARB3002" s="1" t="n">
        <v>0</v>
      </c>
      <c r="ARC3002" s="1" t="n">
        <v>0</v>
      </c>
      <c r="ARD3002" s="1" t="n">
        <v>0</v>
      </c>
      <c r="ARE3002" s="1" t="n">
        <v>0</v>
      </c>
      <c r="ARF3002" s="1" t="n">
        <v>0</v>
      </c>
      <c r="ARG3002" s="1" t="n">
        <v>0</v>
      </c>
      <c r="ARH3002" s="1" t="n">
        <v>0</v>
      </c>
      <c r="ARI3002" s="1" t="n">
        <v>0</v>
      </c>
      <c r="ARJ3002" s="1" t="n">
        <v>0</v>
      </c>
      <c r="ARK3002" s="1" t="n">
        <v>0</v>
      </c>
      <c r="ARL3002" s="1" t="n">
        <v>0</v>
      </c>
      <c r="ARM3002" s="1" t="n">
        <v>0</v>
      </c>
      <c r="ARN3002" s="1" t="n">
        <v>0</v>
      </c>
      <c r="ARO3002" s="1" t="n">
        <v>0</v>
      </c>
      <c r="ARP3002" s="1" t="n">
        <v>0</v>
      </c>
      <c r="ARQ3002" s="1" t="n">
        <v>0</v>
      </c>
      <c r="ARR3002" s="1" t="n">
        <v>0</v>
      </c>
      <c r="ARS3002" s="1" t="n">
        <v>0</v>
      </c>
      <c r="ART3002" s="1" t="n">
        <v>0</v>
      </c>
      <c r="ARU3002" s="1" t="n">
        <v>0</v>
      </c>
      <c r="ARV3002" s="1" t="n">
        <v>0</v>
      </c>
      <c r="ARW3002" s="1" t="n">
        <v>0</v>
      </c>
      <c r="ARX3002" s="1" t="n">
        <v>0</v>
      </c>
      <c r="ARY3002" s="1" t="n">
        <v>0</v>
      </c>
      <c r="ARZ3002" s="1" t="n">
        <v>0</v>
      </c>
      <c r="ASA3002" s="1" t="n">
        <v>0</v>
      </c>
      <c r="ASB3002" s="1" t="n">
        <v>0</v>
      </c>
      <c r="ASC3002" s="1" t="n">
        <v>0</v>
      </c>
      <c r="ASD3002" s="1" t="n">
        <v>0</v>
      </c>
      <c r="ASE3002" s="1" t="n">
        <v>0</v>
      </c>
      <c r="ASF3002" s="1" t="n">
        <v>0</v>
      </c>
      <c r="ASG3002" s="1" t="n">
        <v>0</v>
      </c>
      <c r="ASH3002" s="1" t="n">
        <v>0</v>
      </c>
      <c r="ASI3002" s="1" t="n">
        <v>0</v>
      </c>
      <c r="ASJ3002" s="1" t="n">
        <v>0</v>
      </c>
      <c r="ASK3002" s="1" t="n">
        <v>0</v>
      </c>
      <c r="ASL3002" s="1" t="n">
        <v>0</v>
      </c>
      <c r="ASM3002" s="1" t="n">
        <v>0</v>
      </c>
      <c r="ASN3002" s="1" t="n">
        <v>0</v>
      </c>
      <c r="ASO3002" s="1" t="n">
        <v>0</v>
      </c>
      <c r="ASP3002" s="1" t="n">
        <v>0</v>
      </c>
      <c r="ASQ3002" s="1" t="n">
        <v>0</v>
      </c>
      <c r="ASR3002" s="1" t="n">
        <v>0</v>
      </c>
      <c r="ASS3002" s="1" t="n">
        <v>0</v>
      </c>
      <c r="AST3002" s="1" t="n">
        <v>0</v>
      </c>
      <c r="ASU3002" s="1" t="n">
        <v>0</v>
      </c>
      <c r="ASV3002" s="1" t="n">
        <v>0</v>
      </c>
      <c r="ASW3002" s="1" t="n">
        <v>0</v>
      </c>
      <c r="ASX3002" s="1" t="n">
        <v>0</v>
      </c>
      <c r="ASY3002" s="1" t="n">
        <v>0</v>
      </c>
      <c r="ASZ3002" s="1" t="n">
        <v>0</v>
      </c>
      <c r="ATA3002" s="1" t="n">
        <v>0</v>
      </c>
      <c r="ATB3002" s="1" t="n">
        <v>0</v>
      </c>
      <c r="ATC3002" s="1" t="n">
        <v>0</v>
      </c>
      <c r="ATD3002" s="1" t="n">
        <v>0</v>
      </c>
      <c r="ATE3002" s="1" t="n">
        <v>0</v>
      </c>
      <c r="ATF3002" s="1" t="n">
        <v>0</v>
      </c>
      <c r="ATG3002" s="1" t="n">
        <v>0</v>
      </c>
      <c r="ATH3002" s="1" t="n">
        <v>0</v>
      </c>
      <c r="ATI3002" s="1" t="n">
        <v>0</v>
      </c>
      <c r="ATJ3002" s="1" t="n">
        <v>0</v>
      </c>
      <c r="ATK3002" s="1" t="n">
        <v>0</v>
      </c>
      <c r="ATL3002" s="1" t="n">
        <v>0</v>
      </c>
      <c r="ATM3002" s="1" t="n">
        <v>0</v>
      </c>
      <c r="ATN3002" s="1" t="n">
        <v>0</v>
      </c>
      <c r="ATO3002" s="1" t="n">
        <v>0</v>
      </c>
      <c r="ATP3002" s="1" t="n">
        <v>0</v>
      </c>
      <c r="ATQ3002" s="1" t="n">
        <v>0</v>
      </c>
      <c r="ATR3002" s="1" t="n">
        <v>0</v>
      </c>
      <c r="ATS3002" s="1" t="n">
        <v>0</v>
      </c>
      <c r="ATT3002" s="1" t="n">
        <v>0</v>
      </c>
      <c r="ATU3002" s="1" t="n">
        <v>0</v>
      </c>
      <c r="ATV3002" s="1" t="n">
        <v>0</v>
      </c>
      <c r="ATW3002" s="1" t="n">
        <v>0</v>
      </c>
      <c r="ATX3002" s="1" t="n">
        <v>0</v>
      </c>
      <c r="ATY3002" s="1" t="n">
        <v>0</v>
      </c>
      <c r="ATZ3002" s="1" t="n">
        <v>0</v>
      </c>
      <c r="AUA3002" s="1" t="n">
        <v>0</v>
      </c>
      <c r="AUB3002" s="1" t="n">
        <v>0</v>
      </c>
      <c r="AUC3002" s="1" t="n">
        <v>0</v>
      </c>
      <c r="AUD3002" s="1" t="n">
        <v>0</v>
      </c>
      <c r="AUE3002" s="1" t="n">
        <v>0</v>
      </c>
      <c r="AUF3002" s="1" t="n">
        <v>0</v>
      </c>
      <c r="AUG3002" s="1" t="n">
        <v>0</v>
      </c>
      <c r="AUH3002" s="1" t="n">
        <v>0</v>
      </c>
      <c r="AUI3002" s="1" t="n">
        <v>0</v>
      </c>
      <c r="AUJ3002" s="1" t="n">
        <v>0</v>
      </c>
      <c r="AUK3002" s="1" t="n">
        <v>0</v>
      </c>
      <c r="AUL3002" s="1" t="n">
        <v>0</v>
      </c>
      <c r="AUM3002" s="1" t="n">
        <v>0</v>
      </c>
      <c r="AUN3002" s="1" t="n">
        <v>0</v>
      </c>
      <c r="AUO3002" s="1" t="n">
        <v>0</v>
      </c>
      <c r="AUP3002" s="1" t="n">
        <v>0</v>
      </c>
      <c r="AUQ3002" s="1" t="n">
        <v>0</v>
      </c>
      <c r="AUR3002" s="1" t="n">
        <v>0</v>
      </c>
      <c r="AUS3002" s="1" t="n">
        <v>0</v>
      </c>
      <c r="AUT3002" s="1" t="n">
        <v>0</v>
      </c>
      <c r="AUU3002" s="1" t="n">
        <v>0</v>
      </c>
      <c r="AUV3002" s="1" t="n">
        <v>0</v>
      </c>
      <c r="AUW3002" s="1" t="n">
        <v>0</v>
      </c>
      <c r="AUX3002" s="1" t="n">
        <v>0</v>
      </c>
      <c r="AUY3002" s="1" t="n">
        <v>0</v>
      </c>
      <c r="AUZ3002" s="1" t="n">
        <v>0</v>
      </c>
      <c r="AVA3002" s="1" t="n">
        <v>0</v>
      </c>
      <c r="AVB3002" s="1" t="n">
        <v>0</v>
      </c>
      <c r="AVC3002" s="1" t="n">
        <v>0</v>
      </c>
      <c r="AVD3002" s="1" t="n">
        <v>0</v>
      </c>
      <c r="AVE3002" s="1" t="n">
        <v>0</v>
      </c>
      <c r="AVF3002" s="1" t="n">
        <v>0</v>
      </c>
      <c r="AVG3002" s="1" t="n">
        <v>0</v>
      </c>
      <c r="AVH3002" s="1" t="n">
        <v>0</v>
      </c>
      <c r="AVI3002" s="1" t="n">
        <v>0</v>
      </c>
      <c r="AVJ3002" s="1" t="n">
        <v>0</v>
      </c>
      <c r="AVK3002" s="1" t="n">
        <v>0</v>
      </c>
      <c r="AVL3002" s="1" t="n">
        <v>0</v>
      </c>
      <c r="AVM3002" s="1" t="n">
        <v>0</v>
      </c>
      <c r="AVN3002" s="1" t="n">
        <v>0</v>
      </c>
      <c r="AVO3002" s="1" t="n">
        <v>0</v>
      </c>
      <c r="AVP3002" s="1" t="n">
        <v>0</v>
      </c>
      <c r="AVQ3002" s="1" t="n">
        <v>0</v>
      </c>
      <c r="AVR3002" s="1" t="n">
        <v>0</v>
      </c>
      <c r="AVS3002" s="1" t="n">
        <v>0</v>
      </c>
      <c r="AVT3002" s="1" t="n">
        <v>0</v>
      </c>
      <c r="AVU3002" s="1" t="n">
        <v>0</v>
      </c>
      <c r="AVV3002" s="1" t="n">
        <v>0</v>
      </c>
      <c r="AVW3002" s="1" t="n">
        <v>0</v>
      </c>
      <c r="AVX3002" s="1" t="n">
        <v>0</v>
      </c>
      <c r="AVY3002" s="1" t="n">
        <v>0</v>
      </c>
      <c r="AVZ3002" s="1" t="n">
        <v>0</v>
      </c>
      <c r="AWA3002" s="1" t="n">
        <v>0</v>
      </c>
      <c r="AWB3002" s="1" t="n">
        <v>0</v>
      </c>
      <c r="AWC3002" s="1" t="n">
        <v>0</v>
      </c>
      <c r="AWD3002" s="1" t="n">
        <v>0</v>
      </c>
      <c r="AWE3002" s="1" t="n">
        <v>0</v>
      </c>
      <c r="AWF3002" s="1" t="n">
        <v>0</v>
      </c>
      <c r="AWG3002" s="1" t="n">
        <v>0</v>
      </c>
      <c r="AWH3002" s="1" t="n">
        <v>0</v>
      </c>
      <c r="AWI3002" s="1" t="n">
        <v>0</v>
      </c>
      <c r="AWJ3002" s="1" t="n">
        <v>0</v>
      </c>
      <c r="AWK3002" s="1" t="n">
        <v>0</v>
      </c>
      <c r="AWL3002" s="1" t="n">
        <v>0</v>
      </c>
      <c r="AWM3002" s="1" t="n">
        <v>0</v>
      </c>
      <c r="AWN3002" s="1" t="n">
        <v>0</v>
      </c>
      <c r="AWO3002" s="1" t="n">
        <v>0</v>
      </c>
      <c r="AWP3002" s="1" t="n">
        <v>0</v>
      </c>
      <c r="AWQ3002" s="1" t="n">
        <v>0</v>
      </c>
      <c r="AWR3002" s="1" t="n">
        <v>0</v>
      </c>
      <c r="AWS3002" s="1" t="n">
        <v>0</v>
      </c>
      <c r="AWT3002" s="1" t="n">
        <v>0</v>
      </c>
      <c r="AWU3002" s="1" t="n">
        <v>0</v>
      </c>
      <c r="AWV3002" s="1" t="n">
        <v>0</v>
      </c>
      <c r="AWW3002" s="1" t="n">
        <v>0</v>
      </c>
      <c r="AWX3002" s="1" t="n">
        <v>0</v>
      </c>
      <c r="AWY3002" s="1" t="n">
        <v>0</v>
      </c>
      <c r="AWZ3002" s="1" t="n">
        <v>0</v>
      </c>
      <c r="AXA3002" s="1" t="n">
        <v>0</v>
      </c>
      <c r="AXB3002" s="1" t="n">
        <v>0</v>
      </c>
      <c r="AXC3002" s="1" t="n">
        <v>0</v>
      </c>
      <c r="AXD3002" s="1" t="n">
        <v>0</v>
      </c>
      <c r="AXE3002" s="1" t="n">
        <v>0</v>
      </c>
      <c r="AXF3002" s="1" t="n">
        <v>0</v>
      </c>
      <c r="AXG3002" s="1" t="n">
        <v>0</v>
      </c>
      <c r="AXH3002" s="1" t="n">
        <v>0</v>
      </c>
      <c r="AXI3002" s="1" t="n">
        <v>0</v>
      </c>
      <c r="AXJ3002" s="1" t="n">
        <v>0</v>
      </c>
      <c r="AXK3002" s="1" t="n">
        <v>0</v>
      </c>
      <c r="AXL3002" s="1" t="n">
        <v>0</v>
      </c>
      <c r="AXM3002" s="1" t="n">
        <v>0</v>
      </c>
      <c r="AXN3002" s="1" t="n">
        <v>0</v>
      </c>
      <c r="AXO3002" s="1" t="n">
        <v>0</v>
      </c>
      <c r="AXP3002" s="1" t="n">
        <v>0</v>
      </c>
      <c r="AXQ3002" s="1" t="n">
        <v>0</v>
      </c>
      <c r="AXR3002" s="1" t="n">
        <v>0</v>
      </c>
      <c r="AXS3002" s="1" t="n">
        <v>0</v>
      </c>
      <c r="AXT3002" s="1" t="n">
        <v>0</v>
      </c>
      <c r="AXU3002" s="1" t="n">
        <v>0</v>
      </c>
      <c r="AXV3002" s="1" t="n">
        <v>0</v>
      </c>
      <c r="AXW3002" s="1" t="n">
        <v>0</v>
      </c>
      <c r="AXX3002" s="1" t="n">
        <v>0</v>
      </c>
      <c r="AXY3002" s="1" t="n">
        <v>0</v>
      </c>
      <c r="AXZ3002" s="1" t="n">
        <v>0</v>
      </c>
      <c r="AYA3002" s="1" t="n">
        <v>0</v>
      </c>
      <c r="AYB3002" s="1" t="n">
        <v>0</v>
      </c>
      <c r="AYC3002" s="1" t="n">
        <v>0</v>
      </c>
      <c r="AYD3002" s="1" t="n">
        <v>0</v>
      </c>
      <c r="AYE3002" s="1" t="n">
        <v>0</v>
      </c>
      <c r="AYF3002" s="1" t="n">
        <v>0</v>
      </c>
      <c r="AYG3002" s="1" t="n">
        <v>0</v>
      </c>
      <c r="AYH3002" s="1" t="n">
        <v>0</v>
      </c>
      <c r="AYI3002" s="1" t="n">
        <v>0</v>
      </c>
      <c r="AYJ3002" s="1" t="n">
        <v>0</v>
      </c>
      <c r="AYK3002" s="1" t="n">
        <v>0</v>
      </c>
      <c r="AYL3002" s="1" t="n">
        <v>0</v>
      </c>
      <c r="AYM3002" s="1" t="n">
        <v>0</v>
      </c>
      <c r="AYN3002" s="1" t="n">
        <v>0</v>
      </c>
      <c r="AYO3002" s="1" t="n">
        <v>0</v>
      </c>
      <c r="AYP3002" s="1" t="n">
        <v>0</v>
      </c>
      <c r="AYQ3002" s="1" t="n">
        <v>0</v>
      </c>
      <c r="AYR3002" s="1" t="n">
        <v>0</v>
      </c>
      <c r="AYS3002" s="1" t="n">
        <v>0</v>
      </c>
      <c r="AYT3002" s="1" t="n">
        <v>0</v>
      </c>
      <c r="AYU3002" s="1" t="n">
        <v>0</v>
      </c>
      <c r="AYV3002" s="1" t="n">
        <v>0</v>
      </c>
      <c r="AYW3002" s="1" t="n">
        <v>0</v>
      </c>
      <c r="AYX3002" s="1" t="n">
        <v>0</v>
      </c>
      <c r="AYY3002" s="1" t="n">
        <v>0</v>
      </c>
      <c r="AYZ3002" s="1" t="n">
        <v>0</v>
      </c>
      <c r="AZA3002" s="1" t="n">
        <v>0</v>
      </c>
      <c r="AZB3002" s="1" t="n">
        <v>0</v>
      </c>
      <c r="AZC3002" s="1" t="n">
        <v>0</v>
      </c>
      <c r="AZD3002" s="1" t="n">
        <v>0</v>
      </c>
      <c r="AZE3002" s="1" t="n">
        <v>0</v>
      </c>
      <c r="AZF3002" s="1" t="n">
        <v>0</v>
      </c>
      <c r="AZG3002" s="1" t="n">
        <v>0</v>
      </c>
      <c r="AZH3002" s="1" t="n">
        <v>0</v>
      </c>
      <c r="AZI3002" s="1" t="n">
        <v>0</v>
      </c>
      <c r="AZJ3002" s="1" t="n">
        <v>0</v>
      </c>
      <c r="AZK3002" s="1" t="n">
        <v>0</v>
      </c>
      <c r="AZL3002" s="1" t="n">
        <v>0</v>
      </c>
      <c r="AZM3002" s="1" t="n">
        <v>0</v>
      </c>
      <c r="AZN3002" s="1" t="n">
        <v>0</v>
      </c>
      <c r="AZO3002" s="1" t="n">
        <v>0</v>
      </c>
      <c r="AZP3002" s="1" t="n">
        <v>0</v>
      </c>
      <c r="AZQ3002" s="1" t="n">
        <v>0</v>
      </c>
      <c r="AZR3002" s="1" t="n">
        <v>0</v>
      </c>
      <c r="AZS3002" s="1" t="n">
        <v>0</v>
      </c>
      <c r="AZT3002" s="1" t="n">
        <v>0</v>
      </c>
      <c r="AZU3002" s="1" t="n">
        <v>0</v>
      </c>
      <c r="AZV3002" s="1" t="n">
        <v>0</v>
      </c>
      <c r="AZW3002" s="1" t="n">
        <v>0</v>
      </c>
      <c r="AZX3002" s="1" t="n">
        <v>0</v>
      </c>
      <c r="AZY3002" s="1" t="n">
        <v>0</v>
      </c>
      <c r="AZZ3002" s="1" t="n">
        <v>0</v>
      </c>
      <c r="BAA3002" s="1" t="n">
        <v>0</v>
      </c>
      <c r="BAB3002" s="1" t="n">
        <v>0</v>
      </c>
      <c r="BAC3002" s="1" t="n">
        <v>0</v>
      </c>
      <c r="BAD3002" s="1" t="n">
        <v>0</v>
      </c>
      <c r="BAE3002" s="1" t="n">
        <v>0</v>
      </c>
      <c r="BAF3002" s="1" t="n">
        <v>0</v>
      </c>
      <c r="BAG3002" s="1" t="n">
        <v>0</v>
      </c>
      <c r="BAH3002" s="1" t="n">
        <v>0</v>
      </c>
      <c r="BAI3002" s="1" t="n">
        <v>0</v>
      </c>
      <c r="BAJ3002" s="1" t="n">
        <v>0</v>
      </c>
      <c r="BAK3002" s="1" t="n">
        <v>0</v>
      </c>
      <c r="BAL3002" s="1" t="n">
        <v>0</v>
      </c>
      <c r="BAM3002" s="1" t="n">
        <v>0</v>
      </c>
      <c r="BAN3002" s="1" t="n">
        <v>0</v>
      </c>
      <c r="BAO3002" s="1" t="n">
        <v>0</v>
      </c>
      <c r="BAP3002" s="1" t="n">
        <v>0</v>
      </c>
      <c r="BAQ3002" s="1" t="n">
        <v>0</v>
      </c>
      <c r="BAR3002" s="1" t="n">
        <v>0</v>
      </c>
      <c r="BAS3002" s="1" t="n">
        <v>0</v>
      </c>
      <c r="BAT3002" s="1" t="n">
        <v>0</v>
      </c>
      <c r="BAU3002" s="1" t="n">
        <v>0</v>
      </c>
      <c r="BAV3002" s="1" t="n">
        <v>0</v>
      </c>
      <c r="BAW3002" s="1" t="n">
        <v>0</v>
      </c>
      <c r="BAX3002" s="1" t="n">
        <v>0</v>
      </c>
      <c r="BAY3002" s="1" t="n">
        <v>0</v>
      </c>
      <c r="BAZ3002" s="1" t="n">
        <v>0</v>
      </c>
      <c r="BBA3002" s="1" t="n">
        <v>0</v>
      </c>
      <c r="BBB3002" s="1" t="n">
        <v>0</v>
      </c>
      <c r="BBC3002" s="1" t="n">
        <v>0</v>
      </c>
      <c r="BBD3002" s="1" t="n">
        <v>0</v>
      </c>
      <c r="BBE3002" s="1" t="n">
        <v>0</v>
      </c>
      <c r="BBF3002" s="1" t="n">
        <v>0</v>
      </c>
      <c r="BBG3002" s="1" t="n">
        <v>0</v>
      </c>
      <c r="BBH3002" s="1" t="n">
        <v>0</v>
      </c>
      <c r="BBI3002" s="1" t="n">
        <v>0</v>
      </c>
      <c r="BBJ3002" s="1" t="n">
        <v>0</v>
      </c>
      <c r="BBK3002" s="1" t="n">
        <v>0</v>
      </c>
      <c r="BBL3002" s="1" t="n">
        <v>0</v>
      </c>
      <c r="BBM3002" s="1" t="n">
        <v>0</v>
      </c>
      <c r="BBN3002" s="1" t="n">
        <v>0</v>
      </c>
      <c r="BBO3002" s="1" t="n">
        <v>0</v>
      </c>
      <c r="BBP3002" s="1" t="n">
        <v>0</v>
      </c>
      <c r="BBQ3002" s="1" t="n">
        <v>0</v>
      </c>
      <c r="BBR3002" s="1" t="n">
        <v>0</v>
      </c>
      <c r="BBS3002" s="1" t="n">
        <v>0</v>
      </c>
      <c r="BBT3002" s="1" t="n">
        <v>0</v>
      </c>
      <c r="BBU3002" s="1" t="n">
        <v>0</v>
      </c>
      <c r="BBV3002" s="1" t="n">
        <v>0</v>
      </c>
      <c r="BBW3002" s="1" t="n">
        <v>0</v>
      </c>
      <c r="BBX3002" s="1" t="n">
        <v>0</v>
      </c>
      <c r="BBY3002" s="1" t="n">
        <v>0</v>
      </c>
      <c r="BBZ3002" s="1" t="n">
        <v>0</v>
      </c>
      <c r="BCA3002" s="1" t="n">
        <v>0</v>
      </c>
      <c r="BCB3002" s="1" t="n">
        <v>0</v>
      </c>
      <c r="BCC3002" s="1" t="n">
        <v>0</v>
      </c>
      <c r="BCD3002" s="1" t="n">
        <v>0</v>
      </c>
      <c r="BCE3002" s="1" t="n">
        <v>0</v>
      </c>
      <c r="BCF3002" s="1" t="n">
        <v>0</v>
      </c>
      <c r="BCG3002" s="1" t="n">
        <v>0</v>
      </c>
      <c r="BCH3002" s="1" t="n">
        <v>0</v>
      </c>
      <c r="BCI3002" s="1" t="n">
        <v>0</v>
      </c>
      <c r="BCJ3002" s="1" t="n">
        <v>0</v>
      </c>
      <c r="BCK3002" s="1" t="n">
        <v>0</v>
      </c>
      <c r="BCL3002" s="1" t="n">
        <v>0</v>
      </c>
      <c r="BCM3002" s="1" t="n">
        <v>0</v>
      </c>
      <c r="BCN3002" s="1" t="n">
        <v>0</v>
      </c>
      <c r="BCO3002" s="1" t="n">
        <v>0</v>
      </c>
      <c r="BCP3002" s="1" t="n">
        <v>0</v>
      </c>
      <c r="BCQ3002" s="1" t="n">
        <v>0</v>
      </c>
      <c r="BCR3002" s="1" t="n">
        <v>0</v>
      </c>
      <c r="BCS3002" s="1" t="n">
        <v>0</v>
      </c>
      <c r="BCT3002" s="1" t="n">
        <v>0</v>
      </c>
      <c r="BCU3002" s="1" t="n">
        <v>0</v>
      </c>
      <c r="BCV3002" s="1" t="n">
        <v>0</v>
      </c>
      <c r="BCW3002" s="1" t="n">
        <v>0</v>
      </c>
      <c r="BCX3002" s="1" t="n">
        <v>0</v>
      </c>
      <c r="BCY3002" s="1" t="n">
        <v>0</v>
      </c>
      <c r="BCZ3002" s="1" t="n">
        <v>0</v>
      </c>
      <c r="BDA3002" s="1" t="n">
        <v>0</v>
      </c>
      <c r="BDB3002" s="1" t="n">
        <v>0</v>
      </c>
      <c r="BDC3002" s="1" t="n">
        <v>0</v>
      </c>
      <c r="BDD3002" s="1" t="n">
        <v>0</v>
      </c>
      <c r="BDE3002" s="1" t="n">
        <v>0</v>
      </c>
      <c r="BDF3002" s="1" t="n">
        <v>0</v>
      </c>
      <c r="BDG3002" s="1" t="n">
        <v>0</v>
      </c>
      <c r="BDH3002" s="1" t="n">
        <v>0</v>
      </c>
      <c r="BDI3002" s="1" t="n">
        <v>0</v>
      </c>
      <c r="BDJ3002" s="1" t="n">
        <v>0</v>
      </c>
      <c r="BDK3002" s="1" t="n">
        <v>0</v>
      </c>
      <c r="BDL3002" s="1" t="n">
        <v>0</v>
      </c>
      <c r="BDM3002" s="1" t="n">
        <v>0</v>
      </c>
      <c r="BDN3002" s="1" t="n">
        <v>0</v>
      </c>
      <c r="BDO3002" s="1" t="n">
        <v>0</v>
      </c>
      <c r="BDP3002" s="1" t="n">
        <v>0</v>
      </c>
      <c r="BDQ3002" s="1" t="n">
        <v>0</v>
      </c>
      <c r="BDR3002" s="1" t="n">
        <v>0</v>
      </c>
      <c r="BDS3002" s="1" t="n">
        <v>0</v>
      </c>
      <c r="BDT3002" s="1" t="n">
        <v>0</v>
      </c>
      <c r="BDU3002" s="1" t="n">
        <v>0</v>
      </c>
      <c r="BDV3002" s="1" t="n">
        <v>0</v>
      </c>
      <c r="BDW3002" s="1" t="n">
        <v>0</v>
      </c>
      <c r="BDX3002" s="1" t="n">
        <v>0</v>
      </c>
      <c r="BDY3002" s="1" t="n">
        <v>0</v>
      </c>
      <c r="BDZ3002" s="1" t="n">
        <v>0</v>
      </c>
      <c r="BEA3002" s="1" t="n">
        <v>0</v>
      </c>
      <c r="BEB3002" s="1" t="n">
        <v>0</v>
      </c>
      <c r="BEC3002" s="1" t="n">
        <v>0</v>
      </c>
      <c r="BED3002" s="1" t="n">
        <v>0</v>
      </c>
      <c r="BEE3002" s="1" t="n">
        <v>0</v>
      </c>
      <c r="BEF3002" s="1" t="n">
        <v>0</v>
      </c>
      <c r="BEG3002" s="1" t="n">
        <v>0</v>
      </c>
      <c r="BEH3002" s="1" t="n">
        <v>0</v>
      </c>
      <c r="BEI3002" s="1" t="n">
        <v>0</v>
      </c>
      <c r="BEJ3002" s="1" t="n">
        <v>0</v>
      </c>
      <c r="BEK3002" s="1" t="n">
        <v>0</v>
      </c>
      <c r="BEL3002" s="1" t="n">
        <v>0</v>
      </c>
      <c r="BEM3002" s="1" t="n">
        <v>0</v>
      </c>
      <c r="BEN3002" s="1" t="n">
        <v>0</v>
      </c>
      <c r="BEO3002" s="1" t="n">
        <v>0</v>
      </c>
      <c r="BEP3002" s="1" t="n">
        <v>0</v>
      </c>
      <c r="BEQ3002" s="1" t="n">
        <v>0</v>
      </c>
      <c r="BER3002" s="1" t="n">
        <v>0</v>
      </c>
      <c r="BES3002" s="1" t="n">
        <v>0</v>
      </c>
      <c r="BET3002" s="1" t="n">
        <v>0</v>
      </c>
      <c r="BEU3002" s="1" t="n">
        <v>0</v>
      </c>
      <c r="BEV3002" s="1" t="n">
        <v>0</v>
      </c>
      <c r="BEW3002" s="1" t="n">
        <v>0</v>
      </c>
      <c r="BEX3002" s="1" t="n">
        <v>0</v>
      </c>
      <c r="BEY3002" s="1" t="n">
        <v>0</v>
      </c>
      <c r="BEZ3002" s="1" t="n">
        <v>0</v>
      </c>
      <c r="BFA3002" s="1" t="n">
        <v>0</v>
      </c>
      <c r="BFB3002" s="1" t="n">
        <v>0</v>
      </c>
      <c r="BFC3002" s="1" t="n">
        <v>0</v>
      </c>
      <c r="BFD3002" s="1" t="n">
        <v>0</v>
      </c>
      <c r="BFE3002" s="1" t="n">
        <v>0</v>
      </c>
      <c r="BFF3002" s="1" t="n">
        <v>0</v>
      </c>
      <c r="BFG3002" s="1" t="n">
        <v>0</v>
      </c>
      <c r="BFH3002" s="1" t="n">
        <v>0</v>
      </c>
      <c r="BFI3002" s="1" t="n">
        <v>0</v>
      </c>
      <c r="BFJ3002" s="1" t="n">
        <v>0</v>
      </c>
      <c r="BFK3002" s="1" t="n">
        <v>0</v>
      </c>
      <c r="BFL3002" s="1" t="n">
        <v>0</v>
      </c>
      <c r="BFM3002" s="1" t="n">
        <v>0</v>
      </c>
      <c r="BFN3002" s="1" t="n">
        <v>0</v>
      </c>
      <c r="BFO3002" s="1" t="n">
        <v>0</v>
      </c>
      <c r="BFP3002" s="1" t="n">
        <v>0</v>
      </c>
      <c r="BFQ3002" s="1" t="n">
        <v>0</v>
      </c>
      <c r="BFR3002" s="1" t="n">
        <v>0</v>
      </c>
      <c r="BFS3002" s="1" t="n">
        <v>0</v>
      </c>
      <c r="BFT3002" s="1" t="n">
        <v>0</v>
      </c>
      <c r="BFU3002" s="1" t="n">
        <v>0</v>
      </c>
      <c r="BFV3002" s="1" t="n">
        <v>0</v>
      </c>
      <c r="BFW3002" s="1" t="n">
        <v>0</v>
      </c>
      <c r="BFX3002" s="1" t="n">
        <v>0</v>
      </c>
      <c r="BFY3002" s="1" t="n">
        <v>0</v>
      </c>
      <c r="BFZ3002" s="1" t="n">
        <v>0</v>
      </c>
      <c r="BGA3002" s="1" t="n">
        <v>0</v>
      </c>
      <c r="BGB3002" s="1" t="n">
        <v>0</v>
      </c>
      <c r="BGC3002" s="1" t="n">
        <v>0</v>
      </c>
      <c r="BGD3002" s="1" t="n">
        <v>0</v>
      </c>
      <c r="BGE3002" s="1" t="n">
        <v>0</v>
      </c>
      <c r="BGF3002" s="1" t="n">
        <v>0</v>
      </c>
      <c r="BGG3002" s="1" t="n">
        <v>0</v>
      </c>
      <c r="BGH3002" s="1" t="n">
        <v>0</v>
      </c>
      <c r="BGI3002" s="1" t="n">
        <v>0</v>
      </c>
      <c r="BGJ3002" s="1" t="n">
        <v>0</v>
      </c>
      <c r="BGK3002" s="1" t="n">
        <v>0</v>
      </c>
      <c r="BGL3002" s="1" t="n">
        <v>0</v>
      </c>
      <c r="BGM3002" s="1" t="n">
        <v>0</v>
      </c>
      <c r="BGN3002" s="1" t="n">
        <v>0</v>
      </c>
      <c r="BGO3002" s="1" t="n">
        <v>0</v>
      </c>
      <c r="BGP3002" s="1" t="n">
        <v>0</v>
      </c>
      <c r="BGQ3002" s="1" t="n">
        <v>0</v>
      </c>
      <c r="BGR3002" s="1" t="n">
        <v>0</v>
      </c>
      <c r="BGS3002" s="1" t="n">
        <v>0</v>
      </c>
      <c r="BGT3002" s="1" t="n">
        <v>0</v>
      </c>
      <c r="BGU3002" s="1" t="n">
        <v>0</v>
      </c>
      <c r="BGV3002" s="1" t="n">
        <v>0</v>
      </c>
      <c r="BGW3002" s="1" t="n">
        <v>0</v>
      </c>
      <c r="BGX3002" s="1" t="n">
        <v>0</v>
      </c>
      <c r="BGY3002" s="1" t="n">
        <v>0</v>
      </c>
      <c r="BGZ3002" s="1" t="n">
        <v>0</v>
      </c>
      <c r="BHA3002" s="1" t="n">
        <v>0</v>
      </c>
      <c r="BHB3002" s="1" t="n">
        <v>0</v>
      </c>
      <c r="BHC3002" s="1" t="n">
        <v>0</v>
      </c>
      <c r="BHD3002" s="1" t="n">
        <v>0</v>
      </c>
      <c r="BHE3002" s="1" t="n">
        <v>0</v>
      </c>
      <c r="BHF3002" s="1" t="n">
        <v>0</v>
      </c>
      <c r="BHG3002" s="1" t="n">
        <v>0</v>
      </c>
      <c r="BHH3002" s="1" t="n">
        <v>0</v>
      </c>
      <c r="BHI3002" s="1" t="n">
        <v>0</v>
      </c>
      <c r="BHJ3002" s="1" t="n">
        <v>0</v>
      </c>
      <c r="BHK3002" s="1" t="n">
        <v>0</v>
      </c>
      <c r="BHL3002" s="1" t="n">
        <v>0</v>
      </c>
      <c r="BHM3002" s="1" t="n">
        <v>0</v>
      </c>
      <c r="BHN3002" s="1" t="n">
        <v>0</v>
      </c>
      <c r="BHO3002" s="1" t="n">
        <v>0</v>
      </c>
      <c r="BHP3002" s="1" t="n">
        <v>0</v>
      </c>
      <c r="BHQ3002" s="1" t="n">
        <v>0</v>
      </c>
      <c r="BHR3002" s="1" t="n">
        <v>0</v>
      </c>
      <c r="BHS3002" s="1" t="n">
        <v>0</v>
      </c>
      <c r="BHT3002" s="1" t="n">
        <v>0</v>
      </c>
      <c r="BHU3002" s="1" t="n">
        <v>0</v>
      </c>
      <c r="BHV3002" s="1" t="n">
        <v>0</v>
      </c>
      <c r="BHW3002" s="1" t="n">
        <v>0</v>
      </c>
      <c r="BHX3002" s="1" t="n">
        <v>0</v>
      </c>
      <c r="BHY3002" s="1" t="n">
        <v>0</v>
      </c>
      <c r="BHZ3002" s="1" t="n">
        <v>0</v>
      </c>
      <c r="BIA3002" s="1" t="n">
        <v>0</v>
      </c>
      <c r="BIB3002" s="1" t="n">
        <v>0</v>
      </c>
      <c r="BIC3002" s="1" t="n">
        <v>0</v>
      </c>
      <c r="BID3002" s="1" t="n">
        <v>0</v>
      </c>
      <c r="BIE3002" s="1" t="n">
        <v>0</v>
      </c>
      <c r="BIF3002" s="1" t="n">
        <v>0</v>
      </c>
      <c r="BIG3002" s="1" t="n">
        <v>0</v>
      </c>
      <c r="BIH3002" s="1" t="n">
        <v>0</v>
      </c>
      <c r="BII3002" s="1" t="n">
        <v>0</v>
      </c>
      <c r="BIJ3002" s="1" t="n">
        <v>0</v>
      </c>
      <c r="BIK3002" s="1" t="n">
        <v>0</v>
      </c>
      <c r="BIL3002" s="1" t="n">
        <v>0</v>
      </c>
      <c r="BIM3002" s="1" t="n">
        <v>0</v>
      </c>
      <c r="BIN3002" s="1" t="n">
        <v>0</v>
      </c>
      <c r="BIO3002" s="1" t="n">
        <v>0</v>
      </c>
      <c r="BIP3002" s="1" t="n">
        <v>0</v>
      </c>
      <c r="BIQ3002" s="1" t="n">
        <v>0</v>
      </c>
      <c r="BIR3002" s="1" t="n">
        <v>0</v>
      </c>
      <c r="BIS3002" s="1" t="n">
        <v>0</v>
      </c>
      <c r="BIT3002" s="1" t="n">
        <v>0</v>
      </c>
      <c r="BIU3002" s="1" t="n">
        <v>0</v>
      </c>
      <c r="BIV3002" s="1" t="n">
        <v>0</v>
      </c>
      <c r="BIW3002" s="1" t="n">
        <v>0</v>
      </c>
      <c r="BIX3002" s="1" t="n">
        <v>0</v>
      </c>
      <c r="BIY3002" s="1" t="n">
        <v>0</v>
      </c>
      <c r="BIZ3002" s="1" t="n">
        <v>0</v>
      </c>
      <c r="BJA3002" s="1" t="n">
        <v>0</v>
      </c>
      <c r="BJB3002" s="1" t="n">
        <v>0</v>
      </c>
      <c r="BJC3002" s="1" t="n">
        <v>0</v>
      </c>
      <c r="BJD3002" s="1" t="n">
        <v>0</v>
      </c>
      <c r="BJE3002" s="1" t="n">
        <v>0</v>
      </c>
      <c r="BJF3002" s="1" t="n">
        <v>0</v>
      </c>
      <c r="BJG3002" s="1" t="n">
        <v>0</v>
      </c>
      <c r="BJH3002" s="1" t="n">
        <v>0</v>
      </c>
      <c r="BJI3002" s="1" t="n">
        <v>0</v>
      </c>
      <c r="BJJ3002" s="1" t="n">
        <v>0</v>
      </c>
      <c r="BJK3002" s="1" t="n">
        <v>0</v>
      </c>
      <c r="BJL3002" s="1" t="n">
        <v>0</v>
      </c>
      <c r="BJM3002" s="1" t="n">
        <v>0</v>
      </c>
      <c r="BJN3002" s="1" t="n">
        <v>0</v>
      </c>
      <c r="BJO3002" s="1" t="n">
        <v>0</v>
      </c>
      <c r="BJP3002" s="1" t="n">
        <v>0</v>
      </c>
      <c r="BJQ3002" s="1" t="n">
        <v>0</v>
      </c>
      <c r="BJR3002" s="1" t="n">
        <v>0</v>
      </c>
      <c r="BJS3002" s="1" t="n">
        <v>0</v>
      </c>
      <c r="BJT3002" s="1" t="n">
        <v>0</v>
      </c>
      <c r="BJU3002" s="1" t="n">
        <v>0</v>
      </c>
      <c r="BJV3002" s="1" t="n">
        <v>0</v>
      </c>
      <c r="BJW3002" s="1" t="n">
        <v>0</v>
      </c>
      <c r="BJX3002" s="1" t="n">
        <v>0</v>
      </c>
      <c r="BJY3002" s="1" t="n">
        <v>0</v>
      </c>
      <c r="BJZ3002" s="1" t="n">
        <v>0</v>
      </c>
      <c r="BKA3002" s="1" t="n">
        <v>0</v>
      </c>
      <c r="BKB3002" s="1" t="n">
        <v>0</v>
      </c>
      <c r="BKC3002" s="1" t="n">
        <v>0</v>
      </c>
      <c r="BKD3002" s="1" t="n">
        <v>0</v>
      </c>
      <c r="BKE3002" s="1" t="n">
        <v>0</v>
      </c>
      <c r="BKF3002" s="1" t="n">
        <v>0</v>
      </c>
      <c r="BKG3002" s="1" t="n">
        <v>0</v>
      </c>
      <c r="BKH3002" s="1" t="n">
        <v>0</v>
      </c>
      <c r="BKI3002" s="1" t="n">
        <v>0</v>
      </c>
      <c r="BKJ3002" s="1" t="n">
        <v>0</v>
      </c>
      <c r="BKK3002" s="1" t="n">
        <v>0</v>
      </c>
      <c r="BKL3002" s="1" t="n">
        <v>0</v>
      </c>
      <c r="BKM3002" s="1" t="n">
        <v>0</v>
      </c>
      <c r="BKN3002" s="1" t="n">
        <v>0</v>
      </c>
      <c r="BKO3002" s="1" t="n">
        <v>0</v>
      </c>
      <c r="BKP3002" s="1" t="n">
        <v>0</v>
      </c>
      <c r="BKQ3002" s="1" t="n">
        <v>0</v>
      </c>
      <c r="BKR3002" s="1" t="n">
        <v>0</v>
      </c>
      <c r="BKS3002" s="1" t="n">
        <v>0</v>
      </c>
      <c r="BKT3002" s="1" t="n">
        <v>0</v>
      </c>
      <c r="BKU3002" s="1" t="n">
        <v>0</v>
      </c>
      <c r="BKV3002" s="1" t="n">
        <v>0</v>
      </c>
      <c r="BKW3002" s="1" t="n">
        <v>0</v>
      </c>
      <c r="BKX3002" s="1" t="n">
        <v>0</v>
      </c>
      <c r="BKY3002" s="1" t="n">
        <v>0</v>
      </c>
      <c r="BKZ3002" s="1" t="n">
        <v>0</v>
      </c>
      <c r="BLA3002" s="1" t="n">
        <v>0</v>
      </c>
      <c r="BLB3002" s="1" t="n">
        <v>0</v>
      </c>
      <c r="BLC3002" s="1" t="n">
        <v>0</v>
      </c>
      <c r="BLD3002" s="1" t="n">
        <v>0</v>
      </c>
      <c r="BLE3002" s="1" t="n">
        <v>0</v>
      </c>
      <c r="BLF3002" s="1" t="n">
        <v>0</v>
      </c>
      <c r="BLG3002" s="1" t="n">
        <v>0</v>
      </c>
      <c r="BLH3002" s="1" t="n">
        <v>0</v>
      </c>
      <c r="BLI3002" s="1" t="n">
        <v>0</v>
      </c>
      <c r="BLJ3002" s="1" t="n">
        <v>0</v>
      </c>
      <c r="BLK3002" s="1" t="n">
        <v>0</v>
      </c>
      <c r="BLL3002" s="1" t="n">
        <v>0</v>
      </c>
      <c r="BLM3002" s="1" t="n">
        <v>0</v>
      </c>
      <c r="BLN3002" s="1" t="n">
        <v>0</v>
      </c>
      <c r="BLO3002" s="1" t="n">
        <v>0</v>
      </c>
      <c r="BLP3002" s="1" t="n">
        <v>0</v>
      </c>
      <c r="BLQ3002" s="1" t="n">
        <v>0</v>
      </c>
      <c r="BLR3002" s="1" t="n">
        <v>0</v>
      </c>
      <c r="BLS3002" s="1" t="n">
        <v>0</v>
      </c>
      <c r="BLT3002" s="1" t="n">
        <v>0</v>
      </c>
      <c r="BLU3002" s="1" t="n">
        <v>0</v>
      </c>
      <c r="BLV3002" s="1" t="n">
        <v>0</v>
      </c>
      <c r="BLW3002" s="1" t="n">
        <v>0</v>
      </c>
      <c r="BLX3002" s="1" t="n">
        <v>0</v>
      </c>
      <c r="BLY3002" s="1" t="n">
        <v>0</v>
      </c>
      <c r="BLZ3002" s="1" t="n">
        <v>0</v>
      </c>
      <c r="BMA3002" s="1" t="n">
        <v>0</v>
      </c>
      <c r="BMB3002" s="1" t="n">
        <v>0</v>
      </c>
      <c r="BMC3002" s="1" t="n">
        <v>0</v>
      </c>
      <c r="BMD3002" s="1" t="n">
        <v>0</v>
      </c>
      <c r="BME3002" s="1" t="n">
        <v>0</v>
      </c>
      <c r="BMF3002" s="1" t="n">
        <v>0</v>
      </c>
      <c r="BMG3002" s="1" t="n">
        <v>0</v>
      </c>
      <c r="BMH3002" s="1" t="n">
        <v>0</v>
      </c>
      <c r="BMI3002" s="1" t="n">
        <v>0</v>
      </c>
      <c r="BMJ3002" s="1" t="n">
        <v>0</v>
      </c>
      <c r="BMK3002" s="1" t="n">
        <v>0</v>
      </c>
      <c r="BML3002" s="1" t="n">
        <v>0</v>
      </c>
      <c r="BMM3002" s="1" t="n">
        <v>0</v>
      </c>
      <c r="BMN3002" s="1" t="n">
        <v>0</v>
      </c>
      <c r="BMO3002" s="1" t="n">
        <v>0</v>
      </c>
      <c r="BMP3002" s="1" t="n">
        <v>0</v>
      </c>
      <c r="BMQ3002" s="1" t="n">
        <v>0</v>
      </c>
      <c r="BMR3002" s="1" t="n">
        <v>0</v>
      </c>
      <c r="BMS3002" s="1" t="n">
        <v>0</v>
      </c>
      <c r="BMT3002" s="1" t="n">
        <v>0</v>
      </c>
      <c r="BMU3002" s="1" t="n">
        <v>0</v>
      </c>
      <c r="BMV3002" s="1" t="n">
        <v>0</v>
      </c>
      <c r="BMW3002" s="1" t="n">
        <v>0</v>
      </c>
      <c r="BMX3002" s="1" t="n">
        <v>0</v>
      </c>
      <c r="BMY3002" s="1" t="n">
        <v>0</v>
      </c>
      <c r="BMZ3002" s="1" t="n">
        <v>0</v>
      </c>
      <c r="BNA3002" s="1" t="n">
        <v>0</v>
      </c>
      <c r="BNB3002" s="1" t="n">
        <v>0</v>
      </c>
      <c r="BNC3002" s="1" t="n">
        <v>0</v>
      </c>
      <c r="BND3002" s="1" t="n">
        <v>0</v>
      </c>
      <c r="BNE3002" s="1" t="n">
        <v>0</v>
      </c>
      <c r="BNF3002" s="1" t="n">
        <v>0</v>
      </c>
      <c r="BNG3002" s="1" t="n">
        <v>0</v>
      </c>
      <c r="BNH3002" s="1" t="n">
        <v>0</v>
      </c>
      <c r="BNI3002" s="1" t="n">
        <v>0</v>
      </c>
      <c r="BNJ3002" s="1" t="n">
        <v>0</v>
      </c>
      <c r="BNK3002" s="1" t="n">
        <v>0</v>
      </c>
      <c r="BNL3002" s="1" t="n">
        <v>0</v>
      </c>
      <c r="BNM3002" s="1" t="n">
        <v>0</v>
      </c>
      <c r="BNN3002" s="1" t="n">
        <v>0</v>
      </c>
      <c r="BNO3002" s="1" t="n">
        <v>0</v>
      </c>
      <c r="BNP3002" s="1" t="n">
        <v>0</v>
      </c>
      <c r="BNQ3002" s="1" t="n">
        <v>0</v>
      </c>
      <c r="BNR3002" s="1" t="n">
        <v>0</v>
      </c>
      <c r="BNS3002" s="1" t="n">
        <v>0</v>
      </c>
      <c r="BNT3002" s="1" t="n">
        <v>0</v>
      </c>
      <c r="BNU3002" s="1" t="n">
        <v>0</v>
      </c>
      <c r="BNV3002" s="1" t="n">
        <v>0</v>
      </c>
      <c r="BNW3002" s="1" t="n">
        <v>0</v>
      </c>
      <c r="BNX3002" s="1" t="n">
        <v>0</v>
      </c>
      <c r="BNY3002" s="1" t="n">
        <v>0</v>
      </c>
      <c r="BNZ3002" s="1" t="n">
        <v>0</v>
      </c>
      <c r="BOA3002" s="1" t="n">
        <v>0</v>
      </c>
      <c r="BOB3002" s="1" t="n">
        <v>0</v>
      </c>
      <c r="BOC3002" s="1" t="n">
        <v>0</v>
      </c>
      <c r="BOD3002" s="1" t="n">
        <v>0</v>
      </c>
      <c r="BOE3002" s="1" t="n">
        <v>0</v>
      </c>
      <c r="BOF3002" s="1" t="n">
        <v>0</v>
      </c>
      <c r="BOG3002" s="1" t="n">
        <v>0</v>
      </c>
      <c r="BOH3002" s="1" t="n">
        <v>0</v>
      </c>
      <c r="BOI3002" s="1" t="n">
        <v>0</v>
      </c>
      <c r="BOJ3002" s="1" t="n">
        <v>0</v>
      </c>
      <c r="BOK3002" s="1" t="n">
        <v>0</v>
      </c>
      <c r="BOL3002" s="1" t="n">
        <v>0</v>
      </c>
      <c r="BOM3002" s="1" t="n">
        <v>0</v>
      </c>
      <c r="BON3002" s="1" t="n">
        <v>0</v>
      </c>
      <c r="BOO3002" s="1" t="n">
        <v>0</v>
      </c>
      <c r="BOP3002" s="1" t="n">
        <v>0</v>
      </c>
      <c r="BOQ3002" s="1" t="n">
        <v>0</v>
      </c>
      <c r="BOR3002" s="1" t="n">
        <v>0</v>
      </c>
      <c r="BOS3002" s="1" t="n">
        <v>0</v>
      </c>
      <c r="BOT3002" s="1" t="n">
        <v>0</v>
      </c>
      <c r="BOU3002" s="1" t="n">
        <v>0</v>
      </c>
      <c r="BOV3002" s="1" t="n">
        <v>0</v>
      </c>
      <c r="BOW3002" s="1" t="n">
        <v>0</v>
      </c>
      <c r="BOX3002" s="1" t="n">
        <v>0</v>
      </c>
      <c r="BOY3002" s="1" t="n">
        <v>0</v>
      </c>
      <c r="BOZ3002" s="1" t="n">
        <v>0</v>
      </c>
      <c r="BPA3002" s="1" t="n">
        <v>0</v>
      </c>
      <c r="BPB3002" s="1" t="n">
        <v>0</v>
      </c>
      <c r="BPC3002" s="1" t="n">
        <v>0</v>
      </c>
      <c r="BPD3002" s="1" t="n">
        <v>0</v>
      </c>
      <c r="BPE3002" s="1" t="n">
        <v>0</v>
      </c>
      <c r="BPF3002" s="1" t="n">
        <v>0</v>
      </c>
      <c r="BPG3002" s="1" t="n">
        <v>0</v>
      </c>
      <c r="BPH3002" s="1" t="n">
        <v>0</v>
      </c>
      <c r="BPI3002" s="1" t="n">
        <v>0</v>
      </c>
      <c r="BPJ3002" s="1" t="n">
        <v>0</v>
      </c>
      <c r="BPK3002" s="1" t="n">
        <v>0</v>
      </c>
      <c r="BPL3002" s="1" t="n">
        <v>0</v>
      </c>
      <c r="BPM3002" s="1" t="n">
        <v>0</v>
      </c>
      <c r="BPN3002" s="1" t="n">
        <v>0</v>
      </c>
      <c r="BPO3002" s="1" t="n">
        <v>0</v>
      </c>
      <c r="BPP3002" s="1" t="n">
        <v>0</v>
      </c>
      <c r="BPQ3002" s="1" t="n">
        <v>0</v>
      </c>
      <c r="BPR3002" s="1" t="n">
        <v>0</v>
      </c>
      <c r="BPS3002" s="1" t="n">
        <v>0</v>
      </c>
      <c r="BPT3002" s="1" t="n">
        <v>0</v>
      </c>
      <c r="BPU3002" s="1" t="n">
        <v>0</v>
      </c>
      <c r="BPV3002" s="1" t="n">
        <v>0</v>
      </c>
      <c r="BPW3002" s="1" t="n">
        <v>0</v>
      </c>
      <c r="BPX3002" s="1" t="n">
        <v>0</v>
      </c>
      <c r="BPY3002" s="1" t="n">
        <v>0</v>
      </c>
      <c r="BPZ3002" s="1" t="n">
        <v>0</v>
      </c>
      <c r="BQA3002" s="1" t="n">
        <v>0</v>
      </c>
      <c r="BQB3002" s="1" t="n">
        <v>0</v>
      </c>
      <c r="BQC3002" s="1" t="n">
        <v>0</v>
      </c>
      <c r="BQD3002" s="1" t="n">
        <v>0</v>
      </c>
      <c r="BQE3002" s="1" t="n">
        <v>0</v>
      </c>
      <c r="BQF3002" s="1" t="n">
        <v>0</v>
      </c>
      <c r="BQG3002" s="1" t="n">
        <v>0</v>
      </c>
      <c r="BQH3002" s="1" t="n">
        <v>0</v>
      </c>
      <c r="BQI3002" s="1" t="n">
        <v>0</v>
      </c>
      <c r="BQJ3002" s="1" t="n">
        <v>0</v>
      </c>
      <c r="BQK3002" s="1" t="n">
        <v>0</v>
      </c>
      <c r="BQL3002" s="1" t="n">
        <v>0</v>
      </c>
      <c r="BQM3002" s="1" t="n">
        <v>0</v>
      </c>
      <c r="BQN3002" s="1" t="n">
        <v>0</v>
      </c>
      <c r="BQO3002" s="1" t="n">
        <v>0</v>
      </c>
      <c r="BQP3002" s="1" t="n">
        <v>0</v>
      </c>
      <c r="BQQ3002" s="1" t="n">
        <v>0</v>
      </c>
      <c r="BQR3002" s="1" t="n">
        <v>0</v>
      </c>
      <c r="BQS3002" s="1" t="n">
        <v>0</v>
      </c>
      <c r="BQT3002" s="1" t="n">
        <v>0</v>
      </c>
      <c r="BQU3002" s="1" t="n">
        <v>0</v>
      </c>
      <c r="BQV3002" s="1" t="n">
        <v>0</v>
      </c>
      <c r="BQW3002" s="1" t="n">
        <v>0</v>
      </c>
      <c r="BQX3002" s="1" t="n">
        <v>0</v>
      </c>
      <c r="BQY3002" s="1" t="n">
        <v>0</v>
      </c>
      <c r="BQZ3002" s="1" t="n">
        <v>0</v>
      </c>
      <c r="BRA3002" s="1" t="n">
        <v>0</v>
      </c>
      <c r="BRB3002" s="1" t="n">
        <v>0</v>
      </c>
      <c r="BRC3002" s="1" t="n">
        <v>0</v>
      </c>
      <c r="BRD3002" s="1" t="n">
        <v>0</v>
      </c>
      <c r="BRE3002" s="1" t="n">
        <v>0</v>
      </c>
      <c r="BRF3002" s="1" t="n">
        <v>0</v>
      </c>
      <c r="BRG3002" s="1" t="n">
        <v>0</v>
      </c>
      <c r="BRH3002" s="1" t="n">
        <v>0</v>
      </c>
      <c r="BRI3002" s="1" t="n">
        <v>0</v>
      </c>
      <c r="BRJ3002" s="1" t="n">
        <v>0</v>
      </c>
      <c r="BRK3002" s="1" t="n">
        <v>0</v>
      </c>
      <c r="BRL3002" s="1" t="n">
        <v>0</v>
      </c>
      <c r="BRM3002" s="1" t="n">
        <v>0</v>
      </c>
      <c r="BRN3002" s="1" t="n">
        <v>0</v>
      </c>
      <c r="BRO3002" s="1" t="n">
        <v>0</v>
      </c>
      <c r="BRP3002" s="1" t="n">
        <v>0</v>
      </c>
      <c r="BRQ3002" s="1" t="n">
        <v>0</v>
      </c>
      <c r="BRR3002" s="1" t="n">
        <v>0</v>
      </c>
      <c r="BRS3002" s="1" t="n">
        <v>0</v>
      </c>
      <c r="BRT3002" s="1" t="n">
        <v>0</v>
      </c>
      <c r="BRU3002" s="1" t="n">
        <v>0</v>
      </c>
      <c r="BRV3002" s="1" t="n">
        <v>0</v>
      </c>
      <c r="BRW3002" s="1" t="n">
        <v>0</v>
      </c>
      <c r="BRX3002" s="1" t="n">
        <v>0</v>
      </c>
      <c r="BRY3002" s="1" t="n">
        <v>0</v>
      </c>
      <c r="BRZ3002" s="1" t="n">
        <v>0</v>
      </c>
      <c r="BSA3002" s="1" t="n">
        <v>0</v>
      </c>
      <c r="BSB3002" s="1" t="n">
        <v>0</v>
      </c>
      <c r="BSC3002" s="1" t="n">
        <v>0</v>
      </c>
      <c r="BSD3002" s="1" t="n">
        <v>0</v>
      </c>
      <c r="BSE3002" s="1" t="n">
        <v>0</v>
      </c>
      <c r="BSF3002" s="1" t="n">
        <v>0</v>
      </c>
      <c r="BSG3002" s="1" t="n">
        <v>0</v>
      </c>
      <c r="BSH3002" s="1" t="n">
        <v>0</v>
      </c>
      <c r="BSI3002" s="1" t="n">
        <v>0</v>
      </c>
      <c r="BSJ3002" s="1" t="n">
        <v>0</v>
      </c>
      <c r="BSK3002" s="1" t="n">
        <v>0</v>
      </c>
      <c r="BSL3002" s="1" t="n">
        <v>0</v>
      </c>
      <c r="BSM3002" s="1" t="n">
        <v>0</v>
      </c>
      <c r="BSN3002" s="1" t="n">
        <v>0</v>
      </c>
      <c r="BSO3002" s="1" t="n">
        <v>0</v>
      </c>
      <c r="BSP3002" s="1" t="n">
        <v>0</v>
      </c>
      <c r="BSQ3002" s="1" t="n">
        <v>0</v>
      </c>
      <c r="BSR3002" s="1" t="n">
        <v>0</v>
      </c>
      <c r="BSS3002" s="1" t="n">
        <v>0</v>
      </c>
      <c r="BST3002" s="1" t="n">
        <v>0</v>
      </c>
      <c r="BSU3002" s="1" t="n">
        <v>0</v>
      </c>
      <c r="BSV3002" s="1" t="n">
        <v>0</v>
      </c>
      <c r="BSW3002" s="1" t="n">
        <v>0</v>
      </c>
      <c r="BSX3002" s="1" t="n">
        <v>0</v>
      </c>
      <c r="BSY3002" s="1" t="n">
        <v>0</v>
      </c>
      <c r="BSZ3002" s="1" t="n">
        <v>0</v>
      </c>
      <c r="BTA3002" s="1" t="n">
        <v>0</v>
      </c>
      <c r="BTB3002" s="1" t="n">
        <v>0</v>
      </c>
      <c r="BTC3002" s="1" t="n">
        <v>0</v>
      </c>
      <c r="BTD3002" s="1" t="n">
        <v>0</v>
      </c>
      <c r="BTE3002" s="1" t="n">
        <v>0</v>
      </c>
      <c r="BTF3002" s="1" t="n">
        <v>0</v>
      </c>
      <c r="BTG3002" s="1" t="n">
        <v>0</v>
      </c>
      <c r="BTH3002" s="1" t="n">
        <v>0</v>
      </c>
      <c r="BTI3002" s="1" t="n">
        <v>0</v>
      </c>
      <c r="BTJ3002" s="1" t="n">
        <v>0</v>
      </c>
      <c r="BTK3002" s="1" t="n">
        <v>0</v>
      </c>
      <c r="BTL3002" s="1" t="n">
        <v>0</v>
      </c>
      <c r="BTM3002" s="1" t="n">
        <v>0</v>
      </c>
      <c r="BTN3002" s="1" t="n">
        <v>0</v>
      </c>
      <c r="BTO3002" s="1" t="n">
        <v>0</v>
      </c>
      <c r="BTP3002" s="1" t="n">
        <v>0</v>
      </c>
      <c r="BTQ3002" s="1" t="n">
        <v>0</v>
      </c>
      <c r="BTR3002" s="1" t="n">
        <v>0</v>
      </c>
      <c r="BTS3002" s="1" t="n">
        <v>0</v>
      </c>
      <c r="BTT3002" s="1" t="n">
        <v>0</v>
      </c>
      <c r="BTU3002" s="1" t="n">
        <v>0</v>
      </c>
      <c r="BTV3002" s="1" t="n">
        <v>0</v>
      </c>
      <c r="BTW3002" s="1" t="n">
        <v>0</v>
      </c>
      <c r="BTX3002" s="1" t="n">
        <v>0</v>
      </c>
      <c r="BTY3002" s="1" t="n">
        <v>0</v>
      </c>
      <c r="BTZ3002" s="1" t="n">
        <v>0</v>
      </c>
      <c r="BUA3002" s="1" t="n">
        <v>0</v>
      </c>
      <c r="BUB3002" s="1" t="n">
        <v>0</v>
      </c>
      <c r="BUC3002" s="1" t="n">
        <v>0</v>
      </c>
      <c r="BUD3002" s="1" t="n">
        <v>0</v>
      </c>
      <c r="BUE3002" s="1" t="n">
        <v>0</v>
      </c>
      <c r="BUF3002" s="1" t="n">
        <v>0</v>
      </c>
      <c r="BUG3002" s="1" t="n">
        <v>0</v>
      </c>
      <c r="BUH3002" s="1" t="n">
        <v>0</v>
      </c>
      <c r="BUI3002" s="1" t="n">
        <v>0</v>
      </c>
      <c r="BUJ3002" s="1" t="n">
        <v>0</v>
      </c>
      <c r="BUK3002" s="1" t="n">
        <v>0</v>
      </c>
      <c r="BUL3002" s="1" t="n">
        <v>0</v>
      </c>
      <c r="BUM3002" s="1" t="n">
        <v>0</v>
      </c>
      <c r="BUN3002" s="1" t="n">
        <v>0</v>
      </c>
      <c r="BUO3002" s="1" t="n">
        <v>0</v>
      </c>
      <c r="BUP3002" s="1" t="n">
        <v>0</v>
      </c>
      <c r="BUQ3002" s="1" t="n">
        <v>0</v>
      </c>
      <c r="BUR3002" s="1" t="n">
        <v>0</v>
      </c>
      <c r="BUS3002" s="1" t="n">
        <v>0</v>
      </c>
      <c r="BUT3002" s="1" t="n">
        <v>0</v>
      </c>
      <c r="BUU3002" s="1" t="n">
        <v>0</v>
      </c>
      <c r="BUV3002" s="1" t="n">
        <v>0</v>
      </c>
      <c r="BUW3002" s="1" t="n">
        <v>0</v>
      </c>
      <c r="BUX3002" s="1" t="n">
        <v>0</v>
      </c>
      <c r="BUY3002" s="1" t="n">
        <v>0</v>
      </c>
      <c r="BUZ3002" s="1" t="n">
        <v>0</v>
      </c>
      <c r="BVA3002" s="1" t="n">
        <v>0</v>
      </c>
      <c r="BVB3002" s="1" t="n">
        <v>0</v>
      </c>
      <c r="BVC3002" s="1" t="n">
        <v>0</v>
      </c>
      <c r="BVD3002" s="1" t="n">
        <v>0</v>
      </c>
      <c r="BVE3002" s="1" t="n">
        <v>0</v>
      </c>
      <c r="BVF3002" s="1" t="n">
        <v>0</v>
      </c>
      <c r="BVG3002" s="1" t="n">
        <v>0</v>
      </c>
      <c r="BVH3002" s="1" t="n">
        <v>0</v>
      </c>
      <c r="BVI3002" s="1" t="n">
        <v>0</v>
      </c>
      <c r="BVJ3002" s="1" t="n">
        <v>0</v>
      </c>
      <c r="BVK3002" s="1" t="n">
        <v>0</v>
      </c>
      <c r="BVL3002" s="1" t="n">
        <v>0</v>
      </c>
      <c r="BVM3002" s="1" t="n">
        <v>0</v>
      </c>
      <c r="BVN3002" s="1" t="n">
        <v>0</v>
      </c>
      <c r="BVO3002" s="1" t="n">
        <v>0</v>
      </c>
      <c r="BVP3002" s="1" t="n">
        <v>0</v>
      </c>
      <c r="BVQ3002" s="1" t="n">
        <v>0</v>
      </c>
      <c r="BVR3002" s="1" t="n">
        <v>0</v>
      </c>
      <c r="BVS3002" s="1" t="n">
        <v>0</v>
      </c>
      <c r="BVT3002" s="1" t="n">
        <v>0</v>
      </c>
      <c r="BVU3002" s="1" t="n">
        <v>0</v>
      </c>
      <c r="BVV3002" s="1" t="n">
        <v>0</v>
      </c>
      <c r="BVW3002" s="1" t="n">
        <v>0</v>
      </c>
      <c r="BVX3002" s="1" t="n">
        <v>0</v>
      </c>
      <c r="BVY3002" s="1" t="n">
        <v>0</v>
      </c>
      <c r="BVZ3002" s="1" t="n">
        <v>0</v>
      </c>
      <c r="BWA3002" s="1" t="n">
        <v>0</v>
      </c>
      <c r="BWB3002" s="1" t="n">
        <v>0</v>
      </c>
      <c r="BWC3002" s="1" t="n">
        <v>0</v>
      </c>
      <c r="BWD3002" s="1" t="n">
        <v>0</v>
      </c>
      <c r="BWE3002" s="1" t="n">
        <v>0</v>
      </c>
      <c r="BWF3002" s="1" t="n">
        <v>0</v>
      </c>
      <c r="BWG3002" s="1" t="n">
        <v>0</v>
      </c>
      <c r="BWH3002" s="1" t="n">
        <v>0</v>
      </c>
      <c r="BWI3002" s="1" t="n">
        <v>0</v>
      </c>
      <c r="BWJ3002" s="1" t="n">
        <v>0</v>
      </c>
      <c r="BWK3002" s="1" t="n">
        <v>0</v>
      </c>
      <c r="BWL3002" s="1" t="n">
        <v>0</v>
      </c>
      <c r="BWM3002" s="1" t="n">
        <v>0</v>
      </c>
      <c r="BWN3002" s="1" t="n">
        <v>0</v>
      </c>
      <c r="BWO3002" s="1" t="n">
        <v>0</v>
      </c>
      <c r="BWP3002" s="1" t="n">
        <v>0</v>
      </c>
      <c r="BWQ3002" s="1" t="n">
        <v>0</v>
      </c>
      <c r="BWR3002" s="1" t="n">
        <v>0</v>
      </c>
      <c r="BWS3002" s="1" t="n">
        <v>0</v>
      </c>
      <c r="BWT3002" s="1" t="n">
        <v>0</v>
      </c>
      <c r="BWU3002" s="1" t="n">
        <v>0</v>
      </c>
      <c r="BWV3002" s="1" t="n">
        <v>0</v>
      </c>
      <c r="BWW3002" s="1" t="n">
        <v>0</v>
      </c>
      <c r="BWX3002" s="1" t="n">
        <v>0</v>
      </c>
      <c r="BWY3002" s="1" t="n">
        <v>0</v>
      </c>
      <c r="BWZ3002" s="1" t="n">
        <v>0</v>
      </c>
      <c r="BXA3002" s="1" t="n">
        <v>0</v>
      </c>
      <c r="BXB3002" s="1" t="n">
        <v>0</v>
      </c>
      <c r="BXC3002" s="1" t="n">
        <v>0</v>
      </c>
      <c r="BXD3002" s="1" t="n">
        <v>0</v>
      </c>
      <c r="BXE3002" s="1" t="n">
        <v>0</v>
      </c>
      <c r="BXF3002" s="1" t="n">
        <v>0</v>
      </c>
      <c r="BXG3002" s="1" t="n">
        <v>0</v>
      </c>
      <c r="BXH3002" s="1" t="n">
        <v>0</v>
      </c>
      <c r="BXI3002" s="1" t="n">
        <v>0</v>
      </c>
      <c r="BXJ3002" s="1" t="n">
        <v>0</v>
      </c>
      <c r="BXK3002" s="1" t="n">
        <v>0</v>
      </c>
      <c r="BXL3002" s="1" t="n">
        <v>0</v>
      </c>
      <c r="BXM3002" s="1" t="n">
        <v>0</v>
      </c>
      <c r="BXN3002" s="1" t="n">
        <v>0</v>
      </c>
      <c r="BXO3002" s="1" t="n">
        <v>0</v>
      </c>
      <c r="BXP3002" s="1" t="n">
        <v>0</v>
      </c>
      <c r="BXQ3002" s="1" t="n">
        <v>0</v>
      </c>
      <c r="BXR3002" s="1" t="n">
        <v>0</v>
      </c>
      <c r="BXS3002" s="1" t="n">
        <v>0</v>
      </c>
      <c r="BXT3002" s="1" t="n">
        <v>0</v>
      </c>
      <c r="BXU3002" s="1" t="n">
        <v>0</v>
      </c>
      <c r="BXV3002" s="1" t="n">
        <v>0</v>
      </c>
      <c r="BXW3002" s="1" t="n">
        <v>0</v>
      </c>
      <c r="BXX3002" s="1" t="n">
        <v>0</v>
      </c>
      <c r="BXY3002" s="1" t="n">
        <v>0</v>
      </c>
      <c r="BXZ3002" s="1" t="n">
        <v>0</v>
      </c>
      <c r="BYA3002" s="1" t="n">
        <v>0</v>
      </c>
      <c r="BYB3002" s="1" t="n">
        <v>0</v>
      </c>
      <c r="BYC3002" s="1" t="n">
        <v>0</v>
      </c>
      <c r="BYD3002" s="1" t="n">
        <v>0</v>
      </c>
      <c r="BYE3002" s="1" t="n">
        <v>0</v>
      </c>
      <c r="BYF3002" s="1" t="n">
        <v>0</v>
      </c>
      <c r="BYG3002" s="1" t="n">
        <v>0</v>
      </c>
      <c r="BYH3002" s="1" t="n">
        <v>0</v>
      </c>
      <c r="BYI3002" s="1" t="n">
        <v>0</v>
      </c>
      <c r="BYJ3002" s="1" t="n">
        <v>0</v>
      </c>
      <c r="BYK3002" s="1" t="n">
        <v>0</v>
      </c>
      <c r="BYL3002" s="1" t="n">
        <v>0</v>
      </c>
      <c r="BYM3002" s="1" t="n">
        <v>0</v>
      </c>
      <c r="BYN3002" s="1" t="n">
        <v>0</v>
      </c>
      <c r="BYO3002" s="1" t="n">
        <v>0</v>
      </c>
      <c r="BYP3002" s="1" t="n">
        <v>0</v>
      </c>
      <c r="BYQ3002" s="1" t="n">
        <v>0</v>
      </c>
      <c r="BYR3002" s="1" t="n">
        <v>0</v>
      </c>
      <c r="BYS3002" s="1" t="n">
        <v>0</v>
      </c>
      <c r="BYT3002" s="1" t="n">
        <v>0</v>
      </c>
      <c r="BYU3002" s="1" t="n">
        <v>0</v>
      </c>
      <c r="BYV3002" s="1" t="n">
        <v>0</v>
      </c>
      <c r="BYW3002" s="1" t="n">
        <v>0</v>
      </c>
      <c r="BYX3002" s="1" t="n">
        <v>0</v>
      </c>
      <c r="BYY3002" s="1" t="n">
        <v>0</v>
      </c>
      <c r="BYZ3002" s="1" t="n">
        <v>0</v>
      </c>
      <c r="BZA3002" s="1" t="n">
        <v>0</v>
      </c>
      <c r="BZB3002" s="1" t="n">
        <v>0</v>
      </c>
      <c r="BZC3002" s="1" t="n">
        <v>0</v>
      </c>
      <c r="BZD3002" s="1" t="n">
        <v>0</v>
      </c>
      <c r="BZE3002" s="1" t="n">
        <v>0</v>
      </c>
      <c r="BZF3002" s="1" t="n">
        <v>0</v>
      </c>
      <c r="BZG3002" s="1" t="n">
        <v>0</v>
      </c>
      <c r="BZH3002" s="1" t="n">
        <v>0</v>
      </c>
      <c r="BZI3002" s="1" t="n">
        <v>0</v>
      </c>
      <c r="BZJ3002" s="1" t="n">
        <v>0</v>
      </c>
      <c r="BZK3002" s="1" t="n">
        <v>0</v>
      </c>
      <c r="BZL3002" s="1" t="n">
        <v>0</v>
      </c>
      <c r="BZM3002" s="1" t="n">
        <v>0</v>
      </c>
      <c r="BZN3002" s="1" t="n">
        <v>0</v>
      </c>
      <c r="BZO3002" s="1" t="n">
        <v>0</v>
      </c>
      <c r="BZP3002" s="1" t="n">
        <v>0</v>
      </c>
      <c r="BZQ3002" s="1" t="n">
        <v>0</v>
      </c>
      <c r="BZR3002" s="1" t="n">
        <v>0</v>
      </c>
      <c r="BZS3002" s="1" t="n">
        <v>0</v>
      </c>
      <c r="BZT3002" s="1" t="n">
        <v>0</v>
      </c>
      <c r="BZU3002" s="1" t="n">
        <v>0</v>
      </c>
      <c r="BZV3002" s="1" t="n">
        <v>0</v>
      </c>
      <c r="BZW3002" s="1" t="n">
        <v>0</v>
      </c>
      <c r="BZX3002" s="1" t="n">
        <v>0</v>
      </c>
      <c r="BZY3002" s="1" t="n">
        <v>0</v>
      </c>
      <c r="BZZ3002" s="1" t="n">
        <v>0</v>
      </c>
      <c r="CAA3002" s="1" t="n">
        <v>0</v>
      </c>
      <c r="CAB3002" s="1" t="n">
        <v>0</v>
      </c>
      <c r="CAC3002" s="1" t="n">
        <v>0</v>
      </c>
      <c r="CAD3002" s="1" t="n">
        <v>0</v>
      </c>
      <c r="CAE3002" s="1" t="n">
        <v>0</v>
      </c>
      <c r="CAF3002" s="1" t="n">
        <v>0</v>
      </c>
      <c r="CAG3002" s="1" t="n">
        <v>0</v>
      </c>
      <c r="CAH3002" s="1" t="n">
        <v>0</v>
      </c>
      <c r="CAI3002" s="1" t="n">
        <v>0</v>
      </c>
      <c r="CAJ3002" s="1" t="n">
        <v>0</v>
      </c>
      <c r="CAK3002" s="1" t="n">
        <v>0</v>
      </c>
      <c r="CAL3002" s="1" t="n">
        <v>0</v>
      </c>
      <c r="CAM3002" s="1" t="n">
        <v>0</v>
      </c>
      <c r="CAN3002" s="1" t="n">
        <v>0</v>
      </c>
      <c r="CAO3002" s="1" t="n">
        <v>0</v>
      </c>
      <c r="CAP3002" s="1" t="n">
        <v>0</v>
      </c>
      <c r="CAQ3002" s="1" t="n">
        <v>0</v>
      </c>
      <c r="CAR3002" s="1" t="n">
        <v>0</v>
      </c>
      <c r="CAS3002" s="1" t="n">
        <v>0</v>
      </c>
      <c r="CAT3002" s="1" t="n">
        <v>0</v>
      </c>
      <c r="CAU3002" s="1" t="n">
        <v>0</v>
      </c>
      <c r="CAV3002" s="1" t="n">
        <v>0</v>
      </c>
      <c r="CAW3002" s="1" t="n">
        <v>0</v>
      </c>
      <c r="CAX3002" s="1" t="n">
        <v>0</v>
      </c>
      <c r="CAY3002" s="1" t="n">
        <v>0</v>
      </c>
      <c r="CAZ3002" s="1" t="n">
        <v>0</v>
      </c>
      <c r="CBA3002" s="1" t="n">
        <v>0</v>
      </c>
      <c r="CBB3002" s="1" t="n">
        <v>0</v>
      </c>
      <c r="CBC3002" s="1" t="n">
        <v>0</v>
      </c>
      <c r="CBD3002" s="1" t="n">
        <v>0</v>
      </c>
      <c r="CBE3002" s="1" t="n">
        <v>0</v>
      </c>
      <c r="CBF3002" s="1" t="n">
        <v>0</v>
      </c>
      <c r="CBG3002" s="1" t="n">
        <v>0</v>
      </c>
      <c r="CBH3002" s="1" t="n">
        <v>0</v>
      </c>
      <c r="CBI3002" s="1" t="n">
        <v>0</v>
      </c>
      <c r="CBJ3002" s="1" t="n">
        <v>0</v>
      </c>
      <c r="CBK3002" s="1" t="n">
        <v>0</v>
      </c>
      <c r="CBL3002" s="1" t="n">
        <v>0</v>
      </c>
      <c r="CBM3002" s="1" t="n">
        <v>0</v>
      </c>
      <c r="CBN3002" s="1" t="n">
        <v>0</v>
      </c>
      <c r="CBO3002" s="1" t="n">
        <v>0</v>
      </c>
      <c r="CBP3002" s="1" t="n">
        <v>0</v>
      </c>
      <c r="CBQ3002" s="1" t="n">
        <v>0</v>
      </c>
      <c r="CBR3002" s="1" t="n">
        <v>0</v>
      </c>
      <c r="CBS3002" s="1" t="n">
        <v>0</v>
      </c>
      <c r="CBT3002" s="1" t="n">
        <v>0</v>
      </c>
      <c r="CBU3002" s="1" t="n">
        <v>0</v>
      </c>
      <c r="CBV3002" s="1" t="n">
        <v>0</v>
      </c>
      <c r="CBW3002" s="1" t="n">
        <v>0</v>
      </c>
      <c r="CBX3002" s="1" t="n">
        <v>0</v>
      </c>
      <c r="CBY3002" s="1" t="n">
        <v>0</v>
      </c>
      <c r="CBZ3002" s="1" t="n">
        <v>0</v>
      </c>
      <c r="CCA3002" s="1" t="n">
        <v>0</v>
      </c>
      <c r="CCB3002" s="1" t="n">
        <v>0</v>
      </c>
      <c r="CCC3002" s="1" t="n">
        <v>0</v>
      </c>
      <c r="CCD3002" s="1" t="n">
        <v>0</v>
      </c>
      <c r="CCE3002" s="1" t="n">
        <v>0</v>
      </c>
      <c r="CCF3002" s="1" t="n">
        <v>0</v>
      </c>
      <c r="CCG3002" s="1" t="n">
        <v>0</v>
      </c>
      <c r="CCH3002" s="1" t="n">
        <v>0</v>
      </c>
      <c r="CCI3002" s="1" t="n">
        <v>0</v>
      </c>
      <c r="CCJ3002" s="1" t="n">
        <v>0</v>
      </c>
      <c r="CCK3002" s="1" t="n">
        <v>0</v>
      </c>
      <c r="CCL3002" s="1" t="n">
        <v>0</v>
      </c>
      <c r="CCM3002" s="1" t="n">
        <v>0</v>
      </c>
      <c r="CCN3002" s="1" t="n">
        <v>0</v>
      </c>
      <c r="CCO3002" s="1" t="n">
        <v>0</v>
      </c>
      <c r="CCP3002" s="1" t="n">
        <v>0</v>
      </c>
      <c r="CCQ3002" s="1" t="n">
        <v>0</v>
      </c>
      <c r="CCR3002" s="1" t="n">
        <v>0</v>
      </c>
      <c r="CCS3002" s="1" t="n">
        <v>0</v>
      </c>
      <c r="CCT3002" s="1" t="n">
        <v>0</v>
      </c>
      <c r="CCU3002" s="1" t="n">
        <v>0</v>
      </c>
      <c r="CCV3002" s="1" t="n">
        <v>0</v>
      </c>
      <c r="CCW3002" s="1" t="n">
        <v>0</v>
      </c>
      <c r="CCX3002" s="1" t="n">
        <v>0</v>
      </c>
      <c r="CCY3002" s="1" t="n">
        <v>0</v>
      </c>
      <c r="CCZ3002" s="1" t="n">
        <v>0</v>
      </c>
      <c r="CDA3002" s="1" t="n">
        <v>0</v>
      </c>
      <c r="CDB3002" s="1" t="n">
        <v>0</v>
      </c>
      <c r="CDC3002" s="1" t="n">
        <v>0</v>
      </c>
      <c r="CDD3002" s="1" t="n">
        <v>0</v>
      </c>
      <c r="CDE3002" s="1" t="n">
        <v>0</v>
      </c>
      <c r="CDF3002" s="1" t="n">
        <v>0</v>
      </c>
      <c r="CDG3002" s="1" t="n">
        <v>0</v>
      </c>
      <c r="CDH3002" s="1" t="n">
        <v>0</v>
      </c>
      <c r="CDI3002" s="1" t="n">
        <v>0</v>
      </c>
      <c r="CDJ3002" s="1" t="n">
        <v>0</v>
      </c>
      <c r="CDK3002" s="1" t="n">
        <v>0</v>
      </c>
      <c r="CDL3002" s="1" t="n">
        <v>0</v>
      </c>
      <c r="CDM3002" s="1" t="n">
        <v>0</v>
      </c>
      <c r="CDN3002" s="1" t="n">
        <v>0</v>
      </c>
      <c r="CDO3002" s="1" t="n">
        <v>0</v>
      </c>
      <c r="CDP3002" s="1" t="n">
        <v>0</v>
      </c>
      <c r="CDQ3002" s="1" t="n">
        <v>0</v>
      </c>
      <c r="CDR3002" s="1" t="n">
        <v>0</v>
      </c>
      <c r="CDS3002" s="1" t="n">
        <v>0</v>
      </c>
      <c r="CDT3002" s="1" t="n">
        <v>0</v>
      </c>
      <c r="CDU3002" s="1" t="n">
        <v>0</v>
      </c>
      <c r="CDV3002" s="1" t="n">
        <v>0</v>
      </c>
      <c r="CDW3002" s="1" t="n">
        <v>0</v>
      </c>
      <c r="CDX3002" s="1" t="n">
        <v>0</v>
      </c>
      <c r="CDY3002" s="1" t="n">
        <v>0</v>
      </c>
      <c r="CDZ3002" s="1" t="n">
        <v>0</v>
      </c>
      <c r="CEA3002" s="1" t="n">
        <v>0</v>
      </c>
      <c r="CEB3002" s="1" t="n">
        <v>0</v>
      </c>
      <c r="CEC3002" s="1" t="n">
        <v>0</v>
      </c>
      <c r="CED3002" s="1" t="n">
        <v>0</v>
      </c>
      <c r="CEE3002" s="1" t="n">
        <v>0</v>
      </c>
      <c r="CEF3002" s="1" t="n">
        <v>0</v>
      </c>
      <c r="CEG3002" s="1" t="n">
        <v>0</v>
      </c>
      <c r="CEH3002" s="1" t="n">
        <v>0</v>
      </c>
      <c r="CEI3002" s="1" t="n">
        <v>0</v>
      </c>
      <c r="CEJ3002" s="1" t="n">
        <v>0</v>
      </c>
      <c r="CEK3002" s="1" t="n">
        <v>0</v>
      </c>
      <c r="CEL3002" s="1" t="n">
        <v>0</v>
      </c>
      <c r="CEM3002" s="1" t="n">
        <v>0</v>
      </c>
      <c r="CEN3002" s="1" t="n">
        <v>0</v>
      </c>
      <c r="CEO3002" s="1" t="n">
        <v>0</v>
      </c>
      <c r="CEP3002" s="1" t="n">
        <v>0</v>
      </c>
      <c r="CEQ3002" s="1" t="n">
        <v>0</v>
      </c>
      <c r="CER3002" s="1" t="n">
        <v>0</v>
      </c>
      <c r="CES3002" s="1" t="n">
        <v>0</v>
      </c>
      <c r="CET3002" s="1" t="n">
        <v>0</v>
      </c>
      <c r="CEU3002" s="1" t="n">
        <v>0</v>
      </c>
      <c r="CEV3002" s="1" t="n">
        <v>0</v>
      </c>
      <c r="CEW3002" s="1" t="n">
        <v>0</v>
      </c>
      <c r="CEX3002" s="1" t="n">
        <v>0</v>
      </c>
      <c r="CEY3002" s="1" t="n">
        <v>0</v>
      </c>
      <c r="CEZ3002" s="1" t="n">
        <v>0</v>
      </c>
      <c r="CFA3002" s="1" t="n">
        <v>0</v>
      </c>
      <c r="CFB3002" s="1" t="n">
        <v>0</v>
      </c>
      <c r="CFC3002" s="1" t="n">
        <v>0</v>
      </c>
      <c r="CFD3002" s="1" t="n">
        <v>0</v>
      </c>
      <c r="CFE3002" s="1" t="n">
        <v>0</v>
      </c>
      <c r="CFF3002" s="1" t="n">
        <v>0</v>
      </c>
      <c r="CFG3002" s="1" t="n">
        <v>0</v>
      </c>
      <c r="CFH3002" s="1" t="n">
        <v>0</v>
      </c>
      <c r="CFI3002" s="1" t="n">
        <v>0</v>
      </c>
      <c r="CFJ3002" s="1" t="n">
        <v>0</v>
      </c>
      <c r="CFK3002" s="1" t="n">
        <v>0</v>
      </c>
      <c r="CFL3002" s="1" t="n">
        <v>0</v>
      </c>
      <c r="CFM3002" s="1" t="n">
        <v>0</v>
      </c>
      <c r="CFN3002" s="1" t="n">
        <v>0</v>
      </c>
      <c r="CFO3002" s="1" t="n">
        <v>0</v>
      </c>
      <c r="CFP3002" s="1" t="n">
        <v>0</v>
      </c>
      <c r="CFQ3002" s="1" t="n">
        <v>0</v>
      </c>
      <c r="CFR3002" s="1" t="n">
        <v>0</v>
      </c>
      <c r="CFS3002" s="1" t="n">
        <v>0</v>
      </c>
      <c r="CFT3002" s="1" t="n">
        <v>0</v>
      </c>
      <c r="CFU3002" s="1" t="n">
        <v>0</v>
      </c>
      <c r="CFV3002" s="1" t="n">
        <v>0</v>
      </c>
      <c r="CFW3002" s="1" t="n">
        <v>0</v>
      </c>
      <c r="CFX3002" s="1" t="n">
        <v>0</v>
      </c>
      <c r="CFY3002" s="1" t="n">
        <v>0</v>
      </c>
      <c r="CFZ3002" s="1" t="n">
        <v>0</v>
      </c>
      <c r="CGA3002" s="1" t="n">
        <v>0</v>
      </c>
      <c r="CGB3002" s="1" t="n">
        <v>0</v>
      </c>
      <c r="CGC3002" s="1" t="n">
        <v>0</v>
      </c>
      <c r="CGD3002" s="1" t="n">
        <v>0</v>
      </c>
      <c r="CGE3002" s="1" t="n">
        <v>0</v>
      </c>
      <c r="CGF3002" s="1" t="n">
        <v>0</v>
      </c>
      <c r="CGG3002" s="1" t="n">
        <v>0</v>
      </c>
      <c r="CGH3002" s="1" t="n">
        <v>0</v>
      </c>
      <c r="CGI3002" s="1" t="n">
        <v>0</v>
      </c>
      <c r="CGJ3002" s="1" t="n">
        <v>0</v>
      </c>
      <c r="CGK3002" s="1" t="n">
        <v>0</v>
      </c>
      <c r="CGL3002" s="1" t="n">
        <v>0</v>
      </c>
      <c r="CGM3002" s="1" t="n">
        <v>0</v>
      </c>
      <c r="CGN3002" s="1" t="n">
        <v>0</v>
      </c>
      <c r="CGO3002" s="1" t="n">
        <v>0</v>
      </c>
      <c r="CGP3002" s="1" t="n">
        <v>0</v>
      </c>
      <c r="CGQ3002" s="1" t="n">
        <v>0</v>
      </c>
      <c r="CGR3002" s="1" t="n">
        <v>0</v>
      </c>
      <c r="CGS3002" s="1" t="n">
        <v>0</v>
      </c>
      <c r="CGT3002" s="1" t="n">
        <v>0</v>
      </c>
      <c r="CGU3002" s="1" t="n">
        <v>0</v>
      </c>
      <c r="CGV3002" s="1" t="n">
        <v>0</v>
      </c>
      <c r="CGW3002" s="1" t="n">
        <v>0</v>
      </c>
      <c r="CGX3002" s="1" t="n">
        <v>0</v>
      </c>
      <c r="CGY3002" s="1" t="n">
        <v>0</v>
      </c>
      <c r="CGZ3002" s="1" t="n">
        <v>0</v>
      </c>
      <c r="CHA3002" s="1" t="n">
        <v>0</v>
      </c>
      <c r="CHB3002" s="1" t="n">
        <v>0</v>
      </c>
      <c r="CHC3002" s="1" t="n">
        <v>0</v>
      </c>
      <c r="CHD3002" s="1" t="n">
        <v>0</v>
      </c>
      <c r="CHE3002" s="1" t="n">
        <v>0</v>
      </c>
      <c r="CHF3002" s="1" t="n">
        <v>0</v>
      </c>
      <c r="CHG3002" s="1" t="n">
        <v>0</v>
      </c>
      <c r="CHH3002" s="1" t="n">
        <v>0</v>
      </c>
      <c r="CHI3002" s="1" t="n">
        <v>0</v>
      </c>
      <c r="CHJ3002" s="1" t="n">
        <v>0</v>
      </c>
      <c r="CHK3002" s="1" t="n">
        <v>0</v>
      </c>
      <c r="CHL3002" s="1" t="n">
        <v>0</v>
      </c>
      <c r="CHM3002" s="1" t="n">
        <v>0</v>
      </c>
      <c r="CHN3002" s="1" t="n">
        <v>0</v>
      </c>
      <c r="CHO3002" s="1" t="n">
        <v>0</v>
      </c>
      <c r="CHP3002" s="1" t="n">
        <v>0</v>
      </c>
      <c r="CHQ3002" s="1" t="n">
        <v>0</v>
      </c>
      <c r="CHR3002" s="1" t="n">
        <v>0</v>
      </c>
      <c r="CHS3002" s="1" t="n">
        <v>0</v>
      </c>
      <c r="CHT3002" s="1" t="n">
        <v>0</v>
      </c>
      <c r="CHU3002" s="1" t="n">
        <v>0</v>
      </c>
      <c r="CHV3002" s="1" t="n">
        <v>0</v>
      </c>
      <c r="CHW3002" s="1" t="n">
        <v>0</v>
      </c>
      <c r="CHX3002" s="1" t="n">
        <v>0</v>
      </c>
      <c r="CHY3002" s="1" t="n">
        <v>0</v>
      </c>
      <c r="CHZ3002" s="1" t="n">
        <v>0</v>
      </c>
      <c r="CIA3002" s="1" t="n">
        <v>0</v>
      </c>
      <c r="CIB3002" s="1" t="n">
        <v>0</v>
      </c>
      <c r="CIC3002" s="1" t="n">
        <v>0</v>
      </c>
      <c r="CID3002" s="1" t="n">
        <v>0</v>
      </c>
      <c r="CIE3002" s="1" t="n">
        <v>0</v>
      </c>
      <c r="CIF3002" s="1" t="n">
        <v>0</v>
      </c>
      <c r="CIG3002" s="1" t="n">
        <v>0</v>
      </c>
      <c r="CIH3002" s="1" t="n">
        <v>0</v>
      </c>
      <c r="CII3002" s="1" t="n">
        <v>0</v>
      </c>
      <c r="CIJ3002" s="1" t="n">
        <v>0</v>
      </c>
      <c r="CIK3002" s="1" t="n">
        <v>0</v>
      </c>
      <c r="CIL3002" s="1" t="n">
        <v>0</v>
      </c>
      <c r="CIM3002" s="1" t="n">
        <v>0</v>
      </c>
      <c r="CIN3002" s="1" t="n">
        <v>0</v>
      </c>
      <c r="CIO3002" s="1" t="n">
        <v>0</v>
      </c>
      <c r="CIP3002" s="1" t="n">
        <v>0</v>
      </c>
      <c r="CIQ3002" s="1" t="n">
        <v>0</v>
      </c>
      <c r="CIR3002" s="1" t="n">
        <v>0</v>
      </c>
      <c r="CIS3002" s="1" t="n">
        <v>0</v>
      </c>
      <c r="CIT3002" s="1" t="n">
        <v>0</v>
      </c>
      <c r="CIU3002" s="1" t="n">
        <v>0</v>
      </c>
      <c r="CIV3002" s="1" t="n">
        <v>0</v>
      </c>
      <c r="CIW3002" s="1" t="n">
        <v>0</v>
      </c>
      <c r="CIX3002" s="1" t="n">
        <v>0</v>
      </c>
      <c r="CIY3002" s="1" t="n">
        <v>0</v>
      </c>
      <c r="CIZ3002" s="1" t="n">
        <v>0</v>
      </c>
      <c r="CJA3002" s="1" t="n">
        <v>0</v>
      </c>
      <c r="CJB3002" s="1" t="n">
        <v>0</v>
      </c>
      <c r="CJC3002" s="1" t="n">
        <v>0</v>
      </c>
      <c r="CJD3002" s="1" t="n">
        <v>0</v>
      </c>
      <c r="CJE3002" s="1" t="n">
        <v>0</v>
      </c>
      <c r="CJF3002" s="1" t="n">
        <v>0</v>
      </c>
      <c r="CJG3002" s="1" t="n">
        <v>0</v>
      </c>
      <c r="CJH3002" s="1" t="n">
        <v>0</v>
      </c>
      <c r="CJI3002" s="1" t="n">
        <v>0</v>
      </c>
      <c r="CJJ3002" s="1" t="n">
        <v>0</v>
      </c>
      <c r="CJK3002" s="1" t="n">
        <v>0</v>
      </c>
      <c r="CJL3002" s="1" t="n">
        <v>0</v>
      </c>
      <c r="CJM3002" s="1" t="n">
        <v>0</v>
      </c>
      <c r="CJN3002" s="1" t="n">
        <v>0</v>
      </c>
      <c r="CJO3002" s="1" t="n">
        <v>0</v>
      </c>
      <c r="CJP3002" s="1" t="n">
        <v>0</v>
      </c>
      <c r="CJQ3002" s="1" t="n">
        <v>0</v>
      </c>
      <c r="CJR3002" s="1" t="n">
        <v>0</v>
      </c>
      <c r="CJS3002" s="1" t="n">
        <v>0</v>
      </c>
      <c r="CJT3002" s="1" t="n">
        <v>0</v>
      </c>
      <c r="CJU3002" s="1" t="n">
        <v>0</v>
      </c>
      <c r="CJV3002" s="1" t="n">
        <v>0</v>
      </c>
      <c r="CJW3002" s="1" t="n">
        <v>0</v>
      </c>
      <c r="CJX3002" s="1" t="n">
        <v>0</v>
      </c>
      <c r="CJY3002" s="1" t="n">
        <v>0</v>
      </c>
      <c r="CJZ3002" s="1" t="n">
        <v>0</v>
      </c>
      <c r="CKA3002" s="1" t="n">
        <v>0</v>
      </c>
      <c r="CKB3002" s="1" t="n">
        <v>0</v>
      </c>
      <c r="CKC3002" s="1" t="n">
        <v>0</v>
      </c>
      <c r="CKD3002" s="1" t="n">
        <v>0</v>
      </c>
      <c r="CKE3002" s="1" t="n">
        <v>0</v>
      </c>
      <c r="CKF3002" s="1" t="n">
        <v>0</v>
      </c>
      <c r="CKG3002" s="1" t="n">
        <v>0</v>
      </c>
      <c r="CKH3002" s="1" t="n">
        <v>0</v>
      </c>
      <c r="CKI3002" s="1" t="n">
        <v>0</v>
      </c>
      <c r="CKJ3002" s="1" t="n">
        <v>0</v>
      </c>
      <c r="CKK3002" s="1" t="n">
        <v>0</v>
      </c>
      <c r="CKL3002" s="1" t="n">
        <v>0</v>
      </c>
      <c r="CKM3002" s="1" t="n">
        <v>0</v>
      </c>
      <c r="CKN3002" s="1" t="n">
        <v>0</v>
      </c>
      <c r="CKO3002" s="1" t="n">
        <v>0</v>
      </c>
      <c r="CKP3002" s="1" t="n">
        <v>0</v>
      </c>
      <c r="CKQ3002" s="1" t="n">
        <v>0</v>
      </c>
      <c r="CKR3002" s="1" t="n">
        <v>0</v>
      </c>
      <c r="CKS3002" s="1" t="n">
        <v>0</v>
      </c>
      <c r="CKT3002" s="1" t="n">
        <v>0</v>
      </c>
      <c r="CKU3002" s="1" t="n">
        <v>0</v>
      </c>
      <c r="CKV3002" s="1" t="n">
        <v>0</v>
      </c>
      <c r="CKW3002" s="1" t="n">
        <v>0</v>
      </c>
      <c r="CKX3002" s="1" t="n">
        <v>0</v>
      </c>
      <c r="CKY3002" s="1" t="n">
        <v>0</v>
      </c>
      <c r="CKZ3002" s="1" t="n">
        <v>0</v>
      </c>
      <c r="CLA3002" s="1" t="n">
        <v>0</v>
      </c>
      <c r="CLB3002" s="1" t="n">
        <v>0</v>
      </c>
      <c r="CLC3002" s="1" t="n">
        <v>0</v>
      </c>
      <c r="CLD3002" s="1" t="n">
        <v>0</v>
      </c>
      <c r="CLE3002" s="1" t="n">
        <v>0</v>
      </c>
      <c r="CLF3002" s="1" t="n">
        <v>0</v>
      </c>
      <c r="CLG3002" s="1" t="n">
        <v>0</v>
      </c>
      <c r="CLH3002" s="1" t="n">
        <v>0</v>
      </c>
      <c r="CLI3002" s="1" t="n">
        <v>0</v>
      </c>
      <c r="CLJ3002" s="1" t="n">
        <v>0</v>
      </c>
      <c r="CLK3002" s="1" t="n">
        <v>0</v>
      </c>
      <c r="CLL3002" s="1" t="n">
        <v>0</v>
      </c>
      <c r="CLM3002" s="1" t="n">
        <v>0</v>
      </c>
      <c r="CLN3002" s="1" t="n">
        <v>0</v>
      </c>
      <c r="CLO3002" s="1" t="n">
        <v>0</v>
      </c>
      <c r="CLP3002" s="1" t="n">
        <v>0</v>
      </c>
      <c r="CLQ3002" s="1" t="n">
        <v>0</v>
      </c>
      <c r="CLR3002" s="1" t="n">
        <v>0</v>
      </c>
      <c r="CLS3002" s="1" t="n">
        <v>0</v>
      </c>
      <c r="CLT3002" s="1" t="n">
        <v>0</v>
      </c>
      <c r="CLU3002" s="1" t="n">
        <v>0</v>
      </c>
      <c r="CLV3002" s="1" t="n">
        <v>0</v>
      </c>
      <c r="CLW3002" s="1" t="n">
        <v>0</v>
      </c>
      <c r="CLX3002" s="1" t="n">
        <v>0</v>
      </c>
      <c r="CLY3002" s="1" t="n">
        <v>0</v>
      </c>
      <c r="CLZ3002" s="1" t="n">
        <v>0</v>
      </c>
      <c r="CMA3002" s="1" t="n">
        <v>0</v>
      </c>
      <c r="CMB3002" s="1" t="n">
        <v>0</v>
      </c>
      <c r="CMC3002" s="1" t="n">
        <v>0</v>
      </c>
      <c r="CMD3002" s="1" t="n">
        <v>0</v>
      </c>
      <c r="CME3002" s="1" t="n">
        <v>0</v>
      </c>
      <c r="CMF3002" s="1" t="n">
        <v>0</v>
      </c>
      <c r="CMG3002" s="1" t="n">
        <v>0</v>
      </c>
      <c r="CMH3002" s="1" t="n">
        <v>0</v>
      </c>
      <c r="CMI3002" s="1" t="n">
        <v>0</v>
      </c>
      <c r="CMJ3002" s="1" t="n">
        <v>0</v>
      </c>
      <c r="CMK3002" s="1" t="n">
        <v>0</v>
      </c>
      <c r="CML3002" s="1" t="n">
        <v>0</v>
      </c>
      <c r="CMM3002" s="1" t="n">
        <v>0</v>
      </c>
      <c r="CMN3002" s="1" t="n">
        <v>0</v>
      </c>
      <c r="CMO3002" s="1" t="n">
        <v>0</v>
      </c>
      <c r="CMP3002" s="1" t="n">
        <v>0</v>
      </c>
      <c r="CMQ3002" s="1" t="n">
        <v>0</v>
      </c>
      <c r="CMR3002" s="1" t="n">
        <v>0</v>
      </c>
      <c r="CMS3002" s="1" t="n">
        <v>0</v>
      </c>
      <c r="CMT3002" s="1" t="n">
        <v>0</v>
      </c>
      <c r="CMU3002" s="1" t="n">
        <v>0</v>
      </c>
      <c r="CMV3002" s="1" t="n">
        <v>0</v>
      </c>
      <c r="CMW3002" s="1" t="n">
        <v>0</v>
      </c>
      <c r="CMX3002" s="1" t="n">
        <v>0</v>
      </c>
      <c r="CMY3002" s="1" t="n">
        <v>0</v>
      </c>
      <c r="CMZ3002" s="1" t="n">
        <v>0</v>
      </c>
      <c r="CNA3002" s="1" t="n">
        <v>0</v>
      </c>
      <c r="CNB3002" s="1" t="n">
        <v>0</v>
      </c>
      <c r="CNC3002" s="1" t="n">
        <v>0</v>
      </c>
      <c r="CND3002" s="1" t="n">
        <v>0</v>
      </c>
      <c r="CNE3002" s="1" t="n">
        <v>0</v>
      </c>
      <c r="CNF3002" s="1" t="n">
        <v>0</v>
      </c>
      <c r="CNG3002" s="1" t="n">
        <v>0</v>
      </c>
      <c r="CNH3002" s="1" t="n">
        <v>0</v>
      </c>
      <c r="CNI3002" s="1" t="n">
        <v>0</v>
      </c>
      <c r="CNJ3002" s="1" t="n">
        <v>0</v>
      </c>
      <c r="CNK3002" s="1" t="n">
        <v>0</v>
      </c>
      <c r="CNL3002" s="1" t="n">
        <v>0</v>
      </c>
      <c r="CNM3002" s="1" t="n">
        <v>0</v>
      </c>
      <c r="CNN3002" s="1" t="n">
        <v>0</v>
      </c>
      <c r="CNO3002" s="1" t="n">
        <v>0</v>
      </c>
      <c r="CNP3002" s="1" t="n">
        <v>0</v>
      </c>
      <c r="CNQ3002" s="1" t="n">
        <v>0</v>
      </c>
      <c r="CNR3002" s="1" t="n">
        <v>0</v>
      </c>
      <c r="CNS3002" s="1" t="n">
        <v>0</v>
      </c>
      <c r="CNT3002" s="1" t="n">
        <v>0</v>
      </c>
      <c r="CNU3002" s="1" t="n">
        <v>0</v>
      </c>
      <c r="CNV3002" s="1" t="n">
        <v>0</v>
      </c>
      <c r="CNW3002" s="1" t="n">
        <v>0</v>
      </c>
      <c r="CNX3002" s="1" t="n">
        <v>0</v>
      </c>
      <c r="CNY3002" s="1" t="n">
        <v>0</v>
      </c>
      <c r="CNZ3002" s="1" t="n">
        <v>0</v>
      </c>
      <c r="COA3002" s="1" t="n">
        <v>0</v>
      </c>
      <c r="COB3002" s="1" t="n">
        <v>0</v>
      </c>
      <c r="COC3002" s="1" t="n">
        <v>0</v>
      </c>
      <c r="COD3002" s="1" t="n">
        <v>0</v>
      </c>
      <c r="COE3002" s="1" t="n">
        <v>0</v>
      </c>
      <c r="COF3002" s="1" t="n">
        <v>0</v>
      </c>
      <c r="COG3002" s="1" t="n">
        <v>0</v>
      </c>
      <c r="COH3002" s="1" t="n">
        <v>0</v>
      </c>
      <c r="COI3002" s="1" t="n">
        <v>0</v>
      </c>
      <c r="COJ3002" s="1" t="n">
        <v>0</v>
      </c>
      <c r="COK3002" s="1" t="n">
        <v>0</v>
      </c>
      <c r="COL3002" s="1" t="n">
        <v>0</v>
      </c>
      <c r="COM3002" s="1" t="n">
        <v>0</v>
      </c>
      <c r="CON3002" s="1" t="n">
        <v>0</v>
      </c>
      <c r="COO3002" s="1" t="n">
        <v>0</v>
      </c>
      <c r="COP3002" s="1" t="n">
        <v>0</v>
      </c>
      <c r="COQ3002" s="1" t="n">
        <v>0</v>
      </c>
      <c r="COR3002" s="1" t="n">
        <v>0</v>
      </c>
      <c r="COS3002" s="1" t="n">
        <v>0</v>
      </c>
      <c r="COT3002" s="1" t="n">
        <v>0</v>
      </c>
      <c r="COU3002" s="1" t="n">
        <v>0</v>
      </c>
      <c r="COV3002" s="1" t="n">
        <v>0</v>
      </c>
      <c r="COW3002" s="1" t="n">
        <v>0</v>
      </c>
      <c r="COX3002" s="1" t="n">
        <v>0</v>
      </c>
      <c r="COY3002" s="1" t="n">
        <v>0</v>
      </c>
      <c r="COZ3002" s="1" t="n">
        <v>0</v>
      </c>
      <c r="CPA3002" s="1" t="n">
        <v>0</v>
      </c>
      <c r="CPB3002" s="1" t="n">
        <v>0</v>
      </c>
      <c r="CPC3002" s="1" t="n">
        <v>0</v>
      </c>
      <c r="CPD3002" s="1" t="n">
        <v>0</v>
      </c>
      <c r="CPE3002" s="1" t="n">
        <v>0</v>
      </c>
      <c r="CPF3002" s="1" t="n">
        <v>0</v>
      </c>
      <c r="CPG3002" s="1" t="n">
        <v>0</v>
      </c>
      <c r="CPH3002" s="1" t="n">
        <v>0</v>
      </c>
      <c r="CPI3002" s="1" t="n">
        <v>0</v>
      </c>
      <c r="CPJ3002" s="1" t="n">
        <v>0</v>
      </c>
      <c r="CPK3002" s="1" t="n">
        <v>0</v>
      </c>
      <c r="CPL3002" s="1" t="n">
        <v>0</v>
      </c>
      <c r="CPM3002" s="1" t="n">
        <v>0</v>
      </c>
      <c r="CPN3002" s="1" t="n">
        <v>0</v>
      </c>
      <c r="CPO3002" s="1" t="n">
        <v>0</v>
      </c>
      <c r="CPP3002" s="1" t="n">
        <v>0</v>
      </c>
      <c r="CPQ3002" s="1" t="n">
        <v>0</v>
      </c>
      <c r="CPR3002" s="1" t="n">
        <v>0</v>
      </c>
      <c r="CPS3002" s="1" t="n">
        <v>0</v>
      </c>
      <c r="CPT3002" s="1" t="n">
        <v>0</v>
      </c>
      <c r="CPU3002" s="1" t="n">
        <v>0</v>
      </c>
      <c r="CPV3002" s="1" t="n">
        <v>0</v>
      </c>
      <c r="CPW3002" s="1" t="n">
        <v>0</v>
      </c>
      <c r="CPX3002" s="1" t="n">
        <v>0</v>
      </c>
      <c r="CPY3002" s="1" t="n">
        <v>0</v>
      </c>
      <c r="CPZ3002" s="1" t="n">
        <v>0</v>
      </c>
      <c r="CQA3002" s="1" t="n">
        <v>0</v>
      </c>
      <c r="CQB3002" s="1" t="n">
        <v>0</v>
      </c>
      <c r="CQC3002" s="1" t="n">
        <v>0</v>
      </c>
      <c r="CQD3002" s="1" t="n">
        <v>0</v>
      </c>
      <c r="CQE3002" s="1" t="n">
        <v>0</v>
      </c>
      <c r="CQF3002" s="1" t="n">
        <v>0</v>
      </c>
      <c r="CQG3002" s="1" t="n">
        <v>0</v>
      </c>
      <c r="CQH3002" s="1" t="n">
        <v>0</v>
      </c>
      <c r="CQI3002" s="1" t="n">
        <v>0</v>
      </c>
      <c r="CQJ3002" s="1" t="n">
        <v>0</v>
      </c>
      <c r="CQK3002" s="1" t="n">
        <v>0</v>
      </c>
      <c r="CQL3002" s="1" t="n">
        <v>0</v>
      </c>
      <c r="CQM3002" s="1" t="n">
        <v>0</v>
      </c>
      <c r="CQN3002" s="1" t="n">
        <v>0</v>
      </c>
      <c r="CQO3002" s="1" t="n">
        <v>0</v>
      </c>
      <c r="CQP3002" s="1" t="n">
        <v>0</v>
      </c>
      <c r="CQQ3002" s="1" t="n">
        <v>0</v>
      </c>
      <c r="CQR3002" s="1" t="n">
        <v>0</v>
      </c>
      <c r="CQS3002" s="1" t="n">
        <v>0</v>
      </c>
      <c r="CQT3002" s="1" t="n">
        <v>0</v>
      </c>
      <c r="CQU3002" s="1" t="n">
        <v>0</v>
      </c>
      <c r="CQV3002" s="1" t="n">
        <v>0</v>
      </c>
      <c r="CQW3002" s="1" t="n">
        <v>0</v>
      </c>
      <c r="CQX3002" s="1" t="n">
        <v>0</v>
      </c>
      <c r="CQY3002" s="1" t="n">
        <v>0</v>
      </c>
      <c r="CQZ3002" s="1" t="n">
        <v>0</v>
      </c>
      <c r="CRA3002" s="1" t="n">
        <v>0</v>
      </c>
      <c r="CRB3002" s="1" t="n">
        <v>0</v>
      </c>
      <c r="CRC3002" s="1" t="n">
        <v>0</v>
      </c>
      <c r="CRD3002" s="1" t="n">
        <v>0</v>
      </c>
      <c r="CRE3002" s="1" t="n">
        <v>0</v>
      </c>
      <c r="CRF3002" s="1" t="n">
        <v>0</v>
      </c>
      <c r="CRG3002" s="1" t="n">
        <v>0</v>
      </c>
      <c r="CRH3002" s="1" t="n">
        <v>0</v>
      </c>
      <c r="CRI3002" s="1" t="n">
        <v>0</v>
      </c>
      <c r="CRJ3002" s="1" t="n">
        <v>0</v>
      </c>
      <c r="CRK3002" s="1" t="n">
        <v>0</v>
      </c>
      <c r="CRL3002" s="1" t="n">
        <v>0</v>
      </c>
      <c r="CRM3002" s="1" t="n">
        <v>0</v>
      </c>
      <c r="CRN3002" s="1" t="n">
        <v>0</v>
      </c>
      <c r="CRO3002" s="1" t="n">
        <v>0</v>
      </c>
      <c r="CRP3002" s="1" t="n">
        <v>0</v>
      </c>
      <c r="CRQ3002" s="1" t="n">
        <v>0</v>
      </c>
      <c r="CRR3002" s="1" t="n">
        <v>0</v>
      </c>
      <c r="CRS3002" s="1" t="n">
        <v>0</v>
      </c>
      <c r="CRT3002" s="1" t="n">
        <v>0</v>
      </c>
      <c r="CRU3002" s="1" t="n">
        <v>0</v>
      </c>
      <c r="CRV3002" s="1" t="n">
        <v>0</v>
      </c>
      <c r="CRW3002" s="1" t="n">
        <v>0</v>
      </c>
      <c r="CRX3002" s="1" t="n">
        <v>0</v>
      </c>
      <c r="CRY3002" s="1" t="n">
        <v>0</v>
      </c>
      <c r="CRZ3002" s="1" t="n">
        <v>0</v>
      </c>
      <c r="CSA3002" s="1" t="n">
        <v>0</v>
      </c>
      <c r="CSB3002" s="1" t="n">
        <v>0</v>
      </c>
      <c r="CSC3002" s="1" t="n">
        <v>0</v>
      </c>
      <c r="CSD3002" s="1" t="n">
        <v>0</v>
      </c>
      <c r="CSE3002" s="1" t="n">
        <v>0</v>
      </c>
      <c r="CSF3002" s="1" t="n">
        <v>0</v>
      </c>
      <c r="CSG3002" s="1" t="n">
        <v>0</v>
      </c>
      <c r="CSH3002" s="1" t="n">
        <v>0</v>
      </c>
      <c r="CSI3002" s="1" t="n">
        <v>0</v>
      </c>
      <c r="CSJ3002" s="1" t="n">
        <v>0</v>
      </c>
      <c r="CSK3002" s="1" t="n">
        <v>0</v>
      </c>
      <c r="CSL3002" s="1" t="n">
        <v>0</v>
      </c>
      <c r="CSM3002" s="1" t="n">
        <v>0</v>
      </c>
      <c r="CSN3002" s="1" t="n">
        <v>0</v>
      </c>
      <c r="CSO3002" s="1" t="n">
        <v>0</v>
      </c>
      <c r="CSP3002" s="1" t="n">
        <v>0</v>
      </c>
      <c r="CSQ3002" s="1" t="n">
        <v>0</v>
      </c>
      <c r="CSR3002" s="1" t="n">
        <v>0</v>
      </c>
      <c r="CSS3002" s="1" t="n">
        <v>0</v>
      </c>
      <c r="CST3002" s="1" t="n">
        <v>0</v>
      </c>
      <c r="CSU3002" s="1" t="n">
        <v>0</v>
      </c>
      <c r="CSV3002" s="1" t="n">
        <v>0</v>
      </c>
      <c r="CSW3002" s="1" t="n">
        <v>0</v>
      </c>
      <c r="CSX3002" s="1" t="n">
        <v>0</v>
      </c>
      <c r="CSY3002" s="1" t="n">
        <v>0</v>
      </c>
      <c r="CSZ3002" s="1" t="n">
        <v>0</v>
      </c>
      <c r="CTA3002" s="1" t="n">
        <v>0</v>
      </c>
      <c r="CTB3002" s="1" t="n">
        <v>0</v>
      </c>
      <c r="CTC3002" s="1" t="n">
        <v>0</v>
      </c>
      <c r="CTD3002" s="1" t="n">
        <v>0</v>
      </c>
      <c r="CTE3002" s="1" t="n">
        <v>0</v>
      </c>
      <c r="CTF3002" s="1" t="n">
        <v>0</v>
      </c>
      <c r="CTG3002" s="1" t="n">
        <v>0</v>
      </c>
      <c r="CTH3002" s="1" t="n">
        <v>0</v>
      </c>
      <c r="CTI3002" s="1" t="n">
        <v>0</v>
      </c>
      <c r="CTJ3002" s="1" t="n">
        <v>0</v>
      </c>
      <c r="CTK3002" s="1" t="n">
        <v>0</v>
      </c>
      <c r="CTL3002" s="1" t="n">
        <v>0</v>
      </c>
      <c r="CTM3002" s="1" t="n">
        <v>0</v>
      </c>
      <c r="CTN3002" s="1" t="n">
        <v>0</v>
      </c>
      <c r="CTO3002" s="1" t="n">
        <v>0</v>
      </c>
      <c r="CTP3002" s="1" t="n">
        <v>0</v>
      </c>
      <c r="CTQ3002" s="1" t="n">
        <v>0</v>
      </c>
      <c r="CTR3002" s="1" t="n">
        <v>0</v>
      </c>
      <c r="CTS3002" s="1" t="n">
        <v>0</v>
      </c>
      <c r="CTT3002" s="1" t="n">
        <v>0</v>
      </c>
      <c r="CTU3002" s="1" t="n">
        <v>0</v>
      </c>
      <c r="CTV3002" s="1" t="n">
        <v>0</v>
      </c>
      <c r="CTW3002" s="1" t="n">
        <v>0</v>
      </c>
      <c r="CTX3002" s="1" t="n">
        <v>0</v>
      </c>
      <c r="CTY3002" s="1" t="n">
        <v>0</v>
      </c>
      <c r="CTZ3002" s="1" t="n">
        <v>0</v>
      </c>
      <c r="CUA3002" s="1" t="n">
        <v>0</v>
      </c>
      <c r="CUB3002" s="1" t="n">
        <v>0</v>
      </c>
      <c r="CUC3002" s="1" t="n">
        <v>0</v>
      </c>
      <c r="CUD3002" s="1" t="n">
        <v>0</v>
      </c>
      <c r="CUE3002" s="1" t="n">
        <v>0</v>
      </c>
      <c r="CUF3002" s="1" t="n">
        <v>0</v>
      </c>
      <c r="CUG3002" s="1" t="n">
        <v>0</v>
      </c>
      <c r="CUH3002" s="1" t="n">
        <v>0</v>
      </c>
      <c r="CUI3002" s="1" t="n">
        <v>0</v>
      </c>
      <c r="CUJ3002" s="1" t="n">
        <v>0</v>
      </c>
      <c r="CUK3002" s="1" t="n">
        <v>0</v>
      </c>
      <c r="CUL3002" s="1" t="n">
        <v>0</v>
      </c>
      <c r="CUM3002" s="1" t="n">
        <v>0</v>
      </c>
      <c r="CUN3002" s="1" t="n">
        <v>0</v>
      </c>
      <c r="CUO3002" s="1" t="n">
        <v>0</v>
      </c>
      <c r="CUP3002" s="1" t="n">
        <v>0</v>
      </c>
      <c r="CUQ3002" s="1" t="n">
        <v>0</v>
      </c>
      <c r="CUR3002" s="1" t="n">
        <v>0</v>
      </c>
      <c r="CUS3002" s="1" t="n">
        <v>0</v>
      </c>
      <c r="CUT3002" s="1" t="n">
        <v>0</v>
      </c>
      <c r="CUU3002" s="1" t="n">
        <v>0</v>
      </c>
      <c r="CUV3002" s="1" t="n">
        <v>0</v>
      </c>
      <c r="CUW3002" s="1" t="n">
        <v>0</v>
      </c>
      <c r="CUX3002" s="1" t="n">
        <v>0</v>
      </c>
      <c r="CUY3002" s="1" t="n">
        <v>0</v>
      </c>
      <c r="CUZ3002" s="1" t="n">
        <v>0</v>
      </c>
      <c r="CVA3002" s="1" t="n">
        <v>0</v>
      </c>
      <c r="CVB3002" s="1" t="n">
        <v>0</v>
      </c>
      <c r="CVC3002" s="1" t="n">
        <v>0</v>
      </c>
      <c r="CVD3002" s="1" t="n">
        <v>0</v>
      </c>
      <c r="CVE3002" s="1" t="n">
        <v>0</v>
      </c>
      <c r="CVF3002" s="1" t="n">
        <v>0</v>
      </c>
      <c r="CVG3002" s="1" t="n">
        <v>0</v>
      </c>
      <c r="CVH3002" s="1" t="n">
        <v>0</v>
      </c>
      <c r="CVI3002" s="1" t="n">
        <v>0</v>
      </c>
      <c r="CVJ3002" s="1" t="n">
        <v>0</v>
      </c>
      <c r="CVK3002" s="1" t="n">
        <v>0</v>
      </c>
      <c r="CVL3002" s="1" t="n">
        <v>0</v>
      </c>
      <c r="CVM3002" s="1" t="n">
        <v>0</v>
      </c>
      <c r="CVN3002" s="1" t="n">
        <v>0</v>
      </c>
      <c r="CVO3002" s="1" t="n">
        <v>0</v>
      </c>
      <c r="CVP3002" s="1" t="n">
        <v>0</v>
      </c>
      <c r="CVQ3002" s="1" t="n">
        <v>0</v>
      </c>
      <c r="CVR3002" s="1" t="n">
        <v>0</v>
      </c>
      <c r="CVS3002" s="1" t="n">
        <v>0</v>
      </c>
      <c r="CVT3002" s="1" t="n">
        <v>0</v>
      </c>
      <c r="CVU3002" s="1" t="n">
        <v>0</v>
      </c>
      <c r="CVV3002" s="1" t="n">
        <v>0</v>
      </c>
      <c r="CVW3002" s="1" t="n">
        <v>0</v>
      </c>
      <c r="CVX3002" s="1" t="n">
        <v>0</v>
      </c>
      <c r="CVY3002" s="1" t="n">
        <v>0</v>
      </c>
      <c r="CVZ3002" s="1" t="n">
        <v>0</v>
      </c>
      <c r="CWA3002" s="1" t="n">
        <v>0</v>
      </c>
      <c r="CWB3002" s="1" t="n">
        <v>0</v>
      </c>
      <c r="CWC3002" s="1" t="n">
        <v>0</v>
      </c>
      <c r="CWD3002" s="1" t="n">
        <v>0</v>
      </c>
      <c r="CWE3002" s="1" t="n">
        <v>0</v>
      </c>
      <c r="CWF3002" s="1" t="n">
        <v>0</v>
      </c>
      <c r="CWG3002" s="1" t="n">
        <v>0</v>
      </c>
      <c r="CWH3002" s="1" t="n">
        <v>0</v>
      </c>
      <c r="CWI3002" s="1" t="n">
        <v>0</v>
      </c>
      <c r="CWJ3002" s="1" t="n">
        <v>0</v>
      </c>
      <c r="CWK3002" s="1" t="n">
        <v>0</v>
      </c>
      <c r="CWL3002" s="1" t="n">
        <v>0</v>
      </c>
      <c r="CWM3002" s="1" t="n">
        <v>0</v>
      </c>
      <c r="CWN3002" s="1" t="n">
        <v>0</v>
      </c>
      <c r="CWO3002" s="1" t="n">
        <v>0</v>
      </c>
      <c r="CWP3002" s="1" t="n">
        <v>0</v>
      </c>
      <c r="CWQ3002" s="1" t="n">
        <v>0</v>
      </c>
      <c r="CWR3002" s="1" t="n">
        <v>0</v>
      </c>
      <c r="CWS3002" s="1" t="n">
        <v>0</v>
      </c>
      <c r="CWT3002" s="1" t="n">
        <v>0</v>
      </c>
      <c r="CWU3002" s="1" t="n">
        <v>0</v>
      </c>
      <c r="CWV3002" s="1" t="n">
        <v>0</v>
      </c>
      <c r="CWW3002" s="1" t="n">
        <v>0</v>
      </c>
      <c r="CWX3002" s="1" t="n">
        <v>0</v>
      </c>
      <c r="CWY3002" s="1" t="n">
        <v>0</v>
      </c>
      <c r="CWZ3002" s="1" t="n">
        <v>0</v>
      </c>
      <c r="CXA3002" s="1" t="n">
        <v>0</v>
      </c>
      <c r="CXB3002" s="1" t="n">
        <v>0</v>
      </c>
      <c r="CXC3002" s="1" t="n">
        <v>0</v>
      </c>
      <c r="CXD3002" s="1" t="n">
        <v>0</v>
      </c>
      <c r="CXE3002" s="1" t="n">
        <v>0</v>
      </c>
      <c r="CXF3002" s="1" t="n">
        <v>0</v>
      </c>
      <c r="CXG3002" s="1" t="n">
        <v>0</v>
      </c>
      <c r="CXH3002" s="1" t="n">
        <v>0</v>
      </c>
      <c r="CXI3002" s="1" t="n">
        <v>0</v>
      </c>
      <c r="CXJ3002" s="1" t="n">
        <v>0</v>
      </c>
      <c r="CXK3002" s="1" t="n">
        <v>0</v>
      </c>
      <c r="CXL3002" s="1" t="n">
        <v>0</v>
      </c>
      <c r="CXM3002" s="1" t="n">
        <v>0</v>
      </c>
      <c r="CXN3002" s="1" t="n">
        <v>0</v>
      </c>
      <c r="CXO3002" s="1" t="n">
        <v>0</v>
      </c>
      <c r="CXP3002" s="1" t="n">
        <v>0</v>
      </c>
      <c r="CXQ3002" s="1" t="n">
        <v>0</v>
      </c>
      <c r="CXR3002" s="1" t="n">
        <v>0</v>
      </c>
      <c r="CXS3002" s="1" t="n">
        <v>0</v>
      </c>
      <c r="CXT3002" s="1" t="n">
        <v>0</v>
      </c>
      <c r="CXU3002" s="1" t="n">
        <v>0</v>
      </c>
      <c r="CXV3002" s="1" t="n">
        <v>0</v>
      </c>
      <c r="CXW3002" s="1" t="n">
        <v>0</v>
      </c>
      <c r="CXX3002" s="1" t="n">
        <v>0</v>
      </c>
      <c r="CXY3002" s="1" t="n">
        <v>0</v>
      </c>
      <c r="CXZ3002" s="1" t="n">
        <v>0</v>
      </c>
      <c r="CYA3002" s="1" t="n">
        <v>0</v>
      </c>
      <c r="CYB3002" s="1" t="n">
        <v>0</v>
      </c>
      <c r="CYC3002" s="1" t="n">
        <v>0</v>
      </c>
      <c r="CYD3002" s="1" t="n">
        <v>0</v>
      </c>
      <c r="CYE3002" s="1" t="n">
        <v>0</v>
      </c>
      <c r="CYF3002" s="1" t="n">
        <v>0</v>
      </c>
      <c r="CYG3002" s="1" t="n">
        <v>0</v>
      </c>
      <c r="CYH3002" s="1" t="n">
        <v>0</v>
      </c>
      <c r="CYI3002" s="1" t="n">
        <v>0</v>
      </c>
      <c r="CYJ3002" s="1" t="n">
        <v>0</v>
      </c>
      <c r="CYK3002" s="1" t="n">
        <v>0</v>
      </c>
      <c r="CYL3002" s="1" t="n">
        <v>0</v>
      </c>
      <c r="CYM3002" s="1" t="n">
        <v>0</v>
      </c>
      <c r="CYN3002" s="1" t="n">
        <v>0</v>
      </c>
      <c r="CYO3002" s="1" t="n">
        <v>0</v>
      </c>
      <c r="CYP3002" s="1" t="n">
        <v>0</v>
      </c>
      <c r="CYQ3002" s="1" t="n">
        <v>0</v>
      </c>
      <c r="CYR3002" s="1" t="n">
        <v>0</v>
      </c>
      <c r="CYS3002" s="1" t="n">
        <v>0</v>
      </c>
      <c r="CYT3002" s="1" t="n">
        <v>0</v>
      </c>
      <c r="CYU3002" s="1" t="n">
        <v>0</v>
      </c>
      <c r="CYV3002" s="1" t="n">
        <v>0</v>
      </c>
      <c r="CYW3002" s="1" t="n">
        <v>0</v>
      </c>
      <c r="CYX3002" s="1" t="n">
        <v>0</v>
      </c>
      <c r="CYY3002" s="1" t="n">
        <v>0</v>
      </c>
      <c r="CYZ3002" s="1" t="n">
        <v>0</v>
      </c>
      <c r="CZA3002" s="1" t="n">
        <v>0</v>
      </c>
      <c r="CZB3002" s="1" t="n">
        <v>0</v>
      </c>
      <c r="CZC3002" s="1" t="n">
        <v>0</v>
      </c>
      <c r="CZD3002" s="1" t="n">
        <v>0</v>
      </c>
      <c r="CZE3002" s="1" t="n">
        <v>0</v>
      </c>
      <c r="CZF3002" s="1" t="n">
        <v>0</v>
      </c>
      <c r="CZG3002" s="1" t="n">
        <v>0</v>
      </c>
      <c r="CZH3002" s="1" t="n">
        <v>0</v>
      </c>
      <c r="CZI3002" s="1" t="n">
        <v>0</v>
      </c>
      <c r="CZJ3002" s="1" t="n">
        <v>0</v>
      </c>
      <c r="CZK3002" s="1" t="n">
        <v>0</v>
      </c>
      <c r="CZL3002" s="1" t="n">
        <v>0</v>
      </c>
      <c r="CZM3002" s="1" t="n">
        <v>0</v>
      </c>
      <c r="CZN3002" s="1" t="n">
        <v>0</v>
      </c>
      <c r="CZO3002" s="1" t="n">
        <v>0</v>
      </c>
      <c r="CZP3002" s="1" t="n">
        <v>0</v>
      </c>
      <c r="CZQ3002" s="1" t="n">
        <v>0</v>
      </c>
      <c r="CZR3002" s="1" t="n">
        <v>0</v>
      </c>
      <c r="CZS3002" s="1" t="n">
        <v>0</v>
      </c>
      <c r="CZT3002" s="1" t="n">
        <v>0</v>
      </c>
      <c r="CZU3002" s="1" t="n">
        <v>0</v>
      </c>
      <c r="CZV3002" s="1" t="n">
        <v>0</v>
      </c>
      <c r="CZW3002" s="1" t="n">
        <v>0</v>
      </c>
      <c r="CZX3002" s="1" t="n">
        <v>0</v>
      </c>
      <c r="CZY3002" s="1" t="n">
        <v>0</v>
      </c>
      <c r="CZZ3002" s="1" t="n">
        <v>0</v>
      </c>
      <c r="DAA3002" s="1" t="n">
        <v>0</v>
      </c>
      <c r="DAB3002" s="1" t="n">
        <v>0</v>
      </c>
      <c r="DAC3002" s="1" t="n">
        <v>0</v>
      </c>
      <c r="DAD3002" s="1" t="n">
        <v>0</v>
      </c>
      <c r="DAE3002" s="1" t="n">
        <v>0</v>
      </c>
      <c r="DAF3002" s="1" t="n">
        <v>0</v>
      </c>
      <c r="DAG3002" s="1" t="n">
        <v>0</v>
      </c>
      <c r="DAH3002" s="1" t="n">
        <v>0</v>
      </c>
      <c r="DAI3002" s="1" t="n">
        <v>0</v>
      </c>
      <c r="DAJ3002" s="1" t="n">
        <v>0</v>
      </c>
      <c r="DAK3002" s="1" t="n">
        <v>0</v>
      </c>
      <c r="DAL3002" s="1" t="n">
        <v>0</v>
      </c>
      <c r="DAM3002" s="1" t="n">
        <v>0</v>
      </c>
      <c r="DAN3002" s="1" t="n">
        <v>0</v>
      </c>
      <c r="DAO3002" s="1" t="n">
        <v>0</v>
      </c>
      <c r="DAP3002" s="1" t="n">
        <v>0</v>
      </c>
      <c r="DAQ3002" s="1" t="n">
        <v>0</v>
      </c>
      <c r="DAR3002" s="1" t="n">
        <v>0</v>
      </c>
      <c r="DAS3002" s="1" t="n">
        <v>0</v>
      </c>
      <c r="DAT3002" s="1" t="n">
        <v>0</v>
      </c>
      <c r="DAU3002" s="1" t="n">
        <v>0</v>
      </c>
      <c r="DAV3002" s="1" t="n">
        <v>0</v>
      </c>
      <c r="DAW3002" s="1" t="n">
        <v>0</v>
      </c>
      <c r="DAX3002" s="1" t="n">
        <v>0</v>
      </c>
      <c r="DAY3002" s="1" t="n">
        <v>0</v>
      </c>
      <c r="DAZ3002" s="1" t="n">
        <v>0</v>
      </c>
      <c r="DBA3002" s="1" t="n">
        <v>0</v>
      </c>
      <c r="DBB3002" s="1" t="n">
        <v>0</v>
      </c>
      <c r="DBC3002" s="1" t="n">
        <v>0</v>
      </c>
      <c r="DBD3002" s="1" t="n">
        <v>0</v>
      </c>
      <c r="DBE3002" s="1" t="n">
        <v>0</v>
      </c>
      <c r="DBF3002" s="1" t="n">
        <v>0</v>
      </c>
      <c r="DBG3002" s="1" t="n">
        <v>0</v>
      </c>
      <c r="DBH3002" s="1" t="n">
        <v>0</v>
      </c>
      <c r="DBI3002" s="1" t="n">
        <v>0</v>
      </c>
      <c r="DBJ3002" s="1" t="n">
        <v>0</v>
      </c>
      <c r="DBK3002" s="1" t="n">
        <v>0</v>
      </c>
      <c r="DBL3002" s="1" t="n">
        <v>0</v>
      </c>
      <c r="DBM3002" s="1" t="n">
        <v>0</v>
      </c>
      <c r="DBN3002" s="1" t="n">
        <v>0</v>
      </c>
      <c r="DBO3002" s="1" t="n">
        <v>0</v>
      </c>
      <c r="DBP3002" s="1" t="n">
        <v>0</v>
      </c>
      <c r="DBQ3002" s="1" t="n">
        <v>0</v>
      </c>
      <c r="DBR3002" s="1" t="n">
        <v>0</v>
      </c>
      <c r="DBS3002" s="1" t="n">
        <v>0</v>
      </c>
      <c r="DBT3002" s="1" t="n">
        <v>0</v>
      </c>
      <c r="DBU3002" s="1" t="n">
        <v>0</v>
      </c>
      <c r="DBV3002" s="1" t="n">
        <v>0</v>
      </c>
      <c r="DBW3002" s="1" t="n">
        <v>0</v>
      </c>
      <c r="DBX3002" s="1" t="n">
        <v>0</v>
      </c>
      <c r="DBY3002" s="1" t="n">
        <v>0</v>
      </c>
      <c r="DBZ3002" s="1" t="n">
        <v>0</v>
      </c>
      <c r="DCA3002" s="1" t="n">
        <v>0</v>
      </c>
      <c r="DCB3002" s="1" t="n">
        <v>0</v>
      </c>
      <c r="DCC3002" s="1" t="n">
        <v>0</v>
      </c>
      <c r="DCD3002" s="1" t="n">
        <v>0</v>
      </c>
      <c r="DCE3002" s="1" t="n">
        <v>0</v>
      </c>
      <c r="DCF3002" s="1" t="n">
        <v>0</v>
      </c>
      <c r="DCG3002" s="1" t="n">
        <v>0</v>
      </c>
      <c r="DCH3002" s="1" t="n">
        <v>0</v>
      </c>
      <c r="DCI3002" s="1" t="n">
        <v>0</v>
      </c>
      <c r="DCJ3002" s="1" t="n">
        <v>0</v>
      </c>
      <c r="DCK3002" s="1" t="n">
        <v>0</v>
      </c>
      <c r="DCL3002" s="1" t="n">
        <v>0</v>
      </c>
      <c r="DCM3002" s="1" t="n">
        <v>0</v>
      </c>
      <c r="DCN3002" s="1" t="n">
        <v>0</v>
      </c>
      <c r="DCO3002" s="1" t="n">
        <v>0</v>
      </c>
      <c r="DCP3002" s="1" t="n">
        <v>0</v>
      </c>
      <c r="DCQ3002" s="1" t="n">
        <v>0</v>
      </c>
      <c r="DCR3002" s="1" t="n">
        <v>0</v>
      </c>
      <c r="DCS3002" s="1" t="n">
        <v>0</v>
      </c>
      <c r="DCT3002" s="1" t="n">
        <v>0</v>
      </c>
      <c r="DCU3002" s="1" t="n">
        <v>0</v>
      </c>
      <c r="DCV3002" s="1" t="n">
        <v>0</v>
      </c>
      <c r="DCW3002" s="1" t="n">
        <v>0</v>
      </c>
      <c r="DCX3002" s="1" t="n">
        <v>0</v>
      </c>
      <c r="DCY3002" s="1" t="n">
        <v>0</v>
      </c>
      <c r="DCZ3002" s="1" t="n">
        <v>0</v>
      </c>
      <c r="DDA3002" s="1" t="n">
        <v>0</v>
      </c>
      <c r="DDB3002" s="1" t="n">
        <v>0</v>
      </c>
      <c r="DDC3002" s="1" t="n">
        <v>0</v>
      </c>
      <c r="DDD3002" s="1" t="n">
        <v>0</v>
      </c>
      <c r="DDE3002" s="1" t="n">
        <v>0</v>
      </c>
      <c r="DDF3002" s="1" t="n">
        <v>0</v>
      </c>
      <c r="DDG3002" s="1" t="n">
        <v>0</v>
      </c>
      <c r="DDH3002" s="1" t="n">
        <v>0</v>
      </c>
      <c r="DDI3002" s="1" t="n">
        <v>0</v>
      </c>
      <c r="DDJ3002" s="1" t="n">
        <v>0</v>
      </c>
      <c r="DDK3002" s="1" t="n">
        <v>0</v>
      </c>
      <c r="DDL3002" s="1" t="n">
        <v>0</v>
      </c>
      <c r="DDM3002" s="1" t="n">
        <v>0</v>
      </c>
      <c r="DDN3002" s="1" t="n">
        <v>0</v>
      </c>
      <c r="DDO3002" s="1" t="n">
        <v>0</v>
      </c>
      <c r="DDP3002" s="1" t="n">
        <v>0</v>
      </c>
      <c r="DDQ3002" s="1" t="n">
        <v>0</v>
      </c>
      <c r="DDR3002" s="1" t="n">
        <v>0</v>
      </c>
      <c r="DDS3002" s="1" t="n">
        <v>0</v>
      </c>
      <c r="DDT3002" s="1" t="n">
        <v>0</v>
      </c>
      <c r="DDU3002" s="1" t="n">
        <v>0</v>
      </c>
      <c r="DDV3002" s="1" t="n">
        <v>0</v>
      </c>
      <c r="DDW3002" s="1" t="n">
        <v>0</v>
      </c>
      <c r="DDX3002" s="1" t="n">
        <v>0</v>
      </c>
      <c r="DDY3002" s="1" t="n">
        <v>0</v>
      </c>
      <c r="DDZ3002" s="1" t="n">
        <v>0</v>
      </c>
      <c r="DEA3002" s="1" t="n">
        <v>0</v>
      </c>
      <c r="DEB3002" s="1" t="n">
        <v>0</v>
      </c>
      <c r="DEC3002" s="1" t="n">
        <v>0</v>
      </c>
      <c r="DED3002" s="1" t="n">
        <v>0</v>
      </c>
      <c r="DEE3002" s="1" t="n">
        <v>0</v>
      </c>
      <c r="DEF3002" s="1" t="n">
        <v>0</v>
      </c>
      <c r="DEG3002" s="1" t="n">
        <v>0</v>
      </c>
      <c r="DEH3002" s="1" t="n">
        <v>0</v>
      </c>
      <c r="DEI3002" s="1" t="n">
        <v>0</v>
      </c>
      <c r="DEJ3002" s="1" t="n">
        <v>0</v>
      </c>
      <c r="DEK3002" s="1" t="n">
        <v>0</v>
      </c>
      <c r="DEL3002" s="1" t="n">
        <v>0</v>
      </c>
      <c r="DEM3002" s="1" t="n">
        <v>0</v>
      </c>
      <c r="DEN3002" s="1" t="n">
        <v>0</v>
      </c>
      <c r="DEO3002" s="1" t="n">
        <v>0</v>
      </c>
      <c r="DEP3002" s="1" t="n">
        <v>0</v>
      </c>
      <c r="DEQ3002" s="1" t="n">
        <v>0</v>
      </c>
      <c r="DER3002" s="1" t="n">
        <v>0</v>
      </c>
      <c r="DES3002" s="1" t="n">
        <v>0</v>
      </c>
      <c r="DET3002" s="1" t="n">
        <v>0</v>
      </c>
      <c r="DEU3002" s="1" t="n">
        <v>0</v>
      </c>
      <c r="DEV3002" s="1" t="n">
        <v>0</v>
      </c>
      <c r="DEW3002" s="1" t="n">
        <v>0</v>
      </c>
      <c r="DEX3002" s="1" t="n">
        <v>0</v>
      </c>
      <c r="DEY3002" s="1" t="n">
        <v>0</v>
      </c>
      <c r="DEZ3002" s="1" t="n">
        <v>0</v>
      </c>
      <c r="DFA3002" s="1" t="n">
        <v>0</v>
      </c>
      <c r="DFB3002" s="1" t="n">
        <v>0</v>
      </c>
      <c r="DFC3002" s="1" t="n">
        <v>0</v>
      </c>
      <c r="DFD3002" s="1" t="n">
        <v>0</v>
      </c>
      <c r="DFE3002" s="1" t="n">
        <v>0</v>
      </c>
      <c r="DFF3002" s="1" t="n">
        <v>0</v>
      </c>
      <c r="DFG3002" s="1" t="n">
        <v>0</v>
      </c>
      <c r="DFH3002" s="1" t="n">
        <v>0</v>
      </c>
      <c r="DFI3002" s="1" t="n">
        <v>0</v>
      </c>
      <c r="DFJ3002" s="1" t="n">
        <v>0</v>
      </c>
      <c r="DFK3002" s="1" t="n">
        <v>0</v>
      </c>
      <c r="DFL3002" s="1" t="n">
        <v>0</v>
      </c>
      <c r="DFM3002" s="1" t="n">
        <v>0</v>
      </c>
      <c r="DFN3002" s="1" t="n">
        <v>0</v>
      </c>
      <c r="DFO3002" s="1" t="n">
        <v>0</v>
      </c>
      <c r="DFP3002" s="1" t="n">
        <v>0</v>
      </c>
      <c r="DFQ3002" s="1" t="n">
        <v>0</v>
      </c>
      <c r="DFR3002" s="1" t="n">
        <v>0</v>
      </c>
      <c r="DFS3002" s="1" t="n">
        <v>0</v>
      </c>
      <c r="DFT3002" s="1" t="n">
        <v>0</v>
      </c>
      <c r="DFU3002" s="1" t="n">
        <v>0</v>
      </c>
      <c r="DFV3002" s="1" t="n">
        <v>0</v>
      </c>
      <c r="DFW3002" s="1" t="n">
        <v>0</v>
      </c>
      <c r="DFX3002" s="1" t="n">
        <v>0</v>
      </c>
      <c r="DFY3002" s="1" t="n">
        <v>0</v>
      </c>
      <c r="DFZ3002" s="1" t="n">
        <v>0</v>
      </c>
      <c r="DGA3002" s="1" t="n">
        <v>0</v>
      </c>
      <c r="DGB3002" s="1" t="n">
        <v>0</v>
      </c>
      <c r="DGC3002" s="1" t="n">
        <v>0</v>
      </c>
      <c r="DGD3002" s="1" t="n">
        <v>0</v>
      </c>
      <c r="DGE3002" s="1" t="n">
        <v>0</v>
      </c>
      <c r="DGF3002" s="1" t="n">
        <v>0</v>
      </c>
      <c r="DGG3002" s="1" t="n">
        <v>0</v>
      </c>
      <c r="DGH3002" s="1" t="n">
        <v>0</v>
      </c>
      <c r="DGI3002" s="1" t="n">
        <v>0</v>
      </c>
      <c r="DGJ3002" s="1" t="n">
        <v>0</v>
      </c>
      <c r="DGK3002" s="1" t="n">
        <v>0</v>
      </c>
      <c r="DGL3002" s="1" t="n">
        <v>0</v>
      </c>
      <c r="DGM3002" s="1" t="n">
        <v>0</v>
      </c>
      <c r="DGN3002" s="1" t="n">
        <v>0</v>
      </c>
      <c r="DGO3002" s="1" t="n">
        <v>0</v>
      </c>
      <c r="DGP3002" s="1" t="n">
        <v>0</v>
      </c>
      <c r="DGQ3002" s="1" t="n">
        <v>0</v>
      </c>
      <c r="DGR3002" s="1" t="n">
        <v>0</v>
      </c>
      <c r="DGS3002" s="1" t="n">
        <v>0</v>
      </c>
      <c r="DGT3002" s="1" t="n">
        <v>0</v>
      </c>
      <c r="DGU3002" s="1" t="n">
        <v>0</v>
      </c>
      <c r="DGV3002" s="1" t="n">
        <v>0</v>
      </c>
      <c r="DGW3002" s="1" t="n">
        <v>0</v>
      </c>
      <c r="DGX3002" s="1" t="n">
        <v>0</v>
      </c>
      <c r="DGY3002" s="1" t="n">
        <v>0</v>
      </c>
      <c r="DGZ3002" s="1" t="n">
        <v>0</v>
      </c>
      <c r="DHA3002" s="1" t="n">
        <v>0</v>
      </c>
      <c r="DHB3002" s="1" t="n">
        <v>0</v>
      </c>
      <c r="DHC3002" s="1" t="n">
        <v>0</v>
      </c>
      <c r="DHD3002" s="1" t="n">
        <v>0</v>
      </c>
      <c r="DHE3002" s="1" t="n">
        <v>0</v>
      </c>
      <c r="DHF3002" s="1" t="n">
        <v>0</v>
      </c>
      <c r="DHG3002" s="1" t="n">
        <v>0</v>
      </c>
      <c r="DHH3002" s="1" t="n">
        <v>0</v>
      </c>
      <c r="DHI3002" s="1" t="n">
        <v>0</v>
      </c>
      <c r="DHJ3002" s="1" t="n">
        <v>0</v>
      </c>
      <c r="DHK3002" s="1" t="n">
        <v>0</v>
      </c>
      <c r="DHL3002" s="1" t="n">
        <v>0</v>
      </c>
      <c r="DHM3002" s="1" t="n">
        <v>0</v>
      </c>
      <c r="DHN3002" s="1" t="n">
        <v>0</v>
      </c>
      <c r="DHO3002" s="1" t="n">
        <v>0</v>
      </c>
      <c r="DHP3002" s="1" t="n">
        <v>0</v>
      </c>
      <c r="DHQ3002" s="1" t="n">
        <v>0</v>
      </c>
      <c r="DHR3002" s="1" t="n">
        <v>0</v>
      </c>
      <c r="DHS3002" s="1" t="n">
        <v>0</v>
      </c>
      <c r="DHT3002" s="1" t="n">
        <v>0</v>
      </c>
      <c r="DHU3002" s="1" t="n">
        <v>0</v>
      </c>
      <c r="DHV3002" s="1" t="n">
        <v>0</v>
      </c>
      <c r="DHW3002" s="1" t="n">
        <v>0</v>
      </c>
      <c r="DHX3002" s="1" t="n">
        <v>0</v>
      </c>
      <c r="DHY3002" s="1" t="n">
        <v>0</v>
      </c>
      <c r="DHZ3002" s="1" t="n">
        <v>0</v>
      </c>
      <c r="DIA3002" s="1" t="n">
        <v>0</v>
      </c>
      <c r="DIB3002" s="1" t="n">
        <v>0</v>
      </c>
      <c r="DIC3002" s="1" t="n">
        <v>0</v>
      </c>
      <c r="DID3002" s="1" t="n">
        <v>0</v>
      </c>
      <c r="DIE3002" s="1" t="n">
        <v>0</v>
      </c>
      <c r="DIF3002" s="1" t="n">
        <v>0</v>
      </c>
      <c r="DIG3002" s="1" t="n">
        <v>0</v>
      </c>
      <c r="DIH3002" s="1" t="n">
        <v>0</v>
      </c>
      <c r="DII3002" s="1" t="n">
        <v>0</v>
      </c>
      <c r="DIJ3002" s="1" t="n">
        <v>0</v>
      </c>
      <c r="DIK3002" s="1" t="n">
        <v>0</v>
      </c>
      <c r="DIL3002" s="1" t="n">
        <v>0</v>
      </c>
      <c r="DIM3002" s="1" t="n">
        <v>0</v>
      </c>
      <c r="DIN3002" s="1" t="n">
        <v>0</v>
      </c>
      <c r="DIO3002" s="1" t="n">
        <v>0</v>
      </c>
      <c r="DIP3002" s="1" t="n">
        <v>0</v>
      </c>
      <c r="DIQ3002" s="1" t="n">
        <v>0</v>
      </c>
      <c r="DIR3002" s="1" t="n">
        <v>0</v>
      </c>
      <c r="DIS3002" s="1" t="n">
        <v>0</v>
      </c>
      <c r="DIT3002" s="1" t="n">
        <v>0</v>
      </c>
      <c r="DIU3002" s="1" t="n">
        <v>0</v>
      </c>
      <c r="DIV3002" s="1" t="n">
        <v>0</v>
      </c>
      <c r="DIW3002" s="1" t="n">
        <v>0</v>
      </c>
      <c r="DIX3002" s="1" t="n">
        <v>0</v>
      </c>
      <c r="DIY3002" s="1" t="n">
        <v>0</v>
      </c>
      <c r="DIZ3002" s="1" t="n">
        <v>0</v>
      </c>
      <c r="DJA3002" s="1" t="n">
        <v>0</v>
      </c>
      <c r="DJB3002" s="1" t="n">
        <v>0</v>
      </c>
      <c r="DJC3002" s="1" t="n">
        <v>0</v>
      </c>
      <c r="DJD3002" s="1" t="n">
        <v>0</v>
      </c>
      <c r="DJE3002" s="1" t="n">
        <v>0</v>
      </c>
      <c r="DJF3002" s="1" t="n">
        <v>0</v>
      </c>
      <c r="DJG3002" s="1" t="n">
        <v>0</v>
      </c>
      <c r="DJH3002" s="1" t="n">
        <v>0</v>
      </c>
      <c r="DJI3002" s="1" t="n">
        <v>0</v>
      </c>
      <c r="DJJ3002" s="1" t="n">
        <v>0</v>
      </c>
      <c r="DJK3002" s="1" t="n">
        <v>0</v>
      </c>
      <c r="DJL3002" s="1" t="n">
        <v>0</v>
      </c>
      <c r="DJM3002" s="1" t="n">
        <v>0</v>
      </c>
      <c r="DJN3002" s="1" t="n">
        <v>0</v>
      </c>
      <c r="DJO3002" s="1" t="n">
        <v>0</v>
      </c>
      <c r="DJP3002" s="1" t="n">
        <v>0</v>
      </c>
      <c r="DJQ3002" s="1" t="n">
        <v>0</v>
      </c>
      <c r="DJR3002" s="1" t="n">
        <v>0</v>
      </c>
      <c r="DJS3002" s="1" t="n">
        <v>0</v>
      </c>
      <c r="DJT3002" s="1" t="n">
        <v>0</v>
      </c>
      <c r="DJU3002" s="1" t="n">
        <v>0</v>
      </c>
      <c r="DJV3002" s="1" t="n">
        <v>0</v>
      </c>
      <c r="DJW3002" s="1" t="n">
        <v>0</v>
      </c>
      <c r="DJX3002" s="1" t="n">
        <v>0</v>
      </c>
      <c r="DJY3002" s="1" t="n">
        <v>0</v>
      </c>
      <c r="DJZ3002" s="1" t="n">
        <v>0</v>
      </c>
      <c r="DKA3002" s="1" t="n">
        <v>0</v>
      </c>
      <c r="DKB3002" s="1" t="n">
        <v>0</v>
      </c>
      <c r="DKC3002" s="1" t="n">
        <v>0</v>
      </c>
      <c r="DKD3002" s="1" t="n">
        <v>0</v>
      </c>
      <c r="DKE3002" s="1" t="n">
        <v>0</v>
      </c>
      <c r="DKF3002" s="1" t="n">
        <v>0</v>
      </c>
      <c r="DKG3002" s="1" t="n">
        <v>0</v>
      </c>
      <c r="DKH3002" s="1" t="n">
        <v>0</v>
      </c>
      <c r="DKI3002" s="1" t="n">
        <v>0</v>
      </c>
      <c r="DKJ3002" s="1" t="n">
        <v>0</v>
      </c>
      <c r="DKK3002" s="1" t="n">
        <v>0</v>
      </c>
      <c r="DKL3002" s="1" t="n">
        <v>0</v>
      </c>
      <c r="DKM3002" s="1" t="n">
        <v>0</v>
      </c>
      <c r="DKN3002" s="1" t="n">
        <v>0</v>
      </c>
      <c r="DKO3002" s="1" t="n">
        <v>0</v>
      </c>
      <c r="DKP3002" s="1" t="n">
        <v>0</v>
      </c>
      <c r="DKQ3002" s="1" t="n">
        <v>0</v>
      </c>
      <c r="DKR3002" s="1" t="n">
        <v>0</v>
      </c>
      <c r="DKS3002" s="1" t="n">
        <v>0</v>
      </c>
      <c r="DKT3002" s="1" t="n">
        <v>0</v>
      </c>
      <c r="DKU3002" s="1" t="n">
        <v>0</v>
      </c>
      <c r="DKV3002" s="1" t="n">
        <v>0</v>
      </c>
      <c r="DKW3002" s="1" t="n">
        <v>0</v>
      </c>
      <c r="DKX3002" s="1" t="n">
        <v>0</v>
      </c>
      <c r="DKY3002" s="1" t="n">
        <v>0</v>
      </c>
      <c r="DKZ3002" s="1" t="n">
        <v>0</v>
      </c>
      <c r="DLA3002" s="1" t="n">
        <v>0</v>
      </c>
      <c r="DLB3002" s="1" t="n">
        <v>0</v>
      </c>
      <c r="DLC3002" s="1" t="n">
        <v>0</v>
      </c>
      <c r="DLD3002" s="1" t="n">
        <v>0</v>
      </c>
      <c r="DLE3002" s="1" t="n">
        <v>0</v>
      </c>
      <c r="DLF3002" s="1" t="n">
        <v>0</v>
      </c>
      <c r="DLG3002" s="1" t="n">
        <v>0</v>
      </c>
      <c r="DLH3002" s="1" t="n">
        <v>0</v>
      </c>
      <c r="DLI3002" s="1" t="n">
        <v>0</v>
      </c>
      <c r="DLJ3002" s="1" t="n">
        <v>0</v>
      </c>
      <c r="DLK3002" s="1" t="n">
        <v>0</v>
      </c>
      <c r="DLL3002" s="1" t="n">
        <v>0</v>
      </c>
      <c r="DLM3002" s="1" t="n">
        <v>0</v>
      </c>
      <c r="DLN3002" s="1" t="n">
        <v>0</v>
      </c>
      <c r="DLO3002" s="1" t="n">
        <v>0</v>
      </c>
      <c r="DLP3002" s="1" t="n">
        <v>0</v>
      </c>
      <c r="DLQ3002" s="1" t="n">
        <v>0</v>
      </c>
      <c r="DLR3002" s="1" t="n">
        <v>0</v>
      </c>
      <c r="DLS3002" s="1" t="n">
        <v>0</v>
      </c>
      <c r="DLT3002" s="1" t="n">
        <v>0</v>
      </c>
      <c r="DLU3002" s="1" t="n">
        <v>0</v>
      </c>
      <c r="DLV3002" s="1" t="n">
        <v>0</v>
      </c>
      <c r="DLW3002" s="1" t="n">
        <v>0</v>
      </c>
      <c r="DLX3002" s="1" t="n">
        <v>0</v>
      </c>
      <c r="DLY3002" s="1" t="n">
        <v>0</v>
      </c>
      <c r="DLZ3002" s="1" t="n">
        <v>0</v>
      </c>
      <c r="DMA3002" s="1" t="n">
        <v>0</v>
      </c>
      <c r="DMB3002" s="1" t="n">
        <v>0</v>
      </c>
      <c r="DMC3002" s="1" t="n">
        <v>0</v>
      </c>
      <c r="DMD3002" s="1" t="n">
        <v>0</v>
      </c>
      <c r="DME3002" s="1" t="n">
        <v>0</v>
      </c>
      <c r="DMF3002" s="1" t="n">
        <v>0</v>
      </c>
      <c r="DMG3002" s="1" t="n">
        <v>0</v>
      </c>
      <c r="DMH3002" s="1" t="n">
        <v>0</v>
      </c>
      <c r="DMI3002" s="1" t="n">
        <v>0</v>
      </c>
      <c r="DMJ3002" s="1" t="n">
        <v>0</v>
      </c>
      <c r="DMK3002" s="1" t="n">
        <v>0</v>
      </c>
      <c r="DML3002" s="1" t="n">
        <v>0</v>
      </c>
      <c r="DMM3002" s="1" t="n">
        <v>0</v>
      </c>
      <c r="DMN3002" s="1" t="n">
        <v>0</v>
      </c>
      <c r="DMO3002" s="1" t="n">
        <v>0</v>
      </c>
      <c r="DMP3002" s="1" t="n">
        <v>0</v>
      </c>
      <c r="DMQ3002" s="1" t="n">
        <v>0</v>
      </c>
      <c r="DMR3002" s="1" t="n">
        <v>0</v>
      </c>
      <c r="DMS3002" s="1" t="n">
        <v>0</v>
      </c>
      <c r="DMT3002" s="1" t="n">
        <v>0</v>
      </c>
      <c r="DMU3002" s="1" t="n">
        <v>0</v>
      </c>
      <c r="DMV3002" s="1" t="n">
        <v>0</v>
      </c>
      <c r="DMW3002" s="1" t="n">
        <v>0</v>
      </c>
      <c r="DMX3002" s="1" t="n">
        <v>0</v>
      </c>
      <c r="DMY3002" s="1" t="n">
        <v>0</v>
      </c>
      <c r="DMZ3002" s="1" t="n">
        <v>0</v>
      </c>
      <c r="DNA3002" s="1" t="n">
        <v>0</v>
      </c>
      <c r="DNB3002" s="1" t="n">
        <v>0</v>
      </c>
      <c r="DNC3002" s="1" t="n">
        <v>0</v>
      </c>
      <c r="DND3002" s="1" t="n">
        <v>0</v>
      </c>
      <c r="DNE3002" s="1" t="n">
        <v>0</v>
      </c>
      <c r="DNF3002" s="1" t="n">
        <v>0</v>
      </c>
      <c r="DNG3002" s="1" t="n">
        <v>0</v>
      </c>
      <c r="DNH3002" s="1" t="n">
        <v>0</v>
      </c>
      <c r="DNI3002" s="1" t="n">
        <v>0</v>
      </c>
      <c r="DNJ3002" s="1" t="n">
        <v>0</v>
      </c>
      <c r="DNK3002" s="1" t="n">
        <v>0</v>
      </c>
      <c r="DNL3002" s="1" t="n">
        <v>0</v>
      </c>
      <c r="DNM3002" s="1" t="n">
        <v>0</v>
      </c>
      <c r="DNN3002" s="1" t="n">
        <v>0</v>
      </c>
      <c r="DNO3002" s="1" t="n">
        <v>0</v>
      </c>
      <c r="DNP3002" s="1" t="n">
        <v>0</v>
      </c>
      <c r="DNQ3002" s="1" t="n">
        <v>0</v>
      </c>
      <c r="DNR3002" s="1" t="n">
        <v>0</v>
      </c>
      <c r="DNS3002" s="1" t="n">
        <v>0</v>
      </c>
      <c r="DNT3002" s="1" t="n">
        <v>0</v>
      </c>
      <c r="DNU3002" s="1" t="n">
        <v>0</v>
      </c>
      <c r="DNV3002" s="1" t="n">
        <v>0</v>
      </c>
      <c r="DNW3002" s="1" t="n">
        <v>0</v>
      </c>
      <c r="DNX3002" s="1" t="n">
        <v>0</v>
      </c>
      <c r="DNY3002" s="1" t="n">
        <v>0</v>
      </c>
      <c r="DNZ3002" s="1" t="n">
        <v>0</v>
      </c>
      <c r="DOA3002" s="1" t="n">
        <v>0</v>
      </c>
      <c r="DOB3002" s="1" t="n">
        <v>0</v>
      </c>
      <c r="DOC3002" s="1" t="n">
        <v>0</v>
      </c>
      <c r="DOD3002" s="1" t="n">
        <v>0</v>
      </c>
      <c r="DOE3002" s="1" t="n">
        <v>0</v>
      </c>
      <c r="DOF3002" s="1" t="n">
        <v>0</v>
      </c>
      <c r="DOG3002" s="1" t="n">
        <v>0</v>
      </c>
      <c r="DOH3002" s="1" t="n">
        <v>0</v>
      </c>
      <c r="DOI3002" s="1" t="n">
        <v>0</v>
      </c>
      <c r="DOJ3002" s="1" t="n">
        <v>0</v>
      </c>
      <c r="DOK3002" s="1" t="n">
        <v>0</v>
      </c>
      <c r="DOL3002" s="1" t="n">
        <v>0</v>
      </c>
      <c r="DOM3002" s="1" t="n">
        <v>0</v>
      </c>
      <c r="DON3002" s="1" t="n">
        <v>0</v>
      </c>
      <c r="DOO3002" s="1" t="n">
        <v>0</v>
      </c>
      <c r="DOP3002" s="1" t="n">
        <v>0</v>
      </c>
      <c r="DOQ3002" s="1" t="n">
        <v>0</v>
      </c>
      <c r="DOR3002" s="1" t="n">
        <v>0</v>
      </c>
      <c r="DOS3002" s="1" t="n">
        <v>0</v>
      </c>
      <c r="DOT3002" s="1" t="n">
        <v>0</v>
      </c>
      <c r="DOU3002" s="1" t="n">
        <v>0</v>
      </c>
      <c r="DOV3002" s="1" t="n">
        <v>0</v>
      </c>
      <c r="DOW3002" s="1" t="n">
        <v>0</v>
      </c>
      <c r="DOX3002" s="1" t="n">
        <v>0</v>
      </c>
      <c r="DOY3002" s="1" t="n">
        <v>0</v>
      </c>
      <c r="DOZ3002" s="1" t="n">
        <v>0</v>
      </c>
      <c r="DPA3002" s="1" t="n">
        <v>0</v>
      </c>
      <c r="DPB3002" s="1" t="n">
        <v>0</v>
      </c>
      <c r="DPC3002" s="1" t="n">
        <v>0</v>
      </c>
      <c r="DPD3002" s="1" t="n">
        <v>0</v>
      </c>
      <c r="DPE3002" s="1" t="n">
        <v>0</v>
      </c>
      <c r="DPF3002" s="1" t="n">
        <v>0</v>
      </c>
      <c r="DPG3002" s="1" t="n">
        <v>0</v>
      </c>
      <c r="DPH3002" s="1" t="n">
        <v>0</v>
      </c>
      <c r="DPI3002" s="1" t="n">
        <v>0</v>
      </c>
      <c r="DPJ3002" s="1" t="n">
        <v>0</v>
      </c>
      <c r="DPK3002" s="1" t="n">
        <v>0</v>
      </c>
      <c r="DPL3002" s="1" t="n">
        <v>0</v>
      </c>
      <c r="DPM3002" s="1" t="n">
        <v>0</v>
      </c>
      <c r="DPN3002" s="1" t="n">
        <v>0</v>
      </c>
      <c r="DPO3002" s="1" t="n">
        <v>0</v>
      </c>
      <c r="DPP3002" s="1" t="n">
        <v>0</v>
      </c>
      <c r="DPQ3002" s="1" t="n">
        <v>0</v>
      </c>
      <c r="DPR3002" s="1" t="n">
        <v>0</v>
      </c>
      <c r="DPS3002" s="1" t="n">
        <v>0</v>
      </c>
      <c r="DPT3002" s="1" t="n">
        <v>0</v>
      </c>
      <c r="DPU3002" s="1" t="n">
        <v>0</v>
      </c>
      <c r="DPV3002" s="1" t="n">
        <v>0</v>
      </c>
      <c r="DPW3002" s="1" t="n">
        <v>0</v>
      </c>
      <c r="DPX3002" s="1" t="n">
        <v>0</v>
      </c>
      <c r="DPY3002" s="1" t="n">
        <v>0</v>
      </c>
      <c r="DPZ3002" s="1" t="n">
        <v>0</v>
      </c>
      <c r="DQA3002" s="1" t="n">
        <v>0</v>
      </c>
      <c r="DQB3002" s="1" t="n">
        <v>0</v>
      </c>
      <c r="DQC3002" s="1" t="n">
        <v>0</v>
      </c>
      <c r="DQD3002" s="1" t="n">
        <v>0</v>
      </c>
      <c r="DQE3002" s="1" t="n">
        <v>0</v>
      </c>
      <c r="DQF3002" s="1" t="n">
        <v>0</v>
      </c>
      <c r="DQG3002" s="1" t="n">
        <v>0</v>
      </c>
      <c r="DQH3002" s="1" t="n">
        <v>0</v>
      </c>
      <c r="DQI3002" s="1" t="n">
        <v>0</v>
      </c>
      <c r="DQJ3002" s="1" t="n">
        <v>0</v>
      </c>
      <c r="DQK3002" s="1" t="n">
        <v>0</v>
      </c>
      <c r="DQL3002" s="1" t="n">
        <v>0</v>
      </c>
      <c r="DQM3002" s="1" t="n">
        <v>0</v>
      </c>
      <c r="DQN3002" s="1" t="n">
        <v>0</v>
      </c>
      <c r="DQO3002" s="1" t="n">
        <v>0</v>
      </c>
      <c r="DQP3002" s="1" t="n">
        <v>0</v>
      </c>
      <c r="DQQ3002" s="1" t="n">
        <v>0</v>
      </c>
      <c r="DQR3002" s="1" t="n">
        <v>0</v>
      </c>
      <c r="DQS3002" s="1" t="n">
        <v>0</v>
      </c>
      <c r="DQT3002" s="1" t="n">
        <v>0</v>
      </c>
      <c r="DQU3002" s="1" t="n">
        <v>0</v>
      </c>
      <c r="DQV3002" s="1" t="n">
        <v>0</v>
      </c>
      <c r="DQW3002" s="1" t="n">
        <v>0</v>
      </c>
      <c r="DQX3002" s="1" t="n">
        <v>0</v>
      </c>
      <c r="DQY3002" s="1" t="n">
        <v>0</v>
      </c>
      <c r="DQZ3002" s="1" t="n">
        <v>0</v>
      </c>
      <c r="DRA3002" s="1" t="n">
        <v>0</v>
      </c>
      <c r="DRB3002" s="1" t="n">
        <v>0</v>
      </c>
      <c r="DRC3002" s="1" t="n">
        <v>0</v>
      </c>
      <c r="DRD3002" s="1" t="n">
        <v>0</v>
      </c>
      <c r="DRE3002" s="1" t="n">
        <v>0</v>
      </c>
      <c r="DRF3002" s="1" t="n">
        <v>0</v>
      </c>
      <c r="DRG3002" s="1" t="n">
        <v>0</v>
      </c>
      <c r="DRH3002" s="1" t="n">
        <v>0</v>
      </c>
      <c r="DRI3002" s="1" t="n">
        <v>0</v>
      </c>
      <c r="DRJ3002" s="1" t="n">
        <v>0</v>
      </c>
      <c r="DRK3002" s="1" t="n">
        <v>0</v>
      </c>
      <c r="DRL3002" s="1" t="n">
        <v>0</v>
      </c>
      <c r="DRM3002" s="1" t="n">
        <v>0</v>
      </c>
      <c r="DRN3002" s="1" t="n">
        <v>0</v>
      </c>
      <c r="DRO3002" s="1" t="n">
        <v>0</v>
      </c>
      <c r="DRP3002" s="1" t="n">
        <v>0</v>
      </c>
      <c r="DRQ3002" s="1" t="n">
        <v>0</v>
      </c>
      <c r="DRR3002" s="1" t="n">
        <v>0</v>
      </c>
      <c r="DRS3002" s="1" t="n">
        <v>0</v>
      </c>
      <c r="DRT3002" s="1" t="n">
        <v>0</v>
      </c>
      <c r="DRU3002" s="1" t="n">
        <v>0</v>
      </c>
      <c r="DRV3002" s="1" t="n">
        <v>0</v>
      </c>
      <c r="DRW3002" s="1" t="n">
        <v>0</v>
      </c>
      <c r="DRX3002" s="1" t="n">
        <v>0</v>
      </c>
      <c r="DRY3002" s="1" t="n">
        <v>0</v>
      </c>
      <c r="DRZ3002" s="1" t="n">
        <v>0</v>
      </c>
      <c r="DSA3002" s="1" t="n">
        <v>0</v>
      </c>
      <c r="DSB3002" s="1" t="n">
        <v>0</v>
      </c>
      <c r="DSC3002" s="1" t="n">
        <v>0</v>
      </c>
      <c r="DSD3002" s="1" t="n">
        <v>0</v>
      </c>
      <c r="DSE3002" s="1" t="n">
        <v>0</v>
      </c>
      <c r="DSF3002" s="1" t="n">
        <v>0</v>
      </c>
      <c r="DSG3002" s="1" t="n">
        <v>0</v>
      </c>
      <c r="DSH3002" s="1" t="n">
        <v>0</v>
      </c>
      <c r="DSI3002" s="1" t="n">
        <v>0</v>
      </c>
      <c r="DSJ3002" s="1" t="n">
        <v>0</v>
      </c>
      <c r="DSK3002" s="1" t="n">
        <v>0</v>
      </c>
      <c r="DSL3002" s="1" t="n">
        <v>0</v>
      </c>
      <c r="DSM3002" s="1" t="n">
        <v>0</v>
      </c>
      <c r="DSN3002" s="1" t="n">
        <v>0</v>
      </c>
      <c r="DSO3002" s="1" t="n">
        <v>0</v>
      </c>
      <c r="DSP3002" s="1" t="n">
        <v>0</v>
      </c>
      <c r="DSQ3002" s="1" t="n">
        <v>0</v>
      </c>
      <c r="DSR3002" s="1" t="n">
        <v>0</v>
      </c>
      <c r="DSS3002" s="1" t="n">
        <v>0</v>
      </c>
      <c r="DST3002" s="1" t="n">
        <v>0</v>
      </c>
      <c r="DSU3002" s="1" t="n">
        <v>0</v>
      </c>
      <c r="DSV3002" s="1" t="n">
        <v>0</v>
      </c>
      <c r="DSW3002" s="1" t="n">
        <v>0</v>
      </c>
      <c r="DSX3002" s="1" t="n">
        <v>0</v>
      </c>
      <c r="DSY3002" s="1" t="n">
        <v>0</v>
      </c>
      <c r="DSZ3002" s="1" t="n">
        <v>0</v>
      </c>
      <c r="DTA3002" s="1" t="n">
        <v>0</v>
      </c>
      <c r="DTB3002" s="1" t="n">
        <v>0</v>
      </c>
      <c r="DTC3002" s="1" t="n">
        <v>0</v>
      </c>
      <c r="DTD3002" s="1" t="n">
        <v>0</v>
      </c>
      <c r="DTE3002" s="1" t="n">
        <v>0</v>
      </c>
      <c r="DTF3002" s="1" t="n">
        <v>0</v>
      </c>
      <c r="DTG3002" s="1" t="n">
        <v>0</v>
      </c>
      <c r="DTH3002" s="1" t="n">
        <v>0</v>
      </c>
      <c r="DTI3002" s="1" t="n">
        <v>0</v>
      </c>
      <c r="DTJ3002" s="1" t="n">
        <v>0</v>
      </c>
      <c r="DTK3002" s="1" t="n">
        <v>0</v>
      </c>
      <c r="DTL3002" s="1" t="n">
        <v>0</v>
      </c>
      <c r="DTM3002" s="1" t="n">
        <v>0</v>
      </c>
      <c r="DTN3002" s="1" t="n">
        <v>0</v>
      </c>
      <c r="DTO3002" s="1" t="n">
        <v>0</v>
      </c>
      <c r="DTP3002" s="1" t="n">
        <v>0</v>
      </c>
      <c r="DTQ3002" s="1" t="n">
        <v>0</v>
      </c>
      <c r="DTR3002" s="1" t="n">
        <v>0</v>
      </c>
      <c r="DTS3002" s="1" t="n">
        <v>0</v>
      </c>
      <c r="DTT3002" s="1" t="n">
        <v>0</v>
      </c>
      <c r="DTU3002" s="1" t="n">
        <v>0</v>
      </c>
      <c r="DTV3002" s="1" t="n">
        <v>0</v>
      </c>
      <c r="DTW3002" s="1" t="n">
        <v>0</v>
      </c>
      <c r="DTX3002" s="1" t="n">
        <v>0</v>
      </c>
      <c r="DTY3002" s="1" t="n">
        <v>0</v>
      </c>
      <c r="DTZ3002" s="1" t="n">
        <v>0</v>
      </c>
      <c r="DUA3002" s="1" t="n">
        <v>0</v>
      </c>
      <c r="DUB3002" s="1" t="n">
        <v>0</v>
      </c>
      <c r="DUC3002" s="1" t="n">
        <v>0</v>
      </c>
      <c r="DUD3002" s="1" t="n">
        <v>0</v>
      </c>
      <c r="DUE3002" s="1" t="n">
        <v>0</v>
      </c>
      <c r="DUF3002" s="1" t="n">
        <v>0</v>
      </c>
      <c r="DUG3002" s="1" t="n">
        <v>0</v>
      </c>
      <c r="DUH3002" s="1" t="n">
        <v>0</v>
      </c>
      <c r="DUI3002" s="1" t="n">
        <v>0</v>
      </c>
      <c r="DUJ3002" s="1" t="n">
        <v>0</v>
      </c>
      <c r="DUK3002" s="1" t="n">
        <v>0</v>
      </c>
      <c r="DUL3002" s="1" t="n">
        <v>0</v>
      </c>
      <c r="DUM3002" s="1" t="n">
        <v>0</v>
      </c>
      <c r="DUN3002" s="1" t="n">
        <v>0</v>
      </c>
      <c r="DUO3002" s="1" t="n">
        <v>0</v>
      </c>
      <c r="DUP3002" s="1" t="n">
        <v>0</v>
      </c>
      <c r="DUQ3002" s="1" t="n">
        <v>0</v>
      </c>
      <c r="DUR3002" s="1" t="n">
        <v>0</v>
      </c>
      <c r="DUS3002" s="1" t="n">
        <v>0</v>
      </c>
      <c r="DUT3002" s="1" t="n">
        <v>0</v>
      </c>
      <c r="DUU3002" s="1" t="n">
        <v>0</v>
      </c>
      <c r="DUV3002" s="1" t="n">
        <v>0</v>
      </c>
      <c r="DUW3002" s="1" t="n">
        <v>0</v>
      </c>
      <c r="DUX3002" s="1" t="n">
        <v>0</v>
      </c>
      <c r="DUY3002" s="1" t="n">
        <v>0</v>
      </c>
      <c r="DUZ3002" s="1" t="n">
        <v>0</v>
      </c>
      <c r="DVA3002" s="1" t="n">
        <v>0</v>
      </c>
      <c r="DVB3002" s="1" t="n">
        <v>0</v>
      </c>
      <c r="DVC3002" s="1" t="n">
        <v>0</v>
      </c>
      <c r="DVD3002" s="1" t="n">
        <v>0</v>
      </c>
      <c r="DVE3002" s="1" t="n">
        <v>0</v>
      </c>
      <c r="DVF3002" s="1" t="n">
        <v>0</v>
      </c>
      <c r="DVG3002" s="1" t="n">
        <v>0</v>
      </c>
      <c r="DVH3002" s="1" t="n">
        <v>0</v>
      </c>
      <c r="DVI3002" s="1" t="n">
        <v>0</v>
      </c>
      <c r="DVJ3002" s="1" t="n">
        <v>0</v>
      </c>
      <c r="DVK3002" s="1" t="n">
        <v>0</v>
      </c>
      <c r="DVL3002" s="1" t="n">
        <v>0</v>
      </c>
      <c r="DVM3002" s="1" t="n">
        <v>0</v>
      </c>
      <c r="DVN3002" s="1" t="n">
        <v>0</v>
      </c>
      <c r="DVO3002" s="1" t="n">
        <v>0</v>
      </c>
      <c r="DVP3002" s="1" t="n">
        <v>0</v>
      </c>
      <c r="DVQ3002" s="1" t="n">
        <v>0</v>
      </c>
      <c r="DVR3002" s="1" t="n">
        <v>0</v>
      </c>
      <c r="DVS3002" s="1" t="n">
        <v>0</v>
      </c>
      <c r="DVT3002" s="1" t="n">
        <v>0</v>
      </c>
      <c r="DVU3002" s="1" t="n">
        <v>0</v>
      </c>
      <c r="DVV3002" s="1" t="n">
        <v>0</v>
      </c>
      <c r="DVW3002" s="1" t="n">
        <v>0</v>
      </c>
      <c r="DVX3002" s="1" t="n">
        <v>0</v>
      </c>
      <c r="DVY3002" s="1" t="n">
        <v>0</v>
      </c>
      <c r="DVZ3002" s="1" t="n">
        <v>0</v>
      </c>
      <c r="DWA3002" s="1" t="n">
        <v>0</v>
      </c>
      <c r="DWB3002" s="1" t="n">
        <v>0</v>
      </c>
      <c r="DWC3002" s="1" t="n">
        <v>0</v>
      </c>
      <c r="DWD3002" s="1" t="n">
        <v>0</v>
      </c>
      <c r="DWE3002" s="1" t="n">
        <v>0</v>
      </c>
      <c r="DWF3002" s="1" t="n">
        <v>0</v>
      </c>
      <c r="DWG3002" s="1" t="n">
        <v>0</v>
      </c>
      <c r="DWH3002" s="1" t="n">
        <v>0</v>
      </c>
      <c r="DWI3002" s="1" t="n">
        <v>0</v>
      </c>
      <c r="DWJ3002" s="1" t="n">
        <v>0</v>
      </c>
      <c r="DWK3002" s="1" t="n">
        <v>0</v>
      </c>
      <c r="DWL3002" s="1" t="n">
        <v>0</v>
      </c>
      <c r="DWM3002" s="1" t="n">
        <v>0</v>
      </c>
      <c r="DWN3002" s="1" t="n">
        <v>0</v>
      </c>
      <c r="DWO3002" s="1" t="n">
        <v>0</v>
      </c>
      <c r="DWP3002" s="1" t="n">
        <v>0</v>
      </c>
      <c r="DWQ3002" s="1" t="n">
        <v>0</v>
      </c>
      <c r="DWR3002" s="1" t="n">
        <v>0</v>
      </c>
      <c r="DWS3002" s="1" t="n">
        <v>0</v>
      </c>
      <c r="DWT3002" s="1" t="n">
        <v>0</v>
      </c>
      <c r="DWU3002" s="1" t="n">
        <v>0</v>
      </c>
      <c r="DWV3002" s="1" t="n">
        <v>0</v>
      </c>
      <c r="DWW3002" s="1" t="n">
        <v>0</v>
      </c>
      <c r="DWX3002" s="1" t="n">
        <v>0</v>
      </c>
      <c r="DWY3002" s="1" t="n">
        <v>0</v>
      </c>
      <c r="DWZ3002" s="1" t="n">
        <v>0</v>
      </c>
      <c r="DXA3002" s="1" t="n">
        <v>0</v>
      </c>
      <c r="DXB3002" s="1" t="n">
        <v>0</v>
      </c>
      <c r="DXC3002" s="1" t="n">
        <v>0</v>
      </c>
      <c r="DXD3002" s="1" t="n">
        <v>0</v>
      </c>
      <c r="DXE3002" s="1" t="n">
        <v>0</v>
      </c>
      <c r="DXF3002" s="1" t="n">
        <v>0</v>
      </c>
      <c r="DXG3002" s="1" t="n">
        <v>0</v>
      </c>
      <c r="DXH3002" s="1" t="n">
        <v>0</v>
      </c>
      <c r="DXI3002" s="1" t="n">
        <v>0</v>
      </c>
      <c r="DXJ3002" s="1" t="n">
        <v>0</v>
      </c>
      <c r="DXK3002" s="1" t="n">
        <v>0</v>
      </c>
      <c r="DXL3002" s="1" t="n">
        <v>0</v>
      </c>
      <c r="DXM3002" s="1" t="n">
        <v>0</v>
      </c>
      <c r="DXN3002" s="1" t="n">
        <v>0</v>
      </c>
      <c r="DXO3002" s="1" t="n">
        <v>0</v>
      </c>
      <c r="DXP3002" s="1" t="n">
        <v>0</v>
      </c>
      <c r="DXQ3002" s="1" t="n">
        <v>0</v>
      </c>
      <c r="DXR3002" s="1" t="n">
        <v>0</v>
      </c>
      <c r="DXS3002" s="1" t="n">
        <v>0</v>
      </c>
      <c r="DXT3002" s="1" t="n">
        <v>0</v>
      </c>
      <c r="DXU3002" s="1" t="n">
        <v>0</v>
      </c>
      <c r="DXV3002" s="1" t="n">
        <v>0</v>
      </c>
      <c r="DXW3002" s="1" t="n">
        <v>0</v>
      </c>
      <c r="DXX3002" s="1" t="n">
        <v>0</v>
      </c>
      <c r="DXY3002" s="1" t="n">
        <v>0</v>
      </c>
      <c r="DXZ3002" s="1" t="n">
        <v>0</v>
      </c>
      <c r="DYA3002" s="1" t="n">
        <v>0</v>
      </c>
      <c r="DYB3002" s="1" t="n">
        <v>0</v>
      </c>
      <c r="DYC3002" s="1" t="n">
        <v>0</v>
      </c>
      <c r="DYD3002" s="1" t="n">
        <v>0</v>
      </c>
      <c r="DYE3002" s="1" t="n">
        <v>0</v>
      </c>
      <c r="DYF3002" s="1" t="n">
        <v>0</v>
      </c>
      <c r="DYG3002" s="1" t="n">
        <v>0</v>
      </c>
      <c r="DYH3002" s="1" t="n">
        <v>0</v>
      </c>
      <c r="DYI3002" s="1" t="n">
        <v>0</v>
      </c>
      <c r="DYJ3002" s="1" t="n">
        <v>0</v>
      </c>
      <c r="DYK3002" s="1" t="n">
        <v>0</v>
      </c>
      <c r="DYL3002" s="1" t="n">
        <v>0</v>
      </c>
      <c r="DYM3002" s="1" t="n">
        <v>0</v>
      </c>
      <c r="DYN3002" s="1" t="n">
        <v>0</v>
      </c>
      <c r="DYO3002" s="1" t="n">
        <v>0</v>
      </c>
      <c r="DYP3002" s="1" t="n">
        <v>0</v>
      </c>
      <c r="DYQ3002" s="1" t="n">
        <v>0</v>
      </c>
      <c r="DYR3002" s="1" t="n">
        <v>0</v>
      </c>
      <c r="DYS3002" s="1" t="n">
        <v>0</v>
      </c>
      <c r="DYT3002" s="1" t="n">
        <v>0</v>
      </c>
      <c r="DYU3002" s="1" t="n">
        <v>0</v>
      </c>
      <c r="DYV3002" s="1" t="n">
        <v>0</v>
      </c>
      <c r="DYW3002" s="1" t="n">
        <v>0</v>
      </c>
      <c r="DYX3002" s="1" t="n">
        <v>0</v>
      </c>
      <c r="DYY3002" s="1" t="n">
        <v>0</v>
      </c>
      <c r="DYZ3002" s="1" t="n">
        <v>0</v>
      </c>
      <c r="DZA3002" s="1" t="n">
        <v>0</v>
      </c>
      <c r="DZB3002" s="1" t="n">
        <v>0</v>
      </c>
      <c r="DZC3002" s="1" t="n">
        <v>0</v>
      </c>
      <c r="DZD3002" s="1" t="n">
        <v>0</v>
      </c>
      <c r="DZE3002" s="1" t="n">
        <v>0</v>
      </c>
      <c r="DZF3002" s="1" t="n">
        <v>0</v>
      </c>
      <c r="DZG3002" s="1" t="n">
        <v>0</v>
      </c>
      <c r="DZH3002" s="1" t="n">
        <v>0</v>
      </c>
      <c r="DZI3002" s="1" t="n">
        <v>0</v>
      </c>
      <c r="DZJ3002" s="1" t="n">
        <v>0</v>
      </c>
      <c r="DZK3002" s="1" t="n">
        <v>0</v>
      </c>
      <c r="DZL3002" s="1" t="n">
        <v>0</v>
      </c>
      <c r="DZM3002" s="1" t="n">
        <v>0</v>
      </c>
      <c r="DZN3002" s="1" t="n">
        <v>0</v>
      </c>
      <c r="DZO3002" s="1" t="n">
        <v>0</v>
      </c>
      <c r="DZP3002" s="1" t="n">
        <v>0</v>
      </c>
      <c r="DZQ3002" s="1" t="n">
        <v>0</v>
      </c>
      <c r="DZR3002" s="1" t="n">
        <v>0</v>
      </c>
      <c r="DZS3002" s="1" t="n">
        <v>0</v>
      </c>
      <c r="DZT3002" s="1" t="n">
        <v>0</v>
      </c>
      <c r="DZU3002" s="1" t="n">
        <v>0</v>
      </c>
      <c r="DZV3002" s="1" t="n">
        <v>0</v>
      </c>
      <c r="DZW3002" s="1" t="n">
        <v>0</v>
      </c>
      <c r="DZX3002" s="1" t="n">
        <v>0</v>
      </c>
      <c r="DZY3002" s="1" t="n">
        <v>0</v>
      </c>
      <c r="DZZ3002" s="1" t="n">
        <v>0</v>
      </c>
      <c r="EAA3002" s="1" t="n">
        <v>0</v>
      </c>
      <c r="EAB3002" s="1" t="n">
        <v>0</v>
      </c>
      <c r="EAC3002" s="1" t="n">
        <v>0</v>
      </c>
      <c r="EAD3002" s="1" t="n">
        <v>0</v>
      </c>
      <c r="EAE3002" s="1" t="n">
        <v>0</v>
      </c>
      <c r="EAF3002" s="1" t="n">
        <v>0</v>
      </c>
      <c r="EAG3002" s="1" t="n">
        <v>0</v>
      </c>
      <c r="EAH3002" s="1" t="n">
        <v>0</v>
      </c>
      <c r="EAI3002" s="1" t="n">
        <v>0</v>
      </c>
      <c r="EAJ3002" s="1" t="n">
        <v>0</v>
      </c>
      <c r="EAK3002" s="1" t="n">
        <v>0</v>
      </c>
      <c r="EAL3002" s="1" t="n">
        <v>0</v>
      </c>
      <c r="EAM3002" s="1" t="n">
        <v>0</v>
      </c>
      <c r="EAN3002" s="1" t="n">
        <v>0</v>
      </c>
      <c r="EAO3002" s="1" t="n">
        <v>0</v>
      </c>
      <c r="EAP3002" s="1" t="n">
        <v>0</v>
      </c>
      <c r="EAQ3002" s="1" t="n">
        <v>0</v>
      </c>
      <c r="EAR3002" s="1" t="n">
        <v>0</v>
      </c>
      <c r="EAS3002" s="1" t="n">
        <v>0</v>
      </c>
      <c r="EAT3002" s="1" t="n">
        <v>0</v>
      </c>
      <c r="EAU3002" s="1" t="n">
        <v>0</v>
      </c>
      <c r="EAV3002" s="1" t="n">
        <v>0</v>
      </c>
      <c r="EAW3002" s="1" t="n">
        <v>0</v>
      </c>
      <c r="EAX3002" s="1" t="n">
        <v>0</v>
      </c>
      <c r="EAY3002" s="1" t="n">
        <v>0</v>
      </c>
      <c r="EAZ3002" s="1" t="n">
        <v>0</v>
      </c>
      <c r="EBA3002" s="1" t="n">
        <v>0</v>
      </c>
      <c r="EBB3002" s="1" t="n">
        <v>0</v>
      </c>
      <c r="EBC3002" s="1" t="n">
        <v>0</v>
      </c>
      <c r="EBD3002" s="1" t="n">
        <v>0</v>
      </c>
      <c r="EBE3002" s="1" t="n">
        <v>0</v>
      </c>
      <c r="EBF3002" s="1" t="n">
        <v>0</v>
      </c>
      <c r="EBG3002" s="1" t="n">
        <v>0</v>
      </c>
      <c r="EBH3002" s="1" t="n">
        <v>0</v>
      </c>
      <c r="EBI3002" s="1" t="n">
        <v>0</v>
      </c>
      <c r="EBJ3002" s="1" t="n">
        <v>0</v>
      </c>
      <c r="EBK3002" s="1" t="n">
        <v>0</v>
      </c>
      <c r="EBL3002" s="1" t="n">
        <v>0</v>
      </c>
      <c r="EBM3002" s="1" t="n">
        <v>0</v>
      </c>
      <c r="EBN3002" s="1" t="n">
        <v>0</v>
      </c>
      <c r="EBO3002" s="1" t="n">
        <v>0</v>
      </c>
      <c r="EBP3002" s="1" t="n">
        <v>0</v>
      </c>
      <c r="EBQ3002" s="1" t="n">
        <v>0</v>
      </c>
      <c r="EBR3002" s="1" t="n">
        <v>0</v>
      </c>
      <c r="EBS3002" s="1" t="n">
        <v>0</v>
      </c>
      <c r="EBT3002" s="1" t="n">
        <v>0</v>
      </c>
      <c r="EBU3002" s="1" t="n">
        <v>0</v>
      </c>
      <c r="EBV3002" s="1" t="n">
        <v>0</v>
      </c>
      <c r="EBW3002" s="1" t="n">
        <v>0</v>
      </c>
      <c r="EBX3002" s="1" t="n">
        <v>0</v>
      </c>
      <c r="EBY3002" s="1" t="n">
        <v>0</v>
      </c>
      <c r="EBZ3002" s="1" t="n">
        <v>0</v>
      </c>
      <c r="ECA3002" s="1" t="n">
        <v>0</v>
      </c>
      <c r="ECB3002" s="1" t="n">
        <v>0</v>
      </c>
      <c r="ECC3002" s="1" t="n">
        <v>0</v>
      </c>
      <c r="ECD3002" s="1" t="n">
        <v>0</v>
      </c>
      <c r="ECE3002" s="1" t="n">
        <v>0</v>
      </c>
      <c r="ECF3002" s="1" t="n">
        <v>0</v>
      </c>
      <c r="ECG3002" s="1" t="n">
        <v>0</v>
      </c>
      <c r="ECH3002" s="1" t="n">
        <v>0</v>
      </c>
      <c r="ECI3002" s="1" t="n">
        <v>0</v>
      </c>
      <c r="ECJ3002" s="1" t="n">
        <v>0</v>
      </c>
      <c r="ECK3002" s="1" t="n">
        <v>0</v>
      </c>
      <c r="ECL3002" s="1" t="n">
        <v>0</v>
      </c>
      <c r="ECM3002" s="1" t="n">
        <v>0</v>
      </c>
      <c r="ECN3002" s="1" t="n">
        <v>0</v>
      </c>
      <c r="ECO3002" s="1" t="n">
        <v>0</v>
      </c>
      <c r="ECP3002" s="1" t="n">
        <v>0</v>
      </c>
      <c r="ECQ3002" s="1" t="n">
        <v>0</v>
      </c>
      <c r="ECR3002" s="1" t="n">
        <v>0</v>
      </c>
      <c r="ECS3002" s="1" t="n">
        <v>0</v>
      </c>
      <c r="ECT3002" s="1" t="n">
        <v>0</v>
      </c>
      <c r="ECU3002" s="1" t="n">
        <v>0</v>
      </c>
      <c r="ECV3002" s="1" t="n">
        <v>0</v>
      </c>
      <c r="ECW3002" s="1" t="n">
        <v>0</v>
      </c>
      <c r="ECX3002" s="1" t="n">
        <v>0</v>
      </c>
      <c r="ECY3002" s="1" t="n">
        <v>0</v>
      </c>
      <c r="ECZ3002" s="1" t="n">
        <v>0</v>
      </c>
      <c r="EDA3002" s="1" t="n">
        <v>0</v>
      </c>
      <c r="EDB3002" s="1" t="n">
        <v>0</v>
      </c>
      <c r="EDC3002" s="1" t="n">
        <v>0</v>
      </c>
      <c r="EDD3002" s="1" t="n">
        <v>0</v>
      </c>
      <c r="EDE3002" s="1" t="n">
        <v>0</v>
      </c>
      <c r="EDF3002" s="1" t="n">
        <v>0</v>
      </c>
      <c r="EDG3002" s="1" t="n">
        <v>0</v>
      </c>
      <c r="EDH3002" s="1" t="n">
        <v>0</v>
      </c>
      <c r="EDI3002" s="1" t="n">
        <v>0</v>
      </c>
      <c r="EDJ3002" s="1" t="n">
        <v>0</v>
      </c>
      <c r="EDK3002" s="1" t="n">
        <v>0</v>
      </c>
      <c r="EDL3002" s="1" t="n">
        <v>0</v>
      </c>
      <c r="EDM3002" s="1" t="n">
        <v>0</v>
      </c>
      <c r="EDN3002" s="1" t="n">
        <v>0</v>
      </c>
      <c r="EDO3002" s="1" t="n">
        <v>0</v>
      </c>
      <c r="EDP3002" s="1" t="n">
        <v>0</v>
      </c>
      <c r="EDQ3002" s="1" t="n">
        <v>0</v>
      </c>
      <c r="EDR3002" s="1" t="n">
        <v>0</v>
      </c>
      <c r="EDS3002" s="1" t="n">
        <v>0</v>
      </c>
      <c r="EDT3002" s="1" t="n">
        <v>0</v>
      </c>
      <c r="EDU3002" s="1" t="n">
        <v>0</v>
      </c>
      <c r="EDV3002" s="1" t="n">
        <v>0</v>
      </c>
      <c r="EDW3002" s="1" t="n">
        <v>0</v>
      </c>
      <c r="EDX3002" s="1" t="n">
        <v>0</v>
      </c>
      <c r="EDY3002" s="1" t="n">
        <v>0</v>
      </c>
      <c r="EDZ3002" s="1" t="n">
        <v>0</v>
      </c>
      <c r="EEA3002" s="1" t="n">
        <v>0</v>
      </c>
      <c r="EEB3002" s="1" t="n">
        <v>0</v>
      </c>
      <c r="EEC3002" s="1" t="n">
        <v>0</v>
      </c>
      <c r="EED3002" s="1" t="n">
        <v>0</v>
      </c>
      <c r="EEE3002" s="1" t="n">
        <v>0</v>
      </c>
      <c r="EEF3002" s="1" t="n">
        <v>0</v>
      </c>
      <c r="EEG3002" s="1" t="n">
        <v>0</v>
      </c>
      <c r="EEH3002" s="1" t="n">
        <v>0</v>
      </c>
      <c r="EEI3002" s="1" t="n">
        <v>0</v>
      </c>
      <c r="EEJ3002" s="1" t="n">
        <v>0</v>
      </c>
      <c r="EEK3002" s="1" t="n">
        <v>0</v>
      </c>
      <c r="EEL3002" s="1" t="n">
        <v>0</v>
      </c>
      <c r="EEM3002" s="1" t="n">
        <v>0</v>
      </c>
      <c r="EEN3002" s="1" t="n">
        <v>0</v>
      </c>
      <c r="EEO3002" s="1" t="n">
        <v>0</v>
      </c>
      <c r="EEP3002" s="1" t="n">
        <v>0</v>
      </c>
      <c r="EEQ3002" s="1" t="n">
        <v>0</v>
      </c>
      <c r="EER3002" s="1" t="n">
        <v>0</v>
      </c>
      <c r="EES3002" s="1" t="n">
        <v>0</v>
      </c>
      <c r="EET3002" s="1" t="n">
        <v>0</v>
      </c>
      <c r="EEU3002" s="1" t="n">
        <v>0</v>
      </c>
      <c r="EEV3002" s="1" t="n">
        <v>0</v>
      </c>
      <c r="EEW3002" s="1" t="n">
        <v>0</v>
      </c>
      <c r="EEX3002" s="1" t="n">
        <v>0</v>
      </c>
      <c r="EEY3002" s="1" t="n">
        <v>0</v>
      </c>
      <c r="EEZ3002" s="1" t="n">
        <v>0</v>
      </c>
      <c r="EFA3002" s="1" t="n">
        <v>0</v>
      </c>
      <c r="EFB3002" s="1" t="n">
        <v>0</v>
      </c>
      <c r="EFC3002" s="1" t="n">
        <v>0</v>
      </c>
      <c r="EFD3002" s="1" t="n">
        <v>0</v>
      </c>
      <c r="EFE3002" s="1" t="n">
        <v>0</v>
      </c>
      <c r="EFF3002" s="1" t="n">
        <v>0</v>
      </c>
      <c r="EFG3002" s="1" t="n">
        <v>0</v>
      </c>
      <c r="EFH3002" s="1" t="n">
        <v>0</v>
      </c>
      <c r="EFI3002" s="1" t="n">
        <v>0</v>
      </c>
      <c r="EFJ3002" s="1" t="n">
        <v>0</v>
      </c>
      <c r="EFK3002" s="1" t="n">
        <v>0</v>
      </c>
      <c r="EFL3002" s="1" t="n">
        <v>0</v>
      </c>
      <c r="EFM3002" s="1" t="n">
        <v>0</v>
      </c>
      <c r="EFN3002" s="1" t="n">
        <v>0</v>
      </c>
      <c r="EFO3002" s="1" t="n">
        <v>0</v>
      </c>
      <c r="EFP3002" s="1" t="n">
        <v>0</v>
      </c>
      <c r="EFQ3002" s="1" t="n">
        <v>0</v>
      </c>
      <c r="EFR3002" s="1" t="n">
        <v>0</v>
      </c>
      <c r="EFS3002" s="1" t="n">
        <v>0</v>
      </c>
      <c r="EFT3002" s="1" t="n">
        <v>0</v>
      </c>
      <c r="EFU3002" s="1" t="n">
        <v>0</v>
      </c>
      <c r="EFV3002" s="1" t="n">
        <v>0</v>
      </c>
      <c r="EFW3002" s="1" t="n">
        <v>0</v>
      </c>
      <c r="EFX3002" s="1" t="n">
        <v>0</v>
      </c>
      <c r="EFY3002" s="1" t="n">
        <v>0</v>
      </c>
      <c r="EFZ3002" s="1" t="n">
        <v>0</v>
      </c>
      <c r="EGA3002" s="1" t="n">
        <v>0</v>
      </c>
      <c r="EGB3002" s="1" t="n">
        <v>0</v>
      </c>
      <c r="EGC3002" s="1" t="n">
        <v>0</v>
      </c>
      <c r="EGD3002" s="1" t="n">
        <v>0</v>
      </c>
      <c r="EGE3002" s="1" t="n">
        <v>0</v>
      </c>
      <c r="EGF3002" s="1" t="n">
        <v>0</v>
      </c>
      <c r="EGG3002" s="1" t="n">
        <v>0</v>
      </c>
      <c r="EGH3002" s="1" t="n">
        <v>0</v>
      </c>
      <c r="EGI3002" s="1" t="n">
        <v>0</v>
      </c>
      <c r="EGJ3002" s="1" t="n">
        <v>0</v>
      </c>
      <c r="EGK3002" s="1" t="n">
        <v>0</v>
      </c>
      <c r="EGL3002" s="1" t="n">
        <v>0</v>
      </c>
      <c r="EGM3002" s="1" t="n">
        <v>0</v>
      </c>
      <c r="EGN3002" s="1" t="n">
        <v>0</v>
      </c>
      <c r="EGO3002" s="1" t="n">
        <v>0</v>
      </c>
      <c r="EGP3002" s="1" t="n">
        <v>0</v>
      </c>
      <c r="EGQ3002" s="1" t="n">
        <v>0</v>
      </c>
      <c r="EGR3002" s="1" t="n">
        <v>0</v>
      </c>
      <c r="EGS3002" s="1" t="n">
        <v>0</v>
      </c>
      <c r="EGT3002" s="1" t="n">
        <v>0</v>
      </c>
      <c r="EGU3002" s="1" t="n">
        <v>0</v>
      </c>
      <c r="EGV3002" s="1" t="n">
        <v>0</v>
      </c>
      <c r="EGW3002" s="1" t="n">
        <v>0</v>
      </c>
      <c r="EGX3002" s="1" t="n">
        <v>0</v>
      </c>
      <c r="EGY3002" s="1" t="n">
        <v>0</v>
      </c>
      <c r="EGZ3002" s="1" t="n">
        <v>0</v>
      </c>
      <c r="EHA3002" s="1" t="n">
        <v>0</v>
      </c>
      <c r="EHB3002" s="1" t="n">
        <v>0</v>
      </c>
      <c r="EHC3002" s="1" t="n">
        <v>0</v>
      </c>
      <c r="EHD3002" s="1" t="n">
        <v>0</v>
      </c>
      <c r="EHE3002" s="1" t="n">
        <v>0</v>
      </c>
      <c r="EHF3002" s="1" t="n">
        <v>0</v>
      </c>
      <c r="EHG3002" s="1" t="n">
        <v>0</v>
      </c>
      <c r="EHH3002" s="1" t="n">
        <v>0</v>
      </c>
      <c r="EHI3002" s="1" t="n">
        <v>0</v>
      </c>
      <c r="EHJ3002" s="1" t="n">
        <v>0</v>
      </c>
      <c r="EHK3002" s="1" t="n">
        <v>0</v>
      </c>
      <c r="EHL3002" s="1" t="n">
        <v>0</v>
      </c>
      <c r="EHM3002" s="1" t="n">
        <v>0</v>
      </c>
      <c r="EHN3002" s="1" t="n">
        <v>0</v>
      </c>
      <c r="EHO3002" s="1" t="n">
        <v>0</v>
      </c>
      <c r="EHP3002" s="1" t="n">
        <v>0</v>
      </c>
      <c r="EHQ3002" s="1" t="n">
        <v>0</v>
      </c>
      <c r="EHR3002" s="1" t="n">
        <v>0</v>
      </c>
      <c r="EHS3002" s="1" t="n">
        <v>0</v>
      </c>
      <c r="EHT3002" s="1" t="n">
        <v>0</v>
      </c>
      <c r="EHU3002" s="1" t="n">
        <v>0</v>
      </c>
      <c r="EHV3002" s="1" t="n">
        <v>0</v>
      </c>
      <c r="EHW3002" s="1" t="n">
        <v>0</v>
      </c>
      <c r="EHX3002" s="1" t="n">
        <v>0</v>
      </c>
      <c r="EHY3002" s="1" t="n">
        <v>0</v>
      </c>
      <c r="EHZ3002" s="1" t="n">
        <v>0</v>
      </c>
      <c r="EIA3002" s="1" t="n">
        <v>0</v>
      </c>
      <c r="EIB3002" s="1" t="n">
        <v>0</v>
      </c>
      <c r="EIC3002" s="1" t="n">
        <v>0</v>
      </c>
      <c r="EID3002" s="1" t="n">
        <v>0</v>
      </c>
      <c r="EIE3002" s="1" t="n">
        <v>0</v>
      </c>
      <c r="EIF3002" s="1" t="n">
        <v>0</v>
      </c>
      <c r="EIG3002" s="1" t="n">
        <v>0</v>
      </c>
      <c r="EIH3002" s="1" t="n">
        <v>0</v>
      </c>
      <c r="EII3002" s="1" t="n">
        <v>0</v>
      </c>
      <c r="EIJ3002" s="1" t="n">
        <v>0</v>
      </c>
      <c r="EIK3002" s="1" t="n">
        <v>0</v>
      </c>
      <c r="EIL3002" s="1" t="n">
        <v>0</v>
      </c>
      <c r="EIM3002" s="1" t="n">
        <v>0</v>
      </c>
      <c r="EIN3002" s="1" t="n">
        <v>0</v>
      </c>
      <c r="EIO3002" s="1" t="n">
        <v>0</v>
      </c>
      <c r="EIP3002" s="1" t="n">
        <v>0</v>
      </c>
      <c r="EIQ3002" s="1" t="n">
        <v>0</v>
      </c>
      <c r="EIR3002" s="1" t="n">
        <v>0</v>
      </c>
      <c r="EIS3002" s="1" t="n">
        <v>0</v>
      </c>
      <c r="EIT3002" s="1" t="n">
        <v>0</v>
      </c>
      <c r="EIU3002" s="1" t="n">
        <v>0</v>
      </c>
      <c r="EIV3002" s="1" t="n">
        <v>0</v>
      </c>
      <c r="EIW3002" s="1" t="n">
        <v>0</v>
      </c>
      <c r="EIX3002" s="1" t="n">
        <v>0</v>
      </c>
      <c r="EIY3002" s="1" t="n">
        <v>0</v>
      </c>
      <c r="EIZ3002" s="1" t="n">
        <v>0</v>
      </c>
      <c r="EJA3002" s="1" t="n">
        <v>0</v>
      </c>
      <c r="EJB3002" s="1" t="n">
        <v>0</v>
      </c>
      <c r="EJC3002" s="1" t="n">
        <v>0</v>
      </c>
      <c r="EJD3002" s="1" t="n">
        <v>0</v>
      </c>
      <c r="EJE3002" s="1" t="n">
        <v>0</v>
      </c>
      <c r="EJF3002" s="1" t="n">
        <v>0</v>
      </c>
      <c r="EJG3002" s="1" t="n">
        <v>0</v>
      </c>
      <c r="EJH3002" s="1" t="n">
        <v>0</v>
      </c>
      <c r="EJI3002" s="1" t="n">
        <v>0</v>
      </c>
      <c r="EJJ3002" s="1" t="n">
        <v>0</v>
      </c>
      <c r="EJK3002" s="1" t="n">
        <v>0</v>
      </c>
      <c r="EJL3002" s="1" t="n">
        <v>0</v>
      </c>
      <c r="EJM3002" s="1" t="n">
        <v>0</v>
      </c>
      <c r="EJN3002" s="1" t="n">
        <v>0</v>
      </c>
      <c r="EJO3002" s="1" t="n">
        <v>0</v>
      </c>
      <c r="EJP3002" s="1" t="n">
        <v>0</v>
      </c>
      <c r="EJQ3002" s="1" t="n">
        <v>0</v>
      </c>
      <c r="EJR3002" s="1" t="n">
        <v>0</v>
      </c>
      <c r="EJS3002" s="1" t="n">
        <v>0</v>
      </c>
      <c r="EJT3002" s="1" t="n">
        <v>0</v>
      </c>
      <c r="EJU3002" s="1" t="n">
        <v>0</v>
      </c>
      <c r="EJV3002" s="1" t="n">
        <v>0</v>
      </c>
      <c r="EJW3002" s="1" t="n">
        <v>0</v>
      </c>
      <c r="EJX3002" s="1" t="n">
        <v>0</v>
      </c>
      <c r="EJY3002" s="1" t="n">
        <v>0</v>
      </c>
      <c r="EJZ3002" s="1" t="n">
        <v>0</v>
      </c>
      <c r="EKA3002" s="1" t="n">
        <v>0</v>
      </c>
      <c r="EKB3002" s="1" t="n">
        <v>0</v>
      </c>
      <c r="EKC3002" s="1" t="n">
        <v>0</v>
      </c>
      <c r="EKD3002" s="1" t="n">
        <v>0</v>
      </c>
      <c r="EKE3002" s="1" t="n">
        <v>0</v>
      </c>
      <c r="EKF3002" s="1" t="n">
        <v>0</v>
      </c>
      <c r="EKG3002" s="1" t="n">
        <v>0</v>
      </c>
      <c r="EKH3002" s="1" t="n">
        <v>0</v>
      </c>
      <c r="EKI3002" s="1" t="n">
        <v>0</v>
      </c>
      <c r="EKJ3002" s="1" t="n">
        <v>0</v>
      </c>
      <c r="EKK3002" s="1" t="n">
        <v>0</v>
      </c>
      <c r="EKL3002" s="1" t="n">
        <v>0</v>
      </c>
      <c r="EKM3002" s="1" t="n">
        <v>0</v>
      </c>
      <c r="EKN3002" s="1" t="n">
        <v>0</v>
      </c>
      <c r="EKO3002" s="1" t="n">
        <v>0</v>
      </c>
      <c r="EKP3002" s="1" t="n">
        <v>0</v>
      </c>
      <c r="EKQ3002" s="1" t="n">
        <v>0</v>
      </c>
      <c r="EKR3002" s="1" t="n">
        <v>0</v>
      </c>
      <c r="EKS3002" s="1" t="n">
        <v>0</v>
      </c>
      <c r="EKT3002" s="1" t="n">
        <v>0</v>
      </c>
      <c r="EKU3002" s="1" t="n">
        <v>0</v>
      </c>
      <c r="EKV3002" s="1" t="n">
        <v>0</v>
      </c>
      <c r="EKW3002" s="1" t="n">
        <v>0</v>
      </c>
      <c r="EKX3002" s="1" t="n">
        <v>0</v>
      </c>
      <c r="EKY3002" s="1" t="n">
        <v>0</v>
      </c>
      <c r="EKZ3002" s="1" t="n">
        <v>0</v>
      </c>
      <c r="ELA3002" s="1" t="n">
        <v>0</v>
      </c>
      <c r="ELB3002" s="1" t="n">
        <v>0</v>
      </c>
      <c r="ELC3002" s="1" t="n">
        <v>0</v>
      </c>
      <c r="ELD3002" s="1" t="n">
        <v>0</v>
      </c>
      <c r="ELE3002" s="1" t="n">
        <v>0</v>
      </c>
      <c r="ELF3002" s="1" t="n">
        <v>0</v>
      </c>
      <c r="ELG3002" s="1" t="n">
        <v>0</v>
      </c>
      <c r="ELH3002" s="1" t="n">
        <v>0</v>
      </c>
      <c r="ELI3002" s="1" t="n">
        <v>0</v>
      </c>
      <c r="ELJ3002" s="1" t="n">
        <v>0</v>
      </c>
      <c r="ELK3002" s="1" t="n">
        <v>0</v>
      </c>
      <c r="ELL3002" s="1" t="n">
        <v>0</v>
      </c>
      <c r="ELM3002" s="1" t="n">
        <v>0</v>
      </c>
      <c r="ELN3002" s="1" t="n">
        <v>0</v>
      </c>
      <c r="ELO3002" s="1" t="n">
        <v>0</v>
      </c>
      <c r="ELP3002" s="1" t="n">
        <v>0</v>
      </c>
      <c r="ELQ3002" s="1" t="n">
        <v>0</v>
      </c>
      <c r="ELR3002" s="1" t="n">
        <v>0</v>
      </c>
      <c r="ELS3002" s="1" t="n">
        <v>0</v>
      </c>
      <c r="ELT3002" s="1" t="n">
        <v>0</v>
      </c>
      <c r="ELU3002" s="1" t="n">
        <v>0</v>
      </c>
      <c r="ELV3002" s="1" t="n">
        <v>0</v>
      </c>
      <c r="ELW3002" s="1" t="n">
        <v>0</v>
      </c>
      <c r="ELX3002" s="1" t="n">
        <v>0</v>
      </c>
      <c r="ELY3002" s="1" t="n">
        <v>0</v>
      </c>
      <c r="ELZ3002" s="1" t="n">
        <v>0</v>
      </c>
      <c r="EMA3002" s="1" t="n">
        <v>0</v>
      </c>
      <c r="EMB3002" s="1" t="n">
        <v>0</v>
      </c>
      <c r="EMC3002" s="1" t="n">
        <v>0</v>
      </c>
      <c r="EMD3002" s="1" t="n">
        <v>0</v>
      </c>
      <c r="EME3002" s="1" t="n">
        <v>0</v>
      </c>
      <c r="EMF3002" s="1" t="n">
        <v>0</v>
      </c>
      <c r="EMG3002" s="1" t="n">
        <v>0</v>
      </c>
      <c r="EMH3002" s="1" t="n">
        <v>0</v>
      </c>
      <c r="EMI3002" s="1" t="n">
        <v>0</v>
      </c>
      <c r="EMJ3002" s="1" t="n">
        <v>0</v>
      </c>
      <c r="EMK3002" s="1" t="n">
        <v>0</v>
      </c>
      <c r="EML3002" s="1" t="n">
        <v>0</v>
      </c>
      <c r="EMM3002" s="1" t="n">
        <v>0</v>
      </c>
      <c r="EMN3002" s="1" t="n">
        <v>0</v>
      </c>
      <c r="EMO3002" s="1" t="n">
        <v>0</v>
      </c>
      <c r="EMP3002" s="1" t="n">
        <v>0</v>
      </c>
      <c r="EMQ3002" s="1" t="n">
        <v>0</v>
      </c>
      <c r="EMR3002" s="1" t="n">
        <v>0</v>
      </c>
      <c r="EMS3002" s="1" t="n">
        <v>0</v>
      </c>
      <c r="EMT3002" s="1" t="n">
        <v>0</v>
      </c>
      <c r="EMU3002" s="1" t="n">
        <v>0</v>
      </c>
      <c r="EMV3002" s="1" t="n">
        <v>0</v>
      </c>
      <c r="EMW3002" s="1" t="n">
        <v>0</v>
      </c>
      <c r="EMX3002" s="1" t="n">
        <v>0</v>
      </c>
      <c r="EMY3002" s="1" t="n">
        <v>0</v>
      </c>
      <c r="EMZ3002" s="1" t="n">
        <v>0</v>
      </c>
      <c r="ENA3002" s="1" t="n">
        <v>0</v>
      </c>
      <c r="ENB3002" s="1" t="n">
        <v>0</v>
      </c>
      <c r="ENC3002" s="1" t="n">
        <v>0</v>
      </c>
      <c r="END3002" s="1" t="n">
        <v>0</v>
      </c>
      <c r="ENE3002" s="1" t="n">
        <v>0</v>
      </c>
      <c r="ENF3002" s="1" t="n">
        <v>0</v>
      </c>
      <c r="ENG3002" s="1" t="n">
        <v>0</v>
      </c>
      <c r="ENH3002" s="1" t="n">
        <v>0</v>
      </c>
      <c r="ENI3002" s="1" t="n">
        <v>0</v>
      </c>
      <c r="ENJ3002" s="1" t="n">
        <v>0</v>
      </c>
      <c r="ENK3002" s="1" t="n">
        <v>0</v>
      </c>
      <c r="ENL3002" s="1" t="n">
        <v>0</v>
      </c>
      <c r="ENM3002" s="1" t="n">
        <v>0</v>
      </c>
      <c r="ENN3002" s="1" t="n">
        <v>0</v>
      </c>
      <c r="ENO3002" s="1" t="n">
        <v>0</v>
      </c>
      <c r="ENP3002" s="1" t="n">
        <v>0</v>
      </c>
      <c r="ENQ3002" s="1" t="n">
        <v>0</v>
      </c>
      <c r="ENR3002" s="1" t="n">
        <v>0</v>
      </c>
      <c r="ENS3002" s="1" t="n">
        <v>0</v>
      </c>
      <c r="ENT3002" s="1" t="n">
        <v>0</v>
      </c>
      <c r="ENU3002" s="1" t="n">
        <v>0</v>
      </c>
      <c r="ENV3002" s="1" t="n">
        <v>0</v>
      </c>
      <c r="ENW3002" s="1" t="n">
        <v>0</v>
      </c>
      <c r="ENX3002" s="1" t="n">
        <v>0</v>
      </c>
      <c r="ENY3002" s="1" t="n">
        <v>0</v>
      </c>
      <c r="ENZ3002" s="1" t="n">
        <v>0</v>
      </c>
      <c r="EOA3002" s="1" t="n">
        <v>0</v>
      </c>
      <c r="EOB3002" s="1" t="n">
        <v>0</v>
      </c>
      <c r="EOC3002" s="1" t="n">
        <v>0</v>
      </c>
      <c r="EOD3002" s="1" t="n">
        <v>0</v>
      </c>
      <c r="EOE3002" s="1" t="n">
        <v>0</v>
      </c>
      <c r="EOF3002" s="1" t="n">
        <v>0</v>
      </c>
      <c r="EOG3002" s="1" t="n">
        <v>0</v>
      </c>
      <c r="EOH3002" s="1" t="n">
        <v>0</v>
      </c>
      <c r="EOI3002" s="1" t="n">
        <v>0</v>
      </c>
      <c r="EOJ3002" s="1" t="n">
        <v>0</v>
      </c>
      <c r="EOK3002" s="1" t="n">
        <v>0</v>
      </c>
      <c r="EOL3002" s="1" t="n">
        <v>0</v>
      </c>
      <c r="EOM3002" s="1" t="n">
        <v>0</v>
      </c>
      <c r="EON3002" s="1" t="n">
        <v>0</v>
      </c>
      <c r="EOO3002" s="1" t="n">
        <v>0</v>
      </c>
      <c r="EOP3002" s="1" t="n">
        <v>0</v>
      </c>
      <c r="EOQ3002" s="1" t="n">
        <v>0</v>
      </c>
      <c r="EOR3002" s="1" t="n">
        <v>0</v>
      </c>
      <c r="EOS3002" s="1" t="n">
        <v>0</v>
      </c>
      <c r="EOT3002" s="1" t="n">
        <v>0</v>
      </c>
      <c r="EOU3002" s="1" t="n">
        <v>0</v>
      </c>
      <c r="EOV3002" s="1" t="n">
        <v>0</v>
      </c>
      <c r="EOW3002" s="1" t="n">
        <v>0</v>
      </c>
      <c r="EOX3002" s="1" t="n">
        <v>0</v>
      </c>
      <c r="EOY3002" s="1" t="n">
        <v>0</v>
      </c>
      <c r="EOZ3002" s="1" t="n">
        <v>0</v>
      </c>
      <c r="EPA3002" s="1" t="n">
        <v>0</v>
      </c>
      <c r="EPB3002" s="1" t="n">
        <v>0</v>
      </c>
      <c r="EPC3002" s="1" t="n">
        <v>0</v>
      </c>
      <c r="EPD3002" s="1" t="n">
        <v>0</v>
      </c>
      <c r="EPE3002" s="1" t="n">
        <v>0</v>
      </c>
      <c r="EPF3002" s="1" t="n">
        <v>0</v>
      </c>
      <c r="EPG3002" s="1" t="n">
        <v>0</v>
      </c>
      <c r="EPH3002" s="1" t="n">
        <v>0</v>
      </c>
      <c r="EPI3002" s="1" t="n">
        <v>0</v>
      </c>
      <c r="EPJ3002" s="1" t="n">
        <v>0</v>
      </c>
      <c r="EPK3002" s="1" t="n">
        <v>0</v>
      </c>
      <c r="EPL3002" s="1" t="n">
        <v>0</v>
      </c>
      <c r="EPM3002" s="1" t="n">
        <v>0</v>
      </c>
      <c r="EPN3002" s="1" t="n">
        <v>0</v>
      </c>
      <c r="EPO3002" s="1" t="n">
        <v>0</v>
      </c>
      <c r="EPP3002" s="1" t="n">
        <v>0</v>
      </c>
      <c r="EPQ3002" s="1" t="n">
        <v>0</v>
      </c>
      <c r="EPR3002" s="1" t="n">
        <v>0</v>
      </c>
      <c r="EPS3002" s="1" t="n">
        <v>0</v>
      </c>
      <c r="EPT3002" s="1" t="n">
        <v>0</v>
      </c>
      <c r="EPU3002" s="1" t="n">
        <v>0</v>
      </c>
      <c r="EPV3002" s="1" t="n">
        <v>0</v>
      </c>
      <c r="EPW3002" s="1" t="n">
        <v>0</v>
      </c>
      <c r="EPX3002" s="1" t="n">
        <v>0</v>
      </c>
      <c r="EPY3002" s="1" t="n">
        <v>0</v>
      </c>
      <c r="EPZ3002" s="1" t="n">
        <v>0</v>
      </c>
      <c r="EQA3002" s="1" t="n">
        <v>0</v>
      </c>
      <c r="EQB3002" s="1" t="n">
        <v>0</v>
      </c>
      <c r="EQC3002" s="1" t="n">
        <v>0</v>
      </c>
      <c r="EQD3002" s="1" t="n">
        <v>0</v>
      </c>
      <c r="EQE3002" s="1" t="n">
        <v>0</v>
      </c>
      <c r="EQF3002" s="1" t="n">
        <v>0</v>
      </c>
      <c r="EQG3002" s="1" t="n">
        <v>0</v>
      </c>
      <c r="EQH3002" s="1" t="n">
        <v>0</v>
      </c>
      <c r="EQI3002" s="1" t="n">
        <v>0</v>
      </c>
      <c r="EQJ3002" s="1" t="n">
        <v>0</v>
      </c>
      <c r="EQK3002" s="1" t="n">
        <v>0</v>
      </c>
      <c r="EQL3002" s="1" t="n">
        <v>0</v>
      </c>
      <c r="EQM3002" s="1" t="n">
        <v>0</v>
      </c>
      <c r="EQN3002" s="1" t="n">
        <v>0</v>
      </c>
      <c r="EQO3002" s="1" t="n">
        <v>0</v>
      </c>
      <c r="EQP3002" s="1" t="n">
        <v>0</v>
      </c>
      <c r="EQQ3002" s="1" t="n">
        <v>0</v>
      </c>
      <c r="EQR3002" s="1" t="n">
        <v>0</v>
      </c>
      <c r="EQS3002" s="1" t="n">
        <v>0</v>
      </c>
      <c r="EQT3002" s="1" t="n">
        <v>0</v>
      </c>
      <c r="EQU3002" s="1" t="n">
        <v>0</v>
      </c>
      <c r="EQV3002" s="1" t="n">
        <v>0</v>
      </c>
      <c r="EQW3002" s="1" t="n">
        <v>0</v>
      </c>
      <c r="EQX3002" s="1" t="n">
        <v>0</v>
      </c>
      <c r="EQY3002" s="1" t="n">
        <v>0</v>
      </c>
      <c r="EQZ3002" s="1" t="n">
        <v>0</v>
      </c>
      <c r="ERA3002" s="1" t="n">
        <v>0</v>
      </c>
      <c r="ERB3002" s="1" t="n">
        <v>0</v>
      </c>
      <c r="ERC3002" s="1" t="n">
        <v>0</v>
      </c>
      <c r="ERD3002" s="1" t="n">
        <v>0</v>
      </c>
      <c r="ERE3002" s="1" t="n">
        <v>0</v>
      </c>
      <c r="ERF3002" s="1" t="n">
        <v>0</v>
      </c>
      <c r="ERG3002" s="1" t="n">
        <v>0</v>
      </c>
      <c r="ERH3002" s="1" t="n">
        <v>0</v>
      </c>
      <c r="ERI3002" s="1" t="n">
        <v>0</v>
      </c>
      <c r="ERJ3002" s="1" t="n">
        <v>0</v>
      </c>
      <c r="ERK3002" s="1" t="n">
        <v>0</v>
      </c>
      <c r="ERL3002" s="1" t="n">
        <v>0</v>
      </c>
      <c r="ERM3002" s="1" t="n">
        <v>0</v>
      </c>
      <c r="ERN3002" s="1" t="n">
        <v>0</v>
      </c>
      <c r="ERO3002" s="1" t="n">
        <v>0</v>
      </c>
      <c r="ERP3002" s="1" t="n">
        <v>0</v>
      </c>
      <c r="ERQ3002" s="1" t="n">
        <v>0</v>
      </c>
      <c r="ERR3002" s="1" t="n">
        <v>0</v>
      </c>
      <c r="ERS3002" s="1" t="n">
        <v>0</v>
      </c>
      <c r="ERT3002" s="1" t="n">
        <v>0</v>
      </c>
      <c r="ERU3002" s="1" t="n">
        <v>0</v>
      </c>
      <c r="ERV3002" s="1" t="n">
        <v>0</v>
      </c>
      <c r="ERW3002" s="1" t="n">
        <v>0</v>
      </c>
      <c r="ERX3002" s="1" t="n">
        <v>0</v>
      </c>
      <c r="ERY3002" s="1" t="n">
        <v>0</v>
      </c>
      <c r="ERZ3002" s="1" t="n">
        <v>0</v>
      </c>
      <c r="ESA3002" s="1" t="n">
        <v>0</v>
      </c>
      <c r="ESB3002" s="1" t="n">
        <v>0</v>
      </c>
      <c r="ESC3002" s="1" t="n">
        <v>0</v>
      </c>
      <c r="ESD3002" s="1" t="n">
        <v>0</v>
      </c>
      <c r="ESE3002" s="1" t="n">
        <v>0</v>
      </c>
      <c r="ESF3002" s="1" t="n">
        <v>0</v>
      </c>
      <c r="ESG3002" s="1" t="n">
        <v>0</v>
      </c>
      <c r="ESH3002" s="1" t="n">
        <v>0</v>
      </c>
      <c r="ESI3002" s="1" t="n">
        <v>0</v>
      </c>
      <c r="ESJ3002" s="1" t="n">
        <v>0</v>
      </c>
      <c r="ESK3002" s="1" t="n">
        <v>0</v>
      </c>
      <c r="ESL3002" s="1" t="n">
        <v>0</v>
      </c>
      <c r="ESM3002" s="1" t="n">
        <v>0</v>
      </c>
      <c r="ESN3002" s="1" t="n">
        <v>0</v>
      </c>
      <c r="ESO3002" s="1" t="n">
        <v>0</v>
      </c>
      <c r="ESP3002" s="1" t="n">
        <v>0</v>
      </c>
      <c r="ESQ3002" s="1" t="n">
        <v>0</v>
      </c>
      <c r="ESR3002" s="1" t="n">
        <v>0</v>
      </c>
      <c r="ESS3002" s="1" t="n">
        <v>0</v>
      </c>
      <c r="EST3002" s="1" t="n">
        <v>0</v>
      </c>
      <c r="ESU3002" s="1" t="n">
        <v>0</v>
      </c>
      <c r="ESV3002" s="1" t="n">
        <v>0</v>
      </c>
      <c r="ESW3002" s="1" t="n">
        <v>0</v>
      </c>
      <c r="ESX3002" s="1" t="n">
        <v>0</v>
      </c>
      <c r="ESY3002" s="1" t="n">
        <v>0</v>
      </c>
      <c r="ESZ3002" s="1" t="n">
        <v>0</v>
      </c>
      <c r="ETA3002" s="1" t="n">
        <v>0</v>
      </c>
      <c r="ETB3002" s="1" t="n">
        <v>0</v>
      </c>
      <c r="ETC3002" s="1" t="n">
        <v>0</v>
      </c>
      <c r="ETD3002" s="1" t="n">
        <v>0</v>
      </c>
      <c r="ETE3002" s="1" t="n">
        <v>0</v>
      </c>
      <c r="ETF3002" s="1" t="n">
        <v>0</v>
      </c>
      <c r="ETG3002" s="1" t="n">
        <v>0</v>
      </c>
      <c r="ETH3002" s="1" t="n">
        <v>0</v>
      </c>
      <c r="ETI3002" s="1" t="n">
        <v>0</v>
      </c>
      <c r="ETJ3002" s="1" t="n">
        <v>0</v>
      </c>
      <c r="ETK3002" s="1" t="n">
        <v>0</v>
      </c>
      <c r="ETL3002" s="1" t="n">
        <v>0</v>
      </c>
      <c r="ETM3002" s="1" t="n">
        <v>0</v>
      </c>
      <c r="ETN3002" s="1" t="n">
        <v>0</v>
      </c>
      <c r="ETO3002" s="1" t="n">
        <v>0</v>
      </c>
      <c r="ETP3002" s="1" t="n">
        <v>0</v>
      </c>
      <c r="ETQ3002" s="1" t="n">
        <v>0</v>
      </c>
      <c r="ETR3002" s="1" t="n">
        <v>0</v>
      </c>
      <c r="ETS3002" s="1" t="n">
        <v>0</v>
      </c>
      <c r="ETT3002" s="1" t="n">
        <v>0</v>
      </c>
      <c r="ETU3002" s="1" t="n">
        <v>0</v>
      </c>
      <c r="ETV3002" s="1" t="n">
        <v>0</v>
      </c>
      <c r="ETW3002" s="1" t="n">
        <v>0</v>
      </c>
      <c r="ETX3002" s="1" t="n">
        <v>0</v>
      </c>
      <c r="ETY3002" s="1" t="n">
        <v>0</v>
      </c>
      <c r="ETZ3002" s="1" t="n">
        <v>0</v>
      </c>
      <c r="EUA3002" s="1" t="n">
        <v>0</v>
      </c>
      <c r="EUB3002" s="1" t="n">
        <v>0</v>
      </c>
      <c r="EUC3002" s="1" t="n">
        <v>0</v>
      </c>
      <c r="EUD3002" s="1" t="n">
        <v>0</v>
      </c>
      <c r="EUE3002" s="1" t="n">
        <v>0</v>
      </c>
      <c r="EUF3002" s="1" t="n">
        <v>0</v>
      </c>
      <c r="EUG3002" s="1" t="n">
        <v>0</v>
      </c>
      <c r="EUH3002" s="1" t="n">
        <v>0</v>
      </c>
      <c r="EUI3002" s="1" t="n">
        <v>0</v>
      </c>
      <c r="EUJ3002" s="1" t="n">
        <v>0</v>
      </c>
      <c r="EUK3002" s="1" t="n">
        <v>0</v>
      </c>
      <c r="EUL3002" s="1" t="n">
        <v>0</v>
      </c>
      <c r="EUM3002" s="1" t="n">
        <v>0</v>
      </c>
      <c r="EUN3002" s="1" t="n">
        <v>0</v>
      </c>
      <c r="EUO3002" s="1" t="n">
        <v>0</v>
      </c>
      <c r="EUP3002" s="1" t="n">
        <v>0</v>
      </c>
      <c r="EUQ3002" s="1" t="n">
        <v>0</v>
      </c>
      <c r="EUR3002" s="1" t="n">
        <v>0</v>
      </c>
      <c r="EUS3002" s="1" t="n">
        <v>0</v>
      </c>
      <c r="EUT3002" s="1" t="n">
        <v>0</v>
      </c>
      <c r="EUU3002" s="1" t="n">
        <v>0</v>
      </c>
      <c r="EUV3002" s="1" t="n">
        <v>0</v>
      </c>
      <c r="EUW3002" s="1" t="n">
        <v>0</v>
      </c>
      <c r="EUX3002" s="1" t="n">
        <v>0</v>
      </c>
      <c r="EUY3002" s="1" t="n">
        <v>0</v>
      </c>
      <c r="EUZ3002" s="1" t="n">
        <v>0</v>
      </c>
      <c r="EVA3002" s="1" t="n">
        <v>0</v>
      </c>
      <c r="EVB3002" s="1" t="n">
        <v>0</v>
      </c>
      <c r="EVC3002" s="1" t="n">
        <v>0</v>
      </c>
      <c r="EVD3002" s="1" t="n">
        <v>0</v>
      </c>
      <c r="EVE3002" s="1" t="n">
        <v>0</v>
      </c>
      <c r="EVF3002" s="1" t="n">
        <v>0</v>
      </c>
      <c r="EVG3002" s="1" t="n">
        <v>0</v>
      </c>
      <c r="EVH3002" s="1" t="n">
        <v>0</v>
      </c>
      <c r="EVI3002" s="1" t="n">
        <v>0</v>
      </c>
      <c r="EVJ3002" s="1" t="n">
        <v>0</v>
      </c>
      <c r="EVK3002" s="1" t="n">
        <v>0</v>
      </c>
      <c r="EVL3002" s="1" t="n">
        <v>0</v>
      </c>
      <c r="EVM3002" s="1" t="n">
        <v>0</v>
      </c>
      <c r="EVN3002" s="1" t="n">
        <v>0</v>
      </c>
      <c r="EVO3002" s="1" t="n">
        <v>0</v>
      </c>
      <c r="EVP3002" s="1" t="n">
        <v>0</v>
      </c>
      <c r="EVQ3002" s="1" t="n">
        <v>0</v>
      </c>
      <c r="EVR3002" s="1" t="n">
        <v>0</v>
      </c>
      <c r="EVS3002" s="1" t="n">
        <v>0</v>
      </c>
      <c r="EVT3002" s="1" t="n">
        <v>0</v>
      </c>
      <c r="EVU3002" s="1" t="n">
        <v>0</v>
      </c>
      <c r="EVV3002" s="1" t="n">
        <v>0</v>
      </c>
      <c r="EVW3002" s="1" t="n">
        <v>0</v>
      </c>
      <c r="EVX3002" s="1" t="n">
        <v>0</v>
      </c>
      <c r="EVY3002" s="1" t="n">
        <v>0</v>
      </c>
      <c r="EVZ3002" s="1" t="n">
        <v>0</v>
      </c>
      <c r="EWA3002" s="1" t="n">
        <v>0</v>
      </c>
      <c r="EWB3002" s="1" t="n">
        <v>0</v>
      </c>
      <c r="EWC3002" s="1" t="n">
        <v>0</v>
      </c>
      <c r="EWD3002" s="1" t="n">
        <v>0</v>
      </c>
      <c r="EWE3002" s="1" t="n">
        <v>0</v>
      </c>
      <c r="EWF3002" s="1" t="n">
        <v>0</v>
      </c>
      <c r="EWG3002" s="1" t="n">
        <v>0</v>
      </c>
      <c r="EWH3002" s="1" t="n">
        <v>0</v>
      </c>
      <c r="EWI3002" s="1" t="n">
        <v>0</v>
      </c>
      <c r="EWJ3002" s="1" t="n">
        <v>0</v>
      </c>
      <c r="EWK3002" s="1" t="n">
        <v>0</v>
      </c>
      <c r="EWL3002" s="1" t="n">
        <v>0</v>
      </c>
      <c r="EWM3002" s="1" t="n">
        <v>0</v>
      </c>
      <c r="EWN3002" s="1" t="n">
        <v>0</v>
      </c>
      <c r="EWO3002" s="1" t="n">
        <v>0</v>
      </c>
      <c r="EWP3002" s="1" t="n">
        <v>0</v>
      </c>
      <c r="EWQ3002" s="1" t="n">
        <v>0</v>
      </c>
      <c r="EWR3002" s="1" t="n">
        <v>0</v>
      </c>
      <c r="EWS3002" s="1" t="n">
        <v>0</v>
      </c>
      <c r="EWT3002" s="1" t="n">
        <v>0</v>
      </c>
      <c r="EWU3002" s="1" t="n">
        <v>0</v>
      </c>
      <c r="EWV3002" s="1" t="n">
        <v>0</v>
      </c>
      <c r="EWW3002" s="1" t="n">
        <v>0</v>
      </c>
      <c r="EWX3002" s="1" t="n">
        <v>0</v>
      </c>
      <c r="EWY3002" s="1" t="n">
        <v>0</v>
      </c>
      <c r="EWZ3002" s="1" t="n">
        <v>0</v>
      </c>
      <c r="EXA3002" s="1" t="n">
        <v>0</v>
      </c>
      <c r="EXB3002" s="1" t="n">
        <v>0</v>
      </c>
      <c r="EXC3002" s="1" t="n">
        <v>0</v>
      </c>
      <c r="EXD3002" s="1" t="n">
        <v>0</v>
      </c>
      <c r="EXE3002" s="1" t="n">
        <v>0</v>
      </c>
      <c r="EXF3002" s="1" t="n">
        <v>0</v>
      </c>
      <c r="EXG3002" s="1" t="n">
        <v>0</v>
      </c>
      <c r="EXH3002" s="1" t="n">
        <v>0</v>
      </c>
      <c r="EXI3002" s="1" t="n">
        <v>0</v>
      </c>
      <c r="EXJ3002" s="1" t="n">
        <v>0</v>
      </c>
      <c r="EXK3002" s="1" t="n">
        <v>0</v>
      </c>
      <c r="EXL3002" s="1" t="n">
        <v>0</v>
      </c>
      <c r="EXM3002" s="1" t="n">
        <v>0</v>
      </c>
      <c r="EXN3002" s="1" t="n">
        <v>0</v>
      </c>
      <c r="EXO3002" s="1" t="n">
        <v>0</v>
      </c>
      <c r="EXP3002" s="1" t="n">
        <v>0</v>
      </c>
      <c r="EXQ3002" s="1" t="n">
        <v>0</v>
      </c>
      <c r="EXR3002" s="1" t="n">
        <v>0</v>
      </c>
      <c r="EXS3002" s="1" t="n">
        <v>0</v>
      </c>
      <c r="EXT3002" s="1" t="n">
        <v>0</v>
      </c>
      <c r="EXU3002" s="1" t="n">
        <v>0</v>
      </c>
      <c r="EXV3002" s="1" t="n">
        <v>0</v>
      </c>
      <c r="EXW3002" s="1" t="n">
        <v>0</v>
      </c>
      <c r="EXX3002" s="1" t="n">
        <v>0</v>
      </c>
      <c r="EXY3002" s="1" t="n">
        <v>0</v>
      </c>
      <c r="EXZ3002" s="1" t="n">
        <v>0</v>
      </c>
      <c r="EYA3002" s="1" t="n">
        <v>0</v>
      </c>
      <c r="EYB3002" s="1" t="n">
        <v>0</v>
      </c>
      <c r="EYC3002" s="1" t="n">
        <v>0</v>
      </c>
      <c r="EYD3002" s="1" t="n">
        <v>0</v>
      </c>
      <c r="EYE3002" s="1" t="n">
        <v>0</v>
      </c>
      <c r="EYF3002" s="1" t="n">
        <v>0</v>
      </c>
      <c r="EYG3002" s="1" t="n">
        <v>0</v>
      </c>
      <c r="EYH3002" s="1" t="n">
        <v>0</v>
      </c>
      <c r="EYI3002" s="1" t="n">
        <v>0</v>
      </c>
      <c r="EYJ3002" s="1" t="n">
        <v>0</v>
      </c>
      <c r="EYK3002" s="1" t="n">
        <v>0</v>
      </c>
      <c r="EYL3002" s="1" t="n">
        <v>0</v>
      </c>
      <c r="EYM3002" s="1" t="n">
        <v>0</v>
      </c>
      <c r="EYN3002" s="1" t="n">
        <v>0</v>
      </c>
      <c r="EYO3002" s="1" t="n">
        <v>0</v>
      </c>
      <c r="EYP3002" s="1" t="n">
        <v>0</v>
      </c>
      <c r="EYQ3002" s="1" t="n">
        <v>0</v>
      </c>
      <c r="EYR3002" s="1" t="n">
        <v>0</v>
      </c>
      <c r="EYS3002" s="1" t="n">
        <v>0</v>
      </c>
      <c r="EYT3002" s="1" t="n">
        <v>0</v>
      </c>
      <c r="EYU3002" s="1" t="n">
        <v>0</v>
      </c>
      <c r="EYV3002" s="1" t="n">
        <v>0</v>
      </c>
      <c r="EYW3002" s="1" t="n">
        <v>0</v>
      </c>
      <c r="EYX3002" s="1" t="n">
        <v>0</v>
      </c>
      <c r="EYY3002" s="1" t="n">
        <v>0</v>
      </c>
      <c r="EYZ3002" s="1" t="n">
        <v>0</v>
      </c>
      <c r="EZA3002" s="1" t="n">
        <v>0</v>
      </c>
      <c r="EZB3002" s="1" t="n">
        <v>0</v>
      </c>
      <c r="EZC3002" s="1" t="n">
        <v>0</v>
      </c>
      <c r="EZD3002" s="1" t="n">
        <v>0</v>
      </c>
      <c r="EZE3002" s="1" t="n">
        <v>0</v>
      </c>
      <c r="EZF3002" s="1" t="n">
        <v>0</v>
      </c>
      <c r="EZG3002" s="1" t="n">
        <v>0</v>
      </c>
      <c r="EZH3002" s="1" t="n">
        <v>0</v>
      </c>
      <c r="EZI3002" s="1" t="n">
        <v>0</v>
      </c>
      <c r="EZJ3002" s="1" t="n">
        <v>0</v>
      </c>
      <c r="EZK3002" s="1" t="n">
        <v>0</v>
      </c>
      <c r="EZL3002" s="1" t="n">
        <v>0</v>
      </c>
      <c r="EZM3002" s="1" t="n">
        <v>0</v>
      </c>
      <c r="EZN3002" s="1" t="n">
        <v>0</v>
      </c>
      <c r="EZO3002" s="1" t="n">
        <v>0</v>
      </c>
      <c r="EZP3002" s="1" t="n">
        <v>0</v>
      </c>
      <c r="EZQ3002" s="1" t="n">
        <v>0</v>
      </c>
      <c r="EZR3002" s="1" t="n">
        <v>0</v>
      </c>
      <c r="EZS3002" s="1" t="n">
        <v>0</v>
      </c>
      <c r="EZT3002" s="1" t="n">
        <v>0</v>
      </c>
      <c r="EZU3002" s="1" t="n">
        <v>0</v>
      </c>
      <c r="EZV3002" s="1" t="n">
        <v>0</v>
      </c>
      <c r="EZW3002" s="1" t="n">
        <v>0</v>
      </c>
      <c r="EZX3002" s="1" t="n">
        <v>0</v>
      </c>
      <c r="EZY3002" s="1" t="n">
        <v>0</v>
      </c>
      <c r="EZZ3002" s="1" t="n">
        <v>0</v>
      </c>
      <c r="FAA3002" s="1" t="n">
        <v>0</v>
      </c>
      <c r="FAB3002" s="1" t="n">
        <v>0</v>
      </c>
      <c r="FAC3002" s="1" t="n">
        <v>0</v>
      </c>
      <c r="FAD3002" s="1" t="n">
        <v>0</v>
      </c>
      <c r="FAE3002" s="1" t="n">
        <v>0</v>
      </c>
      <c r="FAF3002" s="1" t="n">
        <v>0</v>
      </c>
      <c r="FAG3002" s="1" t="n">
        <v>0</v>
      </c>
      <c r="FAH3002" s="1" t="n">
        <v>0</v>
      </c>
      <c r="FAI3002" s="1" t="n">
        <v>0</v>
      </c>
      <c r="FAJ3002" s="1" t="n">
        <v>0</v>
      </c>
      <c r="FAK3002" s="1" t="n">
        <v>0</v>
      </c>
      <c r="FAL3002" s="1" t="n">
        <v>0</v>
      </c>
      <c r="FAM3002" s="1" t="n">
        <v>0</v>
      </c>
      <c r="FAN3002" s="1" t="n">
        <v>0</v>
      </c>
      <c r="FAO3002" s="1" t="n">
        <v>0</v>
      </c>
      <c r="FAP3002" s="1" t="n">
        <v>0</v>
      </c>
      <c r="FAQ3002" s="1" t="n">
        <v>0</v>
      </c>
      <c r="FAR3002" s="1" t="n">
        <v>0</v>
      </c>
      <c r="FAS3002" s="1" t="n">
        <v>0</v>
      </c>
      <c r="FAT3002" s="1" t="n">
        <v>0</v>
      </c>
      <c r="FAU3002" s="1" t="n">
        <v>0</v>
      </c>
      <c r="FAV3002" s="1" t="n">
        <v>0</v>
      </c>
      <c r="FAW3002" s="1" t="n">
        <v>0</v>
      </c>
      <c r="FAX3002" s="1" t="n">
        <v>0</v>
      </c>
      <c r="FAY3002" s="1" t="n">
        <v>0</v>
      </c>
      <c r="FAZ3002" s="1" t="n">
        <v>0</v>
      </c>
      <c r="FBA3002" s="1" t="n">
        <v>0</v>
      </c>
      <c r="FBB3002" s="1" t="n">
        <v>0</v>
      </c>
      <c r="FBC3002" s="1" t="n">
        <v>0</v>
      </c>
      <c r="FBD3002" s="1" t="n">
        <v>0</v>
      </c>
      <c r="FBE3002" s="1" t="n">
        <v>0</v>
      </c>
      <c r="FBF3002" s="1" t="n">
        <v>0</v>
      </c>
      <c r="FBG3002" s="1" t="n">
        <v>0</v>
      </c>
      <c r="FBH3002" s="1" t="n">
        <v>0</v>
      </c>
      <c r="FBI3002" s="1" t="n">
        <v>0</v>
      </c>
      <c r="FBJ3002" s="1" t="n">
        <v>0</v>
      </c>
      <c r="FBK3002" s="1" t="n">
        <v>0</v>
      </c>
      <c r="FBL3002" s="1" t="n">
        <v>0</v>
      </c>
      <c r="FBM3002" s="1" t="n">
        <v>0</v>
      </c>
      <c r="FBN3002" s="1" t="n">
        <v>0</v>
      </c>
      <c r="FBO3002" s="1" t="n">
        <v>0</v>
      </c>
      <c r="FBP3002" s="1" t="n">
        <v>0</v>
      </c>
      <c r="FBQ3002" s="1" t="n">
        <v>0</v>
      </c>
      <c r="FBR3002" s="1" t="n">
        <v>0</v>
      </c>
      <c r="FBS3002" s="1" t="n">
        <v>0</v>
      </c>
      <c r="FBT3002" s="1" t="n">
        <v>0</v>
      </c>
      <c r="FBU3002" s="1" t="n">
        <v>0</v>
      </c>
      <c r="FBV3002" s="1" t="n">
        <v>0</v>
      </c>
      <c r="FBW3002" s="1" t="n">
        <v>0</v>
      </c>
      <c r="FBX3002" s="1" t="n">
        <v>0</v>
      </c>
      <c r="FBY3002" s="1" t="n">
        <v>0</v>
      </c>
      <c r="FBZ3002" s="1" t="n">
        <v>0</v>
      </c>
      <c r="FCA3002" s="1" t="n">
        <v>0</v>
      </c>
      <c r="FCB3002" s="1" t="n">
        <v>0</v>
      </c>
      <c r="FCC3002" s="1" t="n">
        <v>0</v>
      </c>
      <c r="FCD3002" s="1" t="n">
        <v>0</v>
      </c>
      <c r="FCE3002" s="1" t="n">
        <v>0</v>
      </c>
      <c r="FCF3002" s="1" t="n">
        <v>0</v>
      </c>
      <c r="FCG3002" s="1" t="n">
        <v>0</v>
      </c>
      <c r="FCH3002" s="1" t="n">
        <v>0</v>
      </c>
      <c r="FCI3002" s="1" t="n">
        <v>0</v>
      </c>
      <c r="FCJ3002" s="1" t="n">
        <v>0</v>
      </c>
      <c r="FCK3002" s="1" t="n">
        <v>0</v>
      </c>
      <c r="FCL3002" s="1" t="n">
        <v>0</v>
      </c>
      <c r="FCM3002" s="1" t="n">
        <v>0</v>
      </c>
      <c r="FCN3002" s="1" t="n">
        <v>0</v>
      </c>
      <c r="FCO3002" s="1" t="n">
        <v>0</v>
      </c>
      <c r="FCP3002" s="1" t="n">
        <v>0</v>
      </c>
      <c r="FCQ3002" s="1" t="n">
        <v>0</v>
      </c>
      <c r="FCR3002" s="1" t="n">
        <v>0</v>
      </c>
      <c r="FCS3002" s="1" t="n">
        <v>0</v>
      </c>
      <c r="FCT3002" s="1" t="n">
        <v>0</v>
      </c>
      <c r="FCU3002" s="1" t="n">
        <v>0</v>
      </c>
      <c r="FCV3002" s="1" t="n">
        <v>0</v>
      </c>
      <c r="FCW3002" s="1" t="n">
        <v>0</v>
      </c>
      <c r="FCX3002" s="1" t="n">
        <v>0</v>
      </c>
      <c r="FCY3002" s="1" t="n">
        <v>0</v>
      </c>
      <c r="FCZ3002" s="1" t="n">
        <v>0</v>
      </c>
      <c r="FDA3002" s="1" t="n">
        <v>0</v>
      </c>
      <c r="FDB3002" s="1" t="n">
        <v>0</v>
      </c>
      <c r="FDC3002" s="1" t="n">
        <v>0</v>
      </c>
      <c r="FDD3002" s="1" t="n">
        <v>0</v>
      </c>
      <c r="FDE3002" s="1" t="n">
        <v>0</v>
      </c>
      <c r="FDF3002" s="1" t="n">
        <v>0</v>
      </c>
      <c r="FDG3002" s="1" t="n">
        <v>0</v>
      </c>
      <c r="FDH3002" s="1" t="n">
        <v>0</v>
      </c>
      <c r="FDI3002" s="1" t="n">
        <v>0</v>
      </c>
      <c r="FDJ3002" s="1" t="n">
        <v>0</v>
      </c>
      <c r="FDK3002" s="1" t="n">
        <v>0</v>
      </c>
      <c r="FDL3002" s="1" t="n">
        <v>0</v>
      </c>
      <c r="FDM3002" s="1" t="n">
        <v>0</v>
      </c>
      <c r="FDN3002" s="1" t="n">
        <v>0</v>
      </c>
      <c r="FDO3002" s="1" t="n">
        <v>0</v>
      </c>
      <c r="FDP3002" s="1" t="n">
        <v>0</v>
      </c>
      <c r="FDQ3002" s="1" t="n">
        <v>0</v>
      </c>
      <c r="FDR3002" s="1" t="n">
        <v>0</v>
      </c>
      <c r="FDS3002" s="1" t="n">
        <v>0</v>
      </c>
      <c r="FDT3002" s="1" t="n">
        <v>0</v>
      </c>
      <c r="FDU3002" s="1" t="n">
        <v>0</v>
      </c>
      <c r="FDV3002" s="1" t="n">
        <v>0</v>
      </c>
      <c r="FDW3002" s="1" t="n">
        <v>0</v>
      </c>
      <c r="FDX3002" s="1" t="n">
        <v>0</v>
      </c>
      <c r="FDY3002" s="1" t="n">
        <v>0</v>
      </c>
      <c r="FDZ3002" s="1" t="n">
        <v>0</v>
      </c>
      <c r="FEA3002" s="1" t="n">
        <v>0</v>
      </c>
      <c r="FEB3002" s="1" t="n">
        <v>0</v>
      </c>
      <c r="FEC3002" s="1" t="n">
        <v>0</v>
      </c>
      <c r="FED3002" s="1" t="n">
        <v>0</v>
      </c>
      <c r="FEE3002" s="1" t="n">
        <v>0</v>
      </c>
      <c r="FEF3002" s="1" t="n">
        <v>0</v>
      </c>
      <c r="FEG3002" s="1" t="n">
        <v>0</v>
      </c>
      <c r="FEH3002" s="1" t="n">
        <v>0</v>
      </c>
      <c r="FEI3002" s="1" t="n">
        <v>0</v>
      </c>
      <c r="FEJ3002" s="1" t="n">
        <v>0</v>
      </c>
      <c r="FEK3002" s="1" t="n">
        <v>0</v>
      </c>
      <c r="FEL3002" s="1" t="n">
        <v>0</v>
      </c>
      <c r="FEM3002" s="1" t="n">
        <v>0</v>
      </c>
      <c r="FEN3002" s="1" t="n">
        <v>0</v>
      </c>
      <c r="FEO3002" s="1" t="n">
        <v>0</v>
      </c>
      <c r="FEP3002" s="1" t="n">
        <v>0</v>
      </c>
      <c r="FEQ3002" s="1" t="n">
        <v>0</v>
      </c>
      <c r="FER3002" s="1" t="n">
        <v>0</v>
      </c>
      <c r="FES3002" s="1" t="n">
        <v>0</v>
      </c>
      <c r="FET3002" s="1" t="n">
        <v>0</v>
      </c>
      <c r="FEU3002" s="1" t="n">
        <v>0</v>
      </c>
      <c r="FEV3002" s="1" t="n">
        <v>0</v>
      </c>
      <c r="FEW3002" s="1" t="n">
        <v>0</v>
      </c>
      <c r="FEX3002" s="1" t="n">
        <v>0</v>
      </c>
      <c r="FEY3002" s="1" t="n">
        <v>0</v>
      </c>
      <c r="FEZ3002" s="1" t="n">
        <v>0</v>
      </c>
      <c r="FFA3002" s="1" t="n">
        <v>0</v>
      </c>
      <c r="FFB3002" s="1" t="n">
        <v>0</v>
      </c>
      <c r="FFC3002" s="1" t="n">
        <v>0</v>
      </c>
      <c r="FFD3002" s="1" t="n">
        <v>0</v>
      </c>
      <c r="FFE3002" s="1" t="n">
        <v>0</v>
      </c>
      <c r="FFF3002" s="1" t="n">
        <v>0</v>
      </c>
      <c r="FFG3002" s="1" t="n">
        <v>0</v>
      </c>
      <c r="FFH3002" s="1" t="n">
        <v>0</v>
      </c>
      <c r="FFI3002" s="1" t="n">
        <v>0</v>
      </c>
      <c r="FFJ3002" s="1" t="n">
        <v>0</v>
      </c>
      <c r="FFK3002" s="1" t="n">
        <v>0</v>
      </c>
      <c r="FFL3002" s="1" t="n">
        <v>0</v>
      </c>
      <c r="FFM3002" s="1" t="n">
        <v>0</v>
      </c>
      <c r="FFN3002" s="1" t="n">
        <v>0</v>
      </c>
      <c r="FFO3002" s="1" t="n">
        <v>0</v>
      </c>
      <c r="FFP3002" s="1" t="n">
        <v>0</v>
      </c>
      <c r="FFQ3002" s="1" t="n">
        <v>0</v>
      </c>
      <c r="FFR3002" s="1" t="n">
        <v>0</v>
      </c>
      <c r="FFS3002" s="1" t="n">
        <v>0</v>
      </c>
      <c r="FFT3002" s="1" t="n">
        <v>0</v>
      </c>
      <c r="FFU3002" s="1" t="n">
        <v>0</v>
      </c>
      <c r="FFV3002" s="1" t="n">
        <v>0</v>
      </c>
      <c r="FFW3002" s="1" t="n">
        <v>0</v>
      </c>
      <c r="FFX3002" s="1" t="n">
        <v>0</v>
      </c>
      <c r="FFY3002" s="1" t="n">
        <v>0</v>
      </c>
      <c r="FFZ3002" s="1" t="n">
        <v>0</v>
      </c>
      <c r="FGA3002" s="1" t="n">
        <v>0</v>
      </c>
      <c r="FGB3002" s="1" t="n">
        <v>0</v>
      </c>
      <c r="FGC3002" s="1" t="n">
        <v>0</v>
      </c>
      <c r="FGD3002" s="1" t="n">
        <v>0</v>
      </c>
      <c r="FGE3002" s="1" t="n">
        <v>0</v>
      </c>
      <c r="FGF3002" s="1" t="n">
        <v>0</v>
      </c>
      <c r="FGG3002" s="1" t="n">
        <v>0</v>
      </c>
      <c r="FGH3002" s="1" t="n">
        <v>0</v>
      </c>
      <c r="FGI3002" s="1" t="n">
        <v>0</v>
      </c>
      <c r="FGJ3002" s="1" t="n">
        <v>0</v>
      </c>
      <c r="FGK3002" s="1" t="n">
        <v>0</v>
      </c>
      <c r="FGL3002" s="1" t="n">
        <v>0</v>
      </c>
      <c r="FGM3002" s="1" t="n">
        <v>0</v>
      </c>
      <c r="FGN3002" s="1" t="n">
        <v>0</v>
      </c>
      <c r="FGO3002" s="1" t="n">
        <v>0</v>
      </c>
      <c r="FGP3002" s="1" t="n">
        <v>0</v>
      </c>
      <c r="FGQ3002" s="1" t="n">
        <v>0</v>
      </c>
      <c r="FGR3002" s="1" t="n">
        <v>0</v>
      </c>
      <c r="FGS3002" s="1" t="n">
        <v>0</v>
      </c>
      <c r="FGT3002" s="1" t="n">
        <v>0</v>
      </c>
      <c r="FGU3002" s="1" t="n">
        <v>0</v>
      </c>
      <c r="FGV3002" s="1" t="n">
        <v>0</v>
      </c>
      <c r="FGW3002" s="1" t="n">
        <v>0</v>
      </c>
      <c r="FGX3002" s="1" t="n">
        <v>0</v>
      </c>
      <c r="FGY3002" s="1" t="n">
        <v>0</v>
      </c>
      <c r="FGZ3002" s="1" t="n">
        <v>0</v>
      </c>
      <c r="FHA3002" s="1" t="n">
        <v>0</v>
      </c>
      <c r="FHB3002" s="1" t="n">
        <v>0</v>
      </c>
      <c r="FHC3002" s="1" t="n">
        <v>0</v>
      </c>
      <c r="FHD3002" s="1" t="n">
        <v>0</v>
      </c>
      <c r="FHE3002" s="1" t="n">
        <v>0</v>
      </c>
      <c r="FHF3002" s="1" t="n">
        <v>0</v>
      </c>
      <c r="FHG3002" s="1" t="n">
        <v>0</v>
      </c>
      <c r="FHH3002" s="1" t="n">
        <v>0</v>
      </c>
      <c r="FHI3002" s="1" t="n">
        <v>0</v>
      </c>
      <c r="FHJ3002" s="1" t="n">
        <v>0</v>
      </c>
      <c r="FHK3002" s="1" t="n">
        <v>0</v>
      </c>
      <c r="FHL3002" s="1" t="n">
        <v>0</v>
      </c>
      <c r="FHM3002" s="1" t="n">
        <v>0</v>
      </c>
      <c r="FHN3002" s="1" t="n">
        <v>0</v>
      </c>
      <c r="FHO3002" s="1" t="n">
        <v>0</v>
      </c>
      <c r="FHP3002" s="1" t="n">
        <v>0</v>
      </c>
      <c r="FHQ3002" s="1" t="n">
        <v>0</v>
      </c>
      <c r="FHR3002" s="1" t="n">
        <v>0</v>
      </c>
      <c r="FHS3002" s="1" t="n">
        <v>0</v>
      </c>
      <c r="FHT3002" s="1" t="n">
        <v>0</v>
      </c>
      <c r="FHU3002" s="1" t="n">
        <v>0</v>
      </c>
      <c r="FHV3002" s="1" t="n">
        <v>0</v>
      </c>
      <c r="FHW3002" s="1" t="n">
        <v>0</v>
      </c>
      <c r="FHX3002" s="1" t="n">
        <v>0</v>
      </c>
      <c r="FHY3002" s="1" t="n">
        <v>0</v>
      </c>
      <c r="FHZ3002" s="1" t="n">
        <v>0</v>
      </c>
      <c r="FIA3002" s="1" t="n">
        <v>0</v>
      </c>
      <c r="FIB3002" s="1" t="n">
        <v>0</v>
      </c>
      <c r="FIC3002" s="1" t="n">
        <v>0</v>
      </c>
      <c r="FID3002" s="1" t="n">
        <v>0</v>
      </c>
      <c r="FIE3002" s="1" t="n">
        <v>0</v>
      </c>
      <c r="FIF3002" s="1" t="n">
        <v>0</v>
      </c>
      <c r="FIG3002" s="1" t="n">
        <v>0</v>
      </c>
      <c r="FIH3002" s="1" t="n">
        <v>0</v>
      </c>
      <c r="FII3002" s="1" t="n">
        <v>0</v>
      </c>
      <c r="FIJ3002" s="1" t="n">
        <v>0</v>
      </c>
      <c r="FIK3002" s="1" t="n">
        <v>0</v>
      </c>
      <c r="FIL3002" s="1" t="n">
        <v>0</v>
      </c>
      <c r="FIM3002" s="1" t="n">
        <v>0</v>
      </c>
      <c r="FIN3002" s="1" t="n">
        <v>0</v>
      </c>
      <c r="FIO3002" s="1" t="n">
        <v>0</v>
      </c>
      <c r="FIP3002" s="1" t="n">
        <v>0</v>
      </c>
      <c r="FIQ3002" s="1" t="n">
        <v>0</v>
      </c>
      <c r="FIR3002" s="1" t="n">
        <v>0</v>
      </c>
      <c r="FIS3002" s="1" t="n">
        <v>0</v>
      </c>
      <c r="FIT3002" s="1" t="n">
        <v>0</v>
      </c>
      <c r="FIU3002" s="1" t="n">
        <v>0</v>
      </c>
      <c r="FIV3002" s="1" t="n">
        <v>0</v>
      </c>
      <c r="FIW3002" s="1" t="n">
        <v>0</v>
      </c>
      <c r="FIX3002" s="1" t="n">
        <v>0</v>
      </c>
      <c r="FIY3002" s="1" t="n">
        <v>0</v>
      </c>
      <c r="FIZ3002" s="1" t="n">
        <v>0</v>
      </c>
      <c r="FJA3002" s="1" t="n">
        <v>0</v>
      </c>
      <c r="FJB3002" s="1" t="n">
        <v>0</v>
      </c>
      <c r="FJC3002" s="1" t="n">
        <v>0</v>
      </c>
      <c r="FJD3002" s="1" t="n">
        <v>0</v>
      </c>
      <c r="FJE3002" s="1" t="n">
        <v>0</v>
      </c>
      <c r="FJF3002" s="1" t="n">
        <v>0</v>
      </c>
      <c r="FJG3002" s="1" t="n">
        <v>0</v>
      </c>
      <c r="FJH3002" s="1" t="n">
        <v>0</v>
      </c>
      <c r="FJI3002" s="1" t="n">
        <v>0</v>
      </c>
      <c r="FJJ3002" s="1" t="n">
        <v>0</v>
      </c>
      <c r="FJK3002" s="1" t="n">
        <v>0</v>
      </c>
      <c r="FJL3002" s="1" t="n">
        <v>0</v>
      </c>
      <c r="FJM3002" s="1" t="n">
        <v>0</v>
      </c>
      <c r="FJN3002" s="1" t="n">
        <v>0</v>
      </c>
      <c r="FJO3002" s="1" t="n">
        <v>0</v>
      </c>
      <c r="FJP3002" s="1" t="n">
        <v>0</v>
      </c>
      <c r="FJQ3002" s="1" t="n">
        <v>0</v>
      </c>
      <c r="FJR3002" s="1" t="n">
        <v>0</v>
      </c>
      <c r="FJS3002" s="1" t="n">
        <v>0</v>
      </c>
      <c r="FJT3002" s="1" t="n">
        <v>0</v>
      </c>
      <c r="FJU3002" s="1" t="n">
        <v>0</v>
      </c>
      <c r="FJV3002" s="1" t="n">
        <v>0</v>
      </c>
      <c r="FJW3002" s="1" t="n">
        <v>0</v>
      </c>
      <c r="FJX3002" s="1" t="n">
        <v>0</v>
      </c>
      <c r="FJY3002" s="1" t="n">
        <v>0</v>
      </c>
      <c r="FJZ3002" s="1" t="n">
        <v>0</v>
      </c>
      <c r="FKA3002" s="1" t="n">
        <v>0</v>
      </c>
      <c r="FKB3002" s="1" t="n">
        <v>0</v>
      </c>
      <c r="FKC3002" s="1" t="n">
        <v>0</v>
      </c>
      <c r="FKD3002" s="1" t="n">
        <v>0</v>
      </c>
      <c r="FKE3002" s="1" t="n">
        <v>0</v>
      </c>
      <c r="FKF3002" s="1" t="n">
        <v>0</v>
      </c>
      <c r="FKG3002" s="1" t="n">
        <v>0</v>
      </c>
      <c r="FKH3002" s="1" t="n">
        <v>0</v>
      </c>
      <c r="FKI3002" s="1" t="n">
        <v>0</v>
      </c>
      <c r="FKJ3002" s="1" t="n">
        <v>0</v>
      </c>
      <c r="FKK3002" s="1" t="n">
        <v>0</v>
      </c>
      <c r="FKL3002" s="1" t="n">
        <v>0</v>
      </c>
      <c r="FKM3002" s="1" t="n">
        <v>0</v>
      </c>
      <c r="FKN3002" s="1" t="n">
        <v>0</v>
      </c>
      <c r="FKO3002" s="1" t="n">
        <v>0</v>
      </c>
      <c r="FKP3002" s="1" t="n">
        <v>0</v>
      </c>
      <c r="FKQ3002" s="1" t="n">
        <v>0</v>
      </c>
      <c r="FKR3002" s="1" t="n">
        <v>0</v>
      </c>
      <c r="FKS3002" s="1" t="n">
        <v>0</v>
      </c>
      <c r="FKT3002" s="1" t="n">
        <v>0</v>
      </c>
      <c r="FKU3002" s="1" t="n">
        <v>0</v>
      </c>
      <c r="FKV3002" s="1" t="n">
        <v>0</v>
      </c>
      <c r="FKW3002" s="1" t="n">
        <v>0</v>
      </c>
      <c r="FKX3002" s="1" t="n">
        <v>0</v>
      </c>
      <c r="FKY3002" s="1" t="n">
        <v>0</v>
      </c>
      <c r="FKZ3002" s="1" t="n">
        <v>0</v>
      </c>
      <c r="FLA3002" s="1" t="n">
        <v>0</v>
      </c>
      <c r="FLB3002" s="1" t="n">
        <v>0</v>
      </c>
      <c r="FLC3002" s="1" t="n">
        <v>0</v>
      </c>
      <c r="FLD3002" s="1" t="n">
        <v>0</v>
      </c>
      <c r="FLE3002" s="1" t="n">
        <v>0</v>
      </c>
      <c r="FLF3002" s="1" t="n">
        <v>0</v>
      </c>
      <c r="FLG3002" s="1" t="n">
        <v>0</v>
      </c>
      <c r="FLH3002" s="1" t="n">
        <v>0</v>
      </c>
      <c r="FLI3002" s="1" t="n">
        <v>0</v>
      </c>
      <c r="FLJ3002" s="1" t="n">
        <v>0</v>
      </c>
      <c r="FLK3002" s="1" t="n">
        <v>0</v>
      </c>
      <c r="FLL3002" s="1" t="n">
        <v>0</v>
      </c>
      <c r="FLM3002" s="1" t="n">
        <v>0</v>
      </c>
      <c r="FLN3002" s="1" t="n">
        <v>0</v>
      </c>
      <c r="FLO3002" s="1" t="n">
        <v>0</v>
      </c>
      <c r="FLP3002" s="1" t="n">
        <v>0</v>
      </c>
      <c r="FLQ3002" s="1" t="n">
        <v>0</v>
      </c>
      <c r="FLR3002" s="1" t="n">
        <v>0</v>
      </c>
      <c r="FLS3002" s="1" t="n">
        <v>0</v>
      </c>
      <c r="FLT3002" s="1" t="n">
        <v>0</v>
      </c>
      <c r="FLU3002" s="1" t="n">
        <v>0</v>
      </c>
      <c r="FLV3002" s="1" t="n">
        <v>0</v>
      </c>
      <c r="FLW3002" s="1" t="n">
        <v>0</v>
      </c>
      <c r="FLX3002" s="1" t="n">
        <v>0</v>
      </c>
      <c r="FLY3002" s="1" t="n">
        <v>0</v>
      </c>
      <c r="FLZ3002" s="1" t="n">
        <v>0</v>
      </c>
      <c r="FMA3002" s="1" t="n">
        <v>0</v>
      </c>
      <c r="FMB3002" s="1" t="n">
        <v>0</v>
      </c>
      <c r="FMC3002" s="1" t="n">
        <v>0</v>
      </c>
      <c r="FMD3002" s="1" t="n">
        <v>0</v>
      </c>
      <c r="FME3002" s="1" t="n">
        <v>0</v>
      </c>
      <c r="FMF3002" s="1" t="n">
        <v>0</v>
      </c>
      <c r="FMG3002" s="1" t="n">
        <v>0</v>
      </c>
      <c r="FMH3002" s="1" t="n">
        <v>0</v>
      </c>
      <c r="FMI3002" s="1" t="n">
        <v>0</v>
      </c>
      <c r="FMJ3002" s="1" t="n">
        <v>0</v>
      </c>
      <c r="FMK3002" s="1" t="n">
        <v>0</v>
      </c>
      <c r="FML3002" s="1" t="n">
        <v>0</v>
      </c>
      <c r="FMM3002" s="1" t="n">
        <v>0</v>
      </c>
      <c r="FMN3002" s="1" t="n">
        <v>0</v>
      </c>
      <c r="FMO3002" s="1" t="n">
        <v>0</v>
      </c>
      <c r="FMP3002" s="1" t="n">
        <v>0</v>
      </c>
      <c r="FMQ3002" s="1" t="n">
        <v>0</v>
      </c>
      <c r="FMR3002" s="1" t="n">
        <v>0</v>
      </c>
      <c r="FMS3002" s="1" t="n">
        <v>0</v>
      </c>
      <c r="FMT3002" s="1" t="n">
        <v>0</v>
      </c>
      <c r="FMU3002" s="1" t="n">
        <v>0</v>
      </c>
      <c r="FMV3002" s="1" t="n">
        <v>0</v>
      </c>
      <c r="FMW3002" s="1" t="n">
        <v>0</v>
      </c>
      <c r="FMX3002" s="1" t="n">
        <v>0</v>
      </c>
      <c r="FMY3002" s="1" t="n">
        <v>0</v>
      </c>
      <c r="FMZ3002" s="1" t="n">
        <v>0</v>
      </c>
      <c r="FNA3002" s="1" t="n">
        <v>0</v>
      </c>
      <c r="FNB3002" s="1" t="n">
        <v>0</v>
      </c>
      <c r="FNC3002" s="1" t="n">
        <v>0</v>
      </c>
      <c r="FND3002" s="1" t="n">
        <v>0</v>
      </c>
      <c r="FNE3002" s="1" t="n">
        <v>0</v>
      </c>
      <c r="FNF3002" s="1" t="n">
        <v>0</v>
      </c>
      <c r="FNG3002" s="1" t="n">
        <v>0</v>
      </c>
      <c r="FNH3002" s="1" t="n">
        <v>0</v>
      </c>
      <c r="FNI3002" s="1" t="n">
        <v>0</v>
      </c>
      <c r="FNJ3002" s="1" t="n">
        <v>0</v>
      </c>
      <c r="FNK3002" s="1" t="n">
        <v>0</v>
      </c>
      <c r="FNL3002" s="1" t="n">
        <v>0</v>
      </c>
      <c r="FNM3002" s="1" t="n">
        <v>0</v>
      </c>
      <c r="FNN3002" s="1" t="n">
        <v>0</v>
      </c>
      <c r="FNO3002" s="1" t="n">
        <v>0</v>
      </c>
      <c r="FNP3002" s="1" t="n">
        <v>0</v>
      </c>
      <c r="FNQ3002" s="1" t="n">
        <v>0</v>
      </c>
      <c r="FNR3002" s="1" t="n">
        <v>0</v>
      </c>
      <c r="FNS3002" s="1" t="n">
        <v>0</v>
      </c>
      <c r="FNT3002" s="1" t="n">
        <v>0</v>
      </c>
      <c r="FNU3002" s="1" t="n">
        <v>0</v>
      </c>
      <c r="FNV3002" s="1" t="n">
        <v>0</v>
      </c>
      <c r="FNW3002" s="1" t="n">
        <v>0</v>
      </c>
      <c r="FNX3002" s="1" t="n">
        <v>0</v>
      </c>
      <c r="FNY3002" s="1" t="n">
        <v>0</v>
      </c>
      <c r="FNZ3002" s="1" t="n">
        <v>0</v>
      </c>
      <c r="FOA3002" s="1" t="n">
        <v>0</v>
      </c>
      <c r="FOB3002" s="1" t="n">
        <v>0</v>
      </c>
      <c r="FOC3002" s="1" t="n">
        <v>0</v>
      </c>
      <c r="FOD3002" s="1" t="n">
        <v>0</v>
      </c>
      <c r="FOE3002" s="1" t="n">
        <v>0</v>
      </c>
      <c r="FOF3002" s="1" t="n">
        <v>0</v>
      </c>
      <c r="FOG3002" s="1" t="n">
        <v>0</v>
      </c>
      <c r="FOH3002" s="1" t="n">
        <v>0</v>
      </c>
      <c r="FOI3002" s="1" t="n">
        <v>0</v>
      </c>
      <c r="FOJ3002" s="1" t="n">
        <v>0</v>
      </c>
      <c r="FOK3002" s="1" t="n">
        <v>0</v>
      </c>
      <c r="FOL3002" s="1" t="n">
        <v>0</v>
      </c>
      <c r="FOM3002" s="1" t="n">
        <v>0</v>
      </c>
      <c r="FON3002" s="1" t="n">
        <v>0</v>
      </c>
      <c r="FOO3002" s="1" t="n">
        <v>0</v>
      </c>
      <c r="FOP3002" s="1" t="n">
        <v>0</v>
      </c>
      <c r="FOQ3002" s="1" t="n">
        <v>0</v>
      </c>
      <c r="FOR3002" s="1" t="n">
        <v>0</v>
      </c>
      <c r="FOS3002" s="1" t="n">
        <v>0</v>
      </c>
      <c r="FOT3002" s="1" t="n">
        <v>0</v>
      </c>
      <c r="FOU3002" s="1" t="n">
        <v>0</v>
      </c>
      <c r="FOV3002" s="1" t="n">
        <v>0</v>
      </c>
      <c r="FOW3002" s="1" t="n">
        <v>0</v>
      </c>
      <c r="FOX3002" s="1" t="n">
        <v>0</v>
      </c>
      <c r="FOY3002" s="1" t="n">
        <v>0</v>
      </c>
      <c r="FOZ3002" s="1" t="n">
        <v>0</v>
      </c>
      <c r="FPA3002" s="1" t="n">
        <v>0</v>
      </c>
      <c r="FPB3002" s="1" t="n">
        <v>0</v>
      </c>
      <c r="FPC3002" s="1" t="n">
        <v>0</v>
      </c>
      <c r="FPD3002" s="1" t="n">
        <v>0</v>
      </c>
      <c r="FPE3002" s="1" t="n">
        <v>0</v>
      </c>
      <c r="FPF3002" s="1" t="n">
        <v>0</v>
      </c>
      <c r="FPG3002" s="1" t="n">
        <v>0</v>
      </c>
      <c r="FPH3002" s="1" t="n">
        <v>0</v>
      </c>
      <c r="FPI3002" s="1" t="n">
        <v>0</v>
      </c>
      <c r="FPJ3002" s="1" t="n">
        <v>0</v>
      </c>
      <c r="FPK3002" s="1" t="n">
        <v>0</v>
      </c>
      <c r="FPL3002" s="1" t="n">
        <v>0</v>
      </c>
      <c r="FPM3002" s="1" t="n">
        <v>0</v>
      </c>
      <c r="FPN3002" s="1" t="n">
        <v>0</v>
      </c>
      <c r="FPO3002" s="1" t="n">
        <v>0</v>
      </c>
      <c r="FPP3002" s="1" t="n">
        <v>0</v>
      </c>
      <c r="FPQ3002" s="1" t="n">
        <v>0</v>
      </c>
      <c r="FPR3002" s="1" t="n">
        <v>0</v>
      </c>
      <c r="FPS3002" s="1" t="n">
        <v>0</v>
      </c>
      <c r="FPT3002" s="1" t="n">
        <v>0</v>
      </c>
      <c r="FPU3002" s="1" t="n">
        <v>0</v>
      </c>
      <c r="FPV3002" s="1" t="n">
        <v>0</v>
      </c>
      <c r="FPW3002" s="1" t="n">
        <v>0</v>
      </c>
      <c r="FPX3002" s="1" t="n">
        <v>0</v>
      </c>
      <c r="FPY3002" s="1" t="n">
        <v>0</v>
      </c>
      <c r="FPZ3002" s="1" t="n">
        <v>0</v>
      </c>
      <c r="FQA3002" s="1" t="n">
        <v>0</v>
      </c>
      <c r="FQB3002" s="1" t="n">
        <v>0</v>
      </c>
      <c r="FQC3002" s="1" t="n">
        <v>0</v>
      </c>
      <c r="FQD3002" s="1" t="n">
        <v>0</v>
      </c>
      <c r="FQE3002" s="1" t="n">
        <v>0</v>
      </c>
      <c r="FQF3002" s="1" t="n">
        <v>0</v>
      </c>
      <c r="FQG3002" s="1" t="n">
        <v>0</v>
      </c>
      <c r="FQH3002" s="1" t="n">
        <v>0</v>
      </c>
      <c r="FQI3002" s="1" t="n">
        <v>0</v>
      </c>
      <c r="FQJ3002" s="1" t="n">
        <v>0</v>
      </c>
      <c r="FQK3002" s="1" t="n">
        <v>0</v>
      </c>
      <c r="FQL3002" s="1" t="n">
        <v>0</v>
      </c>
      <c r="FQM3002" s="1" t="n">
        <v>0</v>
      </c>
      <c r="FQN3002" s="1" t="n">
        <v>0</v>
      </c>
      <c r="FQO3002" s="1" t="n">
        <v>0</v>
      </c>
      <c r="FQP3002" s="1" t="n">
        <v>0</v>
      </c>
      <c r="FQQ3002" s="1" t="n">
        <v>0</v>
      </c>
      <c r="FQR3002" s="1" t="n">
        <v>0</v>
      </c>
      <c r="FQS3002" s="1" t="n">
        <v>0</v>
      </c>
      <c r="FQT3002" s="1" t="n">
        <v>0</v>
      </c>
      <c r="FQU3002" s="1" t="n">
        <v>0</v>
      </c>
      <c r="FQV3002" s="1" t="n">
        <v>0</v>
      </c>
      <c r="FQW3002" s="1" t="n">
        <v>0</v>
      </c>
      <c r="FQX3002" s="1" t="n">
        <v>0</v>
      </c>
      <c r="FQY3002" s="1" t="n">
        <v>0</v>
      </c>
      <c r="FQZ3002" s="1" t="n">
        <v>0</v>
      </c>
      <c r="FRA3002" s="1" t="n">
        <v>0</v>
      </c>
      <c r="FRB3002" s="1" t="n">
        <v>0</v>
      </c>
      <c r="FRC3002" s="1" t="n">
        <v>0</v>
      </c>
      <c r="FRD3002" s="1" t="n">
        <v>0</v>
      </c>
      <c r="FRE3002" s="1" t="n">
        <v>0</v>
      </c>
      <c r="FRF3002" s="1" t="n">
        <v>0</v>
      </c>
      <c r="FRG3002" s="1" t="n">
        <v>0</v>
      </c>
      <c r="FRH3002" s="1" t="n">
        <v>0</v>
      </c>
      <c r="FRI3002" s="1" t="n">
        <v>0</v>
      </c>
      <c r="FRJ3002" s="1" t="n">
        <v>0</v>
      </c>
      <c r="FRK3002" s="1" t="n">
        <v>0</v>
      </c>
      <c r="FRL3002" s="1" t="n">
        <v>0</v>
      </c>
      <c r="FRM3002" s="1" t="n">
        <v>0</v>
      </c>
      <c r="FRN3002" s="1" t="n">
        <v>0</v>
      </c>
      <c r="FRO3002" s="1" t="n">
        <v>0</v>
      </c>
      <c r="FRP3002" s="1" t="n">
        <v>0</v>
      </c>
      <c r="FRQ3002" s="1" t="n">
        <v>0</v>
      </c>
      <c r="FRR3002" s="1" t="n">
        <v>0</v>
      </c>
      <c r="FRS3002" s="1" t="n">
        <v>0</v>
      </c>
      <c r="FRT3002" s="1" t="n">
        <v>0</v>
      </c>
      <c r="FRU3002" s="1" t="n">
        <v>0</v>
      </c>
      <c r="FRV3002" s="1" t="n">
        <v>0</v>
      </c>
      <c r="FRW3002" s="1" t="n">
        <v>0</v>
      </c>
      <c r="FRX3002" s="1" t="n">
        <v>0</v>
      </c>
      <c r="FRY3002" s="1" t="n">
        <v>0</v>
      </c>
      <c r="FRZ3002" s="1" t="n">
        <v>0</v>
      </c>
      <c r="FSA3002" s="1" t="n">
        <v>0</v>
      </c>
      <c r="FSB3002" s="1" t="n">
        <v>0</v>
      </c>
      <c r="FSC3002" s="1" t="n">
        <v>0</v>
      </c>
      <c r="FSD3002" s="1" t="n">
        <v>0</v>
      </c>
      <c r="FSE3002" s="1" t="n">
        <v>0</v>
      </c>
      <c r="FSF3002" s="1" t="n">
        <v>0</v>
      </c>
      <c r="FSG3002" s="1" t="n">
        <v>0</v>
      </c>
      <c r="FSH3002" s="1" t="n">
        <v>0</v>
      </c>
      <c r="FSI3002" s="1" t="n">
        <v>0</v>
      </c>
      <c r="FSJ3002" s="1" t="n">
        <v>0</v>
      </c>
      <c r="FSK3002" s="1" t="n">
        <v>0</v>
      </c>
      <c r="FSL3002" s="1" t="n">
        <v>0</v>
      </c>
      <c r="FSM3002" s="1" t="n">
        <v>0</v>
      </c>
      <c r="FSN3002" s="1" t="n">
        <v>0</v>
      </c>
      <c r="FSO3002" s="1" t="n">
        <v>0</v>
      </c>
      <c r="FSP3002" s="1" t="n">
        <v>0</v>
      </c>
      <c r="FSQ3002" s="1" t="n">
        <v>0</v>
      </c>
      <c r="FSR3002" s="1" t="n">
        <v>0</v>
      </c>
      <c r="FSS3002" s="1" t="n">
        <v>0</v>
      </c>
      <c r="FST3002" s="1" t="n">
        <v>0</v>
      </c>
      <c r="FSU3002" s="1" t="n">
        <v>0</v>
      </c>
      <c r="FSV3002" s="1" t="n">
        <v>0</v>
      </c>
      <c r="FSW3002" s="1" t="n">
        <v>0</v>
      </c>
      <c r="FSX3002" s="1" t="n">
        <v>0</v>
      </c>
      <c r="FSY3002" s="1" t="n">
        <v>0</v>
      </c>
      <c r="FSZ3002" s="1" t="n">
        <v>0</v>
      </c>
      <c r="FTA3002" s="1" t="n">
        <v>0</v>
      </c>
      <c r="FTB3002" s="1" t="n">
        <v>0</v>
      </c>
      <c r="FTC3002" s="1" t="n">
        <v>0</v>
      </c>
      <c r="FTD3002" s="1" t="n">
        <v>0</v>
      </c>
      <c r="FTE3002" s="1" t="n">
        <v>0</v>
      </c>
      <c r="FTF3002" s="1" t="n">
        <v>0</v>
      </c>
      <c r="FTG3002" s="1" t="n">
        <v>0</v>
      </c>
      <c r="FTH3002" s="1" t="n">
        <v>0</v>
      </c>
      <c r="FTI3002" s="1" t="n">
        <v>0</v>
      </c>
      <c r="FTJ3002" s="1" t="n">
        <v>0</v>
      </c>
      <c r="FTK3002" s="1" t="n">
        <v>0</v>
      </c>
      <c r="FTL3002" s="1" t="n">
        <v>0</v>
      </c>
      <c r="FTM3002" s="1" t="n">
        <v>0</v>
      </c>
      <c r="FTN3002" s="1" t="n">
        <v>0</v>
      </c>
      <c r="FTO3002" s="1" t="n">
        <v>0</v>
      </c>
      <c r="FTP3002" s="1" t="n">
        <v>0</v>
      </c>
      <c r="FTQ3002" s="1" t="n">
        <v>0</v>
      </c>
      <c r="FTR3002" s="1" t="n">
        <v>0</v>
      </c>
      <c r="FTS3002" s="1" t="n">
        <v>0</v>
      </c>
      <c r="FTT3002" s="1" t="n">
        <v>0</v>
      </c>
      <c r="FTU3002" s="1" t="n">
        <v>0</v>
      </c>
      <c r="FTV3002" s="1" t="n">
        <v>0</v>
      </c>
      <c r="FTW3002" s="1" t="n">
        <v>0</v>
      </c>
      <c r="FTX3002" s="1" t="n">
        <v>0</v>
      </c>
      <c r="FTY3002" s="1" t="n">
        <v>0</v>
      </c>
      <c r="FTZ3002" s="1" t="n">
        <v>0</v>
      </c>
      <c r="FUA3002" s="1" t="n">
        <v>0</v>
      </c>
      <c r="FUB3002" s="1" t="n">
        <v>0</v>
      </c>
      <c r="FUC3002" s="1" t="n">
        <v>0</v>
      </c>
      <c r="FUD3002" s="1" t="n">
        <v>0</v>
      </c>
      <c r="FUE3002" s="1" t="n">
        <v>0</v>
      </c>
      <c r="FUF3002" s="1" t="n">
        <v>0</v>
      </c>
      <c r="FUG3002" s="1" t="n">
        <v>0</v>
      </c>
      <c r="FUH3002" s="1" t="n">
        <v>0</v>
      </c>
      <c r="FUI3002" s="1" t="n">
        <v>0</v>
      </c>
      <c r="FUJ3002" s="1" t="n">
        <v>0</v>
      </c>
      <c r="FUK3002" s="1" t="n">
        <v>0</v>
      </c>
      <c r="FUL3002" s="1" t="n">
        <v>0</v>
      </c>
      <c r="FUM3002" s="1" t="n">
        <v>0</v>
      </c>
      <c r="FUN3002" s="1" t="n">
        <v>0</v>
      </c>
      <c r="FUO3002" s="1" t="n">
        <v>0</v>
      </c>
      <c r="FUP3002" s="1" t="n">
        <v>0</v>
      </c>
      <c r="FUQ3002" s="1" t="n">
        <v>0</v>
      </c>
      <c r="FUR3002" s="1" t="n">
        <v>0</v>
      </c>
      <c r="FUS3002" s="1" t="n">
        <v>0</v>
      </c>
      <c r="FUT3002" s="1" t="n">
        <v>0</v>
      </c>
      <c r="FUU3002" s="1" t="n">
        <v>0</v>
      </c>
      <c r="FUV3002" s="1" t="n">
        <v>0</v>
      </c>
      <c r="FUW3002" s="1" t="n">
        <v>0</v>
      </c>
      <c r="FUX3002" s="1" t="n">
        <v>0</v>
      </c>
      <c r="FUY3002" s="1" t="n">
        <v>0</v>
      </c>
      <c r="FUZ3002" s="1" t="n">
        <v>0</v>
      </c>
      <c r="FVA3002" s="1" t="n">
        <v>0</v>
      </c>
      <c r="FVB3002" s="1" t="n">
        <v>0</v>
      </c>
      <c r="FVC3002" s="1" t="n">
        <v>0</v>
      </c>
      <c r="FVD3002" s="1" t="n">
        <v>0</v>
      </c>
      <c r="FVE3002" s="1" t="n">
        <v>0</v>
      </c>
      <c r="FVF3002" s="1" t="n">
        <v>0</v>
      </c>
      <c r="FVG3002" s="1" t="n">
        <v>0</v>
      </c>
      <c r="FVH3002" s="1" t="n">
        <v>0</v>
      </c>
      <c r="FVI3002" s="1" t="n">
        <v>0</v>
      </c>
      <c r="FVJ3002" s="1" t="n">
        <v>0</v>
      </c>
      <c r="FVK3002" s="1" t="n">
        <v>0</v>
      </c>
      <c r="FVL3002" s="1" t="n">
        <v>0</v>
      </c>
      <c r="FVM3002" s="1" t="n">
        <v>0</v>
      </c>
      <c r="FVN3002" s="1" t="n">
        <v>0</v>
      </c>
      <c r="FVO3002" s="1" t="n">
        <v>0</v>
      </c>
      <c r="FVP3002" s="1" t="n">
        <v>0</v>
      </c>
      <c r="FVQ3002" s="1" t="n">
        <v>0</v>
      </c>
      <c r="FVR3002" s="1" t="n">
        <v>0</v>
      </c>
      <c r="FVS3002" s="1" t="n">
        <v>0</v>
      </c>
      <c r="FVT3002" s="1" t="n">
        <v>0</v>
      </c>
      <c r="FVU3002" s="1" t="n">
        <v>0</v>
      </c>
      <c r="FVV3002" s="1" t="n">
        <v>0</v>
      </c>
      <c r="FVW3002" s="1" t="n">
        <v>0</v>
      </c>
      <c r="FVX3002" s="1" t="n">
        <v>0</v>
      </c>
      <c r="FVY3002" s="1" t="n">
        <v>0</v>
      </c>
      <c r="FVZ3002" s="1" t="n">
        <v>0</v>
      </c>
      <c r="FWA3002" s="1" t="n">
        <v>0</v>
      </c>
      <c r="FWB3002" s="1" t="n">
        <v>0</v>
      </c>
      <c r="FWC3002" s="1" t="n">
        <v>0</v>
      </c>
      <c r="FWD3002" s="1" t="n">
        <v>0</v>
      </c>
      <c r="FWE3002" s="1" t="n">
        <v>0</v>
      </c>
      <c r="FWF3002" s="1" t="n">
        <v>0</v>
      </c>
      <c r="FWG3002" s="1" t="n">
        <v>0</v>
      </c>
      <c r="FWH3002" s="1" t="n">
        <v>0</v>
      </c>
      <c r="FWI3002" s="1" t="n">
        <v>0</v>
      </c>
      <c r="FWJ3002" s="1" t="n">
        <v>0</v>
      </c>
      <c r="FWK3002" s="1" t="n">
        <v>0</v>
      </c>
      <c r="FWL3002" s="1" t="n">
        <v>0</v>
      </c>
      <c r="FWM3002" s="1" t="n">
        <v>0</v>
      </c>
      <c r="FWN3002" s="1" t="n">
        <v>0</v>
      </c>
      <c r="FWO3002" s="1" t="n">
        <v>0</v>
      </c>
      <c r="FWP3002" s="1" t="n">
        <v>0</v>
      </c>
      <c r="FWQ3002" s="1" t="n">
        <v>0</v>
      </c>
      <c r="FWR3002" s="1" t="n">
        <v>0</v>
      </c>
      <c r="FWS3002" s="1" t="n">
        <v>0</v>
      </c>
      <c r="FWT3002" s="1" t="n">
        <v>0</v>
      </c>
      <c r="FWU3002" s="1" t="n">
        <v>0</v>
      </c>
      <c r="FWV3002" s="1" t="n">
        <v>0</v>
      </c>
      <c r="FWW3002" s="1" t="n">
        <v>0</v>
      </c>
      <c r="FWX3002" s="1" t="n">
        <v>0</v>
      </c>
      <c r="FWY3002" s="1" t="n">
        <v>0</v>
      </c>
      <c r="FWZ3002" s="1" t="n">
        <v>0</v>
      </c>
      <c r="FXA3002" s="1" t="n">
        <v>0</v>
      </c>
      <c r="FXB3002" s="1" t="n">
        <v>0</v>
      </c>
      <c r="FXC3002" s="1" t="n">
        <v>0</v>
      </c>
      <c r="FXD3002" s="1" t="n">
        <v>0</v>
      </c>
      <c r="FXE3002" s="1" t="n">
        <v>0</v>
      </c>
      <c r="FXF3002" s="1" t="n">
        <v>0</v>
      </c>
      <c r="FXG3002" s="1" t="n">
        <v>0</v>
      </c>
      <c r="FXH3002" s="1" t="n">
        <v>0</v>
      </c>
      <c r="FXI3002" s="1" t="n">
        <v>0</v>
      </c>
      <c r="FXJ3002" s="1" t="n">
        <v>0</v>
      </c>
      <c r="FXK3002" s="1" t="n">
        <v>0</v>
      </c>
      <c r="FXL3002" s="1" t="n">
        <v>0</v>
      </c>
      <c r="FXM3002" s="1" t="n">
        <v>0</v>
      </c>
      <c r="FXN3002" s="1" t="n">
        <v>0</v>
      </c>
      <c r="FXO3002" s="1" t="n">
        <v>0</v>
      </c>
      <c r="FXP3002" s="1" t="n">
        <v>0</v>
      </c>
      <c r="FXQ3002" s="1" t="n">
        <v>0</v>
      </c>
      <c r="FXR3002" s="1" t="n">
        <v>0</v>
      </c>
      <c r="FXS3002" s="1" t="n">
        <v>0</v>
      </c>
      <c r="FXT3002" s="1" t="n">
        <v>0</v>
      </c>
      <c r="FXU3002" s="1" t="n">
        <v>0</v>
      </c>
      <c r="FXV3002" s="1" t="n">
        <v>0</v>
      </c>
      <c r="FXW3002" s="1" t="n">
        <v>0</v>
      </c>
      <c r="FXX3002" s="1" t="n">
        <v>0</v>
      </c>
      <c r="FXY3002" s="1" t="n">
        <v>0</v>
      </c>
      <c r="FXZ3002" s="1" t="n">
        <v>0</v>
      </c>
      <c r="FYA3002" s="1" t="n">
        <v>0</v>
      </c>
      <c r="FYB3002" s="1" t="n">
        <v>0</v>
      </c>
      <c r="FYC3002" s="1" t="n">
        <v>0</v>
      </c>
      <c r="FYD3002" s="1" t="n">
        <v>0</v>
      </c>
      <c r="FYE3002" s="1" t="n">
        <v>0</v>
      </c>
      <c r="FYF3002" s="1" t="n">
        <v>0</v>
      </c>
      <c r="FYG3002" s="1" t="n">
        <v>0</v>
      </c>
      <c r="FYH3002" s="1" t="n">
        <v>0</v>
      </c>
      <c r="FYI3002" s="1" t="n">
        <v>0</v>
      </c>
      <c r="FYJ3002" s="1" t="n">
        <v>0</v>
      </c>
      <c r="FYK3002" s="1" t="n">
        <v>0</v>
      </c>
      <c r="FYL3002" s="1" t="n">
        <v>0</v>
      </c>
      <c r="FYM3002" s="1" t="n">
        <v>0</v>
      </c>
      <c r="FYN3002" s="1" t="n">
        <v>0</v>
      </c>
      <c r="FYO3002" s="1" t="n">
        <v>0</v>
      </c>
      <c r="FYP3002" s="1" t="n">
        <v>0</v>
      </c>
      <c r="FYQ3002" s="1" t="n">
        <v>0</v>
      </c>
      <c r="FYR3002" s="1" t="n">
        <v>0</v>
      </c>
      <c r="FYS3002" s="1" t="n">
        <v>0</v>
      </c>
      <c r="FYT3002" s="1" t="n">
        <v>0</v>
      </c>
      <c r="FYU3002" s="1" t="n">
        <v>0</v>
      </c>
      <c r="FYV3002" s="1" t="n">
        <v>0</v>
      </c>
      <c r="FYW3002" s="1" t="n">
        <v>0</v>
      </c>
      <c r="FYX3002" s="1" t="n">
        <v>0</v>
      </c>
      <c r="FYY3002" s="1" t="n">
        <v>0</v>
      </c>
      <c r="FYZ3002" s="1" t="n">
        <v>0</v>
      </c>
      <c r="FZA3002" s="1" t="n">
        <v>0</v>
      </c>
      <c r="FZB3002" s="1" t="n">
        <v>0</v>
      </c>
      <c r="FZC3002" s="1" t="n">
        <v>0</v>
      </c>
      <c r="FZD3002" s="1" t="n">
        <v>0</v>
      </c>
      <c r="FZE3002" s="1" t="n">
        <v>0</v>
      </c>
      <c r="FZF3002" s="1" t="n">
        <v>0</v>
      </c>
      <c r="FZG3002" s="1" t="n">
        <v>0</v>
      </c>
      <c r="FZH3002" s="1" t="n">
        <v>0</v>
      </c>
      <c r="FZI3002" s="1" t="n">
        <v>0</v>
      </c>
      <c r="FZJ3002" s="1" t="n">
        <v>0</v>
      </c>
      <c r="FZK3002" s="1" t="n">
        <v>0</v>
      </c>
      <c r="FZL3002" s="1" t="n">
        <v>0</v>
      </c>
      <c r="FZM3002" s="1" t="n">
        <v>0</v>
      </c>
      <c r="FZN3002" s="1" t="n">
        <v>0</v>
      </c>
      <c r="FZO3002" s="1" t="n">
        <v>0</v>
      </c>
      <c r="FZP3002" s="1" t="n">
        <v>0</v>
      </c>
      <c r="FZQ3002" s="1" t="n">
        <v>0</v>
      </c>
      <c r="FZR3002" s="1" t="n">
        <v>0</v>
      </c>
      <c r="FZS3002" s="1" t="n">
        <v>0</v>
      </c>
      <c r="FZT3002" s="1" t="n">
        <v>0</v>
      </c>
      <c r="FZU3002" s="1" t="n">
        <v>0</v>
      </c>
      <c r="FZV3002" s="1" t="n">
        <v>0</v>
      </c>
      <c r="FZW3002" s="1" t="n">
        <v>0</v>
      </c>
      <c r="FZX3002" s="1" t="n">
        <v>0</v>
      </c>
      <c r="FZY3002" s="1" t="n">
        <v>0</v>
      </c>
      <c r="FZZ3002" s="1" t="n">
        <v>0</v>
      </c>
      <c r="GAA3002" s="1" t="n">
        <v>0</v>
      </c>
      <c r="GAB3002" s="1" t="n">
        <v>0</v>
      </c>
      <c r="GAC3002" s="1" t="n">
        <v>0</v>
      </c>
      <c r="GAD3002" s="1" t="n">
        <v>0</v>
      </c>
      <c r="GAE3002" s="1" t="n">
        <v>0</v>
      </c>
      <c r="GAF3002" s="1" t="n">
        <v>0</v>
      </c>
      <c r="GAG3002" s="1" t="n">
        <v>0</v>
      </c>
      <c r="GAH3002" s="1" t="n">
        <v>0</v>
      </c>
      <c r="GAI3002" s="1" t="n">
        <v>0</v>
      </c>
      <c r="GAJ3002" s="1" t="n">
        <v>0</v>
      </c>
      <c r="GAK3002" s="1" t="n">
        <v>0</v>
      </c>
      <c r="GAL3002" s="1" t="n">
        <v>0</v>
      </c>
      <c r="GAM3002" s="1" t="n">
        <v>0</v>
      </c>
      <c r="GAN3002" s="1" t="n">
        <v>0</v>
      </c>
      <c r="GAO3002" s="1" t="n">
        <v>0</v>
      </c>
      <c r="GAP3002" s="1" t="n">
        <v>0</v>
      </c>
      <c r="GAQ3002" s="1" t="n">
        <v>0</v>
      </c>
      <c r="GAR3002" s="1" t="n">
        <v>0</v>
      </c>
      <c r="GAS3002" s="1" t="n">
        <v>0</v>
      </c>
      <c r="GAT3002" s="1" t="n">
        <v>0</v>
      </c>
      <c r="GAU3002" s="1" t="n">
        <v>0</v>
      </c>
      <c r="GAV3002" s="1" t="n">
        <v>0</v>
      </c>
      <c r="GAW3002" s="1" t="n">
        <v>0</v>
      </c>
      <c r="GAX3002" s="1" t="n">
        <v>0</v>
      </c>
      <c r="GAY3002" s="1" t="n">
        <v>0</v>
      </c>
      <c r="GAZ3002" s="1" t="n">
        <v>0</v>
      </c>
      <c r="GBA3002" s="1" t="n">
        <v>0</v>
      </c>
      <c r="GBB3002" s="1" t="n">
        <v>0</v>
      </c>
      <c r="GBC3002" s="1" t="n">
        <v>0</v>
      </c>
      <c r="GBD3002" s="1" t="n">
        <v>0</v>
      </c>
      <c r="GBE3002" s="1" t="n">
        <v>0</v>
      </c>
      <c r="GBF3002" s="1" t="n">
        <v>0</v>
      </c>
      <c r="GBG3002" s="1" t="n">
        <v>0</v>
      </c>
      <c r="GBH3002" s="1" t="n">
        <v>0</v>
      </c>
      <c r="GBI3002" s="1" t="n">
        <v>0</v>
      </c>
      <c r="GBJ3002" s="1" t="n">
        <v>0</v>
      </c>
      <c r="GBK3002" s="1" t="n">
        <v>0</v>
      </c>
      <c r="GBL3002" s="1" t="n">
        <v>0</v>
      </c>
      <c r="GBM3002" s="1" t="n">
        <v>0</v>
      </c>
      <c r="GBN3002" s="1" t="n">
        <v>0</v>
      </c>
      <c r="GBO3002" s="1" t="n">
        <v>0</v>
      </c>
      <c r="GBP3002" s="1" t="n">
        <v>0</v>
      </c>
      <c r="GBQ3002" s="1" t="n">
        <v>0</v>
      </c>
      <c r="GBR3002" s="1" t="n">
        <v>0</v>
      </c>
      <c r="GBS3002" s="1" t="n">
        <v>0</v>
      </c>
      <c r="GBT3002" s="1" t="n">
        <v>0</v>
      </c>
      <c r="GBU3002" s="1" t="n">
        <v>0</v>
      </c>
      <c r="GBV3002" s="1" t="n">
        <v>0</v>
      </c>
      <c r="GBW3002" s="1" t="n">
        <v>0</v>
      </c>
      <c r="GBX3002" s="1" t="n">
        <v>0</v>
      </c>
      <c r="GBY3002" s="1" t="n">
        <v>0</v>
      </c>
      <c r="GBZ3002" s="1" t="n">
        <v>0</v>
      </c>
      <c r="GCA3002" s="1" t="n">
        <v>0</v>
      </c>
      <c r="GCB3002" s="1" t="n">
        <v>0</v>
      </c>
      <c r="GCC3002" s="1" t="n">
        <v>0</v>
      </c>
      <c r="GCD3002" s="1" t="n">
        <v>0</v>
      </c>
      <c r="GCE3002" s="1" t="n">
        <v>0</v>
      </c>
      <c r="GCF3002" s="1" t="n">
        <v>0</v>
      </c>
      <c r="GCG3002" s="1" t="n">
        <v>0</v>
      </c>
      <c r="GCH3002" s="1" t="n">
        <v>0</v>
      </c>
      <c r="GCI3002" s="1" t="n">
        <v>0</v>
      </c>
      <c r="GCJ3002" s="1" t="n">
        <v>0</v>
      </c>
      <c r="GCK3002" s="1" t="n">
        <v>0</v>
      </c>
      <c r="GCL3002" s="1" t="n">
        <v>0</v>
      </c>
      <c r="GCM3002" s="1" t="n">
        <v>0</v>
      </c>
      <c r="GCN3002" s="1" t="n">
        <v>0</v>
      </c>
      <c r="GCO3002" s="1" t="n">
        <v>0</v>
      </c>
      <c r="GCP3002" s="1" t="n">
        <v>0</v>
      </c>
      <c r="GCQ3002" s="1" t="n">
        <v>0</v>
      </c>
      <c r="GCR3002" s="1" t="n">
        <v>0</v>
      </c>
      <c r="GCS3002" s="1" t="n">
        <v>0</v>
      </c>
      <c r="GCT3002" s="1" t="n">
        <v>0</v>
      </c>
      <c r="GCU3002" s="1" t="n">
        <v>0</v>
      </c>
      <c r="GCV3002" s="1" t="n">
        <v>0</v>
      </c>
      <c r="GCW3002" s="1" t="n">
        <v>0</v>
      </c>
      <c r="GCX3002" s="1" t="n">
        <v>0</v>
      </c>
      <c r="GCY3002" s="1" t="n">
        <v>0</v>
      </c>
      <c r="GCZ3002" s="1" t="n">
        <v>0</v>
      </c>
      <c r="GDA3002" s="1" t="n">
        <v>0</v>
      </c>
      <c r="GDB3002" s="1" t="n">
        <v>0</v>
      </c>
      <c r="GDC3002" s="1" t="n">
        <v>0</v>
      </c>
      <c r="GDD3002" s="1" t="n">
        <v>0</v>
      </c>
      <c r="GDE3002" s="1" t="n">
        <v>0</v>
      </c>
      <c r="GDF3002" s="1" t="n">
        <v>0</v>
      </c>
      <c r="GDG3002" s="1" t="n">
        <v>0</v>
      </c>
      <c r="GDH3002" s="1" t="n">
        <v>0</v>
      </c>
      <c r="GDI3002" s="1" t="n">
        <v>0</v>
      </c>
      <c r="GDJ3002" s="1" t="n">
        <v>0</v>
      </c>
      <c r="GDK3002" s="1" t="n">
        <v>0</v>
      </c>
      <c r="GDL3002" s="1" t="n">
        <v>0</v>
      </c>
      <c r="GDM3002" s="1" t="n">
        <v>0</v>
      </c>
      <c r="GDN3002" s="1" t="n">
        <v>0</v>
      </c>
      <c r="GDO3002" s="1" t="n">
        <v>0</v>
      </c>
      <c r="GDP3002" s="1" t="n">
        <v>0</v>
      </c>
      <c r="GDQ3002" s="1" t="n">
        <v>0</v>
      </c>
      <c r="GDR3002" s="1" t="n">
        <v>0</v>
      </c>
      <c r="GDS3002" s="1" t="n">
        <v>0</v>
      </c>
      <c r="GDT3002" s="1" t="n">
        <v>0</v>
      </c>
      <c r="GDU3002" s="1" t="n">
        <v>0</v>
      </c>
      <c r="GDV3002" s="1" t="n">
        <v>0</v>
      </c>
      <c r="GDW3002" s="1" t="n">
        <v>0</v>
      </c>
      <c r="GDX3002" s="1" t="n">
        <v>0</v>
      </c>
      <c r="GDY3002" s="1" t="n">
        <v>0</v>
      </c>
      <c r="GDZ3002" s="1" t="n">
        <v>0</v>
      </c>
      <c r="GEA3002" s="1" t="n">
        <v>0</v>
      </c>
      <c r="GEB3002" s="1" t="n">
        <v>0</v>
      </c>
      <c r="GEC3002" s="1" t="n">
        <v>0</v>
      </c>
      <c r="GED3002" s="1" t="n">
        <v>0</v>
      </c>
      <c r="GEE3002" s="1" t="n">
        <v>0</v>
      </c>
      <c r="GEF3002" s="1" t="n">
        <v>0</v>
      </c>
      <c r="GEG3002" s="1" t="n">
        <v>0</v>
      </c>
      <c r="GEH3002" s="1" t="n">
        <v>0</v>
      </c>
      <c r="GEI3002" s="1" t="n">
        <v>0</v>
      </c>
      <c r="GEJ3002" s="1" t="n">
        <v>0</v>
      </c>
      <c r="GEK3002" s="1" t="n">
        <v>0</v>
      </c>
      <c r="GEL3002" s="1" t="n">
        <v>0</v>
      </c>
      <c r="GEM3002" s="1" t="n">
        <v>0</v>
      </c>
      <c r="GEN3002" s="1" t="n">
        <v>0</v>
      </c>
      <c r="GEO3002" s="1" t="n">
        <v>0</v>
      </c>
      <c r="GEP3002" s="1" t="n">
        <v>0</v>
      </c>
      <c r="GEQ3002" s="1" t="n">
        <v>0</v>
      </c>
      <c r="GER3002" s="1" t="n">
        <v>0</v>
      </c>
      <c r="GES3002" s="1" t="n">
        <v>0</v>
      </c>
      <c r="GET3002" s="1" t="n">
        <v>0</v>
      </c>
      <c r="GEU3002" s="1" t="n">
        <v>0</v>
      </c>
      <c r="GEV3002" s="1" t="n">
        <v>0</v>
      </c>
      <c r="GEW3002" s="1" t="n">
        <v>0</v>
      </c>
      <c r="GEX3002" s="1" t="n">
        <v>0</v>
      </c>
      <c r="GEY3002" s="1" t="n">
        <v>0</v>
      </c>
      <c r="GEZ3002" s="1" t="n">
        <v>0</v>
      </c>
      <c r="GFA3002" s="1" t="n">
        <v>0</v>
      </c>
      <c r="GFB3002" s="1" t="n">
        <v>0</v>
      </c>
      <c r="GFC3002" s="1" t="n">
        <v>0</v>
      </c>
      <c r="GFD3002" s="1" t="n">
        <v>0</v>
      </c>
      <c r="GFE3002" s="1" t="n">
        <v>0</v>
      </c>
      <c r="GFF3002" s="1" t="n">
        <v>0</v>
      </c>
      <c r="GFG3002" s="1" t="n">
        <v>0</v>
      </c>
      <c r="GFH3002" s="1" t="n">
        <v>0</v>
      </c>
      <c r="GFI3002" s="1" t="n">
        <v>0</v>
      </c>
      <c r="GFJ3002" s="1" t="n">
        <v>0</v>
      </c>
      <c r="GFK3002" s="1" t="n">
        <v>0</v>
      </c>
      <c r="GFL3002" s="1" t="n">
        <v>0</v>
      </c>
      <c r="GFM3002" s="1" t="n">
        <v>0</v>
      </c>
      <c r="GFN3002" s="1" t="n">
        <v>0</v>
      </c>
      <c r="GFO3002" s="1" t="n">
        <v>0</v>
      </c>
      <c r="GFP3002" s="1" t="n">
        <v>0</v>
      </c>
      <c r="GFQ3002" s="1" t="n">
        <v>0</v>
      </c>
      <c r="GFR3002" s="1" t="n">
        <v>0</v>
      </c>
      <c r="GFS3002" s="1" t="n">
        <v>0</v>
      </c>
      <c r="GFT3002" s="1" t="n">
        <v>0</v>
      </c>
      <c r="GFU3002" s="1" t="n">
        <v>0</v>
      </c>
      <c r="GFV3002" s="1" t="n">
        <v>0</v>
      </c>
      <c r="GFW3002" s="1" t="n">
        <v>0</v>
      </c>
      <c r="GFX3002" s="1" t="n">
        <v>0</v>
      </c>
      <c r="GFY3002" s="1" t="n">
        <v>0</v>
      </c>
      <c r="GFZ3002" s="1" t="n">
        <v>0</v>
      </c>
      <c r="GGA3002" s="1" t="n">
        <v>0</v>
      </c>
      <c r="GGB3002" s="1" t="n">
        <v>0</v>
      </c>
      <c r="GGC3002" s="1" t="n">
        <v>0</v>
      </c>
      <c r="GGD3002" s="1" t="n">
        <v>0</v>
      </c>
      <c r="GGE3002" s="1" t="n">
        <v>0</v>
      </c>
      <c r="GGF3002" s="1" t="n">
        <v>0</v>
      </c>
      <c r="GGG3002" s="1" t="n">
        <v>0</v>
      </c>
      <c r="GGH3002" s="1" t="n">
        <v>0</v>
      </c>
      <c r="GGI3002" s="1" t="n">
        <v>0</v>
      </c>
      <c r="GGJ3002" s="1" t="n">
        <v>0</v>
      </c>
      <c r="GGK3002" s="1" t="n">
        <v>0</v>
      </c>
      <c r="GGL3002" s="1" t="n">
        <v>0</v>
      </c>
      <c r="GGM3002" s="1" t="n">
        <v>0</v>
      </c>
      <c r="GGN3002" s="1" t="n">
        <v>0</v>
      </c>
      <c r="GGO3002" s="1" t="n">
        <v>0</v>
      </c>
      <c r="GGP3002" s="1" t="n">
        <v>0</v>
      </c>
      <c r="GGQ3002" s="1" t="n">
        <v>0</v>
      </c>
      <c r="GGR3002" s="1" t="n">
        <v>0</v>
      </c>
      <c r="GGS3002" s="1" t="n">
        <v>0</v>
      </c>
      <c r="GGT3002" s="1" t="n">
        <v>0</v>
      </c>
      <c r="GGU3002" s="1" t="n">
        <v>0</v>
      </c>
      <c r="GGV3002" s="1" t="n">
        <v>0</v>
      </c>
      <c r="GGW3002" s="1" t="n">
        <v>0</v>
      </c>
      <c r="GGX3002" s="1" t="n">
        <v>0</v>
      </c>
      <c r="GGY3002" s="1" t="n">
        <v>0</v>
      </c>
      <c r="GGZ3002" s="1" t="n">
        <v>0</v>
      </c>
      <c r="GHA3002" s="1" t="n">
        <v>0</v>
      </c>
      <c r="GHB3002" s="1" t="n">
        <v>0</v>
      </c>
      <c r="GHC3002" s="1" t="n">
        <v>0</v>
      </c>
      <c r="GHD3002" s="1" t="n">
        <v>0</v>
      </c>
      <c r="GHE3002" s="1" t="n">
        <v>0</v>
      </c>
      <c r="GHF3002" s="1" t="n">
        <v>0</v>
      </c>
      <c r="GHG3002" s="1" t="n">
        <v>0</v>
      </c>
      <c r="GHH3002" s="1" t="n">
        <v>0</v>
      </c>
      <c r="GHI3002" s="1" t="n">
        <v>0</v>
      </c>
      <c r="GHJ3002" s="1" t="n">
        <v>0</v>
      </c>
      <c r="GHK3002" s="1" t="n">
        <v>0</v>
      </c>
      <c r="GHL3002" s="1" t="n">
        <v>0</v>
      </c>
      <c r="GHM3002" s="1" t="n">
        <v>0</v>
      </c>
      <c r="GHN3002" s="1" t="n">
        <v>0</v>
      </c>
      <c r="GHO3002" s="1" t="n">
        <v>0</v>
      </c>
      <c r="GHP3002" s="1" t="n">
        <v>0</v>
      </c>
      <c r="GHQ3002" s="1" t="n">
        <v>0</v>
      </c>
      <c r="GHR3002" s="1" t="n">
        <v>0</v>
      </c>
      <c r="GHS3002" s="1" t="n">
        <v>0</v>
      </c>
      <c r="GHT3002" s="1" t="n">
        <v>0</v>
      </c>
      <c r="GHU3002" s="1" t="n">
        <v>0</v>
      </c>
      <c r="GHV3002" s="1" t="n">
        <v>0</v>
      </c>
      <c r="GHW3002" s="1" t="n">
        <v>0</v>
      </c>
      <c r="GHX3002" s="1" t="n">
        <v>0</v>
      </c>
      <c r="GHY3002" s="1" t="n">
        <v>0</v>
      </c>
      <c r="GHZ3002" s="1" t="n">
        <v>0</v>
      </c>
      <c r="GIA3002" s="1" t="n">
        <v>0</v>
      </c>
      <c r="GIB3002" s="1" t="n">
        <v>0</v>
      </c>
      <c r="GIC3002" s="1" t="n">
        <v>0</v>
      </c>
      <c r="GID3002" s="1" t="n">
        <v>0</v>
      </c>
      <c r="GIE3002" s="1" t="n">
        <v>0</v>
      </c>
      <c r="GIF3002" s="1" t="n">
        <v>0</v>
      </c>
      <c r="GIG3002" s="1" t="n">
        <v>0</v>
      </c>
      <c r="GIH3002" s="1" t="n">
        <v>0</v>
      </c>
      <c r="GII3002" s="1" t="n">
        <v>0</v>
      </c>
      <c r="GIJ3002" s="1" t="n">
        <v>0</v>
      </c>
      <c r="GIK3002" s="1" t="n">
        <v>0</v>
      </c>
      <c r="GIL3002" s="1" t="n">
        <v>0</v>
      </c>
      <c r="GIM3002" s="1" t="n">
        <v>0</v>
      </c>
      <c r="GIN3002" s="1" t="n">
        <v>0</v>
      </c>
      <c r="GIO3002" s="1" t="n">
        <v>0</v>
      </c>
      <c r="GIP3002" s="1" t="n">
        <v>0</v>
      </c>
      <c r="GIQ3002" s="1" t="n">
        <v>0</v>
      </c>
      <c r="GIR3002" s="1" t="n">
        <v>0</v>
      </c>
      <c r="GIS3002" s="1" t="n">
        <v>0</v>
      </c>
      <c r="GIT3002" s="1" t="n">
        <v>0</v>
      </c>
      <c r="GIU3002" s="1" t="n">
        <v>0</v>
      </c>
      <c r="GIV3002" s="1" t="n">
        <v>0</v>
      </c>
      <c r="GIW3002" s="1" t="n">
        <v>0</v>
      </c>
      <c r="GIX3002" s="1" t="n">
        <v>0</v>
      </c>
      <c r="GIY3002" s="1" t="n">
        <v>0</v>
      </c>
      <c r="GIZ3002" s="1" t="n">
        <v>0</v>
      </c>
      <c r="GJA3002" s="1" t="n">
        <v>0</v>
      </c>
      <c r="GJB3002" s="1" t="n">
        <v>0</v>
      </c>
      <c r="GJC3002" s="1" t="n">
        <v>0</v>
      </c>
      <c r="GJD3002" s="1" t="n">
        <v>0</v>
      </c>
      <c r="GJE3002" s="1" t="n">
        <v>0</v>
      </c>
      <c r="GJF3002" s="1" t="n">
        <v>0</v>
      </c>
      <c r="GJG3002" s="1" t="n">
        <v>0</v>
      </c>
      <c r="GJH3002" s="1" t="n">
        <v>0</v>
      </c>
      <c r="GJI3002" s="1" t="n">
        <v>0</v>
      </c>
      <c r="GJJ3002" s="1" t="n">
        <v>0</v>
      </c>
      <c r="GJK3002" s="1" t="n">
        <v>0</v>
      </c>
      <c r="GJL3002" s="1" t="n">
        <v>0</v>
      </c>
      <c r="GJM3002" s="1" t="n">
        <v>0</v>
      </c>
      <c r="GJN3002" s="1" t="n">
        <v>0</v>
      </c>
      <c r="GJO3002" s="1" t="n">
        <v>0</v>
      </c>
      <c r="GJP3002" s="1" t="n">
        <v>0</v>
      </c>
      <c r="GJQ3002" s="1" t="n">
        <v>0</v>
      </c>
      <c r="GJR3002" s="1" t="n">
        <v>0</v>
      </c>
      <c r="GJS3002" s="1" t="n">
        <v>0</v>
      </c>
      <c r="GJT3002" s="1" t="n">
        <v>0</v>
      </c>
      <c r="GJU3002" s="1" t="n">
        <v>0</v>
      </c>
      <c r="GJV3002" s="1" t="n">
        <v>0</v>
      </c>
      <c r="GJW3002" s="1" t="n">
        <v>0</v>
      </c>
      <c r="GJX3002" s="1" t="n">
        <v>0</v>
      </c>
      <c r="GJY3002" s="1" t="n">
        <v>0</v>
      </c>
      <c r="GJZ3002" s="1" t="n">
        <v>0</v>
      </c>
      <c r="GKA3002" s="1" t="n">
        <v>0</v>
      </c>
      <c r="GKB3002" s="1" t="n">
        <v>0</v>
      </c>
      <c r="GKC3002" s="1" t="n">
        <v>0</v>
      </c>
      <c r="GKD3002" s="1" t="n">
        <v>0</v>
      </c>
      <c r="GKE3002" s="1" t="n">
        <v>0</v>
      </c>
      <c r="GKF3002" s="1" t="n">
        <v>0</v>
      </c>
      <c r="GKG3002" s="1" t="n">
        <v>0</v>
      </c>
      <c r="GKH3002" s="1" t="n">
        <v>0</v>
      </c>
      <c r="GKI3002" s="1" t="n">
        <v>0</v>
      </c>
      <c r="GKJ3002" s="1" t="n">
        <v>0</v>
      </c>
      <c r="GKK3002" s="1" t="n">
        <v>0</v>
      </c>
      <c r="GKL3002" s="1" t="n">
        <v>0</v>
      </c>
      <c r="GKM3002" s="1" t="n">
        <v>0</v>
      </c>
      <c r="GKN3002" s="1" t="n">
        <v>0</v>
      </c>
      <c r="GKO3002" s="1" t="n">
        <v>0</v>
      </c>
      <c r="GKP3002" s="1" t="n">
        <v>0</v>
      </c>
      <c r="GKQ3002" s="1" t="n">
        <v>0</v>
      </c>
      <c r="GKR3002" s="1" t="n">
        <v>0</v>
      </c>
      <c r="GKS3002" s="1" t="n">
        <v>0</v>
      </c>
      <c r="GKT3002" s="1" t="n">
        <v>0</v>
      </c>
      <c r="GKU3002" s="1" t="n">
        <v>0</v>
      </c>
      <c r="GKV3002" s="1" t="n">
        <v>0</v>
      </c>
      <c r="GKW3002" s="1" t="n">
        <v>0</v>
      </c>
      <c r="GKX3002" s="1" t="n">
        <v>0</v>
      </c>
      <c r="GKY3002" s="1" t="n">
        <v>0</v>
      </c>
      <c r="GKZ3002" s="1" t="n">
        <v>0</v>
      </c>
      <c r="GLA3002" s="1" t="n">
        <v>0</v>
      </c>
      <c r="GLB3002" s="1" t="n">
        <v>0</v>
      </c>
      <c r="GLC3002" s="1" t="n">
        <v>0</v>
      </c>
      <c r="GLD3002" s="1" t="n">
        <v>0</v>
      </c>
      <c r="GLE3002" s="1" t="n">
        <v>0</v>
      </c>
      <c r="GLF3002" s="1" t="n">
        <v>0</v>
      </c>
      <c r="GLG3002" s="1" t="n">
        <v>0</v>
      </c>
      <c r="GLH3002" s="1" t="n">
        <v>0</v>
      </c>
      <c r="GLI3002" s="1" t="n">
        <v>0</v>
      </c>
      <c r="GLJ3002" s="1" t="n">
        <v>0</v>
      </c>
      <c r="GLK3002" s="1" t="n">
        <v>0</v>
      </c>
      <c r="GLL3002" s="1" t="n">
        <v>0</v>
      </c>
      <c r="GLM3002" s="1" t="n">
        <v>0</v>
      </c>
      <c r="GLN3002" s="1" t="n">
        <v>0</v>
      </c>
      <c r="GLO3002" s="1" t="n">
        <v>0</v>
      </c>
      <c r="GLP3002" s="1" t="n">
        <v>0</v>
      </c>
      <c r="GLQ3002" s="1" t="n">
        <v>0</v>
      </c>
      <c r="GLR3002" s="1" t="n">
        <v>0</v>
      </c>
      <c r="GLS3002" s="1" t="n">
        <v>0</v>
      </c>
      <c r="GLT3002" s="1" t="n">
        <v>0</v>
      </c>
      <c r="GLU3002" s="1" t="n">
        <v>0</v>
      </c>
      <c r="GLV3002" s="1" t="n">
        <v>0</v>
      </c>
      <c r="GLW3002" s="1" t="n">
        <v>0</v>
      </c>
      <c r="GLX3002" s="1" t="n">
        <v>0</v>
      </c>
      <c r="GLY3002" s="1" t="n">
        <v>0</v>
      </c>
      <c r="GLZ3002" s="1" t="n">
        <v>0</v>
      </c>
      <c r="GMA3002" s="1" t="n">
        <v>0</v>
      </c>
      <c r="GMB3002" s="1" t="n">
        <v>0</v>
      </c>
      <c r="GMC3002" s="1" t="n">
        <v>0</v>
      </c>
      <c r="GMD3002" s="1" t="n">
        <v>0</v>
      </c>
      <c r="GME3002" s="1" t="n">
        <v>0</v>
      </c>
      <c r="GMF3002" s="1" t="n">
        <v>0</v>
      </c>
      <c r="GMG3002" s="1" t="n">
        <v>0</v>
      </c>
      <c r="GMH3002" s="1" t="n">
        <v>0</v>
      </c>
      <c r="GMI3002" s="1" t="n">
        <v>0</v>
      </c>
      <c r="GMJ3002" s="1" t="n">
        <v>0</v>
      </c>
      <c r="GMK3002" s="1" t="n">
        <v>0</v>
      </c>
      <c r="GML3002" s="1" t="n">
        <v>0</v>
      </c>
      <c r="GMM3002" s="1" t="n">
        <v>0</v>
      </c>
      <c r="GMN3002" s="1" t="n">
        <v>0</v>
      </c>
      <c r="GMO3002" s="1" t="n">
        <v>0</v>
      </c>
      <c r="GMP3002" s="1" t="n">
        <v>0</v>
      </c>
      <c r="GMQ3002" s="1" t="n">
        <v>0</v>
      </c>
      <c r="GMR3002" s="1" t="n">
        <v>0</v>
      </c>
      <c r="GMS3002" s="1" t="n">
        <v>0</v>
      </c>
      <c r="GMT3002" s="1" t="n">
        <v>0</v>
      </c>
      <c r="GMU3002" s="1" t="n">
        <v>0</v>
      </c>
      <c r="GMV3002" s="1" t="n">
        <v>0</v>
      </c>
      <c r="GMW3002" s="1" t="n">
        <v>0</v>
      </c>
      <c r="GMX3002" s="1" t="n">
        <v>0</v>
      </c>
      <c r="GMY3002" s="1" t="n">
        <v>0</v>
      </c>
      <c r="GMZ3002" s="1" t="n">
        <v>0</v>
      </c>
      <c r="GNA3002" s="1" t="n">
        <v>0</v>
      </c>
      <c r="GNB3002" s="1" t="n">
        <v>0</v>
      </c>
      <c r="GNC3002" s="1" t="n">
        <v>0</v>
      </c>
      <c r="GND3002" s="1" t="n">
        <v>0</v>
      </c>
      <c r="GNE3002" s="1" t="n">
        <v>0</v>
      </c>
      <c r="GNF3002" s="1" t="n">
        <v>0</v>
      </c>
      <c r="GNG3002" s="1" t="n">
        <v>0</v>
      </c>
      <c r="GNH3002" s="1" t="n">
        <v>0</v>
      </c>
      <c r="GNI3002" s="1" t="n">
        <v>0</v>
      </c>
      <c r="GNJ3002" s="1" t="n">
        <v>0</v>
      </c>
      <c r="GNK3002" s="1" t="n">
        <v>0</v>
      </c>
      <c r="GNL3002" s="1" t="n">
        <v>0</v>
      </c>
      <c r="GNM3002" s="1" t="n">
        <v>0</v>
      </c>
      <c r="GNN3002" s="1" t="n">
        <v>0</v>
      </c>
      <c r="GNO3002" s="1" t="n">
        <v>0</v>
      </c>
      <c r="GNP3002" s="1" t="n">
        <v>0</v>
      </c>
      <c r="GNQ3002" s="1" t="n">
        <v>0</v>
      </c>
      <c r="GNR3002" s="1" t="n">
        <v>0</v>
      </c>
      <c r="GNS3002" s="1" t="n">
        <v>0</v>
      </c>
      <c r="GNT3002" s="1" t="n">
        <v>0</v>
      </c>
      <c r="GNU3002" s="1" t="n">
        <v>0</v>
      </c>
      <c r="GNV3002" s="1" t="n">
        <v>0</v>
      </c>
      <c r="GNW3002" s="1" t="n">
        <v>0</v>
      </c>
      <c r="GNX3002" s="1" t="n">
        <v>0</v>
      </c>
      <c r="GNY3002" s="1" t="n">
        <v>0</v>
      </c>
      <c r="GNZ3002" s="1" t="n">
        <v>0</v>
      </c>
      <c r="GOA3002" s="1" t="n">
        <v>0</v>
      </c>
      <c r="GOB3002" s="1" t="n">
        <v>0</v>
      </c>
      <c r="GOC3002" s="1" t="n">
        <v>0</v>
      </c>
      <c r="GOD3002" s="1" t="n">
        <v>0</v>
      </c>
      <c r="GOE3002" s="1" t="n">
        <v>0</v>
      </c>
      <c r="GOF3002" s="1" t="n">
        <v>0</v>
      </c>
      <c r="GOG3002" s="1" t="n">
        <v>0</v>
      </c>
      <c r="GOH3002" s="1" t="n">
        <v>0</v>
      </c>
      <c r="GOI3002" s="1" t="n">
        <v>0</v>
      </c>
      <c r="GOJ3002" s="1" t="n">
        <v>0</v>
      </c>
      <c r="GOK3002" s="1" t="n">
        <v>0</v>
      </c>
      <c r="GOL3002" s="1" t="n">
        <v>0</v>
      </c>
      <c r="GOM3002" s="1" t="n">
        <v>0</v>
      </c>
      <c r="GON3002" s="1" t="n">
        <v>0</v>
      </c>
      <c r="GOO3002" s="1" t="n">
        <v>0</v>
      </c>
      <c r="GOP3002" s="1" t="n">
        <v>0</v>
      </c>
      <c r="GOQ3002" s="1" t="n">
        <v>0</v>
      </c>
      <c r="GOR3002" s="1" t="n">
        <v>0</v>
      </c>
      <c r="GOS3002" s="1" t="n">
        <v>0</v>
      </c>
      <c r="GOT3002" s="1" t="n">
        <v>0</v>
      </c>
      <c r="GOU3002" s="1" t="n">
        <v>0</v>
      </c>
      <c r="GOV3002" s="1" t="n">
        <v>0</v>
      </c>
      <c r="GOW3002" s="1" t="n">
        <v>0</v>
      </c>
      <c r="GOX3002" s="1" t="n">
        <v>0</v>
      </c>
      <c r="GOY3002" s="1" t="n">
        <v>0</v>
      </c>
      <c r="GOZ3002" s="1" t="n">
        <v>0</v>
      </c>
      <c r="GPA3002" s="1" t="n">
        <v>0</v>
      </c>
      <c r="GPB3002" s="1" t="n">
        <v>0</v>
      </c>
      <c r="GPC3002" s="1" t="n">
        <v>0</v>
      </c>
      <c r="GPD3002" s="1" t="n">
        <v>0</v>
      </c>
      <c r="GPE3002" s="1" t="n">
        <v>0</v>
      </c>
      <c r="GPF3002" s="1" t="n">
        <v>0</v>
      </c>
      <c r="GPG3002" s="1" t="n">
        <v>0</v>
      </c>
      <c r="GPH3002" s="1" t="n">
        <v>0</v>
      </c>
      <c r="GPI3002" s="1" t="n">
        <v>0</v>
      </c>
      <c r="GPJ3002" s="1" t="n">
        <v>0</v>
      </c>
      <c r="GPK3002" s="1" t="n">
        <v>0</v>
      </c>
      <c r="GPL3002" s="1" t="n">
        <v>0</v>
      </c>
      <c r="GPM3002" s="1" t="n">
        <v>0</v>
      </c>
      <c r="GPN3002" s="1" t="n">
        <v>0</v>
      </c>
      <c r="GPO3002" s="1" t="n">
        <v>0</v>
      </c>
      <c r="GPP3002" s="1" t="n">
        <v>0</v>
      </c>
      <c r="GPQ3002" s="1" t="n">
        <v>0</v>
      </c>
      <c r="GPR3002" s="1" t="n">
        <v>0</v>
      </c>
      <c r="GPS3002" s="1" t="n">
        <v>0</v>
      </c>
      <c r="GPT3002" s="1" t="n">
        <v>0</v>
      </c>
      <c r="GPU3002" s="1" t="n">
        <v>0</v>
      </c>
      <c r="GPV3002" s="1" t="n">
        <v>0</v>
      </c>
      <c r="GPW3002" s="1" t="n">
        <v>0</v>
      </c>
      <c r="GPX3002" s="1" t="n">
        <v>0</v>
      </c>
      <c r="GPY3002" s="1" t="n">
        <v>0</v>
      </c>
      <c r="GPZ3002" s="1" t="n">
        <v>0</v>
      </c>
      <c r="GQA3002" s="1" t="n">
        <v>0</v>
      </c>
      <c r="GQB3002" s="1" t="n">
        <v>0</v>
      </c>
      <c r="GQC3002" s="1" t="n">
        <v>0</v>
      </c>
      <c r="GQD3002" s="1" t="n">
        <v>0</v>
      </c>
      <c r="GQE3002" s="1" t="n">
        <v>0</v>
      </c>
      <c r="GQF3002" s="1" t="n">
        <v>0</v>
      </c>
      <c r="GQG3002" s="1" t="n">
        <v>0</v>
      </c>
      <c r="GQH3002" s="1" t="n">
        <v>0</v>
      </c>
      <c r="GQI3002" s="1" t="n">
        <v>0</v>
      </c>
      <c r="GQJ3002" s="1" t="n">
        <v>0</v>
      </c>
      <c r="GQK3002" s="1" t="n">
        <v>0</v>
      </c>
      <c r="GQL3002" s="1" t="n">
        <v>0</v>
      </c>
      <c r="GQM3002" s="1" t="n">
        <v>0</v>
      </c>
      <c r="GQN3002" s="1" t="n">
        <v>0</v>
      </c>
      <c r="GQO3002" s="1" t="n">
        <v>0</v>
      </c>
      <c r="GQP3002" s="1" t="n">
        <v>0</v>
      </c>
      <c r="GQQ3002" s="1" t="n">
        <v>0</v>
      </c>
      <c r="GQR3002" s="1" t="n">
        <v>0</v>
      </c>
      <c r="GQS3002" s="1" t="n">
        <v>0</v>
      </c>
      <c r="GQT3002" s="1" t="n">
        <v>0</v>
      </c>
      <c r="GQU3002" s="1" t="n">
        <v>0</v>
      </c>
      <c r="GQV3002" s="1" t="n">
        <v>0</v>
      </c>
      <c r="GQW3002" s="1" t="n">
        <v>0</v>
      </c>
      <c r="GQX3002" s="1" t="n">
        <v>0</v>
      </c>
      <c r="GQY3002" s="1" t="n">
        <v>0</v>
      </c>
      <c r="GQZ3002" s="1" t="n">
        <v>0</v>
      </c>
      <c r="GRA3002" s="1" t="n">
        <v>0</v>
      </c>
      <c r="GRB3002" s="1" t="n">
        <v>0</v>
      </c>
      <c r="GRC3002" s="1" t="n">
        <v>0</v>
      </c>
      <c r="GRD3002" s="1" t="n">
        <v>0</v>
      </c>
      <c r="GRE3002" s="1" t="n">
        <v>0</v>
      </c>
      <c r="GRF3002" s="1" t="n">
        <v>0</v>
      </c>
      <c r="GRG3002" s="1" t="n">
        <v>0</v>
      </c>
      <c r="GRH3002" s="1" t="n">
        <v>0</v>
      </c>
      <c r="GRI3002" s="1" t="n">
        <v>0</v>
      </c>
      <c r="GRJ3002" s="1" t="n">
        <v>0</v>
      </c>
      <c r="GRK3002" s="1" t="n">
        <v>0</v>
      </c>
      <c r="GRL3002" s="1" t="n">
        <v>0</v>
      </c>
      <c r="GRM3002" s="1" t="n">
        <v>0</v>
      </c>
      <c r="GRN3002" s="1" t="n">
        <v>0</v>
      </c>
      <c r="GRO3002" s="1" t="n">
        <v>0</v>
      </c>
      <c r="GRP3002" s="1" t="n">
        <v>0</v>
      </c>
      <c r="GRQ3002" s="1" t="n">
        <v>0</v>
      </c>
      <c r="GRR3002" s="1" t="n">
        <v>0</v>
      </c>
      <c r="GRS3002" s="1" t="n">
        <v>0</v>
      </c>
      <c r="GRT3002" s="1" t="n">
        <v>0</v>
      </c>
      <c r="GRU3002" s="1" t="n">
        <v>0</v>
      </c>
      <c r="GRV3002" s="1" t="n">
        <v>0</v>
      </c>
      <c r="GRW3002" s="1" t="n">
        <v>0</v>
      </c>
      <c r="GRX3002" s="1" t="n">
        <v>0</v>
      </c>
      <c r="GRY3002" s="1" t="n">
        <v>0</v>
      </c>
      <c r="GRZ3002" s="1" t="n">
        <v>0</v>
      </c>
      <c r="GSA3002" s="1" t="n">
        <v>0</v>
      </c>
      <c r="GSB3002" s="1" t="n">
        <v>0</v>
      </c>
      <c r="GSC3002" s="1" t="n">
        <v>0</v>
      </c>
      <c r="GSD3002" s="1" t="n">
        <v>0</v>
      </c>
      <c r="GSE3002" s="1" t="n">
        <v>0</v>
      </c>
      <c r="GSF3002" s="1" t="n">
        <v>0</v>
      </c>
      <c r="GSG3002" s="1" t="n">
        <v>0</v>
      </c>
      <c r="GSH3002" s="1" t="n">
        <v>0</v>
      </c>
      <c r="GSI3002" s="1" t="n">
        <v>0</v>
      </c>
      <c r="GSJ3002" s="1" t="n">
        <v>0</v>
      </c>
      <c r="GSK3002" s="1" t="n">
        <v>0</v>
      </c>
      <c r="GSL3002" s="1" t="n">
        <v>0</v>
      </c>
      <c r="GSM3002" s="1" t="n">
        <v>0</v>
      </c>
      <c r="GSN3002" s="1" t="n">
        <v>0</v>
      </c>
      <c r="GSO3002" s="1" t="n">
        <v>0</v>
      </c>
      <c r="GSP3002" s="1" t="n">
        <v>0</v>
      </c>
      <c r="GSQ3002" s="1" t="n">
        <v>0</v>
      </c>
      <c r="GSR3002" s="1" t="n">
        <v>0</v>
      </c>
      <c r="GSS3002" s="1" t="n">
        <v>0</v>
      </c>
      <c r="GST3002" s="1" t="n">
        <v>0</v>
      </c>
      <c r="GSU3002" s="1" t="n">
        <v>0</v>
      </c>
      <c r="GSV3002" s="1" t="n">
        <v>0</v>
      </c>
      <c r="GSW3002" s="1" t="n">
        <v>0</v>
      </c>
      <c r="GSX3002" s="1" t="n">
        <v>0</v>
      </c>
      <c r="GSY3002" s="1" t="n">
        <v>0</v>
      </c>
      <c r="GSZ3002" s="1" t="n">
        <v>0</v>
      </c>
      <c r="GTA3002" s="1" t="n">
        <v>0</v>
      </c>
      <c r="GTB3002" s="1" t="n">
        <v>0</v>
      </c>
      <c r="GTC3002" s="1" t="n">
        <v>0</v>
      </c>
      <c r="GTD3002" s="1" t="n">
        <v>0</v>
      </c>
      <c r="GTE3002" s="1" t="n">
        <v>0</v>
      </c>
      <c r="GTF3002" s="1" t="n">
        <v>0</v>
      </c>
      <c r="GTG3002" s="1" t="n">
        <v>0</v>
      </c>
      <c r="GTH3002" s="1" t="n">
        <v>0</v>
      </c>
      <c r="GTI3002" s="1" t="n">
        <v>0</v>
      </c>
      <c r="GTJ3002" s="1" t="n">
        <v>0</v>
      </c>
      <c r="GTK3002" s="1" t="n">
        <v>0</v>
      </c>
      <c r="GTL3002" s="1" t="n">
        <v>0</v>
      </c>
      <c r="GTM3002" s="1" t="n">
        <v>0</v>
      </c>
      <c r="GTN3002" s="1" t="n">
        <v>0</v>
      </c>
      <c r="GTO3002" s="1" t="n">
        <v>0</v>
      </c>
      <c r="GTP3002" s="1" t="n">
        <v>0</v>
      </c>
      <c r="GTQ3002" s="1" t="n">
        <v>0</v>
      </c>
      <c r="GTR3002" s="1" t="n">
        <v>0</v>
      </c>
      <c r="GTS3002" s="1" t="n">
        <v>0</v>
      </c>
      <c r="GTT3002" s="1" t="n">
        <v>0</v>
      </c>
      <c r="GTU3002" s="1" t="n">
        <v>0</v>
      </c>
      <c r="GTV3002" s="1" t="n">
        <v>0</v>
      </c>
      <c r="GTW3002" s="1" t="n">
        <v>0</v>
      </c>
      <c r="GTX3002" s="1" t="n">
        <v>0</v>
      </c>
      <c r="GTY3002" s="1" t="n">
        <v>0</v>
      </c>
      <c r="GTZ3002" s="1" t="n">
        <v>0</v>
      </c>
      <c r="GUA3002" s="1" t="n">
        <v>0</v>
      </c>
      <c r="GUB3002" s="1" t="n">
        <v>0</v>
      </c>
      <c r="GUC3002" s="1" t="n">
        <v>0</v>
      </c>
      <c r="GUD3002" s="1" t="n">
        <v>0</v>
      </c>
      <c r="GUE3002" s="1" t="n">
        <v>0</v>
      </c>
      <c r="GUF3002" s="1" t="n">
        <v>0</v>
      </c>
      <c r="GUG3002" s="1" t="n">
        <v>0</v>
      </c>
      <c r="GUH3002" s="1" t="n">
        <v>0</v>
      </c>
      <c r="GUI3002" s="1" t="n">
        <v>0</v>
      </c>
      <c r="GUJ3002" s="1" t="n">
        <v>0</v>
      </c>
      <c r="GUK3002" s="1" t="n">
        <v>0</v>
      </c>
      <c r="GUL3002" s="1" t="n">
        <v>0</v>
      </c>
      <c r="GUM3002" s="1" t="n">
        <v>0</v>
      </c>
      <c r="GUN3002" s="1" t="n">
        <v>0</v>
      </c>
      <c r="GUO3002" s="1" t="n">
        <v>0</v>
      </c>
      <c r="GUP3002" s="1" t="n">
        <v>0</v>
      </c>
      <c r="GUQ3002" s="1" t="n">
        <v>0</v>
      </c>
      <c r="GUR3002" s="1" t="n">
        <v>0</v>
      </c>
      <c r="GUS3002" s="1" t="n">
        <v>0</v>
      </c>
      <c r="GUT3002" s="1" t="n">
        <v>0</v>
      </c>
      <c r="GUU3002" s="1" t="n">
        <v>0</v>
      </c>
      <c r="GUV3002" s="1" t="n">
        <v>0</v>
      </c>
      <c r="GUW3002" s="1" t="n">
        <v>0</v>
      </c>
      <c r="GUX3002" s="1" t="n">
        <v>0</v>
      </c>
      <c r="GUY3002" s="1" t="n">
        <v>0</v>
      </c>
      <c r="GUZ3002" s="1" t="n">
        <v>0</v>
      </c>
      <c r="GVA3002" s="1" t="n">
        <v>0</v>
      </c>
      <c r="GVB3002" s="1" t="n">
        <v>0</v>
      </c>
      <c r="GVC3002" s="1" t="n">
        <v>0</v>
      </c>
      <c r="GVD3002" s="1" t="n">
        <v>0</v>
      </c>
      <c r="GVE3002" s="1" t="n">
        <v>0</v>
      </c>
      <c r="GVF3002" s="1" t="n">
        <v>0</v>
      </c>
      <c r="GVG3002" s="1" t="n">
        <v>0</v>
      </c>
      <c r="GVH3002" s="1" t="n">
        <v>0</v>
      </c>
      <c r="GVI3002" s="1" t="n">
        <v>0</v>
      </c>
      <c r="GVJ3002" s="1" t="n">
        <v>0</v>
      </c>
      <c r="GVK3002" s="1" t="n">
        <v>0</v>
      </c>
      <c r="GVL3002" s="1" t="n">
        <v>0</v>
      </c>
      <c r="GVM3002" s="1" t="n">
        <v>0</v>
      </c>
      <c r="GVN3002" s="1" t="n">
        <v>0</v>
      </c>
      <c r="GVO3002" s="1" t="n">
        <v>0</v>
      </c>
      <c r="GVP3002" s="1" t="n">
        <v>0</v>
      </c>
      <c r="GVQ3002" s="1" t="n">
        <v>0</v>
      </c>
      <c r="GVR3002" s="1" t="n">
        <v>0</v>
      </c>
      <c r="GVS3002" s="1" t="n">
        <v>0</v>
      </c>
      <c r="GVT3002" s="1" t="n">
        <v>0</v>
      </c>
      <c r="GVU3002" s="1" t="n">
        <v>0</v>
      </c>
      <c r="GVV3002" s="1" t="n">
        <v>0</v>
      </c>
      <c r="GVW3002" s="1" t="n">
        <v>0</v>
      </c>
      <c r="GVX3002" s="1" t="n">
        <v>0</v>
      </c>
      <c r="GVY3002" s="1" t="n">
        <v>0</v>
      </c>
      <c r="GVZ3002" s="1" t="n">
        <v>0</v>
      </c>
      <c r="GWA3002" s="1" t="n">
        <v>0</v>
      </c>
      <c r="GWB3002" s="1" t="n">
        <v>0</v>
      </c>
      <c r="GWC3002" s="1" t="n">
        <v>0</v>
      </c>
      <c r="GWD3002" s="1" t="n">
        <v>0</v>
      </c>
      <c r="GWE3002" s="1" t="n">
        <v>0</v>
      </c>
      <c r="GWF3002" s="1" t="n">
        <v>0</v>
      </c>
      <c r="GWG3002" s="1" t="n">
        <v>0</v>
      </c>
      <c r="GWH3002" s="1" t="n">
        <v>0</v>
      </c>
      <c r="GWI3002" s="1" t="n">
        <v>0</v>
      </c>
      <c r="GWJ3002" s="1" t="n">
        <v>0</v>
      </c>
      <c r="GWK3002" s="1" t="n">
        <v>0</v>
      </c>
      <c r="GWL3002" s="1" t="n">
        <v>0</v>
      </c>
      <c r="GWM3002" s="1" t="n">
        <v>0</v>
      </c>
      <c r="GWN3002" s="1" t="n">
        <v>0</v>
      </c>
      <c r="GWO3002" s="1" t="n">
        <v>0</v>
      </c>
      <c r="GWP3002" s="1" t="n">
        <v>0</v>
      </c>
      <c r="GWQ3002" s="1" t="n">
        <v>0</v>
      </c>
      <c r="GWR3002" s="1" t="n">
        <v>0</v>
      </c>
      <c r="GWS3002" s="1" t="n">
        <v>0</v>
      </c>
      <c r="GWT3002" s="1" t="n">
        <v>0</v>
      </c>
      <c r="GWU3002" s="1" t="n">
        <v>0</v>
      </c>
      <c r="GWV3002" s="1" t="n">
        <v>0</v>
      </c>
      <c r="GWW3002" s="1" t="n">
        <v>0</v>
      </c>
      <c r="GWX3002" s="1" t="n">
        <v>0</v>
      </c>
      <c r="GWY3002" s="1" t="n">
        <v>0</v>
      </c>
      <c r="GWZ3002" s="1" t="n">
        <v>0</v>
      </c>
      <c r="GXA3002" s="1" t="n">
        <v>0</v>
      </c>
      <c r="GXB3002" s="1" t="n">
        <v>0</v>
      </c>
      <c r="GXC3002" s="1" t="n">
        <v>0</v>
      </c>
      <c r="GXD3002" s="1" t="n">
        <v>0</v>
      </c>
      <c r="GXE3002" s="1" t="n">
        <v>0</v>
      </c>
      <c r="GXF3002" s="1" t="n">
        <v>0</v>
      </c>
      <c r="GXG3002" s="1" t="n">
        <v>0</v>
      </c>
      <c r="GXH3002" s="1" t="n">
        <v>0</v>
      </c>
      <c r="GXI3002" s="1" t="n">
        <v>0</v>
      </c>
      <c r="GXJ3002" s="1" t="n">
        <v>0</v>
      </c>
      <c r="GXK3002" s="1" t="n">
        <v>0</v>
      </c>
      <c r="GXL3002" s="1" t="n">
        <v>0</v>
      </c>
      <c r="GXM3002" s="1" t="n">
        <v>0</v>
      </c>
      <c r="GXN3002" s="1" t="n">
        <v>0</v>
      </c>
      <c r="GXO3002" s="1" t="n">
        <v>0</v>
      </c>
      <c r="GXP3002" s="1" t="n">
        <v>0</v>
      </c>
      <c r="GXQ3002" s="1" t="n">
        <v>0</v>
      </c>
      <c r="GXR3002" s="1" t="n">
        <v>0</v>
      </c>
      <c r="GXS3002" s="1" t="n">
        <v>0</v>
      </c>
      <c r="GXT3002" s="1" t="n">
        <v>0</v>
      </c>
      <c r="GXU3002" s="1" t="n">
        <v>0</v>
      </c>
      <c r="GXV3002" s="1" t="n">
        <v>0</v>
      </c>
      <c r="GXW3002" s="1" t="n">
        <v>0</v>
      </c>
      <c r="GXX3002" s="1" t="n">
        <v>0</v>
      </c>
      <c r="GXY3002" s="1" t="n">
        <v>0</v>
      </c>
      <c r="GXZ3002" s="1" t="n">
        <v>0</v>
      </c>
      <c r="GYA3002" s="1" t="n">
        <v>0</v>
      </c>
      <c r="GYB3002" s="1" t="n">
        <v>0</v>
      </c>
      <c r="GYC3002" s="1" t="n">
        <v>0</v>
      </c>
      <c r="GYD3002" s="1" t="n">
        <v>0</v>
      </c>
      <c r="GYE3002" s="1" t="n">
        <v>0</v>
      </c>
      <c r="GYF3002" s="1" t="n">
        <v>0</v>
      </c>
      <c r="GYG3002" s="1" t="n">
        <v>0</v>
      </c>
      <c r="GYH3002" s="1" t="n">
        <v>0</v>
      </c>
      <c r="GYI3002" s="1" t="n">
        <v>0</v>
      </c>
      <c r="GYJ3002" s="1" t="n">
        <v>0</v>
      </c>
      <c r="GYK3002" s="1" t="n">
        <v>0</v>
      </c>
      <c r="GYL3002" s="1" t="n">
        <v>0</v>
      </c>
      <c r="GYM3002" s="1" t="n">
        <v>0</v>
      </c>
      <c r="GYN3002" s="1" t="n">
        <v>0</v>
      </c>
      <c r="GYO3002" s="1" t="n">
        <v>0</v>
      </c>
      <c r="GYP3002" s="1" t="n">
        <v>0</v>
      </c>
      <c r="GYQ3002" s="1" t="n">
        <v>0</v>
      </c>
      <c r="GYR3002" s="1" t="n">
        <v>0</v>
      </c>
      <c r="GYS3002" s="1" t="n">
        <v>0</v>
      </c>
      <c r="GYT3002" s="1" t="n">
        <v>0</v>
      </c>
      <c r="GYU3002" s="1" t="n">
        <v>0</v>
      </c>
      <c r="GYV3002" s="1" t="n">
        <v>0</v>
      </c>
      <c r="GYW3002" s="1" t="n">
        <v>0</v>
      </c>
      <c r="GYX3002" s="1" t="n">
        <v>0</v>
      </c>
      <c r="GYY3002" s="1" t="n">
        <v>0</v>
      </c>
      <c r="GYZ3002" s="1" t="n">
        <v>0</v>
      </c>
      <c r="GZA3002" s="1" t="n">
        <v>0</v>
      </c>
      <c r="GZB3002" s="1" t="n">
        <v>0</v>
      </c>
      <c r="GZC3002" s="1" t="n">
        <v>0</v>
      </c>
      <c r="GZD3002" s="1" t="n">
        <v>0</v>
      </c>
      <c r="GZE3002" s="1" t="n">
        <v>0</v>
      </c>
      <c r="GZF3002" s="1" t="n">
        <v>0</v>
      </c>
      <c r="GZG3002" s="1" t="n">
        <v>0</v>
      </c>
      <c r="GZH3002" s="1" t="n">
        <v>0</v>
      </c>
      <c r="GZI3002" s="1" t="n">
        <v>0</v>
      </c>
      <c r="GZJ3002" s="1" t="n">
        <v>0</v>
      </c>
      <c r="GZK3002" s="1" t="n">
        <v>0</v>
      </c>
      <c r="GZL3002" s="1" t="n">
        <v>0</v>
      </c>
      <c r="GZM3002" s="1" t="n">
        <v>0</v>
      </c>
      <c r="GZN3002" s="1" t="n">
        <v>0</v>
      </c>
      <c r="GZO3002" s="1" t="n">
        <v>0</v>
      </c>
      <c r="GZP3002" s="1" t="n">
        <v>0</v>
      </c>
      <c r="GZQ3002" s="1" t="n">
        <v>0</v>
      </c>
      <c r="GZR3002" s="1" t="n">
        <v>0</v>
      </c>
      <c r="GZS3002" s="1" t="n">
        <v>0</v>
      </c>
      <c r="GZT3002" s="1" t="n">
        <v>0</v>
      </c>
      <c r="GZU3002" s="1" t="n">
        <v>0</v>
      </c>
      <c r="GZV3002" s="1" t="n">
        <v>0</v>
      </c>
      <c r="GZW3002" s="1" t="n">
        <v>0</v>
      </c>
      <c r="GZX3002" s="1" t="n">
        <v>0</v>
      </c>
      <c r="GZY3002" s="1" t="n">
        <v>0</v>
      </c>
      <c r="GZZ3002" s="1" t="n">
        <v>0</v>
      </c>
      <c r="HAA3002" s="1" t="n">
        <v>0</v>
      </c>
      <c r="HAB3002" s="1" t="n">
        <v>0</v>
      </c>
      <c r="HAC3002" s="1" t="n">
        <v>0</v>
      </c>
      <c r="HAD3002" s="1" t="n">
        <v>0</v>
      </c>
      <c r="HAE3002" s="1" t="n">
        <v>0</v>
      </c>
      <c r="HAF3002" s="1" t="n">
        <v>0</v>
      </c>
      <c r="HAG3002" s="1" t="n">
        <v>0</v>
      </c>
      <c r="HAH3002" s="1" t="n">
        <v>0</v>
      </c>
      <c r="HAI3002" s="1" t="n">
        <v>0</v>
      </c>
      <c r="HAJ3002" s="1" t="n">
        <v>0</v>
      </c>
      <c r="HAK3002" s="1" t="n">
        <v>0</v>
      </c>
      <c r="HAL3002" s="1" t="n">
        <v>0</v>
      </c>
      <c r="HAM3002" s="1" t="n">
        <v>0</v>
      </c>
      <c r="HAN3002" s="1" t="n">
        <v>0</v>
      </c>
      <c r="HAO3002" s="1" t="n">
        <v>0</v>
      </c>
      <c r="HAP3002" s="1" t="n">
        <v>0</v>
      </c>
      <c r="HAQ3002" s="1" t="n">
        <v>0</v>
      </c>
      <c r="HAR3002" s="1" t="n">
        <v>0</v>
      </c>
      <c r="HAS3002" s="1" t="n">
        <v>0</v>
      </c>
      <c r="HAT3002" s="1" t="n">
        <v>0</v>
      </c>
      <c r="HAU3002" s="1" t="n">
        <v>0</v>
      </c>
      <c r="HAV3002" s="1" t="n">
        <v>0</v>
      </c>
      <c r="HAW3002" s="1" t="n">
        <v>0</v>
      </c>
      <c r="HAX3002" s="1" t="n">
        <v>0</v>
      </c>
      <c r="HAY3002" s="1" t="n">
        <v>0</v>
      </c>
      <c r="HAZ3002" s="1" t="n">
        <v>0</v>
      </c>
      <c r="HBA3002" s="1" t="n">
        <v>0</v>
      </c>
      <c r="HBB3002" s="1" t="n">
        <v>0</v>
      </c>
      <c r="HBC3002" s="1" t="n">
        <v>0</v>
      </c>
      <c r="HBD3002" s="1" t="n">
        <v>0</v>
      </c>
      <c r="HBE3002" s="1" t="n">
        <v>0</v>
      </c>
      <c r="HBF3002" s="1" t="n">
        <v>0</v>
      </c>
      <c r="HBG3002" s="1" t="n">
        <v>0</v>
      </c>
      <c r="HBH3002" s="1" t="n">
        <v>0</v>
      </c>
      <c r="HBI3002" s="1" t="n">
        <v>0</v>
      </c>
      <c r="HBJ3002" s="1" t="n">
        <v>0</v>
      </c>
      <c r="HBK3002" s="1" t="n">
        <v>0</v>
      </c>
      <c r="HBL3002" s="1" t="n">
        <v>0</v>
      </c>
      <c r="HBM3002" s="1" t="n">
        <v>0</v>
      </c>
      <c r="HBN3002" s="1" t="n">
        <v>0</v>
      </c>
      <c r="HBO3002" s="1" t="n">
        <v>0</v>
      </c>
      <c r="HBP3002" s="1" t="n">
        <v>0</v>
      </c>
      <c r="HBQ3002" s="1" t="n">
        <v>0</v>
      </c>
      <c r="HBR3002" s="1" t="n">
        <v>0</v>
      </c>
      <c r="HBS3002" s="1" t="n">
        <v>0</v>
      </c>
      <c r="HBT3002" s="1" t="n">
        <v>0</v>
      </c>
      <c r="HBU3002" s="1" t="n">
        <v>0</v>
      </c>
      <c r="HBV3002" s="1" t="n">
        <v>0</v>
      </c>
      <c r="HBW3002" s="1" t="n">
        <v>0</v>
      </c>
      <c r="HBX3002" s="1" t="n">
        <v>0</v>
      </c>
      <c r="HBY3002" s="1" t="n">
        <v>0</v>
      </c>
      <c r="HBZ3002" s="1" t="n">
        <v>0</v>
      </c>
      <c r="HCA3002" s="1" t="n">
        <v>0</v>
      </c>
      <c r="HCB3002" s="1" t="n">
        <v>0</v>
      </c>
      <c r="HCC3002" s="1" t="n">
        <v>0</v>
      </c>
      <c r="HCD3002" s="1" t="n">
        <v>0</v>
      </c>
      <c r="HCE3002" s="1" t="n">
        <v>0</v>
      </c>
      <c r="HCF3002" s="1" t="n">
        <v>0</v>
      </c>
      <c r="HCG3002" s="1" t="n">
        <v>0</v>
      </c>
      <c r="HCH3002" s="1" t="n">
        <v>0</v>
      </c>
      <c r="HCI3002" s="1" t="n">
        <v>0</v>
      </c>
      <c r="HCJ3002" s="1" t="n">
        <v>0</v>
      </c>
      <c r="HCK3002" s="1" t="n">
        <v>0</v>
      </c>
      <c r="HCL3002" s="1" t="n">
        <v>0</v>
      </c>
      <c r="HCM3002" s="1" t="n">
        <v>0</v>
      </c>
      <c r="HCN3002" s="1" t="n">
        <v>0</v>
      </c>
      <c r="HCO3002" s="1" t="n">
        <v>0</v>
      </c>
      <c r="HCP3002" s="1" t="n">
        <v>0</v>
      </c>
      <c r="HCQ3002" s="1" t="n">
        <v>0</v>
      </c>
      <c r="HCR3002" s="1" t="n">
        <v>0</v>
      </c>
      <c r="HCS3002" s="1" t="n">
        <v>0</v>
      </c>
      <c r="HCT3002" s="1" t="n">
        <v>0</v>
      </c>
      <c r="HCU3002" s="1" t="n">
        <v>0</v>
      </c>
      <c r="HCV3002" s="1" t="n">
        <v>0</v>
      </c>
      <c r="HCW3002" s="1" t="n">
        <v>0</v>
      </c>
      <c r="HCX3002" s="1" t="n">
        <v>0</v>
      </c>
      <c r="HCY3002" s="1" t="n">
        <v>0</v>
      </c>
      <c r="HCZ3002" s="1" t="n">
        <v>0</v>
      </c>
      <c r="HDA3002" s="1" t="n">
        <v>0</v>
      </c>
      <c r="HDB3002" s="1" t="n">
        <v>0</v>
      </c>
      <c r="HDC3002" s="1" t="n">
        <v>0</v>
      </c>
      <c r="HDD3002" s="1" t="n">
        <v>0</v>
      </c>
      <c r="HDE3002" s="1" t="n">
        <v>0</v>
      </c>
      <c r="HDF3002" s="1" t="n">
        <v>0</v>
      </c>
      <c r="HDG3002" s="1" t="n">
        <v>0</v>
      </c>
      <c r="HDH3002" s="1" t="n">
        <v>0</v>
      </c>
      <c r="HDI3002" s="1" t="n">
        <v>0</v>
      </c>
      <c r="HDJ3002" s="1" t="n">
        <v>0</v>
      </c>
      <c r="HDK3002" s="1" t="n">
        <v>0</v>
      </c>
      <c r="HDL3002" s="1" t="n">
        <v>0</v>
      </c>
      <c r="HDM3002" s="1" t="n">
        <v>0</v>
      </c>
      <c r="HDN3002" s="1" t="n">
        <v>0</v>
      </c>
      <c r="HDO3002" s="1" t="n">
        <v>0</v>
      </c>
      <c r="HDP3002" s="1" t="n">
        <v>0</v>
      </c>
      <c r="HDQ3002" s="1" t="n">
        <v>0</v>
      </c>
      <c r="HDR3002" s="1" t="n">
        <v>0</v>
      </c>
      <c r="HDS3002" s="1" t="n">
        <v>0</v>
      </c>
      <c r="HDT3002" s="1" t="n">
        <v>0</v>
      </c>
      <c r="HDU3002" s="1" t="n">
        <v>0</v>
      </c>
      <c r="HDV3002" s="1" t="n">
        <v>0</v>
      </c>
      <c r="HDW3002" s="1" t="n">
        <v>0</v>
      </c>
      <c r="HDX3002" s="1" t="n">
        <v>0</v>
      </c>
      <c r="HDY3002" s="1" t="n">
        <v>0</v>
      </c>
      <c r="HDZ3002" s="1" t="n">
        <v>0</v>
      </c>
      <c r="HEA3002" s="1" t="n">
        <v>0</v>
      </c>
      <c r="HEB3002" s="1" t="n">
        <v>0</v>
      </c>
      <c r="HEC3002" s="1" t="n">
        <v>0</v>
      </c>
      <c r="HED3002" s="1" t="n">
        <v>0</v>
      </c>
      <c r="HEE3002" s="1" t="n">
        <v>0</v>
      </c>
      <c r="HEF3002" s="1" t="n">
        <v>0</v>
      </c>
      <c r="HEG3002" s="1" t="n">
        <v>0</v>
      </c>
      <c r="HEH3002" s="1" t="n">
        <v>0</v>
      </c>
      <c r="HEI3002" s="1" t="n">
        <v>0</v>
      </c>
      <c r="HEJ3002" s="1" t="n">
        <v>0</v>
      </c>
      <c r="HEK3002" s="1" t="n">
        <v>0</v>
      </c>
      <c r="HEL3002" s="1" t="n">
        <v>0</v>
      </c>
      <c r="HEM3002" s="1" t="n">
        <v>0</v>
      </c>
      <c r="HEN3002" s="1" t="n">
        <v>0</v>
      </c>
      <c r="HEO3002" s="1" t="n">
        <v>0</v>
      </c>
      <c r="HEP3002" s="1" t="n">
        <v>0</v>
      </c>
      <c r="HEQ3002" s="1" t="n">
        <v>0</v>
      </c>
      <c r="HER3002" s="1" t="n">
        <v>0</v>
      </c>
      <c r="HES3002" s="1" t="n">
        <v>0</v>
      </c>
      <c r="HET3002" s="1" t="n">
        <v>0</v>
      </c>
      <c r="HEU3002" s="1" t="n">
        <v>0</v>
      </c>
      <c r="HEV3002" s="1" t="n">
        <v>0</v>
      </c>
      <c r="HEW3002" s="1" t="n">
        <v>0</v>
      </c>
      <c r="HEX3002" s="1" t="n">
        <v>0</v>
      </c>
      <c r="HEY3002" s="1" t="n">
        <v>0</v>
      </c>
      <c r="HEZ3002" s="1" t="n">
        <v>0</v>
      </c>
      <c r="HFA3002" s="1" t="n">
        <v>0</v>
      </c>
      <c r="HFB3002" s="1" t="n">
        <v>0</v>
      </c>
      <c r="HFC3002" s="1" t="n">
        <v>0</v>
      </c>
      <c r="HFD3002" s="1" t="n">
        <v>0</v>
      </c>
      <c r="HFE3002" s="1" t="n">
        <v>0</v>
      </c>
      <c r="HFF3002" s="1" t="n">
        <v>0</v>
      </c>
      <c r="HFG3002" s="1" t="n">
        <v>0</v>
      </c>
      <c r="HFH3002" s="1" t="n">
        <v>0</v>
      </c>
      <c r="HFI3002" s="1" t="n">
        <v>0</v>
      </c>
      <c r="HFJ3002" s="1" t="n">
        <v>0</v>
      </c>
      <c r="HFK3002" s="1" t="n">
        <v>0</v>
      </c>
      <c r="HFL3002" s="1" t="n">
        <v>0</v>
      </c>
      <c r="HFM3002" s="1" t="n">
        <v>0</v>
      </c>
      <c r="HFN3002" s="1" t="n">
        <v>0</v>
      </c>
      <c r="HFO3002" s="1" t="n">
        <v>0</v>
      </c>
      <c r="HFP3002" s="1" t="n">
        <v>0</v>
      </c>
      <c r="HFQ3002" s="1" t="n">
        <v>0</v>
      </c>
      <c r="HFR3002" s="1" t="n">
        <v>0</v>
      </c>
      <c r="HFS3002" s="1" t="n">
        <v>0</v>
      </c>
      <c r="HFT3002" s="1" t="n">
        <v>0</v>
      </c>
      <c r="HFU3002" s="1" t="n">
        <v>0</v>
      </c>
      <c r="HFV3002" s="1" t="n">
        <v>0</v>
      </c>
      <c r="HFW3002" s="1" t="n">
        <v>0</v>
      </c>
      <c r="HFX3002" s="1" t="n">
        <v>0</v>
      </c>
      <c r="HFY3002" s="1" t="n">
        <v>0</v>
      </c>
      <c r="HFZ3002" s="1" t="n">
        <v>0</v>
      </c>
      <c r="HGA3002" s="1" t="n">
        <v>0</v>
      </c>
      <c r="HGB3002" s="1" t="n">
        <v>0</v>
      </c>
      <c r="HGC3002" s="1" t="n">
        <v>0</v>
      </c>
      <c r="HGD3002" s="1" t="n">
        <v>0</v>
      </c>
      <c r="HGE3002" s="1" t="n">
        <v>0</v>
      </c>
      <c r="HGF3002" s="1" t="n">
        <v>0</v>
      </c>
      <c r="HGG3002" s="1" t="n">
        <v>0</v>
      </c>
      <c r="HGH3002" s="1" t="n">
        <v>0</v>
      </c>
      <c r="HGI3002" s="1" t="n">
        <v>0</v>
      </c>
      <c r="HGJ3002" s="1" t="n">
        <v>0</v>
      </c>
      <c r="HGK3002" s="1" t="n">
        <v>0</v>
      </c>
      <c r="HGL3002" s="1" t="n">
        <v>0</v>
      </c>
      <c r="HGM3002" s="1" t="n">
        <v>0</v>
      </c>
      <c r="HGN3002" s="1" t="n">
        <v>0</v>
      </c>
      <c r="HGO3002" s="1" t="n">
        <v>0</v>
      </c>
      <c r="HGP3002" s="1" t="n">
        <v>0</v>
      </c>
      <c r="HGQ3002" s="1" t="n">
        <v>0</v>
      </c>
      <c r="HGR3002" s="1" t="n">
        <v>0</v>
      </c>
      <c r="HGS3002" s="1" t="n">
        <v>0</v>
      </c>
      <c r="HGT3002" s="1" t="n">
        <v>0</v>
      </c>
      <c r="HGU3002" s="1" t="n">
        <v>0</v>
      </c>
      <c r="HGV3002" s="1" t="n">
        <v>0</v>
      </c>
      <c r="HGW3002" s="1" t="n">
        <v>0</v>
      </c>
      <c r="HGX3002" s="1" t="n">
        <v>0</v>
      </c>
      <c r="HGY3002" s="1" t="n">
        <v>0</v>
      </c>
      <c r="HGZ3002" s="1" t="n">
        <v>0</v>
      </c>
      <c r="HHA3002" s="1" t="n">
        <v>0</v>
      </c>
      <c r="HHB3002" s="1" t="n">
        <v>0</v>
      </c>
      <c r="HHC3002" s="1" t="n">
        <v>0</v>
      </c>
      <c r="HHD3002" s="1" t="n">
        <v>0</v>
      </c>
      <c r="HHE3002" s="1" t="n">
        <v>0</v>
      </c>
      <c r="HHF3002" s="1" t="n">
        <v>0</v>
      </c>
      <c r="HHG3002" s="1" t="n">
        <v>0</v>
      </c>
      <c r="HHH3002" s="1" t="n">
        <v>0</v>
      </c>
      <c r="HHI3002" s="1" t="n">
        <v>0</v>
      </c>
      <c r="HHJ3002" s="1" t="n">
        <v>0</v>
      </c>
      <c r="HHK3002" s="1" t="n">
        <v>0</v>
      </c>
      <c r="HHL3002" s="1" t="n">
        <v>0</v>
      </c>
      <c r="HHM3002" s="1" t="n">
        <v>0</v>
      </c>
      <c r="HHN3002" s="1" t="n">
        <v>0</v>
      </c>
      <c r="HHO3002" s="1" t="n">
        <v>0</v>
      </c>
      <c r="HHP3002" s="1" t="n">
        <v>0</v>
      </c>
      <c r="HHQ3002" s="1" t="n">
        <v>0</v>
      </c>
      <c r="HHR3002" s="1" t="n">
        <v>0</v>
      </c>
      <c r="HHS3002" s="1" t="n">
        <v>0</v>
      </c>
      <c r="HHT3002" s="1" t="n">
        <v>0</v>
      </c>
      <c r="HHU3002" s="1" t="n">
        <v>0</v>
      </c>
      <c r="HHV3002" s="1" t="n">
        <v>0</v>
      </c>
      <c r="HHW3002" s="1" t="n">
        <v>0</v>
      </c>
      <c r="HHX3002" s="1" t="n">
        <v>0</v>
      </c>
      <c r="HHY3002" s="1" t="n">
        <v>0</v>
      </c>
      <c r="HHZ3002" s="1" t="n">
        <v>0</v>
      </c>
      <c r="HIA3002" s="1" t="n">
        <v>0</v>
      </c>
      <c r="HIB3002" s="1" t="n">
        <v>0</v>
      </c>
      <c r="HIC3002" s="1" t="n">
        <v>0</v>
      </c>
      <c r="HID3002" s="1" t="n">
        <v>0</v>
      </c>
      <c r="HIE3002" s="1" t="n">
        <v>0</v>
      </c>
      <c r="HIF3002" s="1" t="n">
        <v>0</v>
      </c>
      <c r="HIG3002" s="1" t="n">
        <v>0</v>
      </c>
      <c r="HIH3002" s="1" t="n">
        <v>0</v>
      </c>
      <c r="HII3002" s="1" t="n">
        <v>0</v>
      </c>
      <c r="HIJ3002" s="1" t="n">
        <v>0</v>
      </c>
      <c r="HIK3002" s="1" t="n">
        <v>0</v>
      </c>
      <c r="HIL3002" s="1" t="n">
        <v>0</v>
      </c>
      <c r="HIM3002" s="1" t="n">
        <v>0</v>
      </c>
      <c r="HIN3002" s="1" t="n">
        <v>0</v>
      </c>
      <c r="HIO3002" s="1" t="n">
        <v>0</v>
      </c>
      <c r="HIP3002" s="1" t="n">
        <v>0</v>
      </c>
      <c r="HIQ3002" s="1" t="n">
        <v>0</v>
      </c>
      <c r="HIR3002" s="1" t="n">
        <v>0</v>
      </c>
      <c r="HIS3002" s="1" t="n">
        <v>0</v>
      </c>
      <c r="HIT3002" s="1" t="n">
        <v>0</v>
      </c>
      <c r="HIU3002" s="1" t="n">
        <v>0</v>
      </c>
      <c r="HIV3002" s="1" t="n">
        <v>0</v>
      </c>
      <c r="HIW3002" s="1" t="n">
        <v>0</v>
      </c>
      <c r="HIX3002" s="1" t="n">
        <v>0</v>
      </c>
      <c r="HIY3002" s="1" t="n">
        <v>0</v>
      </c>
      <c r="HIZ3002" s="1" t="n">
        <v>0</v>
      </c>
      <c r="HJA3002" s="1" t="n">
        <v>0</v>
      </c>
      <c r="HJB3002" s="1" t="n">
        <v>0</v>
      </c>
      <c r="HJC3002" s="1" t="n">
        <v>0</v>
      </c>
      <c r="HJD3002" s="1" t="n">
        <v>0</v>
      </c>
      <c r="HJE3002" s="1" t="n">
        <v>0</v>
      </c>
      <c r="HJF3002" s="1" t="n">
        <v>0</v>
      </c>
      <c r="HJG3002" s="1" t="n">
        <v>0</v>
      </c>
      <c r="HJH3002" s="1" t="n">
        <v>0</v>
      </c>
      <c r="HJI3002" s="1" t="n">
        <v>0</v>
      </c>
      <c r="HJJ3002" s="1" t="n">
        <v>0</v>
      </c>
      <c r="HJK3002" s="1" t="n">
        <v>0</v>
      </c>
      <c r="HJL3002" s="1" t="n">
        <v>0</v>
      </c>
      <c r="HJM3002" s="1" t="n">
        <v>0</v>
      </c>
      <c r="HJN3002" s="1" t="n">
        <v>0</v>
      </c>
      <c r="HJO3002" s="1" t="n">
        <v>0</v>
      </c>
      <c r="HJP3002" s="1" t="n">
        <v>0</v>
      </c>
      <c r="HJQ3002" s="1" t="n">
        <v>0</v>
      </c>
      <c r="HJR3002" s="1" t="n">
        <v>0</v>
      </c>
      <c r="HJS3002" s="1" t="n">
        <v>0</v>
      </c>
      <c r="HJT3002" s="1" t="n">
        <v>0</v>
      </c>
      <c r="HJU3002" s="1" t="n">
        <v>0</v>
      </c>
      <c r="HJV3002" s="1" t="n">
        <v>0</v>
      </c>
      <c r="HJW3002" s="1" t="n">
        <v>0</v>
      </c>
      <c r="HJX3002" s="1" t="n">
        <v>0</v>
      </c>
      <c r="HJY3002" s="1" t="n">
        <v>0</v>
      </c>
      <c r="HJZ3002" s="1" t="n">
        <v>0</v>
      </c>
      <c r="HKA3002" s="1" t="n">
        <v>0</v>
      </c>
      <c r="HKB3002" s="1" t="n">
        <v>0</v>
      </c>
      <c r="HKC3002" s="1" t="n">
        <v>0</v>
      </c>
      <c r="HKD3002" s="1" t="n">
        <v>0</v>
      </c>
      <c r="HKE3002" s="1" t="n">
        <v>0</v>
      </c>
      <c r="HKF3002" s="1" t="n">
        <v>0</v>
      </c>
      <c r="HKG3002" s="1" t="n">
        <v>0</v>
      </c>
      <c r="HKH3002" s="1" t="n">
        <v>0</v>
      </c>
      <c r="HKI3002" s="1" t="n">
        <v>0</v>
      </c>
      <c r="HKJ3002" s="1" t="n">
        <v>0</v>
      </c>
      <c r="HKK3002" s="1" t="n">
        <v>0</v>
      </c>
      <c r="HKL3002" s="1" t="n">
        <v>0</v>
      </c>
      <c r="HKM3002" s="1" t="n">
        <v>0</v>
      </c>
      <c r="HKN3002" s="1" t="n">
        <v>0</v>
      </c>
      <c r="HKO3002" s="1" t="n">
        <v>0</v>
      </c>
      <c r="HKP3002" s="1" t="n">
        <v>0</v>
      </c>
      <c r="HKQ3002" s="1" t="n">
        <v>0</v>
      </c>
      <c r="HKR3002" s="1" t="n">
        <v>0</v>
      </c>
      <c r="HKS3002" s="1" t="n">
        <v>0</v>
      </c>
      <c r="HKT3002" s="1" t="n">
        <v>0</v>
      </c>
      <c r="HKU3002" s="1" t="n">
        <v>0</v>
      </c>
      <c r="HKV3002" s="1" t="n">
        <v>0</v>
      </c>
      <c r="HKW3002" s="1" t="n">
        <v>0</v>
      </c>
      <c r="HKX3002" s="1" t="n">
        <v>0</v>
      </c>
      <c r="HKY3002" s="1" t="n">
        <v>0</v>
      </c>
      <c r="HKZ3002" s="1" t="n">
        <v>0</v>
      </c>
      <c r="HLA3002" s="1" t="n">
        <v>0</v>
      </c>
      <c r="HLB3002" s="1" t="n">
        <v>0</v>
      </c>
      <c r="HLC3002" s="1" t="n">
        <v>0</v>
      </c>
      <c r="HLD3002" s="1" t="n">
        <v>0</v>
      </c>
      <c r="HLE3002" s="1" t="n">
        <v>0</v>
      </c>
      <c r="HLF3002" s="1" t="n">
        <v>0</v>
      </c>
      <c r="HLG3002" s="1" t="n">
        <v>0</v>
      </c>
      <c r="HLH3002" s="1" t="n">
        <v>0</v>
      </c>
      <c r="HLI3002" s="1" t="n">
        <v>0</v>
      </c>
      <c r="HLJ3002" s="1" t="n">
        <v>0</v>
      </c>
      <c r="HLK3002" s="1" t="n">
        <v>0</v>
      </c>
      <c r="HLL3002" s="1" t="n">
        <v>0</v>
      </c>
      <c r="HLM3002" s="1" t="n">
        <v>0</v>
      </c>
      <c r="HLN3002" s="1" t="n">
        <v>0</v>
      </c>
      <c r="HLO3002" s="1" t="n">
        <v>0</v>
      </c>
      <c r="HLP3002" s="1" t="n">
        <v>0</v>
      </c>
      <c r="HLQ3002" s="1" t="n">
        <v>0</v>
      </c>
      <c r="HLR3002" s="1" t="n">
        <v>0</v>
      </c>
      <c r="HLS3002" s="1" t="n">
        <v>0</v>
      </c>
      <c r="HLT3002" s="1" t="n">
        <v>0</v>
      </c>
      <c r="HLU3002" s="1" t="n">
        <v>0</v>
      </c>
      <c r="HLV3002" s="1" t="n">
        <v>0</v>
      </c>
      <c r="HLW3002" s="1" t="n">
        <v>0</v>
      </c>
      <c r="HLX3002" s="1" t="n">
        <v>0</v>
      </c>
      <c r="HLY3002" s="1" t="n">
        <v>0</v>
      </c>
      <c r="HLZ3002" s="1" t="n">
        <v>0</v>
      </c>
      <c r="HMA3002" s="1" t="n">
        <v>0</v>
      </c>
      <c r="HMB3002" s="1" t="n">
        <v>0</v>
      </c>
      <c r="HMC3002" s="1" t="n">
        <v>0</v>
      </c>
      <c r="HMD3002" s="1" t="n">
        <v>0</v>
      </c>
      <c r="HME3002" s="1" t="n">
        <v>0</v>
      </c>
      <c r="HMF3002" s="1" t="n">
        <v>0</v>
      </c>
      <c r="HMG3002" s="1" t="n">
        <v>0</v>
      </c>
      <c r="HMH3002" s="1" t="n">
        <v>0</v>
      </c>
      <c r="HMI3002" s="1" t="n">
        <v>0</v>
      </c>
      <c r="HMJ3002" s="1" t="n">
        <v>0</v>
      </c>
      <c r="HMK3002" s="1" t="n">
        <v>0</v>
      </c>
      <c r="HML3002" s="1" t="n">
        <v>0</v>
      </c>
      <c r="HMM3002" s="1" t="n">
        <v>0</v>
      </c>
      <c r="HMN3002" s="1" t="n">
        <v>0</v>
      </c>
      <c r="HMO3002" s="1" t="n">
        <v>0</v>
      </c>
      <c r="HMP3002" s="1" t="n">
        <v>0</v>
      </c>
      <c r="HMQ3002" s="1" t="n">
        <v>0</v>
      </c>
      <c r="HMR3002" s="1" t="n">
        <v>0</v>
      </c>
      <c r="HMS3002" s="1" t="n">
        <v>0</v>
      </c>
      <c r="HMT3002" s="1" t="n">
        <v>0</v>
      </c>
      <c r="HMU3002" s="1" t="n">
        <v>0</v>
      </c>
      <c r="HMV3002" s="1" t="n">
        <v>0</v>
      </c>
      <c r="HMW3002" s="1" t="n">
        <v>0</v>
      </c>
      <c r="HMX3002" s="1" t="n">
        <v>0</v>
      </c>
      <c r="HMY3002" s="1" t="n">
        <v>0</v>
      </c>
      <c r="HMZ3002" s="1" t="n">
        <v>0</v>
      </c>
      <c r="HNA3002" s="1" t="n">
        <v>0</v>
      </c>
      <c r="HNB3002" s="1" t="n">
        <v>0</v>
      </c>
      <c r="HNC3002" s="1" t="n">
        <v>0</v>
      </c>
      <c r="HND3002" s="1" t="n">
        <v>0</v>
      </c>
      <c r="HNE3002" s="1" t="n">
        <v>0</v>
      </c>
      <c r="HNF3002" s="1" t="n">
        <v>0</v>
      </c>
      <c r="HNG3002" s="1" t="n">
        <v>0</v>
      </c>
      <c r="HNH3002" s="1" t="n">
        <v>0</v>
      </c>
      <c r="HNI3002" s="1" t="n">
        <v>0</v>
      </c>
      <c r="HNJ3002" s="1" t="n">
        <v>0</v>
      </c>
      <c r="HNK3002" s="1" t="n">
        <v>0</v>
      </c>
      <c r="HNL3002" s="1" t="n">
        <v>0</v>
      </c>
      <c r="HNM3002" s="1" t="n">
        <v>0</v>
      </c>
      <c r="HNN3002" s="1" t="n">
        <v>0</v>
      </c>
      <c r="HNO3002" s="1" t="n">
        <v>0</v>
      </c>
      <c r="HNP3002" s="1" t="n">
        <v>0</v>
      </c>
      <c r="HNQ3002" s="1" t="n">
        <v>0</v>
      </c>
      <c r="HNR3002" s="1" t="n">
        <v>0</v>
      </c>
      <c r="HNS3002" s="1" t="n">
        <v>0</v>
      </c>
      <c r="HNT3002" s="1" t="n">
        <v>0</v>
      </c>
      <c r="HNU3002" s="1" t="n">
        <v>0</v>
      </c>
      <c r="HNV3002" s="1" t="n">
        <v>0</v>
      </c>
      <c r="HNW3002" s="1" t="n">
        <v>0</v>
      </c>
      <c r="HNX3002" s="1" t="n">
        <v>0</v>
      </c>
      <c r="HNY3002" s="1" t="n">
        <v>0</v>
      </c>
      <c r="HNZ3002" s="1" t="n">
        <v>0</v>
      </c>
      <c r="HOA3002" s="1" t="n">
        <v>0</v>
      </c>
      <c r="HOB3002" s="1" t="n">
        <v>0</v>
      </c>
      <c r="HOC3002" s="1" t="n">
        <v>0</v>
      </c>
      <c r="HOD3002" s="1" t="n">
        <v>0</v>
      </c>
      <c r="HOE3002" s="1" t="n">
        <v>0</v>
      </c>
      <c r="HOF3002" s="1" t="n">
        <v>0</v>
      </c>
      <c r="HOG3002" s="1" t="n">
        <v>0</v>
      </c>
      <c r="HOH3002" s="1" t="n">
        <v>0</v>
      </c>
      <c r="HOI3002" s="1" t="n">
        <v>0</v>
      </c>
      <c r="HOJ3002" s="1" t="n">
        <v>0</v>
      </c>
      <c r="HOK3002" s="1" t="n">
        <v>0</v>
      </c>
      <c r="HOL3002" s="1" t="n">
        <v>0</v>
      </c>
      <c r="HOM3002" s="1" t="n">
        <v>0</v>
      </c>
      <c r="HON3002" s="1" t="n">
        <v>0</v>
      </c>
      <c r="HOO3002" s="1" t="n">
        <v>0</v>
      </c>
      <c r="HOP3002" s="1" t="n">
        <v>0</v>
      </c>
      <c r="HOQ3002" s="1" t="n">
        <v>0</v>
      </c>
      <c r="HOR3002" s="1" t="n">
        <v>0</v>
      </c>
      <c r="HOS3002" s="1" t="n">
        <v>0</v>
      </c>
      <c r="HOT3002" s="1" t="n">
        <v>0</v>
      </c>
      <c r="HOU3002" s="1" t="n">
        <v>0</v>
      </c>
      <c r="HOV3002" s="1" t="n">
        <v>0</v>
      </c>
      <c r="HOW3002" s="1" t="n">
        <v>0</v>
      </c>
      <c r="HOX3002" s="1" t="n">
        <v>0</v>
      </c>
      <c r="HOY3002" s="1" t="n">
        <v>0</v>
      </c>
      <c r="HOZ3002" s="1" t="n">
        <v>0</v>
      </c>
      <c r="HPA3002" s="1" t="n">
        <v>0</v>
      </c>
      <c r="HPB3002" s="1" t="n">
        <v>0</v>
      </c>
      <c r="HPC3002" s="1" t="n">
        <v>0</v>
      </c>
      <c r="HPD3002" s="1" t="n">
        <v>0</v>
      </c>
      <c r="HPE3002" s="1" t="n">
        <v>0</v>
      </c>
      <c r="HPF3002" s="1" t="n">
        <v>0</v>
      </c>
      <c r="HPG3002" s="1" t="n">
        <v>0</v>
      </c>
      <c r="HPH3002" s="1" t="n">
        <v>0</v>
      </c>
      <c r="HPI3002" s="1" t="n">
        <v>0</v>
      </c>
      <c r="HPJ3002" s="1" t="n">
        <v>0</v>
      </c>
      <c r="HPK3002" s="1" t="n">
        <v>0</v>
      </c>
      <c r="HPL3002" s="1" t="n">
        <v>0</v>
      </c>
      <c r="HPM3002" s="1" t="n">
        <v>0</v>
      </c>
      <c r="HPN3002" s="1" t="n">
        <v>0</v>
      </c>
      <c r="HPO3002" s="1" t="n">
        <v>0</v>
      </c>
      <c r="HPP3002" s="1" t="n">
        <v>0</v>
      </c>
      <c r="HPQ3002" s="1" t="n">
        <v>0</v>
      </c>
      <c r="HPR3002" s="1" t="n">
        <v>0</v>
      </c>
      <c r="HPS3002" s="1" t="n">
        <v>0</v>
      </c>
      <c r="HPT3002" s="1" t="n">
        <v>0</v>
      </c>
      <c r="HPU3002" s="1" t="n">
        <v>0</v>
      </c>
      <c r="HPV3002" s="1" t="n">
        <v>0</v>
      </c>
      <c r="HPW3002" s="1" t="n">
        <v>0</v>
      </c>
      <c r="HPX3002" s="1" t="n">
        <v>0</v>
      </c>
      <c r="HPY3002" s="1" t="n">
        <v>0</v>
      </c>
      <c r="HPZ3002" s="1" t="n">
        <v>0</v>
      </c>
      <c r="HQA3002" s="1" t="n">
        <v>0</v>
      </c>
      <c r="HQB3002" s="1" t="n">
        <v>0</v>
      </c>
      <c r="HQC3002" s="1" t="n">
        <v>0</v>
      </c>
      <c r="HQD3002" s="1" t="n">
        <v>0</v>
      </c>
      <c r="HQE3002" s="1" t="n">
        <v>0</v>
      </c>
      <c r="HQF3002" s="1" t="n">
        <v>0</v>
      </c>
      <c r="HQG3002" s="1" t="n">
        <v>0</v>
      </c>
      <c r="HQH3002" s="1" t="n">
        <v>0</v>
      </c>
      <c r="HQI3002" s="1" t="n">
        <v>0</v>
      </c>
      <c r="HQJ3002" s="1" t="n">
        <v>0</v>
      </c>
      <c r="HQK3002" s="1" t="n">
        <v>0</v>
      </c>
      <c r="HQL3002" s="1" t="n">
        <v>0</v>
      </c>
      <c r="HQM3002" s="1" t="n">
        <v>0</v>
      </c>
      <c r="HQN3002" s="1" t="n">
        <v>0</v>
      </c>
      <c r="HQO3002" s="1" t="n">
        <v>0</v>
      </c>
      <c r="HQP3002" s="1" t="n">
        <v>0</v>
      </c>
      <c r="HQQ3002" s="1" t="n">
        <v>0</v>
      </c>
      <c r="HQR3002" s="1" t="n">
        <v>0</v>
      </c>
      <c r="HQS3002" s="1" t="n">
        <v>0</v>
      </c>
      <c r="HQT3002" s="1" t="n">
        <v>0</v>
      </c>
      <c r="HQU3002" s="1" t="n">
        <v>0</v>
      </c>
      <c r="HQV3002" s="1" t="n">
        <v>0</v>
      </c>
      <c r="HQW3002" s="1" t="n">
        <v>0</v>
      </c>
      <c r="HQX3002" s="1" t="n">
        <v>0</v>
      </c>
      <c r="HQY3002" s="1" t="n">
        <v>0</v>
      </c>
      <c r="HQZ3002" s="1" t="n">
        <v>0</v>
      </c>
      <c r="HRA3002" s="1" t="n">
        <v>0</v>
      </c>
      <c r="HRB3002" s="1" t="n">
        <v>0</v>
      </c>
      <c r="HRC3002" s="1" t="n">
        <v>0</v>
      </c>
      <c r="HRD3002" s="1" t="n">
        <v>0</v>
      </c>
      <c r="HRE3002" s="1" t="n">
        <v>0</v>
      </c>
      <c r="HRF3002" s="1" t="n">
        <v>0</v>
      </c>
      <c r="HRG3002" s="1" t="n">
        <v>0</v>
      </c>
      <c r="HRH3002" s="1" t="n">
        <v>0</v>
      </c>
      <c r="HRI3002" s="1" t="n">
        <v>0</v>
      </c>
      <c r="HRJ3002" s="1" t="n">
        <v>0</v>
      </c>
      <c r="HRK3002" s="1" t="n">
        <v>0</v>
      </c>
      <c r="HRL3002" s="1" t="n">
        <v>0</v>
      </c>
      <c r="HRM3002" s="1" t="n">
        <v>0</v>
      </c>
      <c r="HRN3002" s="1" t="n">
        <v>0</v>
      </c>
      <c r="HRO3002" s="1" t="n">
        <v>0</v>
      </c>
      <c r="HRP3002" s="1" t="n">
        <v>0</v>
      </c>
      <c r="HRQ3002" s="1" t="n">
        <v>0</v>
      </c>
      <c r="HRR3002" s="1" t="n">
        <v>0</v>
      </c>
      <c r="HRS3002" s="1" t="n">
        <v>0</v>
      </c>
      <c r="HRT3002" s="1" t="n">
        <v>0</v>
      </c>
      <c r="HRU3002" s="1" t="n">
        <v>0</v>
      </c>
      <c r="HRV3002" s="1" t="n">
        <v>0</v>
      </c>
      <c r="HRW3002" s="1" t="n">
        <v>0</v>
      </c>
      <c r="HRX3002" s="1" t="n">
        <v>0</v>
      </c>
      <c r="HRY3002" s="1" t="n">
        <v>0</v>
      </c>
      <c r="HRZ3002" s="1" t="n">
        <v>0</v>
      </c>
      <c r="HSA3002" s="1" t="n">
        <v>0</v>
      </c>
      <c r="HSB3002" s="1" t="n">
        <v>0</v>
      </c>
      <c r="HSC3002" s="1" t="n">
        <v>0</v>
      </c>
      <c r="HSD3002" s="1" t="n">
        <v>0</v>
      </c>
      <c r="HSE3002" s="1" t="n">
        <v>0</v>
      </c>
      <c r="HSF3002" s="1" t="n">
        <v>0</v>
      </c>
      <c r="HSG3002" s="1" t="n">
        <v>0</v>
      </c>
      <c r="HSH3002" s="1" t="n">
        <v>0</v>
      </c>
      <c r="HSI3002" s="1" t="n">
        <v>0</v>
      </c>
      <c r="HSJ3002" s="1" t="n">
        <v>0</v>
      </c>
      <c r="HSK3002" s="1" t="n">
        <v>0</v>
      </c>
      <c r="HSL3002" s="1" t="n">
        <v>0</v>
      </c>
      <c r="HSM3002" s="1" t="n">
        <v>0</v>
      </c>
      <c r="HSN3002" s="1" t="n">
        <v>0</v>
      </c>
      <c r="HSO3002" s="1" t="n">
        <v>0</v>
      </c>
      <c r="HSP3002" s="1" t="n">
        <v>0</v>
      </c>
      <c r="HSQ3002" s="1" t="n">
        <v>0</v>
      </c>
      <c r="HSR3002" s="1" t="n">
        <v>0</v>
      </c>
      <c r="HSS3002" s="1" t="n">
        <v>0</v>
      </c>
      <c r="HST3002" s="1" t="n">
        <v>0</v>
      </c>
      <c r="HSU3002" s="1" t="n">
        <v>0</v>
      </c>
      <c r="HSV3002" s="1" t="n">
        <v>0</v>
      </c>
      <c r="HSW3002" s="1" t="n">
        <v>0</v>
      </c>
      <c r="HSX3002" s="1" t="n">
        <v>0</v>
      </c>
      <c r="HSY3002" s="1" t="n">
        <v>0</v>
      </c>
      <c r="HSZ3002" s="1" t="n">
        <v>0</v>
      </c>
      <c r="HTA3002" s="1" t="n">
        <v>0</v>
      </c>
      <c r="HTB3002" s="1" t="n">
        <v>0</v>
      </c>
      <c r="HTC3002" s="1" t="n">
        <v>0</v>
      </c>
      <c r="HTD3002" s="1" t="n">
        <v>0</v>
      </c>
      <c r="HTE3002" s="1" t="n">
        <v>0</v>
      </c>
      <c r="HTF3002" s="1" t="n">
        <v>0</v>
      </c>
      <c r="HTG3002" s="1" t="n">
        <v>0</v>
      </c>
      <c r="HTH3002" s="1" t="n">
        <v>0</v>
      </c>
      <c r="HTI3002" s="1" t="n">
        <v>0</v>
      </c>
      <c r="HTJ3002" s="1" t="n">
        <v>0</v>
      </c>
      <c r="HTK3002" s="1" t="n">
        <v>0</v>
      </c>
      <c r="HTL3002" s="1" t="n">
        <v>0</v>
      </c>
      <c r="HTM3002" s="1" t="n">
        <v>0</v>
      </c>
      <c r="HTN3002" s="1" t="n">
        <v>0</v>
      </c>
      <c r="HTO3002" s="1" t="n">
        <v>0</v>
      </c>
      <c r="HTP3002" s="1" t="n">
        <v>0</v>
      </c>
      <c r="HTQ3002" s="1" t="n">
        <v>0</v>
      </c>
      <c r="HTR3002" s="1" t="n">
        <v>0</v>
      </c>
      <c r="HTS3002" s="1" t="n">
        <v>0</v>
      </c>
      <c r="HTT3002" s="1" t="n">
        <v>0</v>
      </c>
      <c r="HTU3002" s="1" t="n">
        <v>0</v>
      </c>
      <c r="HTV3002" s="1" t="n">
        <v>0</v>
      </c>
      <c r="HTW3002" s="1" t="n">
        <v>0</v>
      </c>
      <c r="HTX3002" s="1" t="n">
        <v>0</v>
      </c>
      <c r="HTY3002" s="1" t="n">
        <v>0</v>
      </c>
      <c r="HTZ3002" s="1" t="n">
        <v>0</v>
      </c>
      <c r="HUA3002" s="1" t="n">
        <v>0</v>
      </c>
      <c r="HUB3002" s="1" t="n">
        <v>0</v>
      </c>
      <c r="HUC3002" s="1" t="n">
        <v>0</v>
      </c>
      <c r="HUD3002" s="1" t="n">
        <v>0</v>
      </c>
      <c r="HUE3002" s="1" t="n">
        <v>0</v>
      </c>
      <c r="HUF3002" s="1" t="n">
        <v>0</v>
      </c>
      <c r="HUG3002" s="1" t="n">
        <v>0</v>
      </c>
      <c r="HUH3002" s="1" t="n">
        <v>0</v>
      </c>
      <c r="HUI3002" s="1" t="n">
        <v>0</v>
      </c>
      <c r="HUJ3002" s="1" t="n">
        <v>0</v>
      </c>
      <c r="HUK3002" s="1" t="n">
        <v>0</v>
      </c>
      <c r="HUL3002" s="1" t="n">
        <v>0</v>
      </c>
      <c r="HUM3002" s="1" t="n">
        <v>0</v>
      </c>
      <c r="HUN3002" s="1" t="n">
        <v>0</v>
      </c>
      <c r="HUO3002" s="1" t="n">
        <v>0</v>
      </c>
      <c r="HUP3002" s="1" t="n">
        <v>0</v>
      </c>
      <c r="HUQ3002" s="1" t="n">
        <v>0</v>
      </c>
      <c r="HUR3002" s="1" t="n">
        <v>0</v>
      </c>
      <c r="HUS3002" s="1" t="n">
        <v>0</v>
      </c>
      <c r="HUT3002" s="1" t="n">
        <v>0</v>
      </c>
      <c r="HUU3002" s="1" t="n">
        <v>0</v>
      </c>
      <c r="HUV3002" s="1" t="n">
        <v>0</v>
      </c>
      <c r="HUW3002" s="1" t="n">
        <v>0</v>
      </c>
      <c r="HUX3002" s="1" t="n">
        <v>0</v>
      </c>
      <c r="HUY3002" s="1" t="n">
        <v>0</v>
      </c>
      <c r="HUZ3002" s="1" t="n">
        <v>0</v>
      </c>
      <c r="HVA3002" s="1" t="n">
        <v>0</v>
      </c>
      <c r="HVB3002" s="1" t="n">
        <v>0</v>
      </c>
      <c r="HVC3002" s="1" t="n">
        <v>0</v>
      </c>
      <c r="HVD3002" s="1" t="n">
        <v>0</v>
      </c>
      <c r="HVE3002" s="1" t="n">
        <v>0</v>
      </c>
      <c r="HVF3002" s="1" t="n">
        <v>0</v>
      </c>
      <c r="HVG3002" s="1" t="n">
        <v>0</v>
      </c>
      <c r="HVH3002" s="1" t="n">
        <v>0</v>
      </c>
      <c r="HVI3002" s="1" t="n">
        <v>0</v>
      </c>
      <c r="HVJ3002" s="1" t="n">
        <v>0</v>
      </c>
      <c r="HVK3002" s="1" t="n">
        <v>0</v>
      </c>
      <c r="HVL3002" s="1" t="n">
        <v>0</v>
      </c>
      <c r="HVM3002" s="1" t="n">
        <v>0</v>
      </c>
      <c r="HVN3002" s="1" t="n">
        <v>0</v>
      </c>
      <c r="HVO3002" s="1" t="n">
        <v>0</v>
      </c>
      <c r="HVP3002" s="1" t="n">
        <v>0</v>
      </c>
      <c r="HVQ3002" s="1" t="n">
        <v>0</v>
      </c>
      <c r="HVR3002" s="1" t="n">
        <v>0</v>
      </c>
      <c r="HVS3002" s="1" t="n">
        <v>0</v>
      </c>
      <c r="HVT3002" s="1" t="n">
        <v>0</v>
      </c>
      <c r="HVU3002" s="1" t="n">
        <v>0</v>
      </c>
      <c r="HVV3002" s="1" t="n">
        <v>0</v>
      </c>
      <c r="HVW3002" s="1" t="n">
        <v>0</v>
      </c>
      <c r="HVX3002" s="1" t="n">
        <v>0</v>
      </c>
      <c r="HVY3002" s="1" t="n">
        <v>0</v>
      </c>
      <c r="HVZ3002" s="1" t="n">
        <v>0</v>
      </c>
      <c r="HWA3002" s="1" t="n">
        <v>0</v>
      </c>
      <c r="HWB3002" s="1" t="n">
        <v>0</v>
      </c>
      <c r="HWC3002" s="1" t="n">
        <v>0</v>
      </c>
      <c r="HWD3002" s="1" t="n">
        <v>0</v>
      </c>
      <c r="HWE3002" s="1" t="n">
        <v>0</v>
      </c>
      <c r="HWF3002" s="1" t="n">
        <v>0</v>
      </c>
      <c r="HWG3002" s="1" t="n">
        <v>0</v>
      </c>
      <c r="HWH3002" s="1" t="n">
        <v>0</v>
      </c>
      <c r="HWI3002" s="1" t="n">
        <v>0</v>
      </c>
      <c r="HWJ3002" s="1" t="n">
        <v>0</v>
      </c>
      <c r="HWK3002" s="1" t="n">
        <v>0</v>
      </c>
      <c r="HWL3002" s="1" t="n">
        <v>0</v>
      </c>
      <c r="HWM3002" s="1" t="n">
        <v>0</v>
      </c>
      <c r="HWN3002" s="1" t="n">
        <v>0</v>
      </c>
      <c r="HWO3002" s="1" t="n">
        <v>0</v>
      </c>
      <c r="HWP3002" s="1" t="n">
        <v>0</v>
      </c>
      <c r="HWQ3002" s="1" t="n">
        <v>0</v>
      </c>
      <c r="HWR3002" s="1" t="n">
        <v>0</v>
      </c>
      <c r="HWS3002" s="1" t="n">
        <v>0</v>
      </c>
      <c r="HWT3002" s="1" t="n">
        <v>0</v>
      </c>
      <c r="HWU3002" s="1" t="n">
        <v>0</v>
      </c>
      <c r="HWV3002" s="1" t="n">
        <v>0</v>
      </c>
      <c r="HWW3002" s="1" t="n">
        <v>0</v>
      </c>
      <c r="HWX3002" s="1" t="n">
        <v>0</v>
      </c>
      <c r="HWY3002" s="1" t="n">
        <v>0</v>
      </c>
      <c r="HWZ3002" s="1" t="n">
        <v>0</v>
      </c>
      <c r="HXA3002" s="1" t="n">
        <v>0</v>
      </c>
      <c r="HXB3002" s="1" t="n">
        <v>0</v>
      </c>
      <c r="HXC3002" s="1" t="n">
        <v>0</v>
      </c>
      <c r="HXD3002" s="1" t="n">
        <v>0</v>
      </c>
      <c r="HXE3002" s="1" t="n">
        <v>0</v>
      </c>
      <c r="HXF3002" s="1" t="n">
        <v>0</v>
      </c>
      <c r="HXG3002" s="1" t="n">
        <v>0</v>
      </c>
      <c r="HXH3002" s="1" t="n">
        <v>0</v>
      </c>
      <c r="HXI3002" s="1" t="n">
        <v>0</v>
      </c>
      <c r="HXJ3002" s="1" t="n">
        <v>0</v>
      </c>
      <c r="HXK3002" s="1" t="n">
        <v>0</v>
      </c>
      <c r="HXL3002" s="1" t="n">
        <v>0</v>
      </c>
      <c r="HXM3002" s="1" t="n">
        <v>0</v>
      </c>
      <c r="HXN3002" s="1" t="n">
        <v>0</v>
      </c>
      <c r="HXO3002" s="1" t="n">
        <v>0</v>
      </c>
      <c r="HXP3002" s="1" t="n">
        <v>0</v>
      </c>
      <c r="HXQ3002" s="1" t="n">
        <v>0</v>
      </c>
      <c r="HXR3002" s="1" t="n">
        <v>0</v>
      </c>
      <c r="HXS3002" s="1" t="n">
        <v>0</v>
      </c>
      <c r="HXT3002" s="1" t="n">
        <v>0</v>
      </c>
      <c r="HXU3002" s="1" t="n">
        <v>0</v>
      </c>
      <c r="HXV3002" s="1" t="n">
        <v>0</v>
      </c>
      <c r="HXW3002" s="1" t="n">
        <v>0</v>
      </c>
      <c r="HXX3002" s="1" t="n">
        <v>0</v>
      </c>
      <c r="HXY3002" s="1" t="n">
        <v>0</v>
      </c>
      <c r="HXZ3002" s="1" t="n">
        <v>0</v>
      </c>
      <c r="HYA3002" s="1" t="n">
        <v>0</v>
      </c>
      <c r="HYB3002" s="1" t="n">
        <v>0</v>
      </c>
      <c r="HYC3002" s="1" t="n">
        <v>0</v>
      </c>
      <c r="HYD3002" s="1" t="n">
        <v>0</v>
      </c>
      <c r="HYE3002" s="1" t="n">
        <v>0</v>
      </c>
      <c r="HYF3002" s="1" t="n">
        <v>0</v>
      </c>
      <c r="HYG3002" s="1" t="n">
        <v>0</v>
      </c>
      <c r="HYH3002" s="1" t="n">
        <v>0</v>
      </c>
      <c r="HYI3002" s="1" t="n">
        <v>0</v>
      </c>
      <c r="HYJ3002" s="1" t="n">
        <v>0</v>
      </c>
      <c r="HYK3002" s="1" t="n">
        <v>0</v>
      </c>
      <c r="HYL3002" s="1" t="n">
        <v>0</v>
      </c>
      <c r="HYM3002" s="1" t="n">
        <v>0</v>
      </c>
      <c r="HYN3002" s="1" t="n">
        <v>0</v>
      </c>
      <c r="HYO3002" s="1" t="n">
        <v>0</v>
      </c>
      <c r="HYP3002" s="1" t="n">
        <v>0</v>
      </c>
      <c r="HYQ3002" s="1" t="n">
        <v>0</v>
      </c>
      <c r="HYR3002" s="1" t="n">
        <v>0</v>
      </c>
      <c r="HYS3002" s="1" t="n">
        <v>0</v>
      </c>
      <c r="HYT3002" s="1" t="n">
        <v>0</v>
      </c>
      <c r="HYU3002" s="1" t="n">
        <v>0</v>
      </c>
      <c r="HYV3002" s="1" t="n">
        <v>0</v>
      </c>
      <c r="HYW3002" s="1" t="n">
        <v>0</v>
      </c>
      <c r="HYX3002" s="1" t="n">
        <v>0</v>
      </c>
      <c r="HYY3002" s="1" t="n">
        <v>0</v>
      </c>
      <c r="HYZ3002" s="1" t="n">
        <v>0</v>
      </c>
      <c r="HZA3002" s="1" t="n">
        <v>0</v>
      </c>
      <c r="HZB3002" s="1" t="n">
        <v>0</v>
      </c>
      <c r="HZC3002" s="1" t="n">
        <v>0</v>
      </c>
      <c r="HZD3002" s="1" t="n">
        <v>0</v>
      </c>
      <c r="HZE3002" s="1" t="n">
        <v>0</v>
      </c>
      <c r="HZF3002" s="1" t="n">
        <v>0</v>
      </c>
      <c r="HZG3002" s="1" t="n">
        <v>0</v>
      </c>
      <c r="HZH3002" s="1" t="n">
        <v>0</v>
      </c>
      <c r="HZI3002" s="1" t="n">
        <v>0</v>
      </c>
      <c r="HZJ3002" s="1" t="n">
        <v>0</v>
      </c>
      <c r="HZK3002" s="1" t="n">
        <v>0</v>
      </c>
      <c r="HZL3002" s="1" t="n">
        <v>0</v>
      </c>
      <c r="HZM3002" s="1" t="n">
        <v>0</v>
      </c>
      <c r="HZN3002" s="1" t="n">
        <v>0</v>
      </c>
      <c r="HZO3002" s="1" t="n">
        <v>0</v>
      </c>
      <c r="HZP3002" s="1" t="n">
        <v>0</v>
      </c>
      <c r="HZQ3002" s="1" t="n">
        <v>0</v>
      </c>
      <c r="HZR3002" s="1" t="n">
        <v>0</v>
      </c>
      <c r="HZS3002" s="1" t="n">
        <v>0</v>
      </c>
      <c r="HZT3002" s="1" t="n">
        <v>0</v>
      </c>
      <c r="HZU3002" s="1" t="n">
        <v>0</v>
      </c>
      <c r="HZV3002" s="1" t="n">
        <v>0</v>
      </c>
      <c r="HZW3002" s="1" t="n">
        <v>0</v>
      </c>
      <c r="HZX3002" s="1" t="n">
        <v>0</v>
      </c>
      <c r="HZY3002" s="1" t="n">
        <v>0</v>
      </c>
      <c r="HZZ3002" s="1" t="n">
        <v>0</v>
      </c>
      <c r="IAA3002" s="1" t="n">
        <v>0</v>
      </c>
      <c r="IAB3002" s="1" t="n">
        <v>0</v>
      </c>
      <c r="IAC3002" s="1" t="n">
        <v>0</v>
      </c>
      <c r="IAD3002" s="1" t="n">
        <v>0</v>
      </c>
      <c r="IAE3002" s="1" t="n">
        <v>0</v>
      </c>
      <c r="IAF3002" s="1" t="n">
        <v>0</v>
      </c>
      <c r="IAG3002" s="1" t="n">
        <v>0</v>
      </c>
      <c r="IAH3002" s="1" t="n">
        <v>0</v>
      </c>
      <c r="IAI3002" s="1" t="n">
        <v>0</v>
      </c>
      <c r="IAJ3002" s="1" t="n">
        <v>0</v>
      </c>
      <c r="IAK3002" s="1" t="n">
        <v>0</v>
      </c>
      <c r="IAL3002" s="1" t="n">
        <v>0</v>
      </c>
      <c r="IAM3002" s="1" t="n">
        <v>0</v>
      </c>
      <c r="IAN3002" s="1" t="n">
        <v>0</v>
      </c>
      <c r="IAO3002" s="1" t="n">
        <v>0</v>
      </c>
      <c r="IAP3002" s="1" t="n">
        <v>0</v>
      </c>
      <c r="IAQ3002" s="1" t="n">
        <v>0</v>
      </c>
      <c r="IAR3002" s="1" t="n">
        <v>0</v>
      </c>
      <c r="IAS3002" s="1" t="n">
        <v>0</v>
      </c>
      <c r="IAT3002" s="1" t="n">
        <v>0</v>
      </c>
      <c r="IAU3002" s="1" t="n">
        <v>0</v>
      </c>
      <c r="IAV3002" s="1" t="n">
        <v>0</v>
      </c>
      <c r="IAW3002" s="1" t="n">
        <v>0</v>
      </c>
      <c r="IAX3002" s="1" t="n">
        <v>0</v>
      </c>
      <c r="IAY3002" s="1" t="n">
        <v>0</v>
      </c>
      <c r="IAZ3002" s="1" t="n">
        <v>0</v>
      </c>
      <c r="IBA3002" s="1" t="n">
        <v>0</v>
      </c>
      <c r="IBB3002" s="1" t="n">
        <v>0</v>
      </c>
      <c r="IBC3002" s="1" t="n">
        <v>0</v>
      </c>
      <c r="IBD3002" s="1" t="n">
        <v>0</v>
      </c>
      <c r="IBE3002" s="1" t="n">
        <v>0</v>
      </c>
      <c r="IBF3002" s="1" t="n">
        <v>0</v>
      </c>
      <c r="IBG3002" s="1" t="n">
        <v>0</v>
      </c>
      <c r="IBH3002" s="1" t="n">
        <v>0</v>
      </c>
      <c r="IBI3002" s="1" t="n">
        <v>0</v>
      </c>
      <c r="IBJ3002" s="1" t="n">
        <v>0</v>
      </c>
      <c r="IBK3002" s="1" t="n">
        <v>0</v>
      </c>
      <c r="IBL3002" s="1" t="n">
        <v>0</v>
      </c>
      <c r="IBM3002" s="1" t="n">
        <v>0</v>
      </c>
      <c r="IBN3002" s="1" t="n">
        <v>0</v>
      </c>
      <c r="IBO3002" s="1" t="n">
        <v>0</v>
      </c>
      <c r="IBP3002" s="1" t="n">
        <v>0</v>
      </c>
      <c r="IBQ3002" s="1" t="n">
        <v>0</v>
      </c>
      <c r="IBR3002" s="1" t="n">
        <v>0</v>
      </c>
      <c r="IBS3002" s="1" t="n">
        <v>0</v>
      </c>
      <c r="IBT3002" s="1" t="n">
        <v>0</v>
      </c>
      <c r="IBU3002" s="1" t="n">
        <v>0</v>
      </c>
      <c r="IBV3002" s="1" t="n">
        <v>0</v>
      </c>
      <c r="IBW3002" s="1" t="n">
        <v>0</v>
      </c>
      <c r="IBX3002" s="1" t="n">
        <v>0</v>
      </c>
      <c r="IBY3002" s="1" t="n">
        <v>0</v>
      </c>
      <c r="IBZ3002" s="1" t="n">
        <v>0</v>
      </c>
      <c r="ICA3002" s="1" t="n">
        <v>0</v>
      </c>
      <c r="ICB3002" s="1" t="n">
        <v>0</v>
      </c>
      <c r="ICC3002" s="1" t="n">
        <v>0</v>
      </c>
      <c r="ICD3002" s="1" t="n">
        <v>0</v>
      </c>
      <c r="ICE3002" s="1" t="n">
        <v>0</v>
      </c>
      <c r="ICF3002" s="1" t="n">
        <v>0</v>
      </c>
      <c r="ICG3002" s="1" t="n">
        <v>0</v>
      </c>
      <c r="ICH3002" s="1" t="n">
        <v>0</v>
      </c>
      <c r="ICI3002" s="1" t="n">
        <v>0</v>
      </c>
      <c r="ICJ3002" s="1" t="n">
        <v>0</v>
      </c>
      <c r="ICK3002" s="1" t="n">
        <v>0</v>
      </c>
      <c r="ICL3002" s="1" t="n">
        <v>0</v>
      </c>
      <c r="ICM3002" s="1" t="n">
        <v>0</v>
      </c>
      <c r="ICN3002" s="1" t="n">
        <v>0</v>
      </c>
      <c r="ICO3002" s="1" t="n">
        <v>0</v>
      </c>
      <c r="ICP3002" s="1" t="n">
        <v>0</v>
      </c>
      <c r="ICQ3002" s="1" t="n">
        <v>0</v>
      </c>
      <c r="ICR3002" s="1" t="n">
        <v>0</v>
      </c>
      <c r="ICS3002" s="1" t="n">
        <v>0</v>
      </c>
      <c r="ICT3002" s="1" t="n">
        <v>0</v>
      </c>
      <c r="ICU3002" s="1" t="n">
        <v>0</v>
      </c>
      <c r="ICV3002" s="1" t="n">
        <v>0</v>
      </c>
      <c r="ICW3002" s="1" t="n">
        <v>0</v>
      </c>
      <c r="ICX3002" s="1" t="n">
        <v>0</v>
      </c>
      <c r="ICY3002" s="1" t="n">
        <v>0</v>
      </c>
      <c r="ICZ3002" s="1" t="n">
        <v>0</v>
      </c>
      <c r="IDA3002" s="1" t="n">
        <v>0</v>
      </c>
      <c r="IDB3002" s="1" t="n">
        <v>0</v>
      </c>
      <c r="IDC3002" s="1" t="n">
        <v>0</v>
      </c>
      <c r="IDD3002" s="1" t="n">
        <v>0</v>
      </c>
      <c r="IDE3002" s="1" t="n">
        <v>0</v>
      </c>
      <c r="IDF3002" s="1" t="n">
        <v>0</v>
      </c>
      <c r="IDG3002" s="1" t="n">
        <v>0</v>
      </c>
      <c r="IDH3002" s="1" t="n">
        <v>0</v>
      </c>
      <c r="IDI3002" s="1" t="n">
        <v>0</v>
      </c>
      <c r="IDJ3002" s="1" t="n">
        <v>0</v>
      </c>
      <c r="IDK3002" s="1" t="n">
        <v>0</v>
      </c>
      <c r="IDL3002" s="1" t="n">
        <v>0</v>
      </c>
      <c r="IDM3002" s="1" t="n">
        <v>0</v>
      </c>
      <c r="IDN3002" s="1" t="n">
        <v>0</v>
      </c>
      <c r="IDO3002" s="1" t="n">
        <v>0</v>
      </c>
      <c r="IDP3002" s="1" t="n">
        <v>0</v>
      </c>
      <c r="IDQ3002" s="1" t="n">
        <v>0</v>
      </c>
      <c r="IDR3002" s="1" t="n">
        <v>0</v>
      </c>
      <c r="IDS3002" s="1" t="n">
        <v>0</v>
      </c>
      <c r="IDT3002" s="1" t="n">
        <v>0</v>
      </c>
      <c r="IDU3002" s="1" t="n">
        <v>0</v>
      </c>
      <c r="IDV3002" s="1" t="n">
        <v>0</v>
      </c>
      <c r="IDW3002" s="1" t="n">
        <v>0</v>
      </c>
      <c r="IDX3002" s="1" t="n">
        <v>0</v>
      </c>
      <c r="IDY3002" s="1" t="n">
        <v>0</v>
      </c>
      <c r="IDZ3002" s="1" t="n">
        <v>0</v>
      </c>
      <c r="IEA3002" s="1" t="n">
        <v>0</v>
      </c>
      <c r="IEB3002" s="1" t="n">
        <v>0</v>
      </c>
      <c r="IEC3002" s="1" t="n">
        <v>0</v>
      </c>
      <c r="IED3002" s="1" t="n">
        <v>0</v>
      </c>
      <c r="IEE3002" s="1" t="n">
        <v>0</v>
      </c>
      <c r="IEF3002" s="1" t="n">
        <v>0</v>
      </c>
      <c r="IEG3002" s="1" t="n">
        <v>0</v>
      </c>
      <c r="IEH3002" s="1" t="n">
        <v>0</v>
      </c>
      <c r="IEI3002" s="1" t="n">
        <v>0</v>
      </c>
      <c r="IEJ3002" s="1" t="n">
        <v>0</v>
      </c>
      <c r="IEK3002" s="1" t="n">
        <v>0</v>
      </c>
      <c r="IEL3002" s="1" t="n">
        <v>0</v>
      </c>
      <c r="IEM3002" s="1" t="n">
        <v>0</v>
      </c>
      <c r="IEN3002" s="1" t="n">
        <v>0</v>
      </c>
      <c r="IEO3002" s="1" t="n">
        <v>0</v>
      </c>
      <c r="IEP3002" s="1" t="n">
        <v>0</v>
      </c>
      <c r="IEQ3002" s="1" t="n">
        <v>0</v>
      </c>
      <c r="IER3002" s="1" t="n">
        <v>0</v>
      </c>
      <c r="IES3002" s="1" t="n">
        <v>0</v>
      </c>
      <c r="IET3002" s="1" t="n">
        <v>0</v>
      </c>
      <c r="IEU3002" s="1" t="n">
        <v>0</v>
      </c>
      <c r="IEV3002" s="1" t="n">
        <v>0</v>
      </c>
      <c r="IEW3002" s="1" t="n">
        <v>0</v>
      </c>
      <c r="IEX3002" s="1" t="n">
        <v>0</v>
      </c>
      <c r="IEY3002" s="1" t="n">
        <v>0</v>
      </c>
      <c r="IEZ3002" s="1" t="n">
        <v>0</v>
      </c>
      <c r="IFA3002" s="1" t="n">
        <v>0</v>
      </c>
      <c r="IFB3002" s="1" t="n">
        <v>0</v>
      </c>
      <c r="IFC3002" s="1" t="n">
        <v>0</v>
      </c>
      <c r="IFD3002" s="1" t="n">
        <v>0</v>
      </c>
      <c r="IFE3002" s="1" t="n">
        <v>0</v>
      </c>
      <c r="IFF3002" s="1" t="n">
        <v>0</v>
      </c>
      <c r="IFG3002" s="1" t="n">
        <v>0</v>
      </c>
      <c r="IFH3002" s="1" t="n">
        <v>0</v>
      </c>
      <c r="IFI3002" s="1" t="n">
        <v>0</v>
      </c>
      <c r="IFJ3002" s="1" t="n">
        <v>0</v>
      </c>
      <c r="IFK3002" s="1" t="n">
        <v>0</v>
      </c>
      <c r="IFL3002" s="1" t="n">
        <v>0</v>
      </c>
      <c r="IFM3002" s="1" t="n">
        <v>0</v>
      </c>
      <c r="IFN3002" s="1" t="n">
        <v>0</v>
      </c>
      <c r="IFO3002" s="1" t="n">
        <v>0</v>
      </c>
      <c r="IFP3002" s="1" t="n">
        <v>0</v>
      </c>
      <c r="IFQ3002" s="1" t="n">
        <v>0</v>
      </c>
      <c r="IFR3002" s="1" t="n">
        <v>0</v>
      </c>
      <c r="IFS3002" s="1" t="n">
        <v>0</v>
      </c>
      <c r="IFT3002" s="1" t="n">
        <v>0</v>
      </c>
      <c r="IFU3002" s="1" t="n">
        <v>0</v>
      </c>
      <c r="IFV3002" s="1" t="n">
        <v>0</v>
      </c>
      <c r="IFW3002" s="1" t="n">
        <v>0</v>
      </c>
      <c r="IFX3002" s="1" t="n">
        <v>0</v>
      </c>
      <c r="IFY3002" s="1" t="n">
        <v>0</v>
      </c>
      <c r="IFZ3002" s="1" t="n">
        <v>0</v>
      </c>
      <c r="IGA3002" s="1" t="n">
        <v>0</v>
      </c>
      <c r="IGB3002" s="1" t="n">
        <v>0</v>
      </c>
      <c r="IGC3002" s="1" t="n">
        <v>0</v>
      </c>
      <c r="IGD3002" s="1" t="n">
        <v>0</v>
      </c>
      <c r="IGE3002" s="1" t="n">
        <v>0</v>
      </c>
      <c r="IGF3002" s="1" t="n">
        <v>0</v>
      </c>
      <c r="IGG3002" s="1" t="n">
        <v>0</v>
      </c>
      <c r="IGH3002" s="1" t="n">
        <v>0</v>
      </c>
      <c r="IGI3002" s="1" t="n">
        <v>0</v>
      </c>
      <c r="IGJ3002" s="1" t="n">
        <v>0</v>
      </c>
      <c r="IGK3002" s="1" t="n">
        <v>0</v>
      </c>
      <c r="IGL3002" s="1" t="n">
        <v>0</v>
      </c>
      <c r="IGM3002" s="1" t="n">
        <v>0</v>
      </c>
      <c r="IGN3002" s="1" t="n">
        <v>0</v>
      </c>
      <c r="IGO3002" s="1" t="n">
        <v>0</v>
      </c>
      <c r="IGP3002" s="1" t="n">
        <v>0</v>
      </c>
      <c r="IGQ3002" s="1" t="n">
        <v>0</v>
      </c>
      <c r="IGR3002" s="1" t="n">
        <v>0</v>
      </c>
      <c r="IGS3002" s="1" t="n">
        <v>0</v>
      </c>
      <c r="IGT3002" s="1" t="n">
        <v>0</v>
      </c>
      <c r="IGU3002" s="1" t="n">
        <v>0</v>
      </c>
      <c r="IGV3002" s="1" t="n">
        <v>0</v>
      </c>
      <c r="IGW3002" s="1" t="n">
        <v>0</v>
      </c>
      <c r="IGX3002" s="1" t="n">
        <v>0</v>
      </c>
      <c r="IGY3002" s="1" t="n">
        <v>0</v>
      </c>
      <c r="IGZ3002" s="1" t="n">
        <v>0</v>
      </c>
      <c r="IHA3002" s="1" t="n">
        <v>0</v>
      </c>
      <c r="IHB3002" s="1" t="n">
        <v>0</v>
      </c>
      <c r="IHC3002" s="1" t="n">
        <v>0</v>
      </c>
      <c r="IHD3002" s="1" t="n">
        <v>0</v>
      </c>
      <c r="IHE3002" s="1" t="n">
        <v>0</v>
      </c>
      <c r="IHF3002" s="1" t="n">
        <v>0</v>
      </c>
      <c r="IHG3002" s="1" t="n">
        <v>0</v>
      </c>
      <c r="IHH3002" s="1" t="n">
        <v>0</v>
      </c>
      <c r="IHI3002" s="1" t="n">
        <v>0</v>
      </c>
      <c r="IHJ3002" s="1" t="n">
        <v>0</v>
      </c>
      <c r="IHK3002" s="1" t="n">
        <v>0</v>
      </c>
      <c r="IHL3002" s="1" t="n">
        <v>0</v>
      </c>
      <c r="IHM3002" s="1" t="n">
        <v>0</v>
      </c>
      <c r="IHN3002" s="1" t="n">
        <v>0</v>
      </c>
      <c r="IHO3002" s="1" t="n">
        <v>0</v>
      </c>
      <c r="IHP3002" s="1" t="n">
        <v>0</v>
      </c>
      <c r="IHQ3002" s="1" t="n">
        <v>0</v>
      </c>
      <c r="IHR3002" s="1" t="n">
        <v>0</v>
      </c>
      <c r="IHS3002" s="1" t="n">
        <v>0</v>
      </c>
      <c r="IHT3002" s="1" t="n">
        <v>0</v>
      </c>
      <c r="IHU3002" s="1" t="n">
        <v>0</v>
      </c>
      <c r="IHV3002" s="1" t="n">
        <v>0</v>
      </c>
      <c r="IHW3002" s="1" t="n">
        <v>0</v>
      </c>
      <c r="IHX3002" s="1" t="n">
        <v>0</v>
      </c>
      <c r="IHY3002" s="1" t="n">
        <v>0</v>
      </c>
      <c r="IHZ3002" s="1" t="n">
        <v>0</v>
      </c>
      <c r="IIA3002" s="1" t="n">
        <v>0</v>
      </c>
      <c r="IIB3002" s="1" t="n">
        <v>0</v>
      </c>
      <c r="IIC3002" s="1" t="n">
        <v>0</v>
      </c>
      <c r="IID3002" s="1" t="n">
        <v>0</v>
      </c>
      <c r="IIE3002" s="1" t="n">
        <v>0</v>
      </c>
      <c r="IIF3002" s="1" t="n">
        <v>0</v>
      </c>
      <c r="IIG3002" s="1" t="n">
        <v>0</v>
      </c>
      <c r="IIH3002" s="1" t="n">
        <v>0</v>
      </c>
      <c r="III3002" s="1" t="n">
        <v>0</v>
      </c>
      <c r="IIJ3002" s="1" t="n">
        <v>0</v>
      </c>
      <c r="IIK3002" s="1" t="n">
        <v>0</v>
      </c>
      <c r="IIL3002" s="1" t="n">
        <v>0</v>
      </c>
      <c r="IIM3002" s="1" t="n">
        <v>0</v>
      </c>
      <c r="IIN3002" s="1" t="n">
        <v>0</v>
      </c>
      <c r="IIO3002" s="1" t="n">
        <v>0</v>
      </c>
      <c r="IIP3002" s="1" t="n">
        <v>0</v>
      </c>
      <c r="IIQ3002" s="1" t="n">
        <v>0</v>
      </c>
      <c r="IIR3002" s="1" t="n">
        <v>0</v>
      </c>
      <c r="IIS3002" s="1" t="n">
        <v>0</v>
      </c>
      <c r="IIT3002" s="1" t="n">
        <v>0</v>
      </c>
      <c r="IIU3002" s="1" t="n">
        <v>0</v>
      </c>
      <c r="IIV3002" s="1" t="n">
        <v>0</v>
      </c>
      <c r="IIW3002" s="1" t="n">
        <v>0</v>
      </c>
      <c r="IIX3002" s="1" t="n">
        <v>0</v>
      </c>
      <c r="IIY3002" s="1" t="n">
        <v>0</v>
      </c>
      <c r="IIZ3002" s="1" t="n">
        <v>0</v>
      </c>
      <c r="IJA3002" s="1" t="n">
        <v>0</v>
      </c>
      <c r="IJB3002" s="1" t="n">
        <v>0</v>
      </c>
      <c r="IJC3002" s="1" t="n">
        <v>0</v>
      </c>
      <c r="IJD3002" s="1" t="n">
        <v>0</v>
      </c>
      <c r="IJE3002" s="1" t="n">
        <v>0</v>
      </c>
      <c r="IJF3002" s="1" t="n">
        <v>0</v>
      </c>
      <c r="IJG3002" s="1" t="n">
        <v>0</v>
      </c>
      <c r="IJH3002" s="1" t="n">
        <v>0</v>
      </c>
      <c r="IJI3002" s="1" t="n">
        <v>0</v>
      </c>
      <c r="IJJ3002" s="1" t="n">
        <v>0</v>
      </c>
      <c r="IJK3002" s="1" t="n">
        <v>0</v>
      </c>
      <c r="IJL3002" s="1" t="n">
        <v>0</v>
      </c>
      <c r="IJM3002" s="1" t="n">
        <v>0</v>
      </c>
      <c r="IJN3002" s="1" t="n">
        <v>0</v>
      </c>
      <c r="IJO3002" s="1" t="n">
        <v>0</v>
      </c>
      <c r="IJP3002" s="1" t="n">
        <v>0</v>
      </c>
      <c r="IJQ3002" s="1" t="n">
        <v>0</v>
      </c>
      <c r="IJR3002" s="1" t="n">
        <v>0</v>
      </c>
      <c r="IJS3002" s="1" t="n">
        <v>0</v>
      </c>
      <c r="IJT3002" s="1" t="n">
        <v>0</v>
      </c>
      <c r="IJU3002" s="1" t="n">
        <v>0</v>
      </c>
      <c r="IJV3002" s="1" t="n">
        <v>0</v>
      </c>
      <c r="IJW3002" s="1" t="n">
        <v>0</v>
      </c>
      <c r="IJX3002" s="1" t="n">
        <v>0</v>
      </c>
      <c r="IJY3002" s="1" t="n">
        <v>0</v>
      </c>
      <c r="IJZ3002" s="1" t="n">
        <v>0</v>
      </c>
      <c r="IKA3002" s="1" t="n">
        <v>0</v>
      </c>
      <c r="IKB3002" s="1" t="n">
        <v>0</v>
      </c>
      <c r="IKC3002" s="1" t="n">
        <v>0</v>
      </c>
      <c r="IKD3002" s="1" t="n">
        <v>0</v>
      </c>
      <c r="IKE3002" s="1" t="n">
        <v>0</v>
      </c>
      <c r="IKF3002" s="1" t="n">
        <v>0</v>
      </c>
      <c r="IKG3002" s="1" t="n">
        <v>0</v>
      </c>
      <c r="IKH3002" s="1" t="n">
        <v>0</v>
      </c>
      <c r="IKI3002" s="1" t="n">
        <v>0</v>
      </c>
      <c r="IKJ3002" s="1" t="n">
        <v>0</v>
      </c>
      <c r="IKK3002" s="1" t="n">
        <v>0</v>
      </c>
      <c r="IKL3002" s="1" t="n">
        <v>0</v>
      </c>
      <c r="IKM3002" s="1" t="n">
        <v>0</v>
      </c>
      <c r="IKN3002" s="1" t="n">
        <v>0</v>
      </c>
      <c r="IKO3002" s="1" t="n">
        <v>0</v>
      </c>
      <c r="IKP3002" s="1" t="n">
        <v>0</v>
      </c>
      <c r="IKQ3002" s="1" t="n">
        <v>0</v>
      </c>
      <c r="IKR3002" s="1" t="n">
        <v>0</v>
      </c>
      <c r="IKS3002" s="1" t="n">
        <v>0</v>
      </c>
      <c r="IKT3002" s="1" t="n">
        <v>0</v>
      </c>
      <c r="IKU3002" s="1" t="n">
        <v>0</v>
      </c>
      <c r="IKV3002" s="1" t="n">
        <v>0</v>
      </c>
      <c r="IKW3002" s="1" t="n">
        <v>0</v>
      </c>
      <c r="IKX3002" s="1" t="n">
        <v>0</v>
      </c>
      <c r="IKY3002" s="1" t="n">
        <v>0</v>
      </c>
      <c r="IKZ3002" s="1" t="n">
        <v>0</v>
      </c>
      <c r="ILA3002" s="1" t="n">
        <v>0</v>
      </c>
      <c r="ILB3002" s="1" t="n">
        <v>0</v>
      </c>
      <c r="ILC3002" s="1" t="n">
        <v>0</v>
      </c>
      <c r="ILD3002" s="1" t="n">
        <v>0</v>
      </c>
      <c r="ILE3002" s="1" t="n">
        <v>0</v>
      </c>
      <c r="ILF3002" s="1" t="n">
        <v>0</v>
      </c>
      <c r="ILG3002" s="1" t="n">
        <v>0</v>
      </c>
      <c r="ILH3002" s="1" t="n">
        <v>0</v>
      </c>
      <c r="ILI3002" s="1" t="n">
        <v>0</v>
      </c>
      <c r="ILJ3002" s="1" t="n">
        <v>0</v>
      </c>
      <c r="ILK3002" s="1" t="n">
        <v>0</v>
      </c>
      <c r="ILL3002" s="1" t="n">
        <v>0</v>
      </c>
      <c r="ILM3002" s="1" t="n">
        <v>0</v>
      </c>
      <c r="ILN3002" s="1" t="n">
        <v>0</v>
      </c>
      <c r="ILO3002" s="1" t="n">
        <v>0</v>
      </c>
      <c r="ILP3002" s="1" t="n">
        <v>0</v>
      </c>
      <c r="ILQ3002" s="1" t="n">
        <v>0</v>
      </c>
      <c r="ILR3002" s="1" t="n">
        <v>0</v>
      </c>
      <c r="ILS3002" s="1" t="n">
        <v>0</v>
      </c>
      <c r="ILT3002" s="1" t="n">
        <v>0</v>
      </c>
      <c r="ILU3002" s="1" t="n">
        <v>0</v>
      </c>
      <c r="ILV3002" s="1" t="n">
        <v>0</v>
      </c>
      <c r="ILW3002" s="1" t="n">
        <v>0</v>
      </c>
      <c r="ILX3002" s="1" t="n">
        <v>0</v>
      </c>
      <c r="ILY3002" s="1" t="n">
        <v>0</v>
      </c>
      <c r="ILZ3002" s="1" t="n">
        <v>0</v>
      </c>
      <c r="IMA3002" s="1" t="n">
        <v>0</v>
      </c>
      <c r="IMB3002" s="1" t="n">
        <v>0</v>
      </c>
      <c r="IMC3002" s="1" t="n">
        <v>0</v>
      </c>
      <c r="IMD3002" s="1" t="n">
        <v>0</v>
      </c>
      <c r="IME3002" s="1" t="n">
        <v>0</v>
      </c>
      <c r="IMF3002" s="1" t="n">
        <v>0</v>
      </c>
      <c r="IMG3002" s="1" t="n">
        <v>0</v>
      </c>
      <c r="IMH3002" s="1" t="n">
        <v>0</v>
      </c>
      <c r="IMI3002" s="1" t="n">
        <v>0</v>
      </c>
      <c r="IMJ3002" s="1" t="n">
        <v>0</v>
      </c>
      <c r="IMK3002" s="1" t="n">
        <v>0</v>
      </c>
      <c r="IML3002" s="1" t="n">
        <v>0</v>
      </c>
      <c r="IMM3002" s="1" t="n">
        <v>0</v>
      </c>
      <c r="IMN3002" s="1" t="n">
        <v>0</v>
      </c>
      <c r="IMO3002" s="1" t="n">
        <v>0</v>
      </c>
      <c r="IMP3002" s="1" t="n">
        <v>0</v>
      </c>
      <c r="IMQ3002" s="1" t="n">
        <v>0</v>
      </c>
      <c r="IMR3002" s="1" t="n">
        <v>0</v>
      </c>
      <c r="IMS3002" s="1" t="n">
        <v>0</v>
      </c>
      <c r="IMT3002" s="1" t="n">
        <v>0</v>
      </c>
      <c r="IMU3002" s="1" t="n">
        <v>0</v>
      </c>
      <c r="IMV3002" s="1" t="n">
        <v>0</v>
      </c>
      <c r="IMW3002" s="1" t="n">
        <v>0</v>
      </c>
      <c r="IMX3002" s="1" t="n">
        <v>0</v>
      </c>
      <c r="IMY3002" s="1" t="n">
        <v>0</v>
      </c>
      <c r="IMZ3002" s="1" t="n">
        <v>0</v>
      </c>
      <c r="INA3002" s="1" t="n">
        <v>0</v>
      </c>
      <c r="INB3002" s="1" t="n">
        <v>0</v>
      </c>
      <c r="INC3002" s="1" t="n">
        <v>0</v>
      </c>
      <c r="IND3002" s="1" t="n">
        <v>0</v>
      </c>
      <c r="INE3002" s="1" t="n">
        <v>0</v>
      </c>
      <c r="INF3002" s="1" t="n">
        <v>0</v>
      </c>
      <c r="ING3002" s="1" t="n">
        <v>0</v>
      </c>
      <c r="INH3002" s="1" t="n">
        <v>0</v>
      </c>
      <c r="INI3002" s="1" t="n">
        <v>0</v>
      </c>
      <c r="INJ3002" s="1" t="n">
        <v>0</v>
      </c>
      <c r="INK3002" s="1" t="n">
        <v>0</v>
      </c>
      <c r="INL3002" s="1" t="n">
        <v>0</v>
      </c>
      <c r="INM3002" s="1" t="n">
        <v>0</v>
      </c>
      <c r="INN3002" s="1" t="n">
        <v>0</v>
      </c>
      <c r="INO3002" s="1" t="n">
        <v>0</v>
      </c>
      <c r="INP3002" s="1" t="n">
        <v>0</v>
      </c>
      <c r="INQ3002" s="1" t="n">
        <v>0</v>
      </c>
      <c r="INR3002" s="1" t="n">
        <v>0</v>
      </c>
      <c r="INS3002" s="1" t="n">
        <v>0</v>
      </c>
      <c r="INT3002" s="1" t="n">
        <v>0</v>
      </c>
      <c r="INU3002" s="1" t="n">
        <v>0</v>
      </c>
      <c r="INV3002" s="1" t="n">
        <v>0</v>
      </c>
      <c r="INW3002" s="1" t="n">
        <v>0</v>
      </c>
      <c r="INX3002" s="1" t="n">
        <v>0</v>
      </c>
      <c r="INY3002" s="1" t="n">
        <v>0</v>
      </c>
      <c r="INZ3002" s="1" t="n">
        <v>0</v>
      </c>
      <c r="IOA3002" s="1" t="n">
        <v>0</v>
      </c>
      <c r="IOB3002" s="1" t="n">
        <v>0</v>
      </c>
      <c r="IOC3002" s="1" t="n">
        <v>0</v>
      </c>
      <c r="IOD3002" s="1" t="n">
        <v>0</v>
      </c>
      <c r="IOE3002" s="1" t="n">
        <v>0</v>
      </c>
      <c r="IOF3002" s="1" t="n">
        <v>0</v>
      </c>
      <c r="IOG3002" s="1" t="n">
        <v>0</v>
      </c>
      <c r="IOH3002" s="1" t="n">
        <v>0</v>
      </c>
      <c r="IOI3002" s="1" t="n">
        <v>0</v>
      </c>
      <c r="IOJ3002" s="1" t="n">
        <v>0</v>
      </c>
      <c r="IOK3002" s="1" t="n">
        <v>0</v>
      </c>
      <c r="IOL3002" s="1" t="n">
        <v>0</v>
      </c>
      <c r="IOM3002" s="1" t="n">
        <v>0</v>
      </c>
      <c r="ION3002" s="1" t="n">
        <v>0</v>
      </c>
      <c r="IOO3002" s="1" t="n">
        <v>0</v>
      </c>
      <c r="IOP3002" s="1" t="n">
        <v>0</v>
      </c>
      <c r="IOQ3002" s="1" t="n">
        <v>0</v>
      </c>
      <c r="IOR3002" s="1" t="n">
        <v>0</v>
      </c>
      <c r="IOS3002" s="1" t="n">
        <v>0</v>
      </c>
      <c r="IOT3002" s="1" t="n">
        <v>0</v>
      </c>
      <c r="IOU3002" s="1" t="n">
        <v>0</v>
      </c>
      <c r="IOV3002" s="1" t="n">
        <v>0</v>
      </c>
      <c r="IOW3002" s="1" t="n">
        <v>0</v>
      </c>
      <c r="IOX3002" s="1" t="n">
        <v>0</v>
      </c>
      <c r="IOY3002" s="1" t="n">
        <v>0</v>
      </c>
      <c r="IOZ3002" s="1" t="n">
        <v>0</v>
      </c>
      <c r="IPA3002" s="1" t="n">
        <v>0</v>
      </c>
      <c r="IPB3002" s="1" t="n">
        <v>0</v>
      </c>
      <c r="IPC3002" s="1" t="n">
        <v>0</v>
      </c>
      <c r="IPD3002" s="1" t="n">
        <v>0</v>
      </c>
      <c r="IPE3002" s="1" t="n">
        <v>0</v>
      </c>
      <c r="IPF3002" s="1" t="n">
        <v>0</v>
      </c>
      <c r="IPG3002" s="1" t="n">
        <v>0</v>
      </c>
      <c r="IPH3002" s="1" t="n">
        <v>0</v>
      </c>
      <c r="IPI3002" s="1" t="n">
        <v>0</v>
      </c>
      <c r="IPJ3002" s="1" t="n">
        <v>0</v>
      </c>
      <c r="IPK3002" s="1" t="n">
        <v>0</v>
      </c>
      <c r="IPL3002" s="1" t="n">
        <v>0</v>
      </c>
      <c r="IPM3002" s="1" t="n">
        <v>0</v>
      </c>
      <c r="IPN3002" s="1" t="n">
        <v>0</v>
      </c>
      <c r="IPO3002" s="1" t="n">
        <v>0</v>
      </c>
      <c r="IPP3002" s="1" t="n">
        <v>0</v>
      </c>
      <c r="IPQ3002" s="1" t="n">
        <v>0</v>
      </c>
      <c r="IPR3002" s="1" t="n">
        <v>0</v>
      </c>
      <c r="IPS3002" s="1" t="n">
        <v>0</v>
      </c>
      <c r="IPT3002" s="1" t="n">
        <v>0</v>
      </c>
      <c r="IPU3002" s="1" t="n">
        <v>0</v>
      </c>
      <c r="IPV3002" s="1" t="n">
        <v>0</v>
      </c>
      <c r="IPW3002" s="1" t="n">
        <v>0</v>
      </c>
      <c r="IPX3002" s="1" t="n">
        <v>0</v>
      </c>
      <c r="IPY3002" s="1" t="n">
        <v>0</v>
      </c>
      <c r="IPZ3002" s="1" t="n">
        <v>0</v>
      </c>
      <c r="IQA3002" s="1" t="n">
        <v>0</v>
      </c>
      <c r="IQB3002" s="1" t="n">
        <v>0</v>
      </c>
      <c r="IQC3002" s="1" t="n">
        <v>0</v>
      </c>
      <c r="IQD3002" s="1" t="n">
        <v>0</v>
      </c>
      <c r="IQE3002" s="1" t="n">
        <v>0</v>
      </c>
      <c r="IQF3002" s="1" t="n">
        <v>0</v>
      </c>
      <c r="IQG3002" s="1" t="n">
        <v>0</v>
      </c>
      <c r="IQH3002" s="1" t="n">
        <v>0</v>
      </c>
      <c r="IQI3002" s="1" t="n">
        <v>0</v>
      </c>
      <c r="IQJ3002" s="1" t="n">
        <v>0</v>
      </c>
      <c r="IQK3002" s="1" t="n">
        <v>0</v>
      </c>
      <c r="IQL3002" s="1" t="n">
        <v>0</v>
      </c>
      <c r="IQM3002" s="1" t="n">
        <v>0</v>
      </c>
      <c r="IQN3002" s="1" t="n">
        <v>0</v>
      </c>
      <c r="IQO3002" s="1" t="n">
        <v>0</v>
      </c>
      <c r="IQP3002" s="1" t="n">
        <v>0</v>
      </c>
      <c r="IQQ3002" s="1" t="n">
        <v>0</v>
      </c>
      <c r="IQR3002" s="1" t="n">
        <v>0</v>
      </c>
      <c r="IQS3002" s="1" t="n">
        <v>0</v>
      </c>
      <c r="IQT3002" s="1" t="n">
        <v>0</v>
      </c>
      <c r="IQU3002" s="1" t="n">
        <v>0</v>
      </c>
      <c r="IQV3002" s="1" t="n">
        <v>0</v>
      </c>
      <c r="IQW3002" s="1" t="n">
        <v>0</v>
      </c>
      <c r="IQX3002" s="1" t="n">
        <v>0</v>
      </c>
      <c r="IQY3002" s="1" t="n">
        <v>0</v>
      </c>
      <c r="IQZ3002" s="1" t="n">
        <v>0</v>
      </c>
      <c r="IRA3002" s="1" t="n">
        <v>0</v>
      </c>
      <c r="IRB3002" s="1" t="n">
        <v>0</v>
      </c>
      <c r="IRC3002" s="1" t="n">
        <v>0</v>
      </c>
      <c r="IRD3002" s="1" t="n">
        <v>0</v>
      </c>
      <c r="IRE3002" s="1" t="n">
        <v>0</v>
      </c>
      <c r="IRF3002" s="1" t="n">
        <v>0</v>
      </c>
      <c r="IRG3002" s="1" t="n">
        <v>0</v>
      </c>
      <c r="IRH3002" s="1" t="n">
        <v>0</v>
      </c>
      <c r="IRI3002" s="1" t="n">
        <v>0</v>
      </c>
      <c r="IRJ3002" s="1" t="n">
        <v>0</v>
      </c>
      <c r="IRK3002" s="1" t="n">
        <v>0</v>
      </c>
      <c r="IRL3002" s="1" t="n">
        <v>0</v>
      </c>
      <c r="IRM3002" s="1" t="n">
        <v>0</v>
      </c>
      <c r="IRN3002" s="1" t="n">
        <v>0</v>
      </c>
      <c r="IRO3002" s="1" t="n">
        <v>0</v>
      </c>
      <c r="IRP3002" s="1" t="n">
        <v>0</v>
      </c>
      <c r="IRQ3002" s="1" t="n">
        <v>0</v>
      </c>
      <c r="IRR3002" s="1" t="n">
        <v>0</v>
      </c>
      <c r="IRS3002" s="1" t="n">
        <v>0</v>
      </c>
      <c r="IRT3002" s="1" t="n">
        <v>0</v>
      </c>
      <c r="IRU3002" s="1" t="n">
        <v>0</v>
      </c>
      <c r="IRV3002" s="1" t="n">
        <v>0</v>
      </c>
      <c r="IRW3002" s="1" t="n">
        <v>0</v>
      </c>
      <c r="IRX3002" s="1" t="n">
        <v>0</v>
      </c>
      <c r="IRY3002" s="1" t="n">
        <v>0</v>
      </c>
      <c r="IRZ3002" s="1" t="n">
        <v>0</v>
      </c>
      <c r="ISA3002" s="1" t="n">
        <v>0</v>
      </c>
      <c r="ISB3002" s="1" t="n">
        <v>0</v>
      </c>
      <c r="ISC3002" s="1" t="n">
        <v>0</v>
      </c>
      <c r="ISD3002" s="1" t="n">
        <v>0</v>
      </c>
      <c r="ISE3002" s="1" t="n">
        <v>0</v>
      </c>
      <c r="ISF3002" s="1" t="n">
        <v>0</v>
      </c>
      <c r="ISG3002" s="1" t="n">
        <v>0</v>
      </c>
      <c r="ISH3002" s="1" t="n">
        <v>0</v>
      </c>
      <c r="ISI3002" s="1" t="n">
        <v>0</v>
      </c>
      <c r="ISJ3002" s="1" t="n">
        <v>0</v>
      </c>
      <c r="ISK3002" s="1" t="n">
        <v>0</v>
      </c>
      <c r="ISL3002" s="1" t="n">
        <v>0</v>
      </c>
      <c r="ISM3002" s="1" t="n">
        <v>0</v>
      </c>
      <c r="ISN3002" s="1" t="n">
        <v>0</v>
      </c>
      <c r="ISO3002" s="1" t="n">
        <v>0</v>
      </c>
      <c r="ISP3002" s="1" t="n">
        <v>0</v>
      </c>
      <c r="ISQ3002" s="1" t="n">
        <v>0</v>
      </c>
      <c r="ISR3002" s="1" t="n">
        <v>0</v>
      </c>
      <c r="ISS3002" s="1" t="n">
        <v>0</v>
      </c>
      <c r="IST3002" s="1" t="n">
        <v>0</v>
      </c>
      <c r="ISU3002" s="1" t="n">
        <v>0</v>
      </c>
      <c r="ISV3002" s="1" t="n">
        <v>0</v>
      </c>
      <c r="ISW3002" s="1" t="n">
        <v>0</v>
      </c>
      <c r="ISX3002" s="1" t="n">
        <v>0</v>
      </c>
      <c r="ISY3002" s="1" t="n">
        <v>0</v>
      </c>
      <c r="ISZ3002" s="1" t="n">
        <v>0</v>
      </c>
      <c r="ITA3002" s="1" t="n">
        <v>0</v>
      </c>
      <c r="ITB3002" s="1" t="n">
        <v>0</v>
      </c>
      <c r="ITC3002" s="1" t="n">
        <v>0</v>
      </c>
      <c r="ITD3002" s="1" t="n">
        <v>0</v>
      </c>
      <c r="ITE3002" s="1" t="n">
        <v>0</v>
      </c>
      <c r="ITF3002" s="1" t="n">
        <v>0</v>
      </c>
      <c r="ITG3002" s="1" t="n">
        <v>0</v>
      </c>
      <c r="ITH3002" s="1" t="n">
        <v>0</v>
      </c>
      <c r="ITI3002" s="1" t="n">
        <v>0</v>
      </c>
      <c r="ITJ3002" s="1" t="n">
        <v>0</v>
      </c>
      <c r="ITK3002" s="1" t="n">
        <v>0</v>
      </c>
      <c r="ITL3002" s="1" t="n">
        <v>0</v>
      </c>
      <c r="ITM3002" s="1" t="n">
        <v>0</v>
      </c>
      <c r="ITN3002" s="1" t="n">
        <v>0</v>
      </c>
      <c r="ITO3002" s="1" t="n">
        <v>0</v>
      </c>
      <c r="ITP3002" s="1" t="n">
        <v>0</v>
      </c>
      <c r="ITQ3002" s="1" t="n">
        <v>0</v>
      </c>
      <c r="ITR3002" s="1" t="n">
        <v>0</v>
      </c>
      <c r="ITS3002" s="1" t="n">
        <v>0</v>
      </c>
      <c r="ITT3002" s="1" t="n">
        <v>0</v>
      </c>
      <c r="ITU3002" s="1" t="n">
        <v>0</v>
      </c>
      <c r="ITV3002" s="1" t="n">
        <v>0</v>
      </c>
      <c r="ITW3002" s="1" t="n">
        <v>0</v>
      </c>
      <c r="ITX3002" s="1" t="n">
        <v>0</v>
      </c>
      <c r="ITY3002" s="1" t="n">
        <v>0</v>
      </c>
      <c r="ITZ3002" s="1" t="n">
        <v>0</v>
      </c>
      <c r="IUA3002" s="1" t="n">
        <v>0</v>
      </c>
      <c r="IUB3002" s="1" t="n">
        <v>0</v>
      </c>
      <c r="IUC3002" s="1" t="n">
        <v>0</v>
      </c>
      <c r="IUD3002" s="1" t="n">
        <v>0</v>
      </c>
      <c r="IUE3002" s="1" t="n">
        <v>0</v>
      </c>
      <c r="IUF3002" s="1" t="n">
        <v>0</v>
      </c>
      <c r="IUG3002" s="1" t="n">
        <v>0</v>
      </c>
      <c r="IUH3002" s="1" t="n">
        <v>0</v>
      </c>
      <c r="IUI3002" s="1" t="n">
        <v>0</v>
      </c>
      <c r="IUJ3002" s="1" t="n">
        <v>0</v>
      </c>
      <c r="IUK3002" s="1" t="n">
        <v>0</v>
      </c>
      <c r="IUL3002" s="1" t="n">
        <v>0</v>
      </c>
      <c r="IUM3002" s="1" t="n">
        <v>0</v>
      </c>
      <c r="IUN3002" s="1" t="n">
        <v>0</v>
      </c>
      <c r="IUO3002" s="1" t="n">
        <v>0</v>
      </c>
      <c r="IUP3002" s="1" t="n">
        <v>0</v>
      </c>
      <c r="IUQ3002" s="1" t="n">
        <v>0</v>
      </c>
      <c r="IUR3002" s="1" t="n">
        <v>0</v>
      </c>
      <c r="IUS3002" s="1" t="n">
        <v>0</v>
      </c>
      <c r="IUT3002" s="1" t="n">
        <v>0</v>
      </c>
      <c r="IUU3002" s="1" t="n">
        <v>0</v>
      </c>
      <c r="IUV3002" s="1" t="n">
        <v>0</v>
      </c>
      <c r="IUW3002" s="1" t="n">
        <v>0</v>
      </c>
      <c r="IUX3002" s="1" t="n">
        <v>0</v>
      </c>
      <c r="IUY3002" s="1" t="n">
        <v>0</v>
      </c>
      <c r="IUZ3002" s="1" t="n">
        <v>0</v>
      </c>
      <c r="IVA3002" s="1" t="n">
        <v>0</v>
      </c>
      <c r="IVB3002" s="1" t="n">
        <v>0</v>
      </c>
      <c r="IVC3002" s="1" t="n">
        <v>0</v>
      </c>
      <c r="IVD3002" s="1" t="n">
        <v>0</v>
      </c>
      <c r="IVE3002" s="1" t="n">
        <v>0</v>
      </c>
      <c r="IVF3002" s="1" t="n">
        <v>0</v>
      </c>
      <c r="IVG3002" s="1" t="n">
        <v>0</v>
      </c>
      <c r="IVH3002" s="1" t="n">
        <v>0</v>
      </c>
      <c r="IVI3002" s="1" t="n">
        <v>0</v>
      </c>
      <c r="IVJ3002" s="1" t="n">
        <v>0</v>
      </c>
      <c r="IVK3002" s="1" t="n">
        <v>0</v>
      </c>
      <c r="IVL3002" s="1" t="n">
        <v>0</v>
      </c>
      <c r="IVM3002" s="1" t="n">
        <v>0</v>
      </c>
      <c r="IVN3002" s="1" t="n">
        <v>0</v>
      </c>
      <c r="IVO3002" s="1" t="n">
        <v>0</v>
      </c>
      <c r="IVP3002" s="1" t="n">
        <v>0</v>
      </c>
      <c r="IVQ3002" s="1" t="n">
        <v>0</v>
      </c>
      <c r="IVR3002" s="1" t="n">
        <v>0</v>
      </c>
      <c r="IVS3002" s="1" t="n">
        <v>0</v>
      </c>
      <c r="IVT3002" s="1" t="n">
        <v>0</v>
      </c>
      <c r="IVU3002" s="1" t="n">
        <v>0</v>
      </c>
      <c r="IVV3002" s="1" t="n">
        <v>0</v>
      </c>
      <c r="IVW3002" s="1" t="n">
        <v>0</v>
      </c>
      <c r="IVX3002" s="1" t="n">
        <v>0</v>
      </c>
      <c r="IVY3002" s="1" t="n">
        <v>0</v>
      </c>
      <c r="IVZ3002" s="1" t="n">
        <v>0</v>
      </c>
      <c r="IWA3002" s="1" t="n">
        <v>0</v>
      </c>
      <c r="IWB3002" s="1" t="n">
        <v>0</v>
      </c>
      <c r="IWC3002" s="1" t="n">
        <v>0</v>
      </c>
      <c r="IWD3002" s="1" t="n">
        <v>0</v>
      </c>
      <c r="IWE3002" s="1" t="n">
        <v>0</v>
      </c>
      <c r="IWF3002" s="1" t="n">
        <v>0</v>
      </c>
      <c r="IWG3002" s="1" t="n">
        <v>0</v>
      </c>
      <c r="IWH3002" s="1" t="n">
        <v>0</v>
      </c>
      <c r="IWI3002" s="1" t="n">
        <v>0</v>
      </c>
      <c r="IWJ3002" s="1" t="n">
        <v>0</v>
      </c>
      <c r="IWK3002" s="1" t="n">
        <v>0</v>
      </c>
      <c r="IWL3002" s="1" t="n">
        <v>0</v>
      </c>
      <c r="IWM3002" s="1" t="n">
        <v>0</v>
      </c>
      <c r="IWN3002" s="1" t="n">
        <v>0</v>
      </c>
      <c r="IWO3002" s="1" t="n">
        <v>0</v>
      </c>
      <c r="IWP3002" s="1" t="n">
        <v>0</v>
      </c>
      <c r="IWQ3002" s="1" t="n">
        <v>0</v>
      </c>
      <c r="IWR3002" s="1" t="n">
        <v>0</v>
      </c>
      <c r="IWS3002" s="1" t="n">
        <v>0</v>
      </c>
      <c r="IWT3002" s="1" t="n">
        <v>0</v>
      </c>
      <c r="IWU3002" s="1" t="n">
        <v>0</v>
      </c>
      <c r="IWV3002" s="1" t="n">
        <v>0</v>
      </c>
      <c r="IWW3002" s="1" t="n">
        <v>0</v>
      </c>
      <c r="IWX3002" s="1" t="n">
        <v>0</v>
      </c>
      <c r="IWY3002" s="1" t="n">
        <v>0</v>
      </c>
      <c r="IWZ3002" s="1" t="n">
        <v>0</v>
      </c>
      <c r="IXA3002" s="1" t="n">
        <v>0</v>
      </c>
      <c r="IXB3002" s="1" t="n">
        <v>0</v>
      </c>
      <c r="IXC3002" s="1" t="n">
        <v>0</v>
      </c>
      <c r="IXD3002" s="1" t="n">
        <v>0</v>
      </c>
      <c r="IXE3002" s="1" t="n">
        <v>0</v>
      </c>
      <c r="IXF3002" s="1" t="n">
        <v>0</v>
      </c>
      <c r="IXG3002" s="1" t="n">
        <v>0</v>
      </c>
      <c r="IXH3002" s="1" t="n">
        <v>0</v>
      </c>
      <c r="IXI3002" s="1" t="n">
        <v>0</v>
      </c>
      <c r="IXJ3002" s="1" t="n">
        <v>0</v>
      </c>
      <c r="IXK3002" s="1" t="n">
        <v>0</v>
      </c>
      <c r="IXL3002" s="1" t="n">
        <v>0</v>
      </c>
      <c r="IXM3002" s="1" t="n">
        <v>0</v>
      </c>
      <c r="IXN3002" s="1" t="n">
        <v>0</v>
      </c>
      <c r="IXO3002" s="1" t="n">
        <v>0</v>
      </c>
      <c r="IXP3002" s="1" t="n">
        <v>0</v>
      </c>
      <c r="IXQ3002" s="1" t="n">
        <v>0</v>
      </c>
      <c r="IXR3002" s="1" t="n">
        <v>0</v>
      </c>
      <c r="IXS3002" s="1" t="n">
        <v>0</v>
      </c>
      <c r="IXT3002" s="1" t="n">
        <v>0</v>
      </c>
      <c r="IXU3002" s="1" t="n">
        <v>0</v>
      </c>
      <c r="IXV3002" s="1" t="n">
        <v>0</v>
      </c>
      <c r="IXW3002" s="1" t="n">
        <v>0</v>
      </c>
      <c r="IXX3002" s="1" t="n">
        <v>0</v>
      </c>
      <c r="IXY3002" s="1" t="n">
        <v>0</v>
      </c>
      <c r="IXZ3002" s="1" t="n">
        <v>0</v>
      </c>
      <c r="IYA3002" s="1" t="n">
        <v>0</v>
      </c>
      <c r="IYB3002" s="1" t="n">
        <v>0</v>
      </c>
      <c r="IYC3002" s="1" t="n">
        <v>0</v>
      </c>
      <c r="IYD3002" s="1" t="n">
        <v>0</v>
      </c>
      <c r="IYE3002" s="1" t="n">
        <v>0</v>
      </c>
      <c r="IYF3002" s="1" t="n">
        <v>0</v>
      </c>
      <c r="IYG3002" s="1" t="n">
        <v>0</v>
      </c>
      <c r="IYH3002" s="1" t="n">
        <v>0</v>
      </c>
      <c r="IYI3002" s="1" t="n">
        <v>0</v>
      </c>
      <c r="IYJ3002" s="1" t="n">
        <v>0</v>
      </c>
      <c r="IYK3002" s="1" t="n">
        <v>0</v>
      </c>
      <c r="IYL3002" s="1" t="n">
        <v>0</v>
      </c>
      <c r="IYM3002" s="1" t="n">
        <v>0</v>
      </c>
      <c r="IYN3002" s="1" t="n">
        <v>0</v>
      </c>
      <c r="IYO3002" s="1" t="n">
        <v>0</v>
      </c>
      <c r="IYP3002" s="1" t="n">
        <v>0</v>
      </c>
      <c r="IYQ3002" s="1" t="n">
        <v>0</v>
      </c>
      <c r="IYR3002" s="1" t="n">
        <v>0</v>
      </c>
      <c r="IYS3002" s="1" t="n">
        <v>0</v>
      </c>
      <c r="IYT3002" s="1" t="n">
        <v>0</v>
      </c>
      <c r="IYU3002" s="1" t="n">
        <v>0</v>
      </c>
      <c r="IYV3002" s="1" t="n">
        <v>0</v>
      </c>
      <c r="IYW3002" s="1" t="n">
        <v>0</v>
      </c>
      <c r="IYX3002" s="1" t="n">
        <v>0</v>
      </c>
      <c r="IYY3002" s="1" t="n">
        <v>0</v>
      </c>
      <c r="IYZ3002" s="1" t="n">
        <v>0</v>
      </c>
      <c r="IZA3002" s="1" t="n">
        <v>0</v>
      </c>
      <c r="IZB3002" s="1" t="n">
        <v>0</v>
      </c>
      <c r="IZC3002" s="1" t="n">
        <v>0</v>
      </c>
      <c r="IZD3002" s="1" t="n">
        <v>0</v>
      </c>
      <c r="IZE3002" s="1" t="n">
        <v>0</v>
      </c>
      <c r="IZF3002" s="1" t="n">
        <v>0</v>
      </c>
      <c r="IZG3002" s="1" t="n">
        <v>0</v>
      </c>
      <c r="IZH3002" s="1" t="n">
        <v>0</v>
      </c>
      <c r="IZI3002" s="1" t="n">
        <v>0</v>
      </c>
      <c r="IZJ3002" s="1" t="n">
        <v>0</v>
      </c>
      <c r="IZK3002" s="1" t="n">
        <v>0</v>
      </c>
      <c r="IZL3002" s="1" t="n">
        <v>0</v>
      </c>
      <c r="IZM3002" s="1" t="n">
        <v>0</v>
      </c>
      <c r="IZN3002" s="1" t="n">
        <v>0</v>
      </c>
      <c r="IZO3002" s="1" t="n">
        <v>0</v>
      </c>
      <c r="IZP3002" s="1" t="n">
        <v>0</v>
      </c>
      <c r="IZQ3002" s="1" t="n">
        <v>0</v>
      </c>
      <c r="IZR3002" s="1" t="n">
        <v>0</v>
      </c>
      <c r="IZS3002" s="1" t="n">
        <v>0</v>
      </c>
      <c r="IZT3002" s="1" t="n">
        <v>0</v>
      </c>
      <c r="IZU3002" s="1" t="n">
        <v>0</v>
      </c>
      <c r="IZV3002" s="1" t="n">
        <v>0</v>
      </c>
      <c r="IZW3002" s="1" t="n">
        <v>0</v>
      </c>
      <c r="IZX3002" s="1" t="n">
        <v>0</v>
      </c>
      <c r="IZY3002" s="1" t="n">
        <v>0</v>
      </c>
      <c r="IZZ3002" s="1" t="n">
        <v>0</v>
      </c>
      <c r="JAA3002" s="1" t="n">
        <v>0</v>
      </c>
      <c r="JAB3002" s="1" t="n">
        <v>0</v>
      </c>
      <c r="JAC3002" s="1" t="n">
        <v>0</v>
      </c>
      <c r="JAD3002" s="1" t="n">
        <v>0</v>
      </c>
      <c r="JAE3002" s="1" t="n">
        <v>0</v>
      </c>
      <c r="JAF3002" s="1" t="n">
        <v>0</v>
      </c>
      <c r="JAG3002" s="1" t="n">
        <v>0</v>
      </c>
      <c r="JAH3002" s="1" t="n">
        <v>0</v>
      </c>
      <c r="JAI3002" s="1" t="n">
        <v>0</v>
      </c>
      <c r="JAJ3002" s="1" t="n">
        <v>0</v>
      </c>
      <c r="JAK3002" s="1" t="n">
        <v>0</v>
      </c>
      <c r="JAL3002" s="1" t="n">
        <v>0</v>
      </c>
      <c r="JAM3002" s="1" t="n">
        <v>0</v>
      </c>
      <c r="JAN3002" s="1" t="n">
        <v>0</v>
      </c>
      <c r="JAO3002" s="1" t="n">
        <v>0</v>
      </c>
      <c r="JAP3002" s="1" t="n">
        <v>0</v>
      </c>
      <c r="JAQ3002" s="1" t="n">
        <v>0</v>
      </c>
      <c r="JAR3002" s="1" t="n">
        <v>0</v>
      </c>
      <c r="JAS3002" s="1" t="n">
        <v>0</v>
      </c>
      <c r="JAT3002" s="1" t="n">
        <v>0</v>
      </c>
      <c r="JAU3002" s="1" t="n">
        <v>0</v>
      </c>
      <c r="JAV3002" s="1" t="n">
        <v>0</v>
      </c>
      <c r="JAW3002" s="1" t="n">
        <v>0</v>
      </c>
      <c r="JAX3002" s="1" t="n">
        <v>0</v>
      </c>
      <c r="JAY3002" s="1" t="n">
        <v>0</v>
      </c>
      <c r="JAZ3002" s="1" t="n">
        <v>0</v>
      </c>
      <c r="JBA3002" s="1" t="n">
        <v>0</v>
      </c>
      <c r="JBB3002" s="1" t="n">
        <v>0</v>
      </c>
      <c r="JBC3002" s="1" t="n">
        <v>0</v>
      </c>
      <c r="JBD3002" s="1" t="n">
        <v>0</v>
      </c>
      <c r="JBE3002" s="1" t="n">
        <v>0</v>
      </c>
      <c r="JBF3002" s="1" t="n">
        <v>0</v>
      </c>
      <c r="JBG3002" s="1" t="n">
        <v>0</v>
      </c>
      <c r="JBH3002" s="1" t="n">
        <v>0</v>
      </c>
      <c r="JBI3002" s="1" t="n">
        <v>0</v>
      </c>
      <c r="JBJ3002" s="1" t="n">
        <v>0</v>
      </c>
      <c r="JBK3002" s="1" t="n">
        <v>0</v>
      </c>
      <c r="JBL3002" s="1" t="n">
        <v>0</v>
      </c>
      <c r="JBM3002" s="1" t="n">
        <v>0</v>
      </c>
      <c r="JBN3002" s="1" t="n">
        <v>0</v>
      </c>
      <c r="JBO3002" s="1" t="n">
        <v>0</v>
      </c>
      <c r="JBP3002" s="1" t="n">
        <v>0</v>
      </c>
      <c r="JBQ3002" s="1" t="n">
        <v>0</v>
      </c>
      <c r="JBR3002" s="1" t="n">
        <v>0</v>
      </c>
      <c r="JBS3002" s="1" t="n">
        <v>0</v>
      </c>
      <c r="JBT3002" s="1" t="n">
        <v>0</v>
      </c>
      <c r="JBU3002" s="1" t="n">
        <v>0</v>
      </c>
      <c r="JBV3002" s="1" t="n">
        <v>0</v>
      </c>
      <c r="JBW3002" s="1" t="n">
        <v>0</v>
      </c>
      <c r="JBX3002" s="1" t="n">
        <v>0</v>
      </c>
      <c r="JBY3002" s="1" t="n">
        <v>0</v>
      </c>
      <c r="JBZ3002" s="1" t="n">
        <v>0</v>
      </c>
      <c r="JCA3002" s="1" t="n">
        <v>0</v>
      </c>
      <c r="JCB3002" s="1" t="n">
        <v>0</v>
      </c>
      <c r="JCC3002" s="1" t="n">
        <v>0</v>
      </c>
      <c r="JCD3002" s="1" t="n">
        <v>0</v>
      </c>
      <c r="JCE3002" s="1" t="n">
        <v>0</v>
      </c>
      <c r="JCF3002" s="1" t="n">
        <v>0</v>
      </c>
      <c r="JCG3002" s="1" t="n">
        <v>0</v>
      </c>
      <c r="JCH3002" s="1" t="n">
        <v>0</v>
      </c>
      <c r="JCI3002" s="1" t="n">
        <v>0</v>
      </c>
      <c r="JCJ3002" s="1" t="n">
        <v>0</v>
      </c>
      <c r="JCK3002" s="1" t="n">
        <v>0</v>
      </c>
      <c r="JCL3002" s="1" t="n">
        <v>0</v>
      </c>
      <c r="JCM3002" s="1" t="n">
        <v>0</v>
      </c>
      <c r="JCN3002" s="1" t="n">
        <v>0</v>
      </c>
      <c r="JCO3002" s="1" t="n">
        <v>0</v>
      </c>
      <c r="JCP3002" s="1" t="n">
        <v>0</v>
      </c>
      <c r="JCQ3002" s="1" t="n">
        <v>0</v>
      </c>
      <c r="JCR3002" s="1" t="n">
        <v>0</v>
      </c>
      <c r="JCS3002" s="1" t="n">
        <v>0</v>
      </c>
      <c r="JCT3002" s="1" t="n">
        <v>0</v>
      </c>
      <c r="JCU3002" s="1" t="n">
        <v>0</v>
      </c>
      <c r="JCV3002" s="1" t="n">
        <v>0</v>
      </c>
      <c r="JCW3002" s="1" t="n">
        <v>0</v>
      </c>
      <c r="JCX3002" s="1" t="n">
        <v>0</v>
      </c>
      <c r="JCY3002" s="1" t="n">
        <v>0</v>
      </c>
      <c r="JCZ3002" s="1" t="n">
        <v>0</v>
      </c>
      <c r="JDA3002" s="1" t="n">
        <v>0</v>
      </c>
      <c r="JDB3002" s="1" t="n">
        <v>0</v>
      </c>
      <c r="JDC3002" s="1" t="n">
        <v>0</v>
      </c>
      <c r="JDD3002" s="1" t="n">
        <v>0</v>
      </c>
      <c r="JDE3002" s="1" t="n">
        <v>0</v>
      </c>
      <c r="JDF3002" s="1" t="n">
        <v>0</v>
      </c>
      <c r="JDG3002" s="1" t="n">
        <v>0</v>
      </c>
      <c r="JDH3002" s="1" t="n">
        <v>0</v>
      </c>
      <c r="JDI3002" s="1" t="n">
        <v>0</v>
      </c>
      <c r="JDJ3002" s="1" t="n">
        <v>0</v>
      </c>
      <c r="JDK3002" s="1" t="n">
        <v>0</v>
      </c>
      <c r="JDL3002" s="1" t="n">
        <v>0</v>
      </c>
      <c r="JDM3002" s="1" t="n">
        <v>0</v>
      </c>
      <c r="JDN3002" s="1" t="n">
        <v>0</v>
      </c>
      <c r="JDO3002" s="1" t="n">
        <v>0</v>
      </c>
      <c r="JDP3002" s="1" t="n">
        <v>0</v>
      </c>
      <c r="JDQ3002" s="1" t="n">
        <v>0</v>
      </c>
      <c r="JDR3002" s="1" t="n">
        <v>0</v>
      </c>
      <c r="JDS3002" s="1" t="n">
        <v>0</v>
      </c>
      <c r="JDT3002" s="1" t="n">
        <v>0</v>
      </c>
      <c r="JDU3002" s="1" t="n">
        <v>0</v>
      </c>
      <c r="JDV3002" s="1" t="n">
        <v>0</v>
      </c>
      <c r="JDW3002" s="1" t="n">
        <v>0</v>
      </c>
      <c r="JDX3002" s="1" t="n">
        <v>0</v>
      </c>
      <c r="JDY3002" s="1" t="n">
        <v>0</v>
      </c>
      <c r="JDZ3002" s="1" t="n">
        <v>0</v>
      </c>
      <c r="JEA3002" s="1" t="n">
        <v>0</v>
      </c>
      <c r="JEB3002" s="1" t="n">
        <v>0</v>
      </c>
      <c r="JEC3002" s="1" t="n">
        <v>0</v>
      </c>
      <c r="JED3002" s="1" t="n">
        <v>0</v>
      </c>
      <c r="JEE3002" s="1" t="n">
        <v>0</v>
      </c>
      <c r="JEF3002" s="1" t="n">
        <v>0</v>
      </c>
      <c r="JEG3002" s="1" t="n">
        <v>0</v>
      </c>
      <c r="JEH3002" s="1" t="n">
        <v>0</v>
      </c>
      <c r="JEI3002" s="1" t="n">
        <v>0</v>
      </c>
      <c r="JEJ3002" s="1" t="n">
        <v>0</v>
      </c>
      <c r="JEK3002" s="1" t="n">
        <v>0</v>
      </c>
      <c r="JEL3002" s="1" t="n">
        <v>0</v>
      </c>
      <c r="JEM3002" s="1" t="n">
        <v>0</v>
      </c>
      <c r="JEN3002" s="1" t="n">
        <v>0</v>
      </c>
      <c r="JEO3002" s="1" t="n">
        <v>0</v>
      </c>
      <c r="JEP3002" s="1" t="n">
        <v>0</v>
      </c>
      <c r="JEQ3002" s="1" t="n">
        <v>0</v>
      </c>
      <c r="JER3002" s="1" t="n">
        <v>0</v>
      </c>
      <c r="JES3002" s="1" t="n">
        <v>0</v>
      </c>
      <c r="JET3002" s="1" t="n">
        <v>0</v>
      </c>
      <c r="JEU3002" s="1" t="n">
        <v>0</v>
      </c>
      <c r="JEV3002" s="1" t="n">
        <v>0</v>
      </c>
      <c r="JEW3002" s="1" t="n">
        <v>0</v>
      </c>
      <c r="JEX3002" s="1" t="n">
        <v>0</v>
      </c>
      <c r="JEY3002" s="1" t="n">
        <v>0</v>
      </c>
      <c r="JEZ3002" s="1" t="n">
        <v>0</v>
      </c>
      <c r="JFA3002" s="1" t="n">
        <v>0</v>
      </c>
      <c r="JFB3002" s="1" t="n">
        <v>0</v>
      </c>
      <c r="JFC3002" s="1" t="n">
        <v>0</v>
      </c>
      <c r="JFD3002" s="1" t="n">
        <v>0</v>
      </c>
      <c r="JFE3002" s="1" t="n">
        <v>0</v>
      </c>
      <c r="JFF3002" s="1" t="n">
        <v>0</v>
      </c>
      <c r="JFG3002" s="1" t="n">
        <v>0</v>
      </c>
      <c r="JFH3002" s="1" t="n">
        <v>0</v>
      </c>
      <c r="JFI3002" s="1" t="n">
        <v>0</v>
      </c>
      <c r="JFJ3002" s="1" t="n">
        <v>0</v>
      </c>
      <c r="JFK3002" s="1" t="n">
        <v>0</v>
      </c>
      <c r="JFL3002" s="1" t="n">
        <v>0</v>
      </c>
      <c r="JFM3002" s="1" t="n">
        <v>0</v>
      </c>
      <c r="JFN3002" s="1" t="n">
        <v>0</v>
      </c>
      <c r="JFO3002" s="1" t="n">
        <v>0</v>
      </c>
      <c r="JFP3002" s="1" t="n">
        <v>0</v>
      </c>
      <c r="JFQ3002" s="1" t="n">
        <v>0</v>
      </c>
      <c r="JFR3002" s="1" t="n">
        <v>0</v>
      </c>
      <c r="JFS3002" s="1" t="n">
        <v>0</v>
      </c>
      <c r="JFT3002" s="1" t="n">
        <v>0</v>
      </c>
      <c r="JFU3002" s="1" t="n">
        <v>0</v>
      </c>
      <c r="JFV3002" s="1" t="n">
        <v>0</v>
      </c>
      <c r="JFW3002" s="1" t="n">
        <v>0</v>
      </c>
      <c r="JFX3002" s="1" t="n">
        <v>0</v>
      </c>
      <c r="JFY3002" s="1" t="n">
        <v>0</v>
      </c>
      <c r="JFZ3002" s="1" t="n">
        <v>0</v>
      </c>
      <c r="JGA3002" s="1" t="n">
        <v>0</v>
      </c>
      <c r="JGB3002" s="1" t="n">
        <v>0</v>
      </c>
      <c r="JGC3002" s="1" t="n">
        <v>0</v>
      </c>
      <c r="JGD3002" s="1" t="n">
        <v>0</v>
      </c>
      <c r="JGE3002" s="1" t="n">
        <v>0</v>
      </c>
      <c r="JGF3002" s="1" t="n">
        <v>0</v>
      </c>
      <c r="JGG3002" s="1" t="n">
        <v>0</v>
      </c>
      <c r="JGH3002" s="1" t="n">
        <v>0</v>
      </c>
      <c r="JGI3002" s="1" t="n">
        <v>0</v>
      </c>
      <c r="JGJ3002" s="1" t="n">
        <v>0</v>
      </c>
      <c r="JGK3002" s="1" t="n">
        <v>0</v>
      </c>
      <c r="JGL3002" s="1" t="n">
        <v>0</v>
      </c>
      <c r="JGM3002" s="1" t="n">
        <v>0</v>
      </c>
      <c r="JGN3002" s="1" t="n">
        <v>0</v>
      </c>
      <c r="JGO3002" s="1" t="n">
        <v>0</v>
      </c>
      <c r="JGP3002" s="1" t="n">
        <v>0</v>
      </c>
      <c r="JGQ3002" s="1" t="n">
        <v>0</v>
      </c>
      <c r="JGR3002" s="1" t="n">
        <v>0</v>
      </c>
      <c r="JGS3002" s="1" t="n">
        <v>0</v>
      </c>
      <c r="JGT3002" s="1" t="n">
        <v>0</v>
      </c>
      <c r="JGU3002" s="1" t="n">
        <v>0</v>
      </c>
      <c r="JGV3002" s="1" t="n">
        <v>0</v>
      </c>
      <c r="JGW3002" s="1" t="n">
        <v>0</v>
      </c>
      <c r="JGX3002" s="1" t="n">
        <v>0</v>
      </c>
      <c r="JGY3002" s="1" t="n">
        <v>0</v>
      </c>
      <c r="JGZ3002" s="1" t="n">
        <v>0</v>
      </c>
      <c r="JHA3002" s="1" t="n">
        <v>0</v>
      </c>
      <c r="JHB3002" s="1" t="n">
        <v>0</v>
      </c>
      <c r="JHC3002" s="1" t="n">
        <v>0</v>
      </c>
      <c r="JHD3002" s="1" t="n">
        <v>0</v>
      </c>
      <c r="JHE3002" s="1" t="n">
        <v>0</v>
      </c>
      <c r="JHF3002" s="1" t="n">
        <v>0</v>
      </c>
      <c r="JHG3002" s="1" t="n">
        <v>0</v>
      </c>
      <c r="JHH3002" s="1" t="n">
        <v>0</v>
      </c>
      <c r="JHI3002" s="1" t="n">
        <v>0</v>
      </c>
      <c r="JHJ3002" s="1" t="n">
        <v>0</v>
      </c>
      <c r="JHK3002" s="1" t="n">
        <v>0</v>
      </c>
      <c r="JHL3002" s="1" t="n">
        <v>0</v>
      </c>
      <c r="JHM3002" s="1" t="n">
        <v>0</v>
      </c>
      <c r="JHN3002" s="1" t="n">
        <v>0</v>
      </c>
      <c r="JHO3002" s="1" t="n">
        <v>0</v>
      </c>
      <c r="JHP3002" s="1" t="n">
        <v>0</v>
      </c>
      <c r="JHQ3002" s="1" t="n">
        <v>0</v>
      </c>
      <c r="JHR3002" s="1" t="n">
        <v>0</v>
      </c>
      <c r="JHS3002" s="1" t="n">
        <v>0</v>
      </c>
      <c r="JHT3002" s="1" t="n">
        <v>0</v>
      </c>
      <c r="JHU3002" s="1" t="n">
        <v>0</v>
      </c>
      <c r="JHV3002" s="1" t="n">
        <v>0</v>
      </c>
      <c r="JHW3002" s="1" t="n">
        <v>0</v>
      </c>
      <c r="JHX3002" s="1" t="n">
        <v>0</v>
      </c>
      <c r="JHY3002" s="1" t="n">
        <v>0</v>
      </c>
      <c r="JHZ3002" s="1" t="n">
        <v>0</v>
      </c>
      <c r="JIA3002" s="1" t="n">
        <v>0</v>
      </c>
      <c r="JIB3002" s="1" t="n">
        <v>0</v>
      </c>
      <c r="JIC3002" s="1" t="n">
        <v>0</v>
      </c>
      <c r="JID3002" s="1" t="n">
        <v>0</v>
      </c>
      <c r="JIE3002" s="1" t="n">
        <v>0</v>
      </c>
      <c r="JIF3002" s="1" t="n">
        <v>0</v>
      </c>
      <c r="JIG3002" s="1" t="n">
        <v>0</v>
      </c>
      <c r="JIH3002" s="1" t="n">
        <v>0</v>
      </c>
      <c r="JII3002" s="1" t="n">
        <v>0</v>
      </c>
      <c r="JIJ3002" s="1" t="n">
        <v>0</v>
      </c>
      <c r="JIK3002" s="1" t="n">
        <v>0</v>
      </c>
      <c r="JIL3002" s="1" t="n">
        <v>0</v>
      </c>
      <c r="JIM3002" s="1" t="n">
        <v>0</v>
      </c>
      <c r="JIN3002" s="1" t="n">
        <v>0</v>
      </c>
      <c r="JIO3002" s="1" t="n">
        <v>0</v>
      </c>
      <c r="JIP3002" s="1" t="n">
        <v>0</v>
      </c>
      <c r="JIQ3002" s="1" t="n">
        <v>0</v>
      </c>
      <c r="JIR3002" s="1" t="n">
        <v>0</v>
      </c>
      <c r="JIS3002" s="1" t="n">
        <v>0</v>
      </c>
      <c r="JIT3002" s="1" t="n">
        <v>0</v>
      </c>
      <c r="JIU3002" s="1" t="n">
        <v>0</v>
      </c>
      <c r="JIV3002" s="1" t="n">
        <v>0</v>
      </c>
      <c r="JIW3002" s="1" t="n">
        <v>0</v>
      </c>
      <c r="JIX3002" s="1" t="n">
        <v>0</v>
      </c>
      <c r="JIY3002" s="1" t="n">
        <v>0</v>
      </c>
      <c r="JIZ3002" s="1" t="n">
        <v>0</v>
      </c>
      <c r="JJA3002" s="1" t="n">
        <v>0</v>
      </c>
      <c r="JJB3002" s="1" t="n">
        <v>0</v>
      </c>
      <c r="JJC3002" s="1" t="n">
        <v>0</v>
      </c>
      <c r="JJD3002" s="1" t="n">
        <v>0</v>
      </c>
      <c r="JJE3002" s="1" t="n">
        <v>0</v>
      </c>
      <c r="JJF3002" s="1" t="n">
        <v>0</v>
      </c>
      <c r="JJG3002" s="1" t="n">
        <v>0</v>
      </c>
      <c r="JJH3002" s="1" t="n">
        <v>0</v>
      </c>
      <c r="JJI3002" s="1" t="n">
        <v>0</v>
      </c>
      <c r="JJJ3002" s="1" t="n">
        <v>0</v>
      </c>
      <c r="JJK3002" s="1" t="n">
        <v>0</v>
      </c>
      <c r="JJL3002" s="1" t="n">
        <v>0</v>
      </c>
      <c r="JJM3002" s="1" t="n">
        <v>0</v>
      </c>
      <c r="JJN3002" s="1" t="n">
        <v>0</v>
      </c>
      <c r="JJO3002" s="1" t="n">
        <v>0</v>
      </c>
      <c r="JJP3002" s="1" t="n">
        <v>0</v>
      </c>
      <c r="JJQ3002" s="1" t="n">
        <v>0</v>
      </c>
      <c r="JJR3002" s="1" t="n">
        <v>0</v>
      </c>
      <c r="JJS3002" s="1" t="n">
        <v>0</v>
      </c>
      <c r="JJT3002" s="1" t="n">
        <v>0</v>
      </c>
      <c r="JJU3002" s="1" t="n">
        <v>0</v>
      </c>
      <c r="JJV3002" s="1" t="n">
        <v>0</v>
      </c>
      <c r="JJW3002" s="1" t="n">
        <v>0</v>
      </c>
      <c r="JJX3002" s="1" t="n">
        <v>0</v>
      </c>
      <c r="JJY3002" s="1" t="n">
        <v>0</v>
      </c>
      <c r="JJZ3002" s="1" t="n">
        <v>0</v>
      </c>
      <c r="JKA3002" s="1" t="n">
        <v>0</v>
      </c>
      <c r="JKB3002" s="1" t="n">
        <v>0</v>
      </c>
      <c r="JKC3002" s="1" t="n">
        <v>0</v>
      </c>
      <c r="JKD3002" s="1" t="n">
        <v>0</v>
      </c>
      <c r="JKE3002" s="1" t="n">
        <v>0</v>
      </c>
      <c r="JKF3002" s="1" t="n">
        <v>0</v>
      </c>
      <c r="JKG3002" s="1" t="n">
        <v>0</v>
      </c>
      <c r="JKH3002" s="1" t="n">
        <v>0</v>
      </c>
      <c r="JKI3002" s="1" t="n">
        <v>0</v>
      </c>
      <c r="JKJ3002" s="1" t="n">
        <v>0</v>
      </c>
      <c r="JKK3002" s="1" t="n">
        <v>0</v>
      </c>
      <c r="JKL3002" s="1" t="n">
        <v>0</v>
      </c>
      <c r="JKM3002" s="1" t="n">
        <v>0</v>
      </c>
      <c r="JKN3002" s="1" t="n">
        <v>0</v>
      </c>
      <c r="JKO3002" s="1" t="n">
        <v>0</v>
      </c>
      <c r="JKP3002" s="1" t="n">
        <v>0</v>
      </c>
      <c r="JKQ3002" s="1" t="n">
        <v>0</v>
      </c>
      <c r="JKR3002" s="1" t="n">
        <v>0</v>
      </c>
      <c r="JKS3002" s="1" t="n">
        <v>0</v>
      </c>
      <c r="JKT3002" s="1" t="n">
        <v>0</v>
      </c>
      <c r="JKU3002" s="1" t="n">
        <v>0</v>
      </c>
      <c r="JKV3002" s="1" t="n">
        <v>0</v>
      </c>
      <c r="JKW3002" s="1" t="n">
        <v>0</v>
      </c>
      <c r="JKX3002" s="1" t="n">
        <v>0</v>
      </c>
      <c r="JKY3002" s="1" t="n">
        <v>0</v>
      </c>
      <c r="JKZ3002" s="1" t="n">
        <v>0</v>
      </c>
      <c r="JLA3002" s="1" t="n">
        <v>0</v>
      </c>
      <c r="JLB3002" s="1" t="n">
        <v>0</v>
      </c>
      <c r="JLC3002" s="1" t="n">
        <v>0</v>
      </c>
      <c r="JLD3002" s="1" t="n">
        <v>0</v>
      </c>
      <c r="JLE3002" s="1" t="n">
        <v>0</v>
      </c>
      <c r="JLF3002" s="1" t="n">
        <v>0</v>
      </c>
      <c r="JLG3002" s="1" t="n">
        <v>0</v>
      </c>
      <c r="JLH3002" s="1" t="n">
        <v>0</v>
      </c>
      <c r="JLI3002" s="1" t="n">
        <v>0</v>
      </c>
      <c r="JLJ3002" s="1" t="n">
        <v>0</v>
      </c>
      <c r="JLK3002" s="1" t="n">
        <v>0</v>
      </c>
      <c r="JLL3002" s="1" t="n">
        <v>0</v>
      </c>
      <c r="JLM3002" s="1" t="n">
        <v>0</v>
      </c>
      <c r="JLN3002" s="1" t="n">
        <v>0</v>
      </c>
      <c r="JLO3002" s="1" t="n">
        <v>0</v>
      </c>
      <c r="JLP3002" s="1" t="n">
        <v>0</v>
      </c>
      <c r="JLQ3002" s="1" t="n">
        <v>0</v>
      </c>
      <c r="JLR3002" s="1" t="n">
        <v>0</v>
      </c>
      <c r="JLS3002" s="1" t="n">
        <v>0</v>
      </c>
      <c r="JLT3002" s="1" t="n">
        <v>0</v>
      </c>
      <c r="JLU3002" s="1" t="n">
        <v>0</v>
      </c>
      <c r="JLV3002" s="1" t="n">
        <v>0</v>
      </c>
      <c r="JLW3002" s="1" t="n">
        <v>0</v>
      </c>
      <c r="JLX3002" s="1" t="n">
        <v>0</v>
      </c>
      <c r="JLY3002" s="1" t="n">
        <v>0</v>
      </c>
      <c r="JLZ3002" s="1" t="n">
        <v>0</v>
      </c>
      <c r="JMA3002" s="1" t="n">
        <v>0</v>
      </c>
      <c r="JMB3002" s="1" t="n">
        <v>0</v>
      </c>
      <c r="JMC3002" s="1" t="n">
        <v>0</v>
      </c>
      <c r="JMD3002" s="1" t="n">
        <v>0</v>
      </c>
      <c r="JME3002" s="1" t="n">
        <v>0</v>
      </c>
      <c r="JMF3002" s="1" t="n">
        <v>0</v>
      </c>
      <c r="JMG3002" s="1" t="n">
        <v>0</v>
      </c>
      <c r="JMH3002" s="1" t="n">
        <v>0</v>
      </c>
      <c r="JMI3002" s="1" t="n">
        <v>0</v>
      </c>
      <c r="JMJ3002" s="1" t="n">
        <v>0</v>
      </c>
      <c r="JMK3002" s="1" t="n">
        <v>0</v>
      </c>
      <c r="JML3002" s="1" t="n">
        <v>0</v>
      </c>
      <c r="JMM3002" s="1" t="n">
        <v>0</v>
      </c>
      <c r="JMN3002" s="1" t="n">
        <v>0</v>
      </c>
      <c r="JMO3002" s="1" t="n">
        <v>0</v>
      </c>
      <c r="JMP3002" s="1" t="n">
        <v>0</v>
      </c>
      <c r="JMQ3002" s="1" t="n">
        <v>0</v>
      </c>
      <c r="JMR3002" s="1" t="n">
        <v>0</v>
      </c>
      <c r="JMS3002" s="1" t="n">
        <v>0</v>
      </c>
      <c r="JMT3002" s="1" t="n">
        <v>0</v>
      </c>
      <c r="JMU3002" s="1" t="n">
        <v>0</v>
      </c>
      <c r="JMV3002" s="1" t="n">
        <v>0</v>
      </c>
      <c r="JMW3002" s="1" t="n">
        <v>0</v>
      </c>
      <c r="JMX3002" s="1" t="n">
        <v>0</v>
      </c>
      <c r="JMY3002" s="1" t="n">
        <v>0</v>
      </c>
      <c r="JMZ3002" s="1" t="n">
        <v>0</v>
      </c>
      <c r="JNA3002" s="1" t="n">
        <v>0</v>
      </c>
      <c r="JNB3002" s="1" t="n">
        <v>0</v>
      </c>
      <c r="JNC3002" s="1" t="n">
        <v>0</v>
      </c>
      <c r="JND3002" s="1" t="n">
        <v>0</v>
      </c>
      <c r="JNE3002" s="1" t="n">
        <v>0</v>
      </c>
      <c r="JNF3002" s="1" t="n">
        <v>0</v>
      </c>
      <c r="JNG3002" s="1" t="n">
        <v>0</v>
      </c>
      <c r="JNH3002" s="1" t="n">
        <v>0</v>
      </c>
      <c r="JNI3002" s="1" t="n">
        <v>0</v>
      </c>
      <c r="JNJ3002" s="1" t="n">
        <v>0</v>
      </c>
      <c r="JNK3002" s="1" t="n">
        <v>0</v>
      </c>
      <c r="JNL3002" s="1" t="n">
        <v>0</v>
      </c>
      <c r="JNM3002" s="1" t="n">
        <v>0</v>
      </c>
      <c r="JNN3002" s="1" t="n">
        <v>0</v>
      </c>
      <c r="JNO3002" s="1" t="n">
        <v>0</v>
      </c>
      <c r="JNP3002" s="1" t="n">
        <v>0</v>
      </c>
      <c r="JNQ3002" s="1" t="n">
        <v>0</v>
      </c>
      <c r="JNR3002" s="1" t="n">
        <v>0</v>
      </c>
      <c r="JNS3002" s="1" t="n">
        <v>0</v>
      </c>
      <c r="JNT3002" s="1" t="n">
        <v>0</v>
      </c>
      <c r="JNU3002" s="1" t="n">
        <v>0</v>
      </c>
      <c r="JNV3002" s="1" t="n">
        <v>0</v>
      </c>
      <c r="JNW3002" s="1" t="n">
        <v>0</v>
      </c>
      <c r="JNX3002" s="1" t="n">
        <v>0</v>
      </c>
      <c r="JNY3002" s="1" t="n">
        <v>0</v>
      </c>
      <c r="JNZ3002" s="1" t="n">
        <v>0</v>
      </c>
      <c r="JOA3002" s="1" t="n">
        <v>0</v>
      </c>
      <c r="JOB3002" s="1" t="n">
        <v>0</v>
      </c>
      <c r="JOC3002" s="1" t="n">
        <v>0</v>
      </c>
      <c r="JOD3002" s="1" t="n">
        <v>0</v>
      </c>
      <c r="JOE3002" s="1" t="n">
        <v>0</v>
      </c>
      <c r="JOF3002" s="1" t="n">
        <v>0</v>
      </c>
      <c r="JOG3002" s="1" t="n">
        <v>0</v>
      </c>
      <c r="JOH3002" s="1" t="n">
        <v>0</v>
      </c>
      <c r="JOI3002" s="1" t="n">
        <v>0</v>
      </c>
      <c r="JOJ3002" s="1" t="n">
        <v>0</v>
      </c>
      <c r="JOK3002" s="1" t="n">
        <v>0</v>
      </c>
      <c r="JOL3002" s="1" t="n">
        <v>0</v>
      </c>
      <c r="JOM3002" s="1" t="n">
        <v>0</v>
      </c>
      <c r="JON3002" s="1" t="n">
        <v>0</v>
      </c>
      <c r="JOO3002" s="1" t="n">
        <v>0</v>
      </c>
      <c r="JOP3002" s="1" t="n">
        <v>0</v>
      </c>
      <c r="JOQ3002" s="1" t="n">
        <v>0</v>
      </c>
      <c r="JOR3002" s="1" t="n">
        <v>0</v>
      </c>
      <c r="JOS3002" s="1" t="n">
        <v>0</v>
      </c>
      <c r="JOT3002" s="1" t="n">
        <v>0</v>
      </c>
      <c r="JOU3002" s="1" t="n">
        <v>0</v>
      </c>
      <c r="JOV3002" s="1" t="n">
        <v>0</v>
      </c>
      <c r="JOW3002" s="1" t="n">
        <v>0</v>
      </c>
      <c r="JOX3002" s="1" t="n">
        <v>0</v>
      </c>
      <c r="JOY3002" s="1" t="n">
        <v>0</v>
      </c>
      <c r="JOZ3002" s="1" t="n">
        <v>0</v>
      </c>
      <c r="JPA3002" s="1" t="n">
        <v>0</v>
      </c>
      <c r="JPB3002" s="1" t="n">
        <v>0</v>
      </c>
      <c r="JPC3002" s="1" t="n">
        <v>0</v>
      </c>
      <c r="JPD3002" s="1" t="n">
        <v>0</v>
      </c>
      <c r="JPE3002" s="1" t="n">
        <v>0</v>
      </c>
      <c r="JPF3002" s="1" t="n">
        <v>0</v>
      </c>
      <c r="JPG3002" s="1" t="n">
        <v>0</v>
      </c>
      <c r="JPH3002" s="1" t="n">
        <v>0</v>
      </c>
      <c r="JPI3002" s="1" t="n">
        <v>0</v>
      </c>
      <c r="JPJ3002" s="1" t="n">
        <v>0</v>
      </c>
      <c r="JPK3002" s="1" t="n">
        <v>0</v>
      </c>
      <c r="JPL3002" s="1" t="n">
        <v>0</v>
      </c>
      <c r="JPM3002" s="1" t="n">
        <v>0</v>
      </c>
      <c r="JPN3002" s="1" t="n">
        <v>0</v>
      </c>
      <c r="JPO3002" s="1" t="n">
        <v>0</v>
      </c>
      <c r="JPP3002" s="1" t="n">
        <v>0</v>
      </c>
      <c r="JPQ3002" s="1" t="n">
        <v>0</v>
      </c>
      <c r="JPR3002" s="1" t="n">
        <v>0</v>
      </c>
      <c r="JPS3002" s="1" t="n">
        <v>0</v>
      </c>
      <c r="JPT3002" s="1" t="n">
        <v>0</v>
      </c>
      <c r="JPU3002" s="1" t="n">
        <v>0</v>
      </c>
      <c r="JPV3002" s="1" t="n">
        <v>0</v>
      </c>
      <c r="JPW3002" s="1" t="n">
        <v>0</v>
      </c>
      <c r="JPX3002" s="1" t="n">
        <v>0</v>
      </c>
      <c r="JPY3002" s="1" t="n">
        <v>0</v>
      </c>
      <c r="JPZ3002" s="1" t="n">
        <v>0</v>
      </c>
      <c r="JQA3002" s="1" t="n">
        <v>0</v>
      </c>
      <c r="JQB3002" s="1" t="n">
        <v>0</v>
      </c>
      <c r="JQC3002" s="1" t="n">
        <v>0</v>
      </c>
      <c r="JQD3002" s="1" t="n">
        <v>0</v>
      </c>
      <c r="JQE3002" s="1" t="n">
        <v>0</v>
      </c>
      <c r="JQF3002" s="1" t="n">
        <v>0</v>
      </c>
      <c r="JQG3002" s="1" t="n">
        <v>0</v>
      </c>
      <c r="JQH3002" s="1" t="n">
        <v>0</v>
      </c>
      <c r="JQI3002" s="1" t="n">
        <v>0</v>
      </c>
      <c r="JQJ3002" s="1" t="n">
        <v>0</v>
      </c>
      <c r="JQK3002" s="1" t="n">
        <v>0</v>
      </c>
      <c r="JQL3002" s="1" t="n">
        <v>0</v>
      </c>
      <c r="JQM3002" s="1" t="n">
        <v>0</v>
      </c>
      <c r="JQN3002" s="1" t="n">
        <v>0</v>
      </c>
      <c r="JQO3002" s="1" t="n">
        <v>0</v>
      </c>
      <c r="JQP3002" s="1" t="n">
        <v>0</v>
      </c>
      <c r="JQQ3002" s="1" t="n">
        <v>0</v>
      </c>
      <c r="JQR3002" s="1" t="n">
        <v>0</v>
      </c>
      <c r="JQS3002" s="1" t="n">
        <v>0</v>
      </c>
      <c r="JQT3002" s="1" t="n">
        <v>0</v>
      </c>
      <c r="JQU3002" s="1" t="n">
        <v>0</v>
      </c>
      <c r="JQV3002" s="1" t="n">
        <v>0</v>
      </c>
      <c r="JQW3002" s="1" t="n">
        <v>0</v>
      </c>
      <c r="JQX3002" s="1" t="n">
        <v>0</v>
      </c>
      <c r="JQY3002" s="1" t="n">
        <v>0</v>
      </c>
      <c r="JQZ3002" s="1" t="n">
        <v>0</v>
      </c>
      <c r="JRA3002" s="1" t="n">
        <v>0</v>
      </c>
      <c r="JRB3002" s="1" t="n">
        <v>0</v>
      </c>
      <c r="JRC3002" s="1" t="n">
        <v>0</v>
      </c>
      <c r="JRD3002" s="1" t="n">
        <v>0</v>
      </c>
      <c r="JRE3002" s="1" t="n">
        <v>0</v>
      </c>
      <c r="JRF3002" s="1" t="n">
        <v>0</v>
      </c>
      <c r="JRG3002" s="1" t="n">
        <v>0</v>
      </c>
      <c r="JRH3002" s="1" t="n">
        <v>0</v>
      </c>
      <c r="JRI3002" s="1" t="n">
        <v>0</v>
      </c>
      <c r="JRJ3002" s="1" t="n">
        <v>0</v>
      </c>
      <c r="JRK3002" s="1" t="n">
        <v>0</v>
      </c>
      <c r="JRL3002" s="1" t="n">
        <v>0</v>
      </c>
      <c r="JRM3002" s="1" t="n">
        <v>0</v>
      </c>
      <c r="JRN3002" s="1" t="n">
        <v>0</v>
      </c>
      <c r="JRO3002" s="1" t="n">
        <v>0</v>
      </c>
      <c r="JRP3002" s="1" t="n">
        <v>0</v>
      </c>
      <c r="JRQ3002" s="1" t="n">
        <v>0</v>
      </c>
      <c r="JRR3002" s="1" t="n">
        <v>0</v>
      </c>
      <c r="JRS3002" s="1" t="n">
        <v>0</v>
      </c>
      <c r="JRT3002" s="1" t="n">
        <v>0</v>
      </c>
      <c r="JRU3002" s="1" t="n">
        <v>0</v>
      </c>
      <c r="JRV3002" s="1" t="n">
        <v>0</v>
      </c>
      <c r="JRW3002" s="1" t="n">
        <v>0</v>
      </c>
      <c r="JRX3002" s="1" t="n">
        <v>0</v>
      </c>
      <c r="JRY3002" s="1" t="n">
        <v>0</v>
      </c>
      <c r="JRZ3002" s="1" t="n">
        <v>0</v>
      </c>
      <c r="JSA3002" s="1" t="n">
        <v>0</v>
      </c>
      <c r="JSB3002" s="1" t="n">
        <v>0</v>
      </c>
      <c r="JSC3002" s="1" t="n">
        <v>0</v>
      </c>
      <c r="JSD3002" s="1" t="n">
        <v>0</v>
      </c>
      <c r="JSE3002" s="1" t="n">
        <v>0</v>
      </c>
      <c r="JSF3002" s="1" t="n">
        <v>0</v>
      </c>
      <c r="JSG3002" s="1" t="n">
        <v>0</v>
      </c>
      <c r="JSH3002" s="1" t="n">
        <v>0</v>
      </c>
      <c r="JSI3002" s="1" t="n">
        <v>0</v>
      </c>
      <c r="JSJ3002" s="1" t="n">
        <v>0</v>
      </c>
      <c r="JSK3002" s="1" t="n">
        <v>0</v>
      </c>
      <c r="JSL3002" s="1" t="n">
        <v>0</v>
      </c>
      <c r="JSM3002" s="1" t="n">
        <v>0</v>
      </c>
      <c r="JSN3002" s="1" t="n">
        <v>0</v>
      </c>
      <c r="JSO3002" s="1" t="n">
        <v>0</v>
      </c>
      <c r="JSP3002" s="1" t="n">
        <v>0</v>
      </c>
      <c r="JSQ3002" s="1" t="n">
        <v>0</v>
      </c>
      <c r="JSR3002" s="1" t="n">
        <v>0</v>
      </c>
      <c r="JSS3002" s="1" t="n">
        <v>0</v>
      </c>
      <c r="JST3002" s="1" t="n">
        <v>0</v>
      </c>
      <c r="JSU3002" s="1" t="n">
        <v>0</v>
      </c>
      <c r="JSV3002" s="1" t="n">
        <v>0</v>
      </c>
      <c r="JSW3002" s="1" t="n">
        <v>0</v>
      </c>
      <c r="JSX3002" s="1" t="n">
        <v>0</v>
      </c>
      <c r="JSY3002" s="1" t="n">
        <v>0</v>
      </c>
      <c r="JSZ3002" s="1" t="n">
        <v>0</v>
      </c>
      <c r="JTA3002" s="1" t="n">
        <v>0</v>
      </c>
      <c r="JTB3002" s="1" t="n">
        <v>0</v>
      </c>
      <c r="JTC3002" s="1" t="n">
        <v>0</v>
      </c>
      <c r="JTD3002" s="1" t="n">
        <v>0</v>
      </c>
      <c r="JTE3002" s="1" t="n">
        <v>0</v>
      </c>
      <c r="JTF3002" s="1" t="n">
        <v>0</v>
      </c>
      <c r="JTG3002" s="1" t="n">
        <v>0</v>
      </c>
      <c r="JTH3002" s="1" t="n">
        <v>0</v>
      </c>
      <c r="JTI3002" s="1" t="n">
        <v>0</v>
      </c>
      <c r="JTJ3002" s="1" t="n">
        <v>0</v>
      </c>
      <c r="JTK3002" s="1" t="n">
        <v>0</v>
      </c>
      <c r="JTL3002" s="1" t="n">
        <v>0</v>
      </c>
      <c r="JTM3002" s="1" t="n">
        <v>0</v>
      </c>
      <c r="JTN3002" s="1" t="n">
        <v>0</v>
      </c>
      <c r="JTO3002" s="1" t="n">
        <v>0</v>
      </c>
      <c r="JTP3002" s="1" t="n">
        <v>0</v>
      </c>
      <c r="JTQ3002" s="1" t="n">
        <v>0</v>
      </c>
      <c r="JTR3002" s="1" t="n">
        <v>0</v>
      </c>
      <c r="JTS3002" s="1" t="n">
        <v>0</v>
      </c>
      <c r="JTT3002" s="1" t="n">
        <v>0</v>
      </c>
      <c r="JTU3002" s="1" t="n">
        <v>0</v>
      </c>
      <c r="JTV3002" s="1" t="n">
        <v>0</v>
      </c>
      <c r="JTW3002" s="1" t="n">
        <v>0</v>
      </c>
      <c r="JTX3002" s="1" t="n">
        <v>0</v>
      </c>
      <c r="JTY3002" s="1" t="n">
        <v>0</v>
      </c>
      <c r="JTZ3002" s="1" t="n">
        <v>0</v>
      </c>
      <c r="JUA3002" s="1" t="n">
        <v>0</v>
      </c>
      <c r="JUB3002" s="1" t="n">
        <v>0</v>
      </c>
      <c r="JUC3002" s="1" t="n">
        <v>0</v>
      </c>
      <c r="JUD3002" s="1" t="n">
        <v>0</v>
      </c>
      <c r="JUE3002" s="1" t="n">
        <v>0</v>
      </c>
      <c r="JUF3002" s="1" t="n">
        <v>0</v>
      </c>
      <c r="JUG3002" s="1" t="n">
        <v>0</v>
      </c>
      <c r="JUH3002" s="1" t="n">
        <v>0</v>
      </c>
      <c r="JUI3002" s="1" t="n">
        <v>0</v>
      </c>
      <c r="JUJ3002" s="1" t="n">
        <v>0</v>
      </c>
      <c r="JUK3002" s="1" t="n">
        <v>0</v>
      </c>
      <c r="JUL3002" s="1" t="n">
        <v>0</v>
      </c>
      <c r="JUM3002" s="1" t="n">
        <v>0</v>
      </c>
      <c r="JUN3002" s="1" t="n">
        <v>0</v>
      </c>
      <c r="JUO3002" s="1" t="n">
        <v>0</v>
      </c>
      <c r="JUP3002" s="1" t="n">
        <v>0</v>
      </c>
      <c r="JUQ3002" s="1" t="n">
        <v>0</v>
      </c>
      <c r="JUR3002" s="1" t="n">
        <v>0</v>
      </c>
      <c r="JUS3002" s="1" t="n">
        <v>0</v>
      </c>
      <c r="JUT3002" s="1" t="n">
        <v>0</v>
      </c>
      <c r="JUU3002" s="1" t="n">
        <v>0</v>
      </c>
      <c r="JUV3002" s="1" t="n">
        <v>0</v>
      </c>
      <c r="JUW3002" s="1" t="n">
        <v>0</v>
      </c>
      <c r="JUX3002" s="1" t="n">
        <v>0</v>
      </c>
      <c r="JUY3002" s="1" t="n">
        <v>0</v>
      </c>
      <c r="JUZ3002" s="1" t="n">
        <v>0</v>
      </c>
      <c r="JVA3002" s="1" t="n">
        <v>0</v>
      </c>
      <c r="JVB3002" s="1" t="n">
        <v>0</v>
      </c>
      <c r="JVC3002" s="1" t="n">
        <v>0</v>
      </c>
      <c r="JVD3002" s="1" t="n">
        <v>0</v>
      </c>
      <c r="JVE3002" s="1" t="n">
        <v>0</v>
      </c>
      <c r="JVF3002" s="1" t="n">
        <v>0</v>
      </c>
      <c r="JVG3002" s="1" t="n">
        <v>0</v>
      </c>
      <c r="JVH3002" s="1" t="n">
        <v>0</v>
      </c>
      <c r="JVI3002" s="1" t="n">
        <v>0</v>
      </c>
      <c r="JVJ3002" s="1" t="n">
        <v>0</v>
      </c>
      <c r="JVK3002" s="1" t="n">
        <v>0</v>
      </c>
      <c r="JVL3002" s="1" t="n">
        <v>0</v>
      </c>
      <c r="JVM3002" s="1" t="n">
        <v>0</v>
      </c>
      <c r="JVN3002" s="1" t="n">
        <v>0</v>
      </c>
      <c r="JVO3002" s="1" t="n">
        <v>0</v>
      </c>
      <c r="JVP3002" s="1" t="n">
        <v>0</v>
      </c>
      <c r="JVQ3002" s="1" t="n">
        <v>0</v>
      </c>
      <c r="JVR3002" s="1" t="n">
        <v>0</v>
      </c>
      <c r="JVS3002" s="1" t="n">
        <v>0</v>
      </c>
      <c r="JVT3002" s="1" t="n">
        <v>0</v>
      </c>
      <c r="JVU3002" s="1" t="n">
        <v>0</v>
      </c>
      <c r="JVV3002" s="1" t="n">
        <v>0</v>
      </c>
      <c r="JVW3002" s="1" t="n">
        <v>0</v>
      </c>
      <c r="JVX3002" s="1" t="n">
        <v>0</v>
      </c>
      <c r="JVY3002" s="1" t="n">
        <v>0</v>
      </c>
      <c r="JVZ3002" s="1" t="n">
        <v>0</v>
      </c>
      <c r="JWA3002" s="1" t="n">
        <v>0</v>
      </c>
      <c r="JWB3002" s="1" t="n">
        <v>0</v>
      </c>
      <c r="JWC3002" s="1" t="n">
        <v>0</v>
      </c>
      <c r="JWD3002" s="1" t="n">
        <v>0</v>
      </c>
      <c r="JWE3002" s="1" t="n">
        <v>0</v>
      </c>
      <c r="JWF3002" s="1" t="n">
        <v>0</v>
      </c>
      <c r="JWG3002" s="1" t="n">
        <v>0</v>
      </c>
      <c r="JWH3002" s="1" t="n">
        <v>0</v>
      </c>
      <c r="JWI3002" s="1" t="n">
        <v>0</v>
      </c>
      <c r="JWJ3002" s="1" t="n">
        <v>0</v>
      </c>
      <c r="JWK3002" s="1" t="n">
        <v>0</v>
      </c>
      <c r="JWL3002" s="1" t="n">
        <v>0</v>
      </c>
      <c r="JWM3002" s="1" t="n">
        <v>0</v>
      </c>
      <c r="JWN3002" s="1" t="n">
        <v>0</v>
      </c>
      <c r="JWO3002" s="1" t="n">
        <v>0</v>
      </c>
      <c r="JWP3002" s="1" t="n">
        <v>0</v>
      </c>
      <c r="JWQ3002" s="1" t="n">
        <v>0</v>
      </c>
      <c r="JWR3002" s="1" t="n">
        <v>0</v>
      </c>
      <c r="JWS3002" s="1" t="n">
        <v>0</v>
      </c>
      <c r="JWT3002" s="1" t="n">
        <v>0</v>
      </c>
      <c r="JWU3002" s="1" t="n">
        <v>0</v>
      </c>
      <c r="JWV3002" s="1" t="n">
        <v>0</v>
      </c>
      <c r="JWW3002" s="1" t="n">
        <v>0</v>
      </c>
      <c r="JWX3002" s="1" t="n">
        <v>0</v>
      </c>
      <c r="JWY3002" s="1" t="n">
        <v>0</v>
      </c>
      <c r="JWZ3002" s="1" t="n">
        <v>0</v>
      </c>
      <c r="JXA3002" s="1" t="n">
        <v>0</v>
      </c>
      <c r="JXB3002" s="1" t="n">
        <v>0</v>
      </c>
      <c r="JXC3002" s="1" t="n">
        <v>0</v>
      </c>
      <c r="JXD3002" s="1" t="n">
        <v>0</v>
      </c>
      <c r="JXE3002" s="1" t="n">
        <v>0</v>
      </c>
      <c r="JXF3002" s="1" t="n">
        <v>0</v>
      </c>
      <c r="JXG3002" s="1" t="n">
        <v>0</v>
      </c>
      <c r="JXH3002" s="1" t="n">
        <v>0</v>
      </c>
      <c r="JXI3002" s="1" t="n">
        <v>0</v>
      </c>
      <c r="JXJ3002" s="1" t="n">
        <v>0</v>
      </c>
      <c r="JXK3002" s="1" t="n">
        <v>0</v>
      </c>
      <c r="JXL3002" s="1" t="n">
        <v>0</v>
      </c>
      <c r="JXM3002" s="1" t="n">
        <v>0</v>
      </c>
      <c r="JXN3002" s="1" t="n">
        <v>0</v>
      </c>
      <c r="JXO3002" s="1" t="n">
        <v>0</v>
      </c>
      <c r="JXP3002" s="1" t="n">
        <v>0</v>
      </c>
      <c r="JXQ3002" s="1" t="n">
        <v>0</v>
      </c>
      <c r="JXR3002" s="1" t="n">
        <v>0</v>
      </c>
      <c r="JXS3002" s="1" t="n">
        <v>0</v>
      </c>
      <c r="JXT3002" s="1" t="n">
        <v>0</v>
      </c>
      <c r="JXU3002" s="1" t="n">
        <v>0</v>
      </c>
      <c r="JXV3002" s="1" t="n">
        <v>0</v>
      </c>
      <c r="JXW3002" s="1" t="n">
        <v>0</v>
      </c>
      <c r="JXX3002" s="1" t="n">
        <v>0</v>
      </c>
      <c r="JXY3002" s="1" t="n">
        <v>0</v>
      </c>
      <c r="JXZ3002" s="1" t="n">
        <v>0</v>
      </c>
      <c r="JYA3002" s="1" t="n">
        <v>0</v>
      </c>
      <c r="JYB3002" s="1" t="n">
        <v>0</v>
      </c>
      <c r="JYC3002" s="1" t="n">
        <v>0</v>
      </c>
      <c r="JYD3002" s="1" t="n">
        <v>0</v>
      </c>
      <c r="JYE3002" s="1" t="n">
        <v>0</v>
      </c>
      <c r="JYF3002" s="1" t="n">
        <v>0</v>
      </c>
      <c r="JYG3002" s="1" t="n">
        <v>0</v>
      </c>
      <c r="JYH3002" s="1" t="n">
        <v>0</v>
      </c>
      <c r="JYI3002" s="1" t="n">
        <v>0</v>
      </c>
      <c r="JYJ3002" s="1" t="n">
        <v>0</v>
      </c>
      <c r="JYK3002" s="1" t="n">
        <v>0</v>
      </c>
      <c r="JYL3002" s="1" t="n">
        <v>0</v>
      </c>
      <c r="JYM3002" s="1" t="n">
        <v>0</v>
      </c>
      <c r="JYN3002" s="1" t="n">
        <v>0</v>
      </c>
      <c r="JYO3002" s="1" t="n">
        <v>0</v>
      </c>
      <c r="JYP3002" s="1" t="n">
        <v>0</v>
      </c>
      <c r="JYQ3002" s="1" t="n">
        <v>0</v>
      </c>
      <c r="JYR3002" s="1" t="n">
        <v>0</v>
      </c>
      <c r="JYS3002" s="1" t="n">
        <v>0</v>
      </c>
      <c r="JYT3002" s="1" t="n">
        <v>0</v>
      </c>
      <c r="JYU3002" s="1" t="n">
        <v>0</v>
      </c>
      <c r="JYV3002" s="1" t="n">
        <v>0</v>
      </c>
      <c r="JYW3002" s="1" t="n">
        <v>0</v>
      </c>
      <c r="JYX3002" s="1" t="n">
        <v>0</v>
      </c>
      <c r="JYY3002" s="1" t="n">
        <v>0</v>
      </c>
      <c r="JYZ3002" s="1" t="n">
        <v>0</v>
      </c>
      <c r="JZA3002" s="1" t="n">
        <v>0</v>
      </c>
      <c r="JZB3002" s="1" t="n">
        <v>0</v>
      </c>
      <c r="JZC3002" s="1" t="n">
        <v>0</v>
      </c>
      <c r="JZD3002" s="1" t="n">
        <v>0</v>
      </c>
      <c r="JZE3002" s="1" t="n">
        <v>0</v>
      </c>
      <c r="JZF3002" s="1" t="n">
        <v>0</v>
      </c>
      <c r="JZG3002" s="1" t="n">
        <v>0</v>
      </c>
      <c r="JZH3002" s="1" t="n">
        <v>0</v>
      </c>
      <c r="JZI3002" s="1" t="n">
        <v>0</v>
      </c>
      <c r="JZJ3002" s="1" t="n">
        <v>0</v>
      </c>
      <c r="JZK3002" s="1" t="n">
        <v>0</v>
      </c>
      <c r="JZL3002" s="1" t="n">
        <v>0</v>
      </c>
      <c r="JZM3002" s="1" t="n">
        <v>0</v>
      </c>
      <c r="JZN3002" s="1" t="n">
        <v>0</v>
      </c>
      <c r="JZO3002" s="1" t="n">
        <v>0</v>
      </c>
      <c r="JZP3002" s="1" t="n">
        <v>0</v>
      </c>
      <c r="JZQ3002" s="1" t="n">
        <v>0</v>
      </c>
      <c r="JZR3002" s="1" t="n">
        <v>0</v>
      </c>
      <c r="JZS3002" s="1" t="n">
        <v>0</v>
      </c>
      <c r="JZT3002" s="1" t="n">
        <v>0</v>
      </c>
      <c r="JZU3002" s="1" t="n">
        <v>0</v>
      </c>
      <c r="JZV3002" s="1" t="n">
        <v>0</v>
      </c>
      <c r="JZW3002" s="1" t="n">
        <v>0</v>
      </c>
      <c r="JZX3002" s="1" t="n">
        <v>0</v>
      </c>
      <c r="JZY3002" s="1" t="n">
        <v>0</v>
      </c>
      <c r="JZZ3002" s="1" t="n">
        <v>0</v>
      </c>
      <c r="KAA3002" s="1" t="n">
        <v>0</v>
      </c>
      <c r="KAB3002" s="1" t="n">
        <v>0</v>
      </c>
      <c r="KAC3002" s="1" t="n">
        <v>0</v>
      </c>
      <c r="KAD3002" s="1" t="n">
        <v>0</v>
      </c>
      <c r="KAE3002" s="1" t="n">
        <v>0</v>
      </c>
      <c r="KAF3002" s="1" t="n">
        <v>0</v>
      </c>
      <c r="KAG3002" s="1" t="n">
        <v>0</v>
      </c>
      <c r="KAH3002" s="1" t="n">
        <v>0</v>
      </c>
      <c r="KAI3002" s="1" t="n">
        <v>0</v>
      </c>
      <c r="KAJ3002" s="1" t="n">
        <v>0</v>
      </c>
      <c r="KAK3002" s="1" t="n">
        <v>0</v>
      </c>
      <c r="KAL3002" s="1" t="n">
        <v>0</v>
      </c>
      <c r="KAM3002" s="1" t="n">
        <v>0</v>
      </c>
      <c r="KAN3002" s="1" t="n">
        <v>0</v>
      </c>
      <c r="KAO3002" s="1" t="n">
        <v>0</v>
      </c>
      <c r="KAP3002" s="1" t="n">
        <v>0</v>
      </c>
      <c r="KAQ3002" s="1" t="n">
        <v>0</v>
      </c>
      <c r="KAR3002" s="1" t="n">
        <v>0</v>
      </c>
      <c r="KAS3002" s="1" t="n">
        <v>0</v>
      </c>
      <c r="KAT3002" s="1" t="n">
        <v>0</v>
      </c>
      <c r="KAU3002" s="1" t="n">
        <v>0</v>
      </c>
      <c r="KAV3002" s="1" t="n">
        <v>0</v>
      </c>
      <c r="KAW3002" s="1" t="n">
        <v>0</v>
      </c>
      <c r="KAX3002" s="1" t="n">
        <v>0</v>
      </c>
      <c r="KAY3002" s="1" t="n">
        <v>0</v>
      </c>
      <c r="KAZ3002" s="1" t="n">
        <v>0</v>
      </c>
      <c r="KBA3002" s="1" t="n">
        <v>0</v>
      </c>
      <c r="KBB3002" s="1" t="n">
        <v>0</v>
      </c>
      <c r="KBC3002" s="1" t="n">
        <v>0</v>
      </c>
      <c r="KBD3002" s="1" t="n">
        <v>0</v>
      </c>
      <c r="KBE3002" s="1" t="n">
        <v>0</v>
      </c>
      <c r="KBF3002" s="1" t="n">
        <v>0</v>
      </c>
      <c r="KBG3002" s="1" t="n">
        <v>0</v>
      </c>
      <c r="KBH3002" s="1" t="n">
        <v>0</v>
      </c>
      <c r="KBI3002" s="1" t="n">
        <v>0</v>
      </c>
      <c r="KBJ3002" s="1" t="n">
        <v>0</v>
      </c>
      <c r="KBK3002" s="1" t="n">
        <v>0</v>
      </c>
      <c r="KBL3002" s="1" t="n">
        <v>0</v>
      </c>
      <c r="KBM3002" s="1" t="n">
        <v>0</v>
      </c>
      <c r="KBN3002" s="1" t="n">
        <v>0</v>
      </c>
      <c r="KBO3002" s="1" t="n">
        <v>0</v>
      </c>
      <c r="KBP3002" s="1" t="n">
        <v>0</v>
      </c>
      <c r="KBQ3002" s="1" t="n">
        <v>0</v>
      </c>
      <c r="KBR3002" s="1" t="n">
        <v>0</v>
      </c>
      <c r="KBS3002" s="1" t="n">
        <v>0</v>
      </c>
      <c r="KBT3002" s="1" t="n">
        <v>0</v>
      </c>
      <c r="KBU3002" s="1" t="n">
        <v>0</v>
      </c>
      <c r="KBV3002" s="1" t="n">
        <v>0</v>
      </c>
      <c r="KBW3002" s="1" t="n">
        <v>0</v>
      </c>
      <c r="KBX3002" s="1" t="n">
        <v>0</v>
      </c>
      <c r="KBY3002" s="1" t="n">
        <v>0</v>
      </c>
      <c r="KBZ3002" s="1" t="n">
        <v>0</v>
      </c>
      <c r="KCA3002" s="1" t="n">
        <v>0</v>
      </c>
      <c r="KCB3002" s="1" t="n">
        <v>0</v>
      </c>
      <c r="KCC3002" s="1" t="n">
        <v>0</v>
      </c>
      <c r="KCD3002" s="1" t="n">
        <v>0</v>
      </c>
      <c r="KCE3002" s="1" t="n">
        <v>0</v>
      </c>
      <c r="KCF3002" s="1" t="n">
        <v>0</v>
      </c>
      <c r="KCG3002" s="1" t="n">
        <v>0</v>
      </c>
      <c r="KCH3002" s="1" t="n">
        <v>0</v>
      </c>
      <c r="KCI3002" s="1" t="n">
        <v>0</v>
      </c>
      <c r="KCJ3002" s="1" t="n">
        <v>0</v>
      </c>
      <c r="KCK3002" s="1" t="n">
        <v>0</v>
      </c>
      <c r="KCL3002" s="1" t="n">
        <v>0</v>
      </c>
      <c r="KCM3002" s="1" t="n">
        <v>0</v>
      </c>
      <c r="KCN3002" s="1" t="n">
        <v>0</v>
      </c>
      <c r="KCO3002" s="1" t="n">
        <v>0</v>
      </c>
      <c r="KCP3002" s="1" t="n">
        <v>0</v>
      </c>
      <c r="KCQ3002" s="1" t="n">
        <v>0</v>
      </c>
      <c r="KCR3002" s="1" t="n">
        <v>0</v>
      </c>
      <c r="KCS3002" s="1" t="n">
        <v>0</v>
      </c>
      <c r="KCT3002" s="1" t="n">
        <v>0</v>
      </c>
      <c r="KCU3002" s="1" t="n">
        <v>0</v>
      </c>
      <c r="KCV3002" s="1" t="n">
        <v>0</v>
      </c>
      <c r="KCW3002" s="1" t="n">
        <v>0</v>
      </c>
      <c r="KCX3002" s="1" t="n">
        <v>0</v>
      </c>
      <c r="KCY3002" s="1" t="n">
        <v>0</v>
      </c>
      <c r="KCZ3002" s="1" t="n">
        <v>0</v>
      </c>
      <c r="KDA3002" s="1" t="n">
        <v>0</v>
      </c>
      <c r="KDB3002" s="1" t="n">
        <v>0</v>
      </c>
      <c r="KDC3002" s="1" t="n">
        <v>0</v>
      </c>
      <c r="KDD3002" s="1" t="n">
        <v>0</v>
      </c>
      <c r="KDE3002" s="1" t="n">
        <v>0</v>
      </c>
      <c r="KDF3002" s="1" t="n">
        <v>0</v>
      </c>
      <c r="KDG3002" s="1" t="n">
        <v>0</v>
      </c>
      <c r="KDH3002" s="1" t="n">
        <v>0</v>
      </c>
      <c r="KDI3002" s="1" t="n">
        <v>0</v>
      </c>
      <c r="KDJ3002" s="1" t="n">
        <v>0</v>
      </c>
      <c r="KDK3002" s="1" t="n">
        <v>0</v>
      </c>
      <c r="KDL3002" s="1" t="n">
        <v>0</v>
      </c>
      <c r="KDM3002" s="1" t="n">
        <v>0</v>
      </c>
      <c r="KDN3002" s="1" t="n">
        <v>0</v>
      </c>
      <c r="KDO3002" s="1" t="n">
        <v>0</v>
      </c>
      <c r="KDP3002" s="1" t="n">
        <v>0</v>
      </c>
      <c r="KDQ3002" s="1" t="n">
        <v>0</v>
      </c>
      <c r="KDR3002" s="1" t="n">
        <v>0</v>
      </c>
      <c r="KDS3002" s="1" t="n">
        <v>0</v>
      </c>
      <c r="KDT3002" s="1" t="n">
        <v>0</v>
      </c>
      <c r="KDU3002" s="1" t="n">
        <v>0</v>
      </c>
      <c r="KDV3002" s="1" t="n">
        <v>0</v>
      </c>
      <c r="KDW3002" s="1" t="n">
        <v>0</v>
      </c>
      <c r="KDX3002" s="1" t="n">
        <v>0</v>
      </c>
      <c r="KDY3002" s="1" t="n">
        <v>0</v>
      </c>
      <c r="KDZ3002" s="1" t="n">
        <v>0</v>
      </c>
      <c r="KEA3002" s="1" t="n">
        <v>0</v>
      </c>
      <c r="KEB3002" s="1" t="n">
        <v>0</v>
      </c>
      <c r="KEC3002" s="1" t="n">
        <v>0</v>
      </c>
      <c r="KED3002" s="1" t="n">
        <v>0</v>
      </c>
      <c r="KEE3002" s="1" t="n">
        <v>0</v>
      </c>
      <c r="KEF3002" s="1" t="n">
        <v>0</v>
      </c>
      <c r="KEG3002" s="1" t="n">
        <v>0</v>
      </c>
      <c r="KEH3002" s="1" t="n">
        <v>0</v>
      </c>
      <c r="KEI3002" s="1" t="n">
        <v>0</v>
      </c>
      <c r="KEJ3002" s="1" t="n">
        <v>0</v>
      </c>
      <c r="KEK3002" s="1" t="n">
        <v>0</v>
      </c>
      <c r="KEL3002" s="1" t="n">
        <v>0</v>
      </c>
      <c r="KEM3002" s="1" t="n">
        <v>0</v>
      </c>
      <c r="KEN3002" s="1" t="n">
        <v>0</v>
      </c>
      <c r="KEO3002" s="1" t="n">
        <v>0</v>
      </c>
      <c r="KEP3002" s="1" t="n">
        <v>0</v>
      </c>
      <c r="KEQ3002" s="1" t="n">
        <v>0</v>
      </c>
      <c r="KER3002" s="1" t="n">
        <v>0</v>
      </c>
      <c r="KES3002" s="1" t="n">
        <v>0</v>
      </c>
      <c r="KET3002" s="1" t="n">
        <v>0</v>
      </c>
      <c r="KEU3002" s="1" t="n">
        <v>0</v>
      </c>
      <c r="KEV3002" s="1" t="n">
        <v>0</v>
      </c>
      <c r="KEW3002" s="1" t="n">
        <v>0</v>
      </c>
      <c r="KEX3002" s="1" t="n">
        <v>0</v>
      </c>
      <c r="KEY3002" s="1" t="n">
        <v>0</v>
      </c>
      <c r="KEZ3002" s="1" t="n">
        <v>0</v>
      </c>
      <c r="KFA3002" s="1" t="n">
        <v>0</v>
      </c>
      <c r="KFB3002" s="1" t="n">
        <v>0</v>
      </c>
      <c r="KFC3002" s="1" t="n">
        <v>0</v>
      </c>
      <c r="KFD3002" s="1" t="n">
        <v>0</v>
      </c>
      <c r="KFE3002" s="1" t="n">
        <v>0</v>
      </c>
      <c r="KFF3002" s="1" t="n">
        <v>0</v>
      </c>
      <c r="KFG3002" s="1" t="n">
        <v>0</v>
      </c>
      <c r="KFH3002" s="1" t="n">
        <v>0</v>
      </c>
      <c r="KFI3002" s="1" t="n">
        <v>0</v>
      </c>
      <c r="KFJ3002" s="1" t="n">
        <v>0</v>
      </c>
      <c r="KFK3002" s="1" t="n">
        <v>0</v>
      </c>
      <c r="KFL3002" s="1" t="n">
        <v>0</v>
      </c>
      <c r="KFM3002" s="1" t="n">
        <v>0</v>
      </c>
      <c r="KFN3002" s="1" t="n">
        <v>0</v>
      </c>
      <c r="KFO3002" s="1" t="n">
        <v>0</v>
      </c>
      <c r="KFP3002" s="1" t="n">
        <v>0</v>
      </c>
      <c r="KFQ3002" s="1" t="n">
        <v>0</v>
      </c>
      <c r="KFR3002" s="1" t="n">
        <v>0</v>
      </c>
      <c r="KFS3002" s="1" t="n">
        <v>0</v>
      </c>
      <c r="KFT3002" s="1" t="n">
        <v>0</v>
      </c>
      <c r="KFU3002" s="1" t="n">
        <v>0</v>
      </c>
      <c r="KFV3002" s="1" t="n">
        <v>0</v>
      </c>
      <c r="KFW3002" s="1" t="n">
        <v>0</v>
      </c>
      <c r="KFX3002" s="1" t="n">
        <v>0</v>
      </c>
      <c r="KFY3002" s="1" t="n">
        <v>0</v>
      </c>
      <c r="KFZ3002" s="1" t="n">
        <v>0</v>
      </c>
      <c r="KGA3002" s="1" t="n">
        <v>0</v>
      </c>
      <c r="KGB3002" s="1" t="n">
        <v>0</v>
      </c>
      <c r="KGC3002" s="1" t="n">
        <v>0</v>
      </c>
      <c r="KGD3002" s="1" t="n">
        <v>0</v>
      </c>
      <c r="KGE3002" s="1" t="n">
        <v>0</v>
      </c>
      <c r="KGF3002" s="1" t="n">
        <v>0</v>
      </c>
      <c r="KGG3002" s="1" t="n">
        <v>0</v>
      </c>
      <c r="KGH3002" s="1" t="n">
        <v>0</v>
      </c>
      <c r="KGI3002" s="1" t="n">
        <v>0</v>
      </c>
      <c r="KGJ3002" s="1" t="n">
        <v>0</v>
      </c>
      <c r="KGK3002" s="1" t="n">
        <v>0</v>
      </c>
      <c r="KGL3002" s="1" t="n">
        <v>0</v>
      </c>
      <c r="KGM3002" s="1" t="n">
        <v>0</v>
      </c>
      <c r="KGN3002" s="1" t="n">
        <v>0</v>
      </c>
      <c r="KGO3002" s="1" t="n">
        <v>0</v>
      </c>
      <c r="KGP3002" s="1" t="n">
        <v>0</v>
      </c>
      <c r="KGQ3002" s="1" t="n">
        <v>0</v>
      </c>
      <c r="KGR3002" s="1" t="n">
        <v>0</v>
      </c>
      <c r="KGS3002" s="1" t="n">
        <v>0</v>
      </c>
      <c r="KGT3002" s="1" t="n">
        <v>0</v>
      </c>
      <c r="KGU3002" s="1" t="n">
        <v>0</v>
      </c>
      <c r="KGV3002" s="1" t="n">
        <v>0</v>
      </c>
      <c r="KGW3002" s="1" t="n">
        <v>0</v>
      </c>
      <c r="KGX3002" s="1" t="n">
        <v>0</v>
      </c>
      <c r="KGY3002" s="1" t="n">
        <v>0</v>
      </c>
      <c r="KGZ3002" s="1" t="n">
        <v>0</v>
      </c>
      <c r="KHA3002" s="1" t="n">
        <v>0</v>
      </c>
      <c r="KHB3002" s="1" t="n">
        <v>0</v>
      </c>
      <c r="KHC3002" s="1" t="n">
        <v>0</v>
      </c>
      <c r="KHD3002" s="1" t="n">
        <v>0</v>
      </c>
      <c r="KHE3002" s="1" t="n">
        <v>0</v>
      </c>
      <c r="KHF3002" s="1" t="n">
        <v>0</v>
      </c>
      <c r="KHG3002" s="1" t="n">
        <v>0</v>
      </c>
      <c r="KHH3002" s="1" t="n">
        <v>0</v>
      </c>
      <c r="KHI3002" s="1" t="n">
        <v>0</v>
      </c>
      <c r="KHJ3002" s="1" t="n">
        <v>0</v>
      </c>
      <c r="KHK3002" s="1" t="n">
        <v>0</v>
      </c>
      <c r="KHL3002" s="1" t="n">
        <v>0</v>
      </c>
      <c r="KHM3002" s="1" t="n">
        <v>0</v>
      </c>
      <c r="KHN3002" s="1" t="n">
        <v>0</v>
      </c>
      <c r="KHO3002" s="1" t="n">
        <v>0</v>
      </c>
      <c r="KHP3002" s="1" t="n">
        <v>0</v>
      </c>
      <c r="KHQ3002" s="1" t="n">
        <v>0</v>
      </c>
      <c r="KHR3002" s="1" t="n">
        <v>0</v>
      </c>
      <c r="KHS3002" s="1" t="n">
        <v>0</v>
      </c>
      <c r="KHT3002" s="1" t="n">
        <v>0</v>
      </c>
      <c r="KHU3002" s="1" t="n">
        <v>0</v>
      </c>
      <c r="KHV3002" s="1" t="n">
        <v>0</v>
      </c>
      <c r="KHW3002" s="1" t="n">
        <v>0</v>
      </c>
      <c r="KHX3002" s="1" t="n">
        <v>0</v>
      </c>
      <c r="KHY3002" s="1" t="n">
        <v>0</v>
      </c>
      <c r="KHZ3002" s="1" t="n">
        <v>0</v>
      </c>
      <c r="KIA3002" s="1" t="n">
        <v>0</v>
      </c>
      <c r="KIB3002" s="1" t="n">
        <v>0</v>
      </c>
      <c r="KIC3002" s="1" t="n">
        <v>0</v>
      </c>
      <c r="KID3002" s="1" t="n">
        <v>0</v>
      </c>
      <c r="KIE3002" s="1" t="n">
        <v>0</v>
      </c>
      <c r="KIF3002" s="1" t="n">
        <v>0</v>
      </c>
      <c r="KIG3002" s="1" t="n">
        <v>0</v>
      </c>
      <c r="KIH3002" s="1" t="n">
        <v>0</v>
      </c>
      <c r="KII3002" s="1" t="n">
        <v>0</v>
      </c>
      <c r="KIJ3002" s="1" t="n">
        <v>0</v>
      </c>
      <c r="KIK3002" s="1" t="n">
        <v>0</v>
      </c>
      <c r="KIL3002" s="1" t="n">
        <v>0</v>
      </c>
      <c r="KIM3002" s="1" t="n">
        <v>0</v>
      </c>
      <c r="KIN3002" s="1" t="n">
        <v>0</v>
      </c>
      <c r="KIO3002" s="1" t="n">
        <v>0</v>
      </c>
      <c r="KIP3002" s="1" t="n">
        <v>0</v>
      </c>
      <c r="KIQ3002" s="1" t="n">
        <v>0</v>
      </c>
      <c r="KIR3002" s="1" t="n">
        <v>0</v>
      </c>
      <c r="KIS3002" s="1" t="n">
        <v>0</v>
      </c>
      <c r="KIT3002" s="1" t="n">
        <v>0</v>
      </c>
      <c r="KIU3002" s="1" t="n">
        <v>0</v>
      </c>
      <c r="KIV3002" s="1" t="n">
        <v>0</v>
      </c>
      <c r="KIW3002" s="1" t="n">
        <v>0</v>
      </c>
      <c r="KIX3002" s="1" t="n">
        <v>0</v>
      </c>
      <c r="KIY3002" s="1" t="n">
        <v>0</v>
      </c>
      <c r="KIZ3002" s="1" t="n">
        <v>0</v>
      </c>
      <c r="KJA3002" s="1" t="n">
        <v>0</v>
      </c>
      <c r="KJB3002" s="1" t="n">
        <v>0</v>
      </c>
      <c r="KJC3002" s="1" t="n">
        <v>0</v>
      </c>
      <c r="KJD3002" s="1" t="n">
        <v>0</v>
      </c>
      <c r="KJE3002" s="1" t="n">
        <v>0</v>
      </c>
      <c r="KJF3002" s="1" t="n">
        <v>0</v>
      </c>
      <c r="KJG3002" s="1" t="n">
        <v>0</v>
      </c>
      <c r="KJH3002" s="1" t="n">
        <v>0</v>
      </c>
      <c r="KJI3002" s="1" t="n">
        <v>0</v>
      </c>
      <c r="KJJ3002" s="1" t="n">
        <v>0</v>
      </c>
      <c r="KJK3002" s="1" t="n">
        <v>0</v>
      </c>
      <c r="KJL3002" s="1" t="n">
        <v>0</v>
      </c>
      <c r="KJM3002" s="1" t="n">
        <v>0</v>
      </c>
      <c r="KJN3002" s="1" t="n">
        <v>0</v>
      </c>
      <c r="KJO3002" s="1" t="n">
        <v>0</v>
      </c>
      <c r="KJP3002" s="1" t="n">
        <v>0</v>
      </c>
      <c r="KJQ3002" s="1" t="n">
        <v>0</v>
      </c>
      <c r="KJR3002" s="1" t="n">
        <v>0</v>
      </c>
      <c r="KJS3002" s="1" t="n">
        <v>0</v>
      </c>
      <c r="KJT3002" s="1" t="n">
        <v>0</v>
      </c>
      <c r="KJU3002" s="1" t="n">
        <v>0</v>
      </c>
      <c r="KJV3002" s="1" t="n">
        <v>0</v>
      </c>
      <c r="KJW3002" s="1" t="n">
        <v>0</v>
      </c>
      <c r="KJX3002" s="1" t="n">
        <v>0</v>
      </c>
      <c r="KJY3002" s="1" t="n">
        <v>0</v>
      </c>
      <c r="KJZ3002" s="1" t="n">
        <v>0</v>
      </c>
      <c r="KKA3002" s="1" t="n">
        <v>0</v>
      </c>
      <c r="KKB3002" s="1" t="n">
        <v>0</v>
      </c>
      <c r="KKC3002" s="1" t="n">
        <v>0</v>
      </c>
      <c r="KKD3002" s="1" t="n">
        <v>0</v>
      </c>
      <c r="KKE3002" s="1" t="n">
        <v>0</v>
      </c>
      <c r="KKF3002" s="1" t="n">
        <v>0</v>
      </c>
      <c r="KKG3002" s="1" t="n">
        <v>0</v>
      </c>
      <c r="KKH3002" s="1" t="n">
        <v>0</v>
      </c>
      <c r="KKI3002" s="1" t="n">
        <v>0</v>
      </c>
      <c r="KKJ3002" s="1" t="n">
        <v>0</v>
      </c>
      <c r="KKK3002" s="1" t="n">
        <v>0</v>
      </c>
      <c r="KKL3002" s="1" t="n">
        <v>0</v>
      </c>
      <c r="KKM3002" s="1" t="n">
        <v>0</v>
      </c>
      <c r="KKN3002" s="1" t="n">
        <v>0</v>
      </c>
      <c r="KKO3002" s="1" t="n">
        <v>0</v>
      </c>
      <c r="KKP3002" s="1" t="n">
        <v>0</v>
      </c>
      <c r="KKQ3002" s="1" t="n">
        <v>0</v>
      </c>
      <c r="KKR3002" s="1" t="n">
        <v>0</v>
      </c>
      <c r="KKS3002" s="1" t="n">
        <v>0</v>
      </c>
      <c r="KKT3002" s="1" t="n">
        <v>0</v>
      </c>
      <c r="KKU3002" s="1" t="n">
        <v>0</v>
      </c>
      <c r="KKV3002" s="1" t="n">
        <v>0</v>
      </c>
      <c r="KKW3002" s="1" t="n">
        <v>0</v>
      </c>
      <c r="KKX3002" s="1" t="n">
        <v>0</v>
      </c>
      <c r="KKY3002" s="1" t="n">
        <v>0</v>
      </c>
      <c r="KKZ3002" s="1" t="n">
        <v>0</v>
      </c>
      <c r="KLA3002" s="1" t="n">
        <v>0</v>
      </c>
      <c r="KLB3002" s="1" t="n">
        <v>0</v>
      </c>
      <c r="KLC3002" s="1" t="n">
        <v>0</v>
      </c>
      <c r="KLD3002" s="1" t="n">
        <v>0</v>
      </c>
      <c r="KLE3002" s="1" t="n">
        <v>0</v>
      </c>
      <c r="KLF3002" s="1" t="n">
        <v>0</v>
      </c>
      <c r="KLG3002" s="1" t="n">
        <v>0</v>
      </c>
      <c r="KLH3002" s="1" t="n">
        <v>0</v>
      </c>
      <c r="KLI3002" s="1" t="n">
        <v>0</v>
      </c>
      <c r="KLJ3002" s="1" t="n">
        <v>0</v>
      </c>
      <c r="KLK3002" s="1" t="n">
        <v>0</v>
      </c>
      <c r="KLL3002" s="1" t="n">
        <v>0</v>
      </c>
      <c r="KLM3002" s="1" t="n">
        <v>0</v>
      </c>
      <c r="KLN3002" s="1" t="n">
        <v>0</v>
      </c>
      <c r="KLO3002" s="1" t="n">
        <v>0</v>
      </c>
      <c r="KLP3002" s="1" t="n">
        <v>0</v>
      </c>
      <c r="KLQ3002" s="1" t="n">
        <v>0</v>
      </c>
      <c r="KLR3002" s="1" t="n">
        <v>0</v>
      </c>
      <c r="KLS3002" s="1" t="n">
        <v>0</v>
      </c>
      <c r="KLT3002" s="1" t="n">
        <v>0</v>
      </c>
      <c r="KLU3002" s="1" t="n">
        <v>0</v>
      </c>
      <c r="KLV3002" s="1" t="n">
        <v>0</v>
      </c>
      <c r="KLW3002" s="1" t="n">
        <v>0</v>
      </c>
      <c r="KLX3002" s="1" t="n">
        <v>0</v>
      </c>
      <c r="KLY3002" s="1" t="n">
        <v>0</v>
      </c>
      <c r="KLZ3002" s="1" t="n">
        <v>0</v>
      </c>
      <c r="KMA3002" s="1" t="n">
        <v>0</v>
      </c>
      <c r="KMB3002" s="1" t="n">
        <v>0</v>
      </c>
      <c r="KMC3002" s="1" t="n">
        <v>0</v>
      </c>
      <c r="KMD3002" s="1" t="n">
        <v>0</v>
      </c>
      <c r="KME3002" s="1" t="n">
        <v>0</v>
      </c>
      <c r="KMF3002" s="1" t="n">
        <v>0</v>
      </c>
      <c r="KMG3002" s="1" t="n">
        <v>0</v>
      </c>
      <c r="KMH3002" s="1" t="n">
        <v>0</v>
      </c>
      <c r="KMI3002" s="1" t="n">
        <v>0</v>
      </c>
      <c r="KMJ3002" s="1" t="n">
        <v>0</v>
      </c>
      <c r="KMK3002" s="1" t="n">
        <v>0</v>
      </c>
      <c r="KML3002" s="1" t="n">
        <v>0</v>
      </c>
      <c r="KMM3002" s="1" t="n">
        <v>0</v>
      </c>
      <c r="KMN3002" s="1" t="n">
        <v>0</v>
      </c>
      <c r="KMO3002" s="1" t="n">
        <v>0</v>
      </c>
      <c r="KMP3002" s="1" t="n">
        <v>0</v>
      </c>
      <c r="KMQ3002" s="1" t="n">
        <v>0</v>
      </c>
      <c r="KMR3002" s="1" t="n">
        <v>0</v>
      </c>
      <c r="KMS3002" s="1" t="n">
        <v>0</v>
      </c>
      <c r="KMT3002" s="1" t="n">
        <v>0</v>
      </c>
      <c r="KMU3002" s="1" t="n">
        <v>0</v>
      </c>
      <c r="KMV3002" s="1" t="n">
        <v>0</v>
      </c>
      <c r="KMW3002" s="1" t="n">
        <v>0</v>
      </c>
      <c r="KMX3002" s="1" t="n">
        <v>0</v>
      </c>
      <c r="KMY3002" s="1" t="n">
        <v>0</v>
      </c>
      <c r="KMZ3002" s="1" t="n">
        <v>0</v>
      </c>
      <c r="KNA3002" s="1" t="n">
        <v>0</v>
      </c>
      <c r="KNB3002" s="1" t="n">
        <v>0</v>
      </c>
      <c r="KNC3002" s="1" t="n">
        <v>0</v>
      </c>
      <c r="KND3002" s="1" t="n">
        <v>0</v>
      </c>
      <c r="KNE3002" s="1" t="n">
        <v>0</v>
      </c>
      <c r="KNF3002" s="1" t="n">
        <v>0</v>
      </c>
      <c r="KNG3002" s="1" t="n">
        <v>0</v>
      </c>
      <c r="KNH3002" s="1" t="n">
        <v>0</v>
      </c>
      <c r="KNI3002" s="1" t="n">
        <v>0</v>
      </c>
      <c r="KNJ3002" s="1" t="n">
        <v>0</v>
      </c>
      <c r="KNK3002" s="1" t="n">
        <v>0</v>
      </c>
      <c r="KNL3002" s="1" t="n">
        <v>0</v>
      </c>
      <c r="KNM3002" s="1" t="n">
        <v>0</v>
      </c>
      <c r="KNN3002" s="1" t="n">
        <v>0</v>
      </c>
      <c r="KNO3002" s="1" t="n">
        <v>0</v>
      </c>
      <c r="KNP3002" s="1" t="n">
        <v>0</v>
      </c>
      <c r="KNQ3002" s="1" t="n">
        <v>0</v>
      </c>
      <c r="KNR3002" s="1" t="n">
        <v>0</v>
      </c>
      <c r="KNS3002" s="1" t="n">
        <v>0</v>
      </c>
      <c r="KNT3002" s="1" t="n">
        <v>0</v>
      </c>
      <c r="KNU3002" s="1" t="n">
        <v>0</v>
      </c>
      <c r="KNV3002" s="1" t="n">
        <v>0</v>
      </c>
      <c r="KNW3002" s="1" t="n">
        <v>0</v>
      </c>
      <c r="KNX3002" s="1" t="n">
        <v>0</v>
      </c>
      <c r="KNY3002" s="1" t="n">
        <v>0</v>
      </c>
      <c r="KNZ3002" s="1" t="n">
        <v>0</v>
      </c>
      <c r="KOA3002" s="1" t="n">
        <v>0</v>
      </c>
      <c r="KOB3002" s="1" t="n">
        <v>0</v>
      </c>
      <c r="KOC3002" s="1" t="n">
        <v>0</v>
      </c>
      <c r="KOD3002" s="1" t="n">
        <v>0</v>
      </c>
      <c r="KOE3002" s="1" t="n">
        <v>0</v>
      </c>
      <c r="KOF3002" s="1" t="n">
        <v>0</v>
      </c>
      <c r="KOG3002" s="1" t="n">
        <v>0</v>
      </c>
      <c r="KOH3002" s="1" t="n">
        <v>0</v>
      </c>
      <c r="KOI3002" s="1" t="n">
        <v>0</v>
      </c>
      <c r="KOJ3002" s="1" t="n">
        <v>0</v>
      </c>
      <c r="KOK3002" s="1" t="n">
        <v>0</v>
      </c>
      <c r="KOL3002" s="1" t="n">
        <v>0</v>
      </c>
      <c r="KOM3002" s="1" t="n">
        <v>0</v>
      </c>
      <c r="KON3002" s="1" t="n">
        <v>0</v>
      </c>
      <c r="KOO3002" s="1" t="n">
        <v>0</v>
      </c>
      <c r="KOP3002" s="1" t="n">
        <v>0</v>
      </c>
      <c r="KOQ3002" s="1" t="n">
        <v>0</v>
      </c>
      <c r="KOR3002" s="1" t="n">
        <v>0</v>
      </c>
      <c r="KOS3002" s="1" t="n">
        <v>0</v>
      </c>
      <c r="KOT3002" s="1" t="n">
        <v>0</v>
      </c>
      <c r="KOU3002" s="1" t="n">
        <v>0</v>
      </c>
      <c r="KOV3002" s="1" t="n">
        <v>0</v>
      </c>
      <c r="KOW3002" s="1" t="n">
        <v>0</v>
      </c>
      <c r="KOX3002" s="1" t="n">
        <v>0</v>
      </c>
      <c r="KOY3002" s="1" t="n">
        <v>0</v>
      </c>
      <c r="KOZ3002" s="1" t="n">
        <v>0</v>
      </c>
      <c r="KPA3002" s="1" t="n">
        <v>0</v>
      </c>
      <c r="KPB3002" s="1" t="n">
        <v>0</v>
      </c>
      <c r="KPC3002" s="1" t="n">
        <v>0</v>
      </c>
      <c r="KPD3002" s="1" t="n">
        <v>0</v>
      </c>
      <c r="KPE3002" s="1" t="n">
        <v>0</v>
      </c>
      <c r="KPF3002" s="1" t="n">
        <v>0</v>
      </c>
      <c r="KPG3002" s="1" t="n">
        <v>0</v>
      </c>
      <c r="KPH3002" s="1" t="n">
        <v>0</v>
      </c>
      <c r="KPI3002" s="1" t="n">
        <v>0</v>
      </c>
      <c r="KPJ3002" s="1" t="n">
        <v>0</v>
      </c>
      <c r="KPK3002" s="1" t="n">
        <v>0</v>
      </c>
      <c r="KPL3002" s="1" t="n">
        <v>0</v>
      </c>
      <c r="KPM3002" s="1" t="n">
        <v>0</v>
      </c>
      <c r="KPN3002" s="1" t="n">
        <v>0</v>
      </c>
      <c r="KPO3002" s="1" t="n">
        <v>0</v>
      </c>
      <c r="KPP3002" s="1" t="n">
        <v>0</v>
      </c>
      <c r="KPQ3002" s="1" t="n">
        <v>0</v>
      </c>
      <c r="KPR3002" s="1" t="n">
        <v>0</v>
      </c>
      <c r="KPS3002" s="1" t="n">
        <v>0</v>
      </c>
      <c r="KPT3002" s="1" t="n">
        <v>0</v>
      </c>
      <c r="KPU3002" s="1" t="n">
        <v>0</v>
      </c>
      <c r="KPV3002" s="1" t="n">
        <v>0</v>
      </c>
      <c r="KPW3002" s="1" t="n">
        <v>0</v>
      </c>
      <c r="KPX3002" s="1" t="n">
        <v>0</v>
      </c>
      <c r="KPY3002" s="1" t="n">
        <v>0</v>
      </c>
      <c r="KPZ3002" s="1" t="n">
        <v>0</v>
      </c>
      <c r="KQA3002" s="1" t="n">
        <v>0</v>
      </c>
      <c r="KQB3002" s="1" t="n">
        <v>0</v>
      </c>
      <c r="KQC3002" s="1" t="n">
        <v>0</v>
      </c>
      <c r="KQD3002" s="1" t="n">
        <v>0</v>
      </c>
      <c r="KQE3002" s="1" t="n">
        <v>0</v>
      </c>
      <c r="KQF3002" s="1" t="n">
        <v>0</v>
      </c>
      <c r="KQG3002" s="1" t="n">
        <v>0</v>
      </c>
      <c r="KQH3002" s="1" t="n">
        <v>0</v>
      </c>
      <c r="KQI3002" s="1" t="n">
        <v>0</v>
      </c>
      <c r="KQJ3002" s="1" t="n">
        <v>0</v>
      </c>
      <c r="KQK3002" s="1" t="n">
        <v>0</v>
      </c>
      <c r="KQL3002" s="1" t="n">
        <v>0</v>
      </c>
      <c r="KQM3002" s="1" t="n">
        <v>0</v>
      </c>
      <c r="KQN3002" s="1" t="n">
        <v>0</v>
      </c>
      <c r="KQO3002" s="1" t="n">
        <v>0</v>
      </c>
      <c r="KQP3002" s="1" t="n">
        <v>0</v>
      </c>
      <c r="KQQ3002" s="1" t="n">
        <v>0</v>
      </c>
      <c r="KQR3002" s="1" t="n">
        <v>0</v>
      </c>
      <c r="KQS3002" s="1" t="n">
        <v>0</v>
      </c>
      <c r="KQT3002" s="1" t="n">
        <v>0</v>
      </c>
      <c r="KQU3002" s="1" t="n">
        <v>0</v>
      </c>
      <c r="KQV3002" s="1" t="n">
        <v>0</v>
      </c>
      <c r="KQW3002" s="1" t="n">
        <v>0</v>
      </c>
      <c r="KQX3002" s="1" t="n">
        <v>0</v>
      </c>
      <c r="KQY3002" s="1" t="n">
        <v>0</v>
      </c>
      <c r="KQZ3002" s="1" t="n">
        <v>0</v>
      </c>
      <c r="KRA3002" s="1" t="n">
        <v>0</v>
      </c>
      <c r="KRB3002" s="1" t="n">
        <v>0</v>
      </c>
      <c r="KRC3002" s="1" t="n">
        <v>0</v>
      </c>
      <c r="KRD3002" s="1" t="n">
        <v>0</v>
      </c>
      <c r="KRE3002" s="1" t="n">
        <v>0</v>
      </c>
      <c r="KRF3002" s="1" t="n">
        <v>0</v>
      </c>
      <c r="KRG3002" s="1" t="n">
        <v>0</v>
      </c>
      <c r="KRH3002" s="1" t="n">
        <v>0</v>
      </c>
      <c r="KRI3002" s="1" t="n">
        <v>0</v>
      </c>
      <c r="KRJ3002" s="1" t="n">
        <v>0</v>
      </c>
      <c r="KRK3002" s="1" t="n">
        <v>0</v>
      </c>
      <c r="KRL3002" s="1" t="n">
        <v>0</v>
      </c>
      <c r="KRM3002" s="1" t="n">
        <v>0</v>
      </c>
      <c r="KRN3002" s="1" t="n">
        <v>0</v>
      </c>
      <c r="KRO3002" s="1" t="n">
        <v>0</v>
      </c>
      <c r="KRP3002" s="1" t="n">
        <v>0</v>
      </c>
      <c r="KRQ3002" s="1" t="n">
        <v>0</v>
      </c>
      <c r="KRR3002" s="1" t="n">
        <v>0</v>
      </c>
      <c r="KRS3002" s="1" t="n">
        <v>0</v>
      </c>
      <c r="KRT3002" s="1" t="n">
        <v>0</v>
      </c>
      <c r="KRU3002" s="1" t="n">
        <v>0</v>
      </c>
      <c r="KRV3002" s="1" t="n">
        <v>0</v>
      </c>
      <c r="KRW3002" s="1" t="n">
        <v>0</v>
      </c>
      <c r="KRX3002" s="1" t="n">
        <v>0</v>
      </c>
      <c r="KRY3002" s="1" t="n">
        <v>0</v>
      </c>
      <c r="KRZ3002" s="1" t="n">
        <v>0</v>
      </c>
      <c r="KSA3002" s="1" t="n">
        <v>0</v>
      </c>
      <c r="KSB3002" s="1" t="n">
        <v>0</v>
      </c>
      <c r="KSC3002" s="1" t="n">
        <v>0</v>
      </c>
      <c r="KSD3002" s="1" t="n">
        <v>0</v>
      </c>
      <c r="KSE3002" s="1" t="n">
        <v>0</v>
      </c>
      <c r="KSF3002" s="1" t="n">
        <v>0</v>
      </c>
      <c r="KSG3002" s="1" t="n">
        <v>0</v>
      </c>
      <c r="KSH3002" s="1" t="n">
        <v>0</v>
      </c>
      <c r="KSI3002" s="1" t="n">
        <v>0</v>
      </c>
      <c r="KSJ3002" s="1" t="n">
        <v>0</v>
      </c>
      <c r="KSK3002" s="1" t="n">
        <v>0</v>
      </c>
      <c r="KSL3002" s="1" t="n">
        <v>0</v>
      </c>
      <c r="KSM3002" s="1" t="n">
        <v>0</v>
      </c>
      <c r="KSN3002" s="1" t="n">
        <v>0</v>
      </c>
      <c r="KSO3002" s="1" t="n">
        <v>0</v>
      </c>
      <c r="KSP3002" s="1" t="n">
        <v>0</v>
      </c>
      <c r="KSQ3002" s="1" t="n">
        <v>0</v>
      </c>
      <c r="KSR3002" s="1" t="n">
        <v>0</v>
      </c>
      <c r="KSS3002" s="1" t="n">
        <v>0</v>
      </c>
      <c r="KST3002" s="1" t="n">
        <v>0</v>
      </c>
      <c r="KSU3002" s="1" t="n">
        <v>0</v>
      </c>
      <c r="KSV3002" s="1" t="n">
        <v>0</v>
      </c>
      <c r="KSW3002" s="1" t="n">
        <v>0</v>
      </c>
      <c r="KSX3002" s="1" t="n">
        <v>0</v>
      </c>
      <c r="KSY3002" s="1" t="n">
        <v>0</v>
      </c>
      <c r="KSZ3002" s="1" t="n">
        <v>0</v>
      </c>
      <c r="KTA3002" s="1" t="n">
        <v>0</v>
      </c>
      <c r="KTB3002" s="1" t="n">
        <v>0</v>
      </c>
      <c r="KTC3002" s="1" t="n">
        <v>0</v>
      </c>
      <c r="KTD3002" s="1" t="n">
        <v>0</v>
      </c>
      <c r="KTE3002" s="1" t="n">
        <v>0</v>
      </c>
      <c r="KTF3002" s="1" t="n">
        <v>0</v>
      </c>
      <c r="KTG3002" s="1" t="n">
        <v>0</v>
      </c>
      <c r="KTH3002" s="1" t="n">
        <v>0</v>
      </c>
      <c r="KTI3002" s="1" t="n">
        <v>0</v>
      </c>
      <c r="KTJ3002" s="1" t="n">
        <v>0</v>
      </c>
      <c r="KTK3002" s="1" t="n">
        <v>0</v>
      </c>
      <c r="KTL3002" s="1" t="n">
        <v>0</v>
      </c>
      <c r="KTM3002" s="1" t="n">
        <v>0</v>
      </c>
      <c r="KTN3002" s="1" t="n">
        <v>0</v>
      </c>
      <c r="KTO3002" s="1" t="n">
        <v>0</v>
      </c>
      <c r="KTP3002" s="1" t="n">
        <v>0</v>
      </c>
      <c r="KTQ3002" s="1" t="n">
        <v>0</v>
      </c>
      <c r="KTR3002" s="1" t="n">
        <v>0</v>
      </c>
      <c r="KTS3002" s="1" t="n">
        <v>0</v>
      </c>
      <c r="KTT3002" s="1" t="n">
        <v>0</v>
      </c>
      <c r="KTU3002" s="1" t="n">
        <v>0</v>
      </c>
      <c r="KTV3002" s="1" t="n">
        <v>0</v>
      </c>
      <c r="KTW3002" s="1" t="n">
        <v>0</v>
      </c>
      <c r="KTX3002" s="1" t="n">
        <v>0</v>
      </c>
      <c r="KTY3002" s="1" t="n">
        <v>0</v>
      </c>
      <c r="KTZ3002" s="1" t="n">
        <v>0</v>
      </c>
      <c r="KUA3002" s="1" t="n">
        <v>0</v>
      </c>
      <c r="KUB3002" s="1" t="n">
        <v>0</v>
      </c>
      <c r="KUC3002" s="1" t="n">
        <v>0</v>
      </c>
      <c r="KUD3002" s="1" t="n">
        <v>0</v>
      </c>
      <c r="KUE3002" s="1" t="n">
        <v>0</v>
      </c>
      <c r="KUF3002" s="1" t="n">
        <v>0</v>
      </c>
      <c r="KUG3002" s="1" t="n">
        <v>0</v>
      </c>
      <c r="KUH3002" s="1" t="n">
        <v>0</v>
      </c>
      <c r="KUI3002" s="1" t="n">
        <v>0</v>
      </c>
      <c r="KUJ3002" s="1" t="n">
        <v>0</v>
      </c>
      <c r="KUK3002" s="1" t="n">
        <v>0</v>
      </c>
      <c r="KUL3002" s="1" t="n">
        <v>0</v>
      </c>
      <c r="KUM3002" s="1" t="n">
        <v>0</v>
      </c>
      <c r="KUN3002" s="1" t="n">
        <v>0</v>
      </c>
      <c r="KUO3002" s="1" t="n">
        <v>0</v>
      </c>
      <c r="KUP3002" s="1" t="n">
        <v>0</v>
      </c>
      <c r="KUQ3002" s="1" t="n">
        <v>0</v>
      </c>
      <c r="KUR3002" s="1" t="n">
        <v>0</v>
      </c>
      <c r="KUS3002" s="1" t="n">
        <v>0</v>
      </c>
      <c r="KUT3002" s="1" t="n">
        <v>0</v>
      </c>
      <c r="KUU3002" s="1" t="n">
        <v>0</v>
      </c>
      <c r="KUV3002" s="1" t="n">
        <v>0</v>
      </c>
      <c r="KUW3002" s="1" t="n">
        <v>0</v>
      </c>
      <c r="KUX3002" s="1" t="n">
        <v>0</v>
      </c>
      <c r="KUY3002" s="1" t="n">
        <v>0</v>
      </c>
      <c r="KUZ3002" s="1" t="n">
        <v>0</v>
      </c>
      <c r="KVA3002" s="1" t="n">
        <v>0</v>
      </c>
      <c r="KVB3002" s="1" t="n">
        <v>0</v>
      </c>
      <c r="KVC3002" s="1" t="n">
        <v>0</v>
      </c>
      <c r="KVD3002" s="1" t="n">
        <v>0</v>
      </c>
      <c r="KVE3002" s="1" t="n">
        <v>0</v>
      </c>
      <c r="KVF3002" s="1" t="n">
        <v>0</v>
      </c>
      <c r="KVG3002" s="1" t="n">
        <v>0</v>
      </c>
      <c r="KVH3002" s="1" t="n">
        <v>0</v>
      </c>
      <c r="KVI3002" s="1" t="n">
        <v>0</v>
      </c>
      <c r="KVJ3002" s="1" t="n">
        <v>0</v>
      </c>
      <c r="KVK3002" s="1" t="n">
        <v>0</v>
      </c>
      <c r="KVL3002" s="1" t="n">
        <v>0</v>
      </c>
      <c r="KVM3002" s="1" t="n">
        <v>0</v>
      </c>
      <c r="KVN3002" s="1" t="n">
        <v>0</v>
      </c>
      <c r="KVO3002" s="1" t="n">
        <v>0</v>
      </c>
      <c r="KVP3002" s="1" t="n">
        <v>0</v>
      </c>
      <c r="KVQ3002" s="1" t="n">
        <v>0</v>
      </c>
      <c r="KVR3002" s="1" t="n">
        <v>0</v>
      </c>
      <c r="KVS3002" s="1" t="n">
        <v>0</v>
      </c>
      <c r="KVT3002" s="1" t="n">
        <v>0</v>
      </c>
      <c r="KVU3002" s="1" t="n">
        <v>0</v>
      </c>
      <c r="KVV3002" s="1" t="n">
        <v>0</v>
      </c>
      <c r="KVW3002" s="1" t="n">
        <v>0</v>
      </c>
      <c r="KVX3002" s="1" t="n">
        <v>0</v>
      </c>
      <c r="KVY3002" s="1" t="n">
        <v>0</v>
      </c>
      <c r="KVZ3002" s="1" t="n">
        <v>0</v>
      </c>
      <c r="KWA3002" s="1" t="n">
        <v>0</v>
      </c>
      <c r="KWB3002" s="1" t="n">
        <v>0</v>
      </c>
      <c r="KWC3002" s="1" t="n">
        <v>0</v>
      </c>
      <c r="KWD3002" s="1" t="n">
        <v>0</v>
      </c>
      <c r="KWE3002" s="1" t="n">
        <v>0</v>
      </c>
      <c r="KWF3002" s="1" t="n">
        <v>0</v>
      </c>
      <c r="KWG3002" s="1" t="n">
        <v>0</v>
      </c>
      <c r="KWH3002" s="1" t="n">
        <v>0</v>
      </c>
      <c r="KWI3002" s="1" t="n">
        <v>0</v>
      </c>
      <c r="KWJ3002" s="1" t="n">
        <v>0</v>
      </c>
      <c r="KWK3002" s="1" t="n">
        <v>0</v>
      </c>
      <c r="KWL3002" s="1" t="n">
        <v>0</v>
      </c>
      <c r="KWM3002" s="1" t="n">
        <v>0</v>
      </c>
      <c r="KWN3002" s="1" t="n">
        <v>0</v>
      </c>
      <c r="KWO3002" s="1" t="n">
        <v>0</v>
      </c>
      <c r="KWP3002" s="1" t="n">
        <v>0</v>
      </c>
      <c r="KWQ3002" s="1" t="n">
        <v>0</v>
      </c>
      <c r="KWR3002" s="1" t="n">
        <v>0</v>
      </c>
      <c r="KWS3002" s="1" t="n">
        <v>0</v>
      </c>
      <c r="KWT3002" s="1" t="n">
        <v>0</v>
      </c>
      <c r="KWU3002" s="1" t="n">
        <v>0</v>
      </c>
      <c r="KWV3002" s="1" t="n">
        <v>0</v>
      </c>
      <c r="KWW3002" s="1" t="n">
        <v>0</v>
      </c>
      <c r="KWX3002" s="1" t="n">
        <v>0</v>
      </c>
      <c r="KWY3002" s="1" t="n">
        <v>0</v>
      </c>
      <c r="KWZ3002" s="1" t="n">
        <v>0</v>
      </c>
      <c r="KXA3002" s="1" t="n">
        <v>0</v>
      </c>
      <c r="KXB3002" s="1" t="n">
        <v>0</v>
      </c>
      <c r="KXC3002" s="1" t="n">
        <v>0</v>
      </c>
      <c r="KXD3002" s="1" t="n">
        <v>0</v>
      </c>
      <c r="KXE3002" s="1" t="n">
        <v>0</v>
      </c>
      <c r="KXF3002" s="1" t="n">
        <v>0</v>
      </c>
      <c r="KXG3002" s="1" t="n">
        <v>0</v>
      </c>
      <c r="KXH3002" s="1" t="n">
        <v>0</v>
      </c>
      <c r="KXI3002" s="1" t="n">
        <v>0</v>
      </c>
      <c r="KXJ3002" s="1" t="n">
        <v>0</v>
      </c>
      <c r="KXK3002" s="1" t="n">
        <v>0</v>
      </c>
      <c r="KXL3002" s="1" t="n">
        <v>0</v>
      </c>
      <c r="KXM3002" s="1" t="n">
        <v>0</v>
      </c>
      <c r="KXN3002" s="1" t="n">
        <v>0</v>
      </c>
      <c r="KXO3002" s="1" t="n">
        <v>0</v>
      </c>
      <c r="KXP3002" s="1" t="n">
        <v>0</v>
      </c>
      <c r="KXQ3002" s="1" t="n">
        <v>0</v>
      </c>
      <c r="KXR3002" s="1" t="n">
        <v>0</v>
      </c>
      <c r="KXS3002" s="1" t="n">
        <v>0</v>
      </c>
      <c r="KXT3002" s="1" t="n">
        <v>0</v>
      </c>
      <c r="KXU3002" s="1" t="n">
        <v>0</v>
      </c>
      <c r="KXV3002" s="1" t="n">
        <v>0</v>
      </c>
      <c r="KXW3002" s="1" t="n">
        <v>0</v>
      </c>
      <c r="KXX3002" s="1" t="n">
        <v>0</v>
      </c>
      <c r="KXY3002" s="1" t="n">
        <v>0</v>
      </c>
      <c r="KXZ3002" s="1" t="n">
        <v>0</v>
      </c>
      <c r="KYA3002" s="1" t="n">
        <v>0</v>
      </c>
      <c r="KYB3002" s="1" t="n">
        <v>0</v>
      </c>
      <c r="KYC3002" s="1" t="n">
        <v>0</v>
      </c>
      <c r="KYD3002" s="1" t="n">
        <v>0</v>
      </c>
      <c r="KYE3002" s="1" t="n">
        <v>0</v>
      </c>
      <c r="KYF3002" s="1" t="n">
        <v>0</v>
      </c>
      <c r="KYG3002" s="1" t="n">
        <v>0</v>
      </c>
      <c r="KYH3002" s="1" t="n">
        <v>0</v>
      </c>
      <c r="KYI3002" s="1" t="n">
        <v>0</v>
      </c>
      <c r="KYJ3002" s="1" t="n">
        <v>0</v>
      </c>
      <c r="KYK3002" s="1" t="n">
        <v>0</v>
      </c>
      <c r="KYL3002" s="1" t="n">
        <v>0</v>
      </c>
      <c r="KYM3002" s="1" t="n">
        <v>0</v>
      </c>
      <c r="KYN3002" s="1" t="n">
        <v>0</v>
      </c>
      <c r="KYO3002" s="1" t="n">
        <v>0</v>
      </c>
      <c r="KYP3002" s="1" t="n">
        <v>0</v>
      </c>
      <c r="KYQ3002" s="1" t="n">
        <v>0</v>
      </c>
      <c r="KYR3002" s="1" t="n">
        <v>0</v>
      </c>
      <c r="KYS3002" s="1" t="n">
        <v>0</v>
      </c>
      <c r="KYT3002" s="1" t="n">
        <v>0</v>
      </c>
      <c r="KYU3002" s="1" t="n">
        <v>0</v>
      </c>
      <c r="KYV3002" s="1" t="n">
        <v>0</v>
      </c>
      <c r="KYW3002" s="1" t="n">
        <v>0</v>
      </c>
      <c r="KYX3002" s="1" t="n">
        <v>0</v>
      </c>
      <c r="KYY3002" s="1" t="n">
        <v>0</v>
      </c>
      <c r="KYZ3002" s="1" t="n">
        <v>0</v>
      </c>
      <c r="KZA3002" s="1" t="n">
        <v>0</v>
      </c>
      <c r="KZB3002" s="1" t="n">
        <v>0</v>
      </c>
      <c r="KZC3002" s="1" t="n">
        <v>0</v>
      </c>
      <c r="KZD3002" s="1" t="n">
        <v>0</v>
      </c>
      <c r="KZE3002" s="1" t="n">
        <v>0</v>
      </c>
      <c r="KZF3002" s="1" t="n">
        <v>0</v>
      </c>
      <c r="KZG3002" s="1" t="n">
        <v>0</v>
      </c>
      <c r="KZH3002" s="1" t="n">
        <v>0</v>
      </c>
      <c r="KZI3002" s="1" t="n">
        <v>0</v>
      </c>
      <c r="KZJ3002" s="1" t="n">
        <v>0</v>
      </c>
      <c r="KZK3002" s="1" t="n">
        <v>0</v>
      </c>
      <c r="KZL3002" s="1" t="n">
        <v>0</v>
      </c>
      <c r="KZM3002" s="1" t="n">
        <v>0</v>
      </c>
      <c r="KZN3002" s="1" t="n">
        <v>0</v>
      </c>
      <c r="KZO3002" s="1" t="n">
        <v>0</v>
      </c>
      <c r="KZP3002" s="1" t="n">
        <v>0</v>
      </c>
      <c r="KZQ3002" s="1" t="n">
        <v>0</v>
      </c>
      <c r="KZR3002" s="1" t="n">
        <v>0</v>
      </c>
      <c r="KZS3002" s="1" t="n">
        <v>0</v>
      </c>
      <c r="KZT3002" s="1" t="n">
        <v>0</v>
      </c>
      <c r="KZU3002" s="1" t="n">
        <v>0</v>
      </c>
      <c r="KZV3002" s="1" t="n">
        <v>0</v>
      </c>
      <c r="KZW3002" s="1" t="n">
        <v>0</v>
      </c>
      <c r="KZX3002" s="1" t="n">
        <v>0</v>
      </c>
      <c r="KZY3002" s="1" t="n">
        <v>0</v>
      </c>
      <c r="KZZ3002" s="1" t="n">
        <v>0</v>
      </c>
      <c r="LAA3002" s="1" t="n">
        <v>0</v>
      </c>
      <c r="LAB3002" s="1" t="n">
        <v>0</v>
      </c>
      <c r="LAC3002" s="1" t="n">
        <v>0</v>
      </c>
      <c r="LAD3002" s="1" t="n">
        <v>0</v>
      </c>
      <c r="LAE3002" s="1" t="n">
        <v>0</v>
      </c>
      <c r="LAF3002" s="1" t="n">
        <v>0</v>
      </c>
      <c r="LAG3002" s="1" t="n">
        <v>0</v>
      </c>
      <c r="LAH3002" s="1" t="n">
        <v>0</v>
      </c>
      <c r="LAI3002" s="1" t="n">
        <v>0</v>
      </c>
      <c r="LAJ3002" s="1" t="n">
        <v>0</v>
      </c>
      <c r="LAK3002" s="1" t="n">
        <v>0</v>
      </c>
      <c r="LAL3002" s="1" t="n">
        <v>0</v>
      </c>
      <c r="LAM3002" s="1" t="n">
        <v>0</v>
      </c>
      <c r="LAN3002" s="1" t="n">
        <v>0</v>
      </c>
      <c r="LAO3002" s="1" t="n">
        <v>0</v>
      </c>
      <c r="LAP3002" s="1" t="n">
        <v>0</v>
      </c>
      <c r="LAQ3002" s="1" t="n">
        <v>0</v>
      </c>
      <c r="LAR3002" s="1" t="n">
        <v>0</v>
      </c>
      <c r="LAS3002" s="1" t="n">
        <v>0</v>
      </c>
      <c r="LAT3002" s="1" t="n">
        <v>0</v>
      </c>
      <c r="LAU3002" s="1" t="n">
        <v>0</v>
      </c>
      <c r="LAV3002" s="1" t="n">
        <v>0</v>
      </c>
      <c r="LAW3002" s="1" t="n">
        <v>0</v>
      </c>
      <c r="LAX3002" s="1" t="n">
        <v>0</v>
      </c>
      <c r="LAY3002" s="1" t="n">
        <v>0</v>
      </c>
      <c r="LAZ3002" s="1" t="n">
        <v>0</v>
      </c>
      <c r="LBA3002" s="1" t="n">
        <v>0</v>
      </c>
      <c r="LBB3002" s="1" t="n">
        <v>0</v>
      </c>
      <c r="LBC3002" s="1" t="n">
        <v>0</v>
      </c>
      <c r="LBD3002" s="1" t="n">
        <v>0</v>
      </c>
      <c r="LBE3002" s="1" t="n">
        <v>0</v>
      </c>
      <c r="LBF3002" s="1" t="n">
        <v>0</v>
      </c>
      <c r="LBG3002" s="1" t="n">
        <v>0</v>
      </c>
      <c r="LBH3002" s="1" t="n">
        <v>0</v>
      </c>
      <c r="LBI3002" s="1" t="n">
        <v>0</v>
      </c>
      <c r="LBJ3002" s="1" t="n">
        <v>0</v>
      </c>
      <c r="LBK3002" s="1" t="n">
        <v>0</v>
      </c>
      <c r="LBL3002" s="1" t="n">
        <v>0</v>
      </c>
      <c r="LBM3002" s="1" t="n">
        <v>0</v>
      </c>
      <c r="LBN3002" s="1" t="n">
        <v>0</v>
      </c>
      <c r="LBO3002" s="1" t="n">
        <v>0</v>
      </c>
      <c r="LBP3002" s="1" t="n">
        <v>0</v>
      </c>
      <c r="LBQ3002" s="1" t="n">
        <v>0</v>
      </c>
      <c r="LBR3002" s="1" t="n">
        <v>0</v>
      </c>
      <c r="LBS3002" s="1" t="n">
        <v>0</v>
      </c>
      <c r="LBT3002" s="1" t="n">
        <v>0</v>
      </c>
      <c r="LBU3002" s="1" t="n">
        <v>0</v>
      </c>
      <c r="LBV3002" s="1" t="n">
        <v>0</v>
      </c>
      <c r="LBW3002" s="1" t="n">
        <v>0</v>
      </c>
      <c r="LBX3002" s="1" t="n">
        <v>0</v>
      </c>
      <c r="LBY3002" s="1" t="n">
        <v>0</v>
      </c>
      <c r="LBZ3002" s="1" t="n">
        <v>0</v>
      </c>
      <c r="LCA3002" s="1" t="n">
        <v>0</v>
      </c>
      <c r="LCB3002" s="1" t="n">
        <v>0</v>
      </c>
      <c r="LCC3002" s="1" t="n">
        <v>0</v>
      </c>
      <c r="LCD3002" s="1" t="n">
        <v>0</v>
      </c>
      <c r="LCE3002" s="1" t="n">
        <v>0</v>
      </c>
      <c r="LCF3002" s="1" t="n">
        <v>0</v>
      </c>
      <c r="LCG3002" s="1" t="n">
        <v>0</v>
      </c>
      <c r="LCH3002" s="1" t="n">
        <v>0</v>
      </c>
      <c r="LCI3002" s="1" t="n">
        <v>0</v>
      </c>
      <c r="LCJ3002" s="1" t="n">
        <v>0</v>
      </c>
      <c r="LCK3002" s="1" t="n">
        <v>0</v>
      </c>
      <c r="LCL3002" s="1" t="n">
        <v>0</v>
      </c>
      <c r="LCM3002" s="1" t="n">
        <v>0</v>
      </c>
      <c r="LCN3002" s="1" t="n">
        <v>0</v>
      </c>
      <c r="LCO3002" s="1" t="n">
        <v>0</v>
      </c>
      <c r="LCP3002" s="1" t="n">
        <v>0</v>
      </c>
      <c r="LCQ3002" s="1" t="n">
        <v>0</v>
      </c>
      <c r="LCR3002" s="1" t="n">
        <v>0</v>
      </c>
      <c r="LCS3002" s="1" t="n">
        <v>0</v>
      </c>
      <c r="LCT3002" s="1" t="n">
        <v>0</v>
      </c>
      <c r="LCU3002" s="1" t="n">
        <v>0</v>
      </c>
      <c r="LCV3002" s="1" t="n">
        <v>0</v>
      </c>
      <c r="LCW3002" s="1" t="n">
        <v>0</v>
      </c>
      <c r="LCX3002" s="1" t="n">
        <v>0</v>
      </c>
      <c r="LCY3002" s="1" t="n">
        <v>0</v>
      </c>
      <c r="LCZ3002" s="1" t="n">
        <v>0</v>
      </c>
      <c r="LDA3002" s="1" t="n">
        <v>0</v>
      </c>
      <c r="LDB3002" s="1" t="n">
        <v>0</v>
      </c>
      <c r="LDC3002" s="1" t="n">
        <v>0</v>
      </c>
      <c r="LDD3002" s="1" t="n">
        <v>0</v>
      </c>
      <c r="LDE3002" s="1" t="n">
        <v>0</v>
      </c>
      <c r="LDF3002" s="1" t="n">
        <v>0</v>
      </c>
      <c r="LDG3002" s="1" t="n">
        <v>0</v>
      </c>
      <c r="LDH3002" s="1" t="n">
        <v>0</v>
      </c>
      <c r="LDI3002" s="1" t="n">
        <v>0</v>
      </c>
      <c r="LDJ3002" s="1" t="n">
        <v>0</v>
      </c>
      <c r="LDK3002" s="1" t="n">
        <v>0</v>
      </c>
      <c r="LDL3002" s="1" t="n">
        <v>0</v>
      </c>
      <c r="LDM3002" s="1" t="n">
        <v>0</v>
      </c>
      <c r="LDN3002" s="1" t="n">
        <v>0</v>
      </c>
      <c r="LDO3002" s="1" t="n">
        <v>0</v>
      </c>
      <c r="LDP3002" s="1" t="n">
        <v>0</v>
      </c>
      <c r="LDQ3002" s="1" t="n">
        <v>0</v>
      </c>
      <c r="LDR3002" s="1" t="n">
        <v>0</v>
      </c>
      <c r="LDS3002" s="1" t="n">
        <v>0</v>
      </c>
      <c r="LDT3002" s="1" t="n">
        <v>0</v>
      </c>
      <c r="LDU3002" s="1" t="n">
        <v>0</v>
      </c>
      <c r="LDV3002" s="1" t="n">
        <v>0</v>
      </c>
      <c r="LDW3002" s="1" t="n">
        <v>0</v>
      </c>
      <c r="LDX3002" s="1" t="n">
        <v>0</v>
      </c>
      <c r="LDY3002" s="1" t="n">
        <v>0</v>
      </c>
      <c r="LDZ3002" s="1" t="n">
        <v>0</v>
      </c>
      <c r="LEA3002" s="1" t="n">
        <v>0</v>
      </c>
      <c r="LEB3002" s="1" t="n">
        <v>0</v>
      </c>
      <c r="LEC3002" s="1" t="n">
        <v>0</v>
      </c>
      <c r="LED3002" s="1" t="n">
        <v>0</v>
      </c>
      <c r="LEE3002" s="1" t="n">
        <v>0</v>
      </c>
      <c r="LEF3002" s="1" t="n">
        <v>0</v>
      </c>
      <c r="LEG3002" s="1" t="n">
        <v>0</v>
      </c>
      <c r="LEH3002" s="1" t="n">
        <v>0</v>
      </c>
      <c r="LEI3002" s="1" t="n">
        <v>0</v>
      </c>
      <c r="LEJ3002" s="1" t="n">
        <v>0</v>
      </c>
      <c r="LEK3002" s="1" t="n">
        <v>0</v>
      </c>
      <c r="LEL3002" s="1" t="n">
        <v>0</v>
      </c>
      <c r="LEM3002" s="1" t="n">
        <v>0</v>
      </c>
      <c r="LEN3002" s="1" t="n">
        <v>0</v>
      </c>
      <c r="LEO3002" s="1" t="n">
        <v>0</v>
      </c>
      <c r="LEP3002" s="1" t="n">
        <v>0</v>
      </c>
      <c r="LEQ3002" s="1" t="n">
        <v>0</v>
      </c>
      <c r="LER3002" s="1" t="n">
        <v>0</v>
      </c>
      <c r="LES3002" s="1" t="n">
        <v>0</v>
      </c>
      <c r="LET3002" s="1" t="n">
        <v>0</v>
      </c>
      <c r="LEU3002" s="1" t="n">
        <v>0</v>
      </c>
      <c r="LEV3002" s="1" t="n">
        <v>0</v>
      </c>
      <c r="LEW3002" s="1" t="n">
        <v>0</v>
      </c>
      <c r="LEX3002" s="1" t="n">
        <v>0</v>
      </c>
      <c r="LEY3002" s="1" t="n">
        <v>0</v>
      </c>
      <c r="LEZ3002" s="1" t="n">
        <v>0</v>
      </c>
      <c r="LFA3002" s="1" t="n">
        <v>0</v>
      </c>
      <c r="LFB3002" s="1" t="n">
        <v>0</v>
      </c>
      <c r="LFC3002" s="1" t="n">
        <v>0</v>
      </c>
      <c r="LFD3002" s="1" t="n">
        <v>0</v>
      </c>
      <c r="LFE3002" s="1" t="n">
        <v>0</v>
      </c>
      <c r="LFF3002" s="1" t="n">
        <v>0</v>
      </c>
      <c r="LFG3002" s="1" t="n">
        <v>0</v>
      </c>
      <c r="LFH3002" s="1" t="n">
        <v>0</v>
      </c>
      <c r="LFI3002" s="1" t="n">
        <v>0</v>
      </c>
      <c r="LFJ3002" s="1" t="n">
        <v>0</v>
      </c>
      <c r="LFK3002" s="1" t="n">
        <v>0</v>
      </c>
      <c r="LFL3002" s="1" t="n">
        <v>0</v>
      </c>
      <c r="LFM3002" s="1" t="n">
        <v>0</v>
      </c>
      <c r="LFN3002" s="1" t="n">
        <v>0</v>
      </c>
      <c r="LFO3002" s="1" t="n">
        <v>0</v>
      </c>
      <c r="LFP3002" s="1" t="n">
        <v>0</v>
      </c>
      <c r="LFQ3002" s="1" t="n">
        <v>0</v>
      </c>
      <c r="LFR3002" s="1" t="n">
        <v>0</v>
      </c>
      <c r="LFS3002" s="1" t="n">
        <v>0</v>
      </c>
      <c r="LFT3002" s="1" t="n">
        <v>0</v>
      </c>
      <c r="LFU3002" s="1" t="n">
        <v>0</v>
      </c>
      <c r="LFV3002" s="1" t="n">
        <v>0</v>
      </c>
      <c r="LFW3002" s="1" t="n">
        <v>0</v>
      </c>
      <c r="LFX3002" s="1" t="n">
        <v>0</v>
      </c>
      <c r="LFY3002" s="1" t="n">
        <v>0</v>
      </c>
      <c r="LFZ3002" s="1" t="n">
        <v>0</v>
      </c>
      <c r="LGA3002" s="1" t="n">
        <v>0</v>
      </c>
      <c r="LGB3002" s="1" t="n">
        <v>0</v>
      </c>
      <c r="LGC3002" s="1" t="n">
        <v>0</v>
      </c>
      <c r="LGD3002" s="1" t="n">
        <v>0</v>
      </c>
      <c r="LGE3002" s="1" t="n">
        <v>0</v>
      </c>
      <c r="LGF3002" s="1" t="n">
        <v>0</v>
      </c>
      <c r="LGG3002" s="1" t="n">
        <v>0</v>
      </c>
      <c r="LGH3002" s="1" t="n">
        <v>0</v>
      </c>
      <c r="LGI3002" s="1" t="n">
        <v>0</v>
      </c>
      <c r="LGJ3002" s="1" t="n">
        <v>0</v>
      </c>
      <c r="LGK3002" s="1" t="n">
        <v>0</v>
      </c>
      <c r="LGL3002" s="1" t="n">
        <v>0</v>
      </c>
      <c r="LGM3002" s="1" t="n">
        <v>0</v>
      </c>
      <c r="LGN3002" s="1" t="n">
        <v>0</v>
      </c>
      <c r="LGO3002" s="1" t="n">
        <v>0</v>
      </c>
      <c r="LGP3002" s="1" t="n">
        <v>0</v>
      </c>
      <c r="LGQ3002" s="1" t="n">
        <v>0</v>
      </c>
      <c r="LGR3002" s="1" t="n">
        <v>0</v>
      </c>
      <c r="LGS3002" s="1" t="n">
        <v>0</v>
      </c>
      <c r="LGT3002" s="1" t="n">
        <v>0</v>
      </c>
      <c r="LGU3002" s="1" t="n">
        <v>0</v>
      </c>
      <c r="LGV3002" s="1" t="n">
        <v>0</v>
      </c>
      <c r="LGW3002" s="1" t="n">
        <v>0</v>
      </c>
      <c r="LGX3002" s="1" t="n">
        <v>0</v>
      </c>
      <c r="LGY3002" s="1" t="n">
        <v>0</v>
      </c>
      <c r="LGZ3002" s="1" t="n">
        <v>0</v>
      </c>
      <c r="LHA3002" s="1" t="n">
        <v>0</v>
      </c>
      <c r="LHB3002" s="1" t="n">
        <v>0</v>
      </c>
      <c r="LHC3002" s="1" t="n">
        <v>0</v>
      </c>
      <c r="LHD3002" s="1" t="n">
        <v>0</v>
      </c>
      <c r="LHE3002" s="1" t="n">
        <v>0</v>
      </c>
      <c r="LHF3002" s="1" t="n">
        <v>0</v>
      </c>
      <c r="LHG3002" s="1" t="n">
        <v>0</v>
      </c>
      <c r="LHH3002" s="1" t="n">
        <v>0</v>
      </c>
      <c r="LHI3002" s="1" t="n">
        <v>0</v>
      </c>
      <c r="LHJ3002" s="1" t="n">
        <v>0</v>
      </c>
      <c r="LHK3002" s="1" t="n">
        <v>0</v>
      </c>
      <c r="LHL3002" s="1" t="n">
        <v>0</v>
      </c>
      <c r="LHM3002" s="1" t="n">
        <v>0</v>
      </c>
      <c r="LHN3002" s="1" t="n">
        <v>0</v>
      </c>
      <c r="LHO3002" s="1" t="n">
        <v>0</v>
      </c>
      <c r="LHP3002" s="1" t="n">
        <v>0</v>
      </c>
      <c r="LHQ3002" s="1" t="n">
        <v>0</v>
      </c>
      <c r="LHR3002" s="1" t="n">
        <v>0</v>
      </c>
      <c r="LHS3002" s="1" t="n">
        <v>0</v>
      </c>
      <c r="LHT3002" s="1" t="n">
        <v>0</v>
      </c>
      <c r="LHU3002" s="1" t="n">
        <v>0</v>
      </c>
      <c r="LHV3002" s="1" t="n">
        <v>0</v>
      </c>
      <c r="LHW3002" s="1" t="n">
        <v>0</v>
      </c>
      <c r="LHX3002" s="1" t="n">
        <v>0</v>
      </c>
      <c r="LHY3002" s="1" t="n">
        <v>0</v>
      </c>
      <c r="LHZ3002" s="1" t="n">
        <v>0</v>
      </c>
      <c r="LIA3002" s="1" t="n">
        <v>0</v>
      </c>
      <c r="LIB3002" s="1" t="n">
        <v>0</v>
      </c>
      <c r="LIC3002" s="1" t="n">
        <v>0</v>
      </c>
      <c r="LID3002" s="1" t="n">
        <v>0</v>
      </c>
      <c r="LIE3002" s="1" t="n">
        <v>0</v>
      </c>
      <c r="LIF3002" s="1" t="n">
        <v>0</v>
      </c>
      <c r="LIG3002" s="1" t="n">
        <v>0</v>
      </c>
      <c r="LIH3002" s="1" t="n">
        <v>0</v>
      </c>
      <c r="LII3002" s="1" t="n">
        <v>0</v>
      </c>
      <c r="LIJ3002" s="1" t="n">
        <v>0</v>
      </c>
      <c r="LIK3002" s="1" t="n">
        <v>0</v>
      </c>
      <c r="LIL3002" s="1" t="n">
        <v>0</v>
      </c>
      <c r="LIM3002" s="1" t="n">
        <v>0</v>
      </c>
      <c r="LIN3002" s="1" t="n">
        <v>0</v>
      </c>
      <c r="LIO3002" s="1" t="n">
        <v>0</v>
      </c>
      <c r="LIP3002" s="1" t="n">
        <v>0</v>
      </c>
      <c r="LIQ3002" s="1" t="n">
        <v>0</v>
      </c>
      <c r="LIR3002" s="1" t="n">
        <v>0</v>
      </c>
      <c r="LIS3002" s="1" t="n">
        <v>0</v>
      </c>
      <c r="LIT3002" s="1" t="n">
        <v>0</v>
      </c>
      <c r="LIU3002" s="1" t="n">
        <v>0</v>
      </c>
      <c r="LIV3002" s="1" t="n">
        <v>0</v>
      </c>
      <c r="LIW3002" s="1" t="n">
        <v>0</v>
      </c>
      <c r="LIX3002" s="1" t="n">
        <v>0</v>
      </c>
      <c r="LIY3002" s="1" t="n">
        <v>0</v>
      </c>
      <c r="LIZ3002" s="1" t="n">
        <v>0</v>
      </c>
      <c r="LJA3002" s="1" t="n">
        <v>0</v>
      </c>
      <c r="LJB3002" s="1" t="n">
        <v>0</v>
      </c>
      <c r="LJC3002" s="1" t="n">
        <v>0</v>
      </c>
      <c r="LJD3002" s="1" t="n">
        <v>0</v>
      </c>
      <c r="LJE3002" s="1" t="n">
        <v>0</v>
      </c>
      <c r="LJF3002" s="1" t="n">
        <v>0</v>
      </c>
      <c r="LJG3002" s="1" t="n">
        <v>0</v>
      </c>
      <c r="LJH3002" s="1" t="n">
        <v>0</v>
      </c>
      <c r="LJI3002" s="1" t="n">
        <v>0</v>
      </c>
      <c r="LJJ3002" s="1" t="n">
        <v>0</v>
      </c>
      <c r="LJK3002" s="1" t="n">
        <v>0</v>
      </c>
      <c r="LJL3002" s="1" t="n">
        <v>0</v>
      </c>
      <c r="LJM3002" s="1" t="n">
        <v>0</v>
      </c>
      <c r="LJN3002" s="1" t="n">
        <v>0</v>
      </c>
      <c r="LJO3002" s="1" t="n">
        <v>0</v>
      </c>
      <c r="LJP3002" s="1" t="n">
        <v>0</v>
      </c>
      <c r="LJQ3002" s="1" t="n">
        <v>0</v>
      </c>
      <c r="LJR3002" s="1" t="n">
        <v>0</v>
      </c>
      <c r="LJS3002" s="1" t="n">
        <v>0</v>
      </c>
      <c r="LJT3002" s="1" t="n">
        <v>0</v>
      </c>
      <c r="LJU3002" s="1" t="n">
        <v>0</v>
      </c>
      <c r="LJV3002" s="1" t="n">
        <v>0</v>
      </c>
      <c r="LJW3002" s="1" t="n">
        <v>0</v>
      </c>
      <c r="LJX3002" s="1" t="n">
        <v>0</v>
      </c>
      <c r="LJY3002" s="1" t="n">
        <v>0</v>
      </c>
      <c r="LJZ3002" s="1" t="n">
        <v>0</v>
      </c>
      <c r="LKA3002" s="1" t="n">
        <v>0</v>
      </c>
      <c r="LKB3002" s="1" t="n">
        <v>0</v>
      </c>
      <c r="LKC3002" s="1" t="n">
        <v>0</v>
      </c>
      <c r="LKD3002" s="1" t="n">
        <v>0</v>
      </c>
      <c r="LKE3002" s="1" t="n">
        <v>0</v>
      </c>
      <c r="LKF3002" s="1" t="n">
        <v>0</v>
      </c>
      <c r="LKG3002" s="1" t="n">
        <v>0</v>
      </c>
      <c r="LKH3002" s="1" t="n">
        <v>0</v>
      </c>
      <c r="LKI3002" s="1" t="n">
        <v>0</v>
      </c>
      <c r="LKJ3002" s="1" t="n">
        <v>0</v>
      </c>
      <c r="LKK3002" s="1" t="n">
        <v>0</v>
      </c>
      <c r="LKL3002" s="1" t="n">
        <v>0</v>
      </c>
      <c r="LKM3002" s="1" t="n">
        <v>0</v>
      </c>
      <c r="LKN3002" s="1" t="n">
        <v>0</v>
      </c>
      <c r="LKO3002" s="1" t="n">
        <v>0</v>
      </c>
      <c r="LKP3002" s="1" t="n">
        <v>0</v>
      </c>
      <c r="LKQ3002" s="1" t="n">
        <v>0</v>
      </c>
      <c r="LKR3002" s="1" t="n">
        <v>0</v>
      </c>
      <c r="LKS3002" s="1" t="n">
        <v>0</v>
      </c>
      <c r="LKT3002" s="1" t="n">
        <v>0</v>
      </c>
      <c r="LKU3002" s="1" t="n">
        <v>0</v>
      </c>
      <c r="LKV3002" s="1" t="n">
        <v>0</v>
      </c>
      <c r="LKW3002" s="1" t="n">
        <v>0</v>
      </c>
      <c r="LKX3002" s="1" t="n">
        <v>0</v>
      </c>
      <c r="LKY3002" s="1" t="n">
        <v>0</v>
      </c>
      <c r="LKZ3002" s="1" t="n">
        <v>0</v>
      </c>
      <c r="LLA3002" s="1" t="n">
        <v>0</v>
      </c>
      <c r="LLB3002" s="1" t="n">
        <v>0</v>
      </c>
      <c r="LLC3002" s="1" t="n">
        <v>0</v>
      </c>
      <c r="LLD3002" s="1" t="n">
        <v>0</v>
      </c>
      <c r="LLE3002" s="1" t="n">
        <v>0</v>
      </c>
      <c r="LLF3002" s="1" t="n">
        <v>0</v>
      </c>
      <c r="LLG3002" s="1" t="n">
        <v>0</v>
      </c>
      <c r="LLH3002" s="1" t="n">
        <v>0</v>
      </c>
      <c r="LLI3002" s="1" t="n">
        <v>0</v>
      </c>
      <c r="LLJ3002" s="1" t="n">
        <v>0</v>
      </c>
      <c r="LLK3002" s="1" t="n">
        <v>0</v>
      </c>
      <c r="LLL3002" s="1" t="n">
        <v>0</v>
      </c>
      <c r="LLM3002" s="1" t="n">
        <v>0</v>
      </c>
      <c r="LLN3002" s="1" t="n">
        <v>0</v>
      </c>
      <c r="LLO3002" s="1" t="n">
        <v>0</v>
      </c>
      <c r="LLP3002" s="1" t="n">
        <v>0</v>
      </c>
      <c r="LLQ3002" s="1" t="n">
        <v>0</v>
      </c>
      <c r="LLR3002" s="1" t="n">
        <v>0</v>
      </c>
      <c r="LLS3002" s="1" t="n">
        <v>0</v>
      </c>
      <c r="LLT3002" s="1" t="n">
        <v>0</v>
      </c>
      <c r="LLU3002" s="1" t="n">
        <v>0</v>
      </c>
      <c r="LLV3002" s="1" t="n">
        <v>0</v>
      </c>
      <c r="LLW3002" s="1" t="n">
        <v>0</v>
      </c>
      <c r="LLX3002" s="1" t="n">
        <v>0</v>
      </c>
      <c r="LLY3002" s="1" t="n">
        <v>0</v>
      </c>
      <c r="LLZ3002" s="1" t="n">
        <v>0</v>
      </c>
      <c r="LMA3002" s="1" t="n">
        <v>0</v>
      </c>
      <c r="LMB3002" s="1" t="n">
        <v>0</v>
      </c>
      <c r="LMC3002" s="1" t="n">
        <v>0</v>
      </c>
      <c r="LMD3002" s="1" t="n">
        <v>0</v>
      </c>
      <c r="LME3002" s="1" t="n">
        <v>0</v>
      </c>
      <c r="LMF3002" s="1" t="n">
        <v>0</v>
      </c>
      <c r="LMG3002" s="1" t="n">
        <v>0</v>
      </c>
      <c r="LMH3002" s="1" t="n">
        <v>0</v>
      </c>
      <c r="LMI3002" s="1" t="n">
        <v>0</v>
      </c>
      <c r="LMJ3002" s="1" t="n">
        <v>0</v>
      </c>
      <c r="LMK3002" s="1" t="n">
        <v>0</v>
      </c>
      <c r="LML3002" s="1" t="n">
        <v>0</v>
      </c>
      <c r="LMM3002" s="1" t="n">
        <v>0</v>
      </c>
      <c r="LMN3002" s="1" t="n">
        <v>0</v>
      </c>
      <c r="LMO3002" s="1" t="n">
        <v>0</v>
      </c>
      <c r="LMP3002" s="1" t="n">
        <v>0</v>
      </c>
      <c r="LMQ3002" s="1" t="n">
        <v>0</v>
      </c>
      <c r="LMR3002" s="1" t="n">
        <v>0</v>
      </c>
      <c r="LMS3002" s="1" t="n">
        <v>0</v>
      </c>
      <c r="LMT3002" s="1" t="n">
        <v>0</v>
      </c>
      <c r="LMU3002" s="1" t="n">
        <v>0</v>
      </c>
      <c r="LMV3002" s="1" t="n">
        <v>0</v>
      </c>
      <c r="LMW3002" s="1" t="n">
        <v>0</v>
      </c>
      <c r="LMX3002" s="1" t="n">
        <v>0</v>
      </c>
      <c r="LMY3002" s="1" t="n">
        <v>0</v>
      </c>
      <c r="LMZ3002" s="1" t="n">
        <v>0</v>
      </c>
      <c r="LNA3002" s="1" t="n">
        <v>0</v>
      </c>
      <c r="LNB3002" s="1" t="n">
        <v>0</v>
      </c>
      <c r="LNC3002" s="1" t="n">
        <v>0</v>
      </c>
      <c r="LND3002" s="1" t="n">
        <v>0</v>
      </c>
      <c r="LNE3002" s="1" t="n">
        <v>0</v>
      </c>
      <c r="LNF3002" s="1" t="n">
        <v>0</v>
      </c>
      <c r="LNG3002" s="1" t="n">
        <v>0</v>
      </c>
      <c r="LNH3002" s="1" t="n">
        <v>0</v>
      </c>
      <c r="LNI3002" s="1" t="n">
        <v>0</v>
      </c>
      <c r="LNJ3002" s="1" t="n">
        <v>0</v>
      </c>
      <c r="LNK3002" s="1" t="n">
        <v>0</v>
      </c>
      <c r="LNL3002" s="1" t="n">
        <v>0</v>
      </c>
      <c r="LNM3002" s="1" t="n">
        <v>0</v>
      </c>
      <c r="LNN3002" s="1" t="n">
        <v>0</v>
      </c>
      <c r="LNO3002" s="1" t="n">
        <v>0</v>
      </c>
      <c r="LNP3002" s="1" t="n">
        <v>0</v>
      </c>
      <c r="LNQ3002" s="1" t="n">
        <v>0</v>
      </c>
      <c r="LNR3002" s="1" t="n">
        <v>0</v>
      </c>
      <c r="LNS3002" s="1" t="n">
        <v>0</v>
      </c>
      <c r="LNT3002" s="1" t="n">
        <v>0</v>
      </c>
      <c r="LNU3002" s="1" t="n">
        <v>0</v>
      </c>
      <c r="LNV3002" s="1" t="n">
        <v>0</v>
      </c>
      <c r="LNW3002" s="1" t="n">
        <v>0</v>
      </c>
      <c r="LNX3002" s="1" t="n">
        <v>0</v>
      </c>
      <c r="LNY3002" s="1" t="n">
        <v>0</v>
      </c>
      <c r="LNZ3002" s="1" t="n">
        <v>0</v>
      </c>
      <c r="LOA3002" s="1" t="n">
        <v>0</v>
      </c>
      <c r="LOB3002" s="1" t="n">
        <v>0</v>
      </c>
      <c r="LOC3002" s="1" t="n">
        <v>0</v>
      </c>
      <c r="LOD3002" s="1" t="n">
        <v>0</v>
      </c>
      <c r="LOE3002" s="1" t="n">
        <v>0</v>
      </c>
      <c r="LOF3002" s="1" t="n">
        <v>0</v>
      </c>
      <c r="LOG3002" s="1" t="n">
        <v>0</v>
      </c>
      <c r="LOH3002" s="1" t="n">
        <v>0</v>
      </c>
      <c r="LOI3002" s="1" t="n">
        <v>0</v>
      </c>
      <c r="LOJ3002" s="1" t="n">
        <v>0</v>
      </c>
      <c r="LOK3002" s="1" t="n">
        <v>0</v>
      </c>
      <c r="LOL3002" s="1" t="n">
        <v>0</v>
      </c>
      <c r="LOM3002" s="1" t="n">
        <v>0</v>
      </c>
      <c r="LON3002" s="1" t="n">
        <v>0</v>
      </c>
      <c r="LOO3002" s="1" t="n">
        <v>0</v>
      </c>
      <c r="LOP3002" s="1" t="n">
        <v>0</v>
      </c>
      <c r="LOQ3002" s="1" t="n">
        <v>0</v>
      </c>
      <c r="LOR3002" s="1" t="n">
        <v>0</v>
      </c>
      <c r="LOS3002" s="1" t="n">
        <v>0</v>
      </c>
      <c r="LOT3002" s="1" t="n">
        <v>0</v>
      </c>
      <c r="LOU3002" s="1" t="n">
        <v>0</v>
      </c>
      <c r="LOV3002" s="1" t="n">
        <v>0</v>
      </c>
      <c r="LOW3002" s="1" t="n">
        <v>0</v>
      </c>
      <c r="LOX3002" s="1" t="n">
        <v>0</v>
      </c>
      <c r="LOY3002" s="1" t="n">
        <v>0</v>
      </c>
      <c r="LOZ3002" s="1" t="n">
        <v>0</v>
      </c>
      <c r="LPA3002" s="1" t="n">
        <v>0</v>
      </c>
      <c r="LPB3002" s="1" t="n">
        <v>0</v>
      </c>
      <c r="LPC3002" s="1" t="n">
        <v>0</v>
      </c>
      <c r="LPD3002" s="1" t="n">
        <v>0</v>
      </c>
      <c r="LPE3002" s="1" t="n">
        <v>0</v>
      </c>
      <c r="LPF3002" s="1" t="n">
        <v>0</v>
      </c>
      <c r="LPG3002" s="1" t="n">
        <v>0</v>
      </c>
      <c r="LPH3002" s="1" t="n">
        <v>0</v>
      </c>
      <c r="LPI3002" s="1" t="n">
        <v>0</v>
      </c>
      <c r="LPJ3002" s="1" t="n">
        <v>0</v>
      </c>
      <c r="LPK3002" s="1" t="n">
        <v>0</v>
      </c>
      <c r="LPL3002" s="1" t="n">
        <v>0</v>
      </c>
      <c r="LPM3002" s="1" t="n">
        <v>0</v>
      </c>
      <c r="LPN3002" s="1" t="n">
        <v>0</v>
      </c>
      <c r="LPO3002" s="1" t="n">
        <v>0</v>
      </c>
      <c r="LPP3002" s="1" t="n">
        <v>0</v>
      </c>
      <c r="LPQ3002" s="1" t="n">
        <v>0</v>
      </c>
      <c r="LPR3002" s="1" t="n">
        <v>0</v>
      </c>
      <c r="LPS3002" s="1" t="n">
        <v>0</v>
      </c>
      <c r="LPT3002" s="1" t="n">
        <v>0</v>
      </c>
      <c r="LPU3002" s="1" t="n">
        <v>0</v>
      </c>
      <c r="LPV3002" s="1" t="n">
        <v>0</v>
      </c>
      <c r="LPW3002" s="1" t="n">
        <v>0</v>
      </c>
      <c r="LPX3002" s="1" t="n">
        <v>0</v>
      </c>
      <c r="LPY3002" s="1" t="n">
        <v>0</v>
      </c>
      <c r="LPZ3002" s="1" t="n">
        <v>0</v>
      </c>
      <c r="LQA3002" s="1" t="n">
        <v>0</v>
      </c>
      <c r="LQB3002" s="1" t="n">
        <v>0</v>
      </c>
      <c r="LQC3002" s="1" t="n">
        <v>0</v>
      </c>
      <c r="LQD3002" s="1" t="n">
        <v>0</v>
      </c>
      <c r="LQE3002" s="1" t="n">
        <v>0</v>
      </c>
      <c r="LQF3002" s="1" t="n">
        <v>0</v>
      </c>
      <c r="LQG3002" s="1" t="n">
        <v>0</v>
      </c>
      <c r="LQH3002" s="1" t="n">
        <v>0</v>
      </c>
      <c r="LQI3002" s="1" t="n">
        <v>0</v>
      </c>
      <c r="LQJ3002" s="1" t="n">
        <v>0</v>
      </c>
      <c r="LQK3002" s="1" t="n">
        <v>0</v>
      </c>
      <c r="LQL3002" s="1" t="n">
        <v>0</v>
      </c>
      <c r="LQM3002" s="1" t="n">
        <v>0</v>
      </c>
      <c r="LQN3002" s="1" t="n">
        <v>0</v>
      </c>
      <c r="LQO3002" s="1" t="n">
        <v>0</v>
      </c>
      <c r="LQP3002" s="1" t="n">
        <v>0</v>
      </c>
      <c r="LQQ3002" s="1" t="n">
        <v>0</v>
      </c>
      <c r="LQR3002" s="1" t="n">
        <v>0</v>
      </c>
      <c r="LQS3002" s="1" t="n">
        <v>0</v>
      </c>
      <c r="LQT3002" s="1" t="n">
        <v>0</v>
      </c>
      <c r="LQU3002" s="1" t="n">
        <v>0</v>
      </c>
      <c r="LQV3002" s="1" t="n">
        <v>0</v>
      </c>
      <c r="LQW3002" s="1" t="n">
        <v>0</v>
      </c>
      <c r="LQX3002" s="1" t="n">
        <v>0</v>
      </c>
      <c r="LQY3002" s="1" t="n">
        <v>0</v>
      </c>
      <c r="LQZ3002" s="1" t="n">
        <v>0</v>
      </c>
      <c r="LRA3002" s="1" t="n">
        <v>0</v>
      </c>
      <c r="LRB3002" s="1" t="n">
        <v>0</v>
      </c>
      <c r="LRC3002" s="1" t="n">
        <v>0</v>
      </c>
      <c r="LRD3002" s="1" t="n">
        <v>0</v>
      </c>
      <c r="LRE3002" s="1" t="n">
        <v>0</v>
      </c>
      <c r="LRF3002" s="1" t="n">
        <v>0</v>
      </c>
      <c r="LRG3002" s="1" t="n">
        <v>0</v>
      </c>
      <c r="LRH3002" s="1" t="n">
        <v>0</v>
      </c>
      <c r="LRI3002" s="1" t="n">
        <v>0</v>
      </c>
      <c r="LRJ3002" s="1" t="n">
        <v>0</v>
      </c>
      <c r="LRK3002" s="1" t="n">
        <v>0</v>
      </c>
      <c r="LRL3002" s="1" t="n">
        <v>0</v>
      </c>
      <c r="LRM3002" s="1" t="n">
        <v>0</v>
      </c>
      <c r="LRN3002" s="1" t="n">
        <v>0</v>
      </c>
      <c r="LRO3002" s="1" t="n">
        <v>0</v>
      </c>
      <c r="LRP3002" s="1" t="n">
        <v>0</v>
      </c>
      <c r="LRQ3002" s="1" t="n">
        <v>0</v>
      </c>
      <c r="LRR3002" s="1" t="n">
        <v>0</v>
      </c>
      <c r="LRS3002" s="1" t="n">
        <v>0</v>
      </c>
      <c r="LRT3002" s="1" t="n">
        <v>0</v>
      </c>
      <c r="LRU3002" s="1" t="n">
        <v>0</v>
      </c>
      <c r="LRV3002" s="1" t="n">
        <v>0</v>
      </c>
      <c r="LRW3002" s="1" t="n">
        <v>0</v>
      </c>
      <c r="LRX3002" s="1" t="n">
        <v>0</v>
      </c>
      <c r="LRY3002" s="1" t="n">
        <v>0</v>
      </c>
      <c r="LRZ3002" s="1" t="n">
        <v>0</v>
      </c>
      <c r="LSA3002" s="1" t="n">
        <v>0</v>
      </c>
      <c r="LSB3002" s="1" t="n">
        <v>0</v>
      </c>
      <c r="LSC3002" s="1" t="n">
        <v>0</v>
      </c>
      <c r="LSD3002" s="1" t="n">
        <v>0</v>
      </c>
      <c r="LSE3002" s="1" t="n">
        <v>0</v>
      </c>
      <c r="LSF3002" s="1" t="n">
        <v>0</v>
      </c>
      <c r="LSG3002" s="1" t="n">
        <v>0</v>
      </c>
      <c r="LSH3002" s="1" t="n">
        <v>0</v>
      </c>
      <c r="LSI3002" s="1" t="n">
        <v>0</v>
      </c>
      <c r="LSJ3002" s="1" t="n">
        <v>0</v>
      </c>
      <c r="LSK3002" s="1" t="n">
        <v>0</v>
      </c>
      <c r="LSL3002" s="1" t="n">
        <v>0</v>
      </c>
      <c r="LSM3002" s="1" t="n">
        <v>0</v>
      </c>
      <c r="LSN3002" s="1" t="n">
        <v>0</v>
      </c>
      <c r="LSO3002" s="1" t="n">
        <v>0</v>
      </c>
      <c r="LSP3002" s="1" t="n">
        <v>0</v>
      </c>
      <c r="LSQ3002" s="1" t="n">
        <v>0</v>
      </c>
      <c r="LSR3002" s="1" t="n">
        <v>0</v>
      </c>
      <c r="LSS3002" s="1" t="n">
        <v>0</v>
      </c>
      <c r="LST3002" s="1" t="n">
        <v>0</v>
      </c>
      <c r="LSU3002" s="1" t="n">
        <v>0</v>
      </c>
      <c r="LSV3002" s="1" t="n">
        <v>0</v>
      </c>
      <c r="LSW3002" s="1" t="n">
        <v>0</v>
      </c>
      <c r="LSX3002" s="1" t="n">
        <v>0</v>
      </c>
      <c r="LSY3002" s="1" t="n">
        <v>0</v>
      </c>
      <c r="LSZ3002" s="1" t="n">
        <v>0</v>
      </c>
      <c r="LTA3002" s="1" t="n">
        <v>0</v>
      </c>
      <c r="LTB3002" s="1" t="n">
        <v>0</v>
      </c>
      <c r="LTC3002" s="1" t="n">
        <v>0</v>
      </c>
      <c r="LTD3002" s="1" t="n">
        <v>0</v>
      </c>
      <c r="LTE3002" s="1" t="n">
        <v>0</v>
      </c>
      <c r="LTF3002" s="1" t="n">
        <v>0</v>
      </c>
      <c r="LTG3002" s="1" t="n">
        <v>0</v>
      </c>
      <c r="LTH3002" s="1" t="n">
        <v>0</v>
      </c>
      <c r="LTI3002" s="1" t="n">
        <v>0</v>
      </c>
      <c r="LTJ3002" s="1" t="n">
        <v>0</v>
      </c>
      <c r="LTK3002" s="1" t="n">
        <v>0</v>
      </c>
      <c r="LTL3002" s="1" t="n">
        <v>0</v>
      </c>
      <c r="LTM3002" s="1" t="n">
        <v>0</v>
      </c>
      <c r="LTN3002" s="1" t="n">
        <v>0</v>
      </c>
      <c r="LTO3002" s="1" t="n">
        <v>0</v>
      </c>
      <c r="LTP3002" s="1" t="n">
        <v>0</v>
      </c>
      <c r="LTQ3002" s="1" t="n">
        <v>0</v>
      </c>
      <c r="LTR3002" s="1" t="n">
        <v>0</v>
      </c>
      <c r="LTS3002" s="1" t="n">
        <v>0</v>
      </c>
      <c r="LTT3002" s="1" t="n">
        <v>0</v>
      </c>
      <c r="LTU3002" s="1" t="n">
        <v>0</v>
      </c>
      <c r="LTV3002" s="1" t="n">
        <v>0</v>
      </c>
      <c r="LTW3002" s="1" t="n">
        <v>0</v>
      </c>
      <c r="LTX3002" s="1" t="n">
        <v>0</v>
      </c>
      <c r="LTY3002" s="1" t="n">
        <v>0</v>
      </c>
      <c r="LTZ3002" s="1" t="n">
        <v>0</v>
      </c>
      <c r="LUA3002" s="1" t="n">
        <v>0</v>
      </c>
      <c r="LUB3002" s="1" t="n">
        <v>0</v>
      </c>
      <c r="LUC3002" s="1" t="n">
        <v>0</v>
      </c>
      <c r="LUD3002" s="1" t="n">
        <v>0</v>
      </c>
      <c r="LUE3002" s="1" t="n">
        <v>0</v>
      </c>
      <c r="LUF3002" s="1" t="n">
        <v>0</v>
      </c>
      <c r="LUG3002" s="1" t="n">
        <v>0</v>
      </c>
      <c r="LUH3002" s="1" t="n">
        <v>0</v>
      </c>
      <c r="LUI3002" s="1" t="n">
        <v>0</v>
      </c>
      <c r="LUJ3002" s="1" t="n">
        <v>0</v>
      </c>
      <c r="LUK3002" s="1" t="n">
        <v>0</v>
      </c>
      <c r="LUL3002" s="1" t="n">
        <v>0</v>
      </c>
      <c r="LUM3002" s="1" t="n">
        <v>0</v>
      </c>
      <c r="LUN3002" s="1" t="n">
        <v>0</v>
      </c>
      <c r="LUO3002" s="1" t="n">
        <v>0</v>
      </c>
      <c r="LUP3002" s="1" t="n">
        <v>0</v>
      </c>
      <c r="LUQ3002" s="1" t="n">
        <v>0</v>
      </c>
      <c r="LUR3002" s="1" t="n">
        <v>0</v>
      </c>
      <c r="LUS3002" s="1" t="n">
        <v>0</v>
      </c>
      <c r="LUT3002" s="1" t="n">
        <v>0</v>
      </c>
      <c r="LUU3002" s="1" t="n">
        <v>0</v>
      </c>
      <c r="LUV3002" s="1" t="n">
        <v>0</v>
      </c>
      <c r="LUW3002" s="1" t="n">
        <v>0</v>
      </c>
      <c r="LUX3002" s="1" t="n">
        <v>0</v>
      </c>
      <c r="LUY3002" s="1" t="n">
        <v>0</v>
      </c>
      <c r="LUZ3002" s="1" t="n">
        <v>0</v>
      </c>
      <c r="LVA3002" s="1" t="n">
        <v>0</v>
      </c>
      <c r="LVB3002" s="1" t="n">
        <v>0</v>
      </c>
      <c r="LVC3002" s="1" t="n">
        <v>0</v>
      </c>
      <c r="LVD3002" s="1" t="n">
        <v>0</v>
      </c>
      <c r="LVE3002" s="1" t="n">
        <v>0</v>
      </c>
      <c r="LVF3002" s="1" t="n">
        <v>0</v>
      </c>
      <c r="LVG3002" s="1" t="n">
        <v>0</v>
      </c>
      <c r="LVH3002" s="1" t="n">
        <v>0</v>
      </c>
      <c r="LVI3002" s="1" t="n">
        <v>0</v>
      </c>
      <c r="LVJ3002" s="1" t="n">
        <v>0</v>
      </c>
      <c r="LVK3002" s="1" t="n">
        <v>0</v>
      </c>
      <c r="LVL3002" s="1" t="n">
        <v>0</v>
      </c>
      <c r="LVM3002" s="1" t="n">
        <v>0</v>
      </c>
      <c r="LVN3002" s="1" t="n">
        <v>0</v>
      </c>
      <c r="LVO3002" s="1" t="n">
        <v>0</v>
      </c>
      <c r="LVP3002" s="1" t="n">
        <v>0</v>
      </c>
      <c r="LVQ3002" s="1" t="n">
        <v>0</v>
      </c>
      <c r="LVR3002" s="1" t="n">
        <v>0</v>
      </c>
      <c r="LVS3002" s="1" t="n">
        <v>0</v>
      </c>
      <c r="LVT3002" s="1" t="n">
        <v>0</v>
      </c>
      <c r="LVU3002" s="1" t="n">
        <v>0</v>
      </c>
      <c r="LVV3002" s="1" t="n">
        <v>0</v>
      </c>
      <c r="LVW3002" s="1" t="n">
        <v>0</v>
      </c>
      <c r="LVX3002" s="1" t="n">
        <v>0</v>
      </c>
      <c r="LVY3002" s="1" t="n">
        <v>0</v>
      </c>
      <c r="LVZ3002" s="1" t="n">
        <v>0</v>
      </c>
      <c r="LWA3002" s="1" t="n">
        <v>0</v>
      </c>
      <c r="LWB3002" s="1" t="n">
        <v>0</v>
      </c>
      <c r="LWC3002" s="1" t="n">
        <v>0</v>
      </c>
      <c r="LWD3002" s="1" t="n">
        <v>0</v>
      </c>
      <c r="LWE3002" s="1" t="n">
        <v>0</v>
      </c>
      <c r="LWF3002" s="1" t="n">
        <v>0</v>
      </c>
      <c r="LWG3002" s="1" t="n">
        <v>0</v>
      </c>
      <c r="LWH3002" s="1" t="n">
        <v>0</v>
      </c>
      <c r="LWI3002" s="1" t="n">
        <v>0</v>
      </c>
      <c r="LWJ3002" s="1" t="n">
        <v>0</v>
      </c>
      <c r="LWK3002" s="1" t="n">
        <v>0</v>
      </c>
      <c r="LWL3002" s="1" t="n">
        <v>0</v>
      </c>
      <c r="LWM3002" s="1" t="n">
        <v>0</v>
      </c>
      <c r="LWN3002" s="1" t="n">
        <v>0</v>
      </c>
      <c r="LWO3002" s="1" t="n">
        <v>0</v>
      </c>
      <c r="LWP3002" s="1" t="n">
        <v>0</v>
      </c>
      <c r="LWQ3002" s="1" t="n">
        <v>0</v>
      </c>
      <c r="LWR3002" s="1" t="n">
        <v>0</v>
      </c>
      <c r="LWS3002" s="1" t="n">
        <v>0</v>
      </c>
      <c r="LWT3002" s="1" t="n">
        <v>0</v>
      </c>
      <c r="LWU3002" s="1" t="n">
        <v>0</v>
      </c>
      <c r="LWV3002" s="1" t="n">
        <v>0</v>
      </c>
      <c r="LWW3002" s="1" t="n">
        <v>0</v>
      </c>
      <c r="LWX3002" s="1" t="n">
        <v>0</v>
      </c>
      <c r="LWY3002" s="1" t="n">
        <v>0</v>
      </c>
      <c r="LWZ3002" s="1" t="n">
        <v>0</v>
      </c>
      <c r="LXA3002" s="1" t="n">
        <v>0</v>
      </c>
      <c r="LXB3002" s="1" t="n">
        <v>0</v>
      </c>
      <c r="LXC3002" s="1" t="n">
        <v>0</v>
      </c>
      <c r="LXD3002" s="1" t="n">
        <v>0</v>
      </c>
      <c r="LXE3002" s="1" t="n">
        <v>0</v>
      </c>
      <c r="LXF3002" s="1" t="n">
        <v>0</v>
      </c>
      <c r="LXG3002" s="1" t="n">
        <v>0</v>
      </c>
      <c r="LXH3002" s="1" t="n">
        <v>0</v>
      </c>
      <c r="LXI3002" s="1" t="n">
        <v>0</v>
      </c>
      <c r="LXJ3002" s="1" t="n">
        <v>0</v>
      </c>
      <c r="LXK3002" s="1" t="n">
        <v>0</v>
      </c>
      <c r="LXL3002" s="1" t="n">
        <v>0</v>
      </c>
      <c r="LXM3002" s="1" t="n">
        <v>0</v>
      </c>
      <c r="LXN3002" s="1" t="n">
        <v>0</v>
      </c>
      <c r="LXO3002" s="1" t="n">
        <v>0</v>
      </c>
      <c r="LXP3002" s="1" t="n">
        <v>0</v>
      </c>
      <c r="LXQ3002" s="1" t="n">
        <v>0</v>
      </c>
      <c r="LXR3002" s="1" t="n">
        <v>0</v>
      </c>
      <c r="LXS3002" s="1" t="n">
        <v>0</v>
      </c>
      <c r="LXT3002" s="1" t="n">
        <v>0</v>
      </c>
      <c r="LXU3002" s="1" t="n">
        <v>0</v>
      </c>
      <c r="LXV3002" s="1" t="n">
        <v>0</v>
      </c>
      <c r="LXW3002" s="1" t="n">
        <v>0</v>
      </c>
      <c r="LXX3002" s="1" t="n">
        <v>0</v>
      </c>
      <c r="LXY3002" s="1" t="n">
        <v>0</v>
      </c>
      <c r="LXZ3002" s="1" t="n">
        <v>0</v>
      </c>
      <c r="LYA3002" s="1" t="n">
        <v>0</v>
      </c>
      <c r="LYB3002" s="1" t="n">
        <v>0</v>
      </c>
      <c r="LYC3002" s="1" t="n">
        <v>0</v>
      </c>
      <c r="LYD3002" s="1" t="n">
        <v>0</v>
      </c>
      <c r="LYE3002" s="1" t="n">
        <v>0</v>
      </c>
      <c r="LYF3002" s="1" t="n">
        <v>0</v>
      </c>
      <c r="LYG3002" s="1" t="n">
        <v>0</v>
      </c>
      <c r="LYH3002" s="1" t="n">
        <v>0</v>
      </c>
      <c r="LYI3002" s="1" t="n">
        <v>0</v>
      </c>
      <c r="LYJ3002" s="1" t="n">
        <v>0</v>
      </c>
      <c r="LYK3002" s="1" t="n">
        <v>0</v>
      </c>
      <c r="LYL3002" s="1" t="n">
        <v>0</v>
      </c>
      <c r="LYM3002" s="1" t="n">
        <v>0</v>
      </c>
      <c r="LYN3002" s="1" t="n">
        <v>0</v>
      </c>
      <c r="LYO3002" s="1" t="n">
        <v>0</v>
      </c>
      <c r="LYP3002" s="1" t="n">
        <v>0</v>
      </c>
      <c r="LYQ3002" s="1" t="n">
        <v>0</v>
      </c>
      <c r="LYR3002" s="1" t="n">
        <v>0</v>
      </c>
      <c r="LYS3002" s="1" t="n">
        <v>0</v>
      </c>
      <c r="LYT3002" s="1" t="n">
        <v>0</v>
      </c>
      <c r="LYU3002" s="1" t="n">
        <v>0</v>
      </c>
      <c r="LYV3002" s="1" t="n">
        <v>0</v>
      </c>
      <c r="LYW3002" s="1" t="n">
        <v>0</v>
      </c>
      <c r="LYX3002" s="1" t="n">
        <v>0</v>
      </c>
      <c r="LYY3002" s="1" t="n">
        <v>0</v>
      </c>
      <c r="LYZ3002" s="1" t="n">
        <v>0</v>
      </c>
      <c r="LZA3002" s="1" t="n">
        <v>0</v>
      </c>
      <c r="LZB3002" s="1" t="n">
        <v>0</v>
      </c>
      <c r="LZC3002" s="1" t="n">
        <v>0</v>
      </c>
      <c r="LZD3002" s="1" t="n">
        <v>0</v>
      </c>
      <c r="LZE3002" s="1" t="n">
        <v>0</v>
      </c>
      <c r="LZF3002" s="1" t="n">
        <v>0</v>
      </c>
      <c r="LZG3002" s="1" t="n">
        <v>0</v>
      </c>
      <c r="LZH3002" s="1" t="n">
        <v>0</v>
      </c>
      <c r="LZI3002" s="1" t="n">
        <v>0</v>
      </c>
      <c r="LZJ3002" s="1" t="n">
        <v>0</v>
      </c>
      <c r="LZK3002" s="1" t="n">
        <v>0</v>
      </c>
      <c r="LZL3002" s="1" t="n">
        <v>0</v>
      </c>
      <c r="LZM3002" s="1" t="n">
        <v>0</v>
      </c>
      <c r="LZN3002" s="1" t="n">
        <v>0</v>
      </c>
      <c r="LZO3002" s="1" t="n">
        <v>0</v>
      </c>
      <c r="LZP3002" s="1" t="n">
        <v>0</v>
      </c>
      <c r="LZQ3002" s="1" t="n">
        <v>0</v>
      </c>
      <c r="LZR3002" s="1" t="n">
        <v>0</v>
      </c>
      <c r="LZS3002" s="1" t="n">
        <v>0</v>
      </c>
      <c r="LZT3002" s="1" t="n">
        <v>0</v>
      </c>
      <c r="LZU3002" s="1" t="n">
        <v>0</v>
      </c>
      <c r="LZV3002" s="1" t="n">
        <v>0</v>
      </c>
      <c r="LZW3002" s="1" t="n">
        <v>0</v>
      </c>
      <c r="LZX3002" s="1" t="n">
        <v>0</v>
      </c>
      <c r="LZY3002" s="1" t="n">
        <v>0</v>
      </c>
      <c r="LZZ3002" s="1" t="n">
        <v>0</v>
      </c>
      <c r="MAA3002" s="1" t="n">
        <v>0</v>
      </c>
      <c r="MAB3002" s="1" t="n">
        <v>0</v>
      </c>
      <c r="MAC3002" s="1" t="n">
        <v>0</v>
      </c>
      <c r="MAD3002" s="1" t="n">
        <v>0</v>
      </c>
      <c r="MAE3002" s="1" t="n">
        <v>0</v>
      </c>
      <c r="MAF3002" s="1" t="n">
        <v>0</v>
      </c>
      <c r="MAG3002" s="1" t="n">
        <v>0</v>
      </c>
      <c r="MAH3002" s="1" t="n">
        <v>0</v>
      </c>
      <c r="MAI3002" s="1" t="n">
        <v>0</v>
      </c>
      <c r="MAJ3002" s="1" t="n">
        <v>0</v>
      </c>
      <c r="MAK3002" s="1" t="n">
        <v>0</v>
      </c>
      <c r="MAL3002" s="1" t="n">
        <v>0</v>
      </c>
      <c r="MAM3002" s="1" t="n">
        <v>0</v>
      </c>
      <c r="MAN3002" s="1" t="n">
        <v>0</v>
      </c>
      <c r="MAO3002" s="1" t="n">
        <v>0</v>
      </c>
      <c r="MAP3002" s="1" t="n">
        <v>0</v>
      </c>
      <c r="MAQ3002" s="1" t="n">
        <v>0</v>
      </c>
      <c r="MAR3002" s="1" t="n">
        <v>0</v>
      </c>
      <c r="MAS3002" s="1" t="n">
        <v>0</v>
      </c>
      <c r="MAT3002" s="1" t="n">
        <v>0</v>
      </c>
      <c r="MAU3002" s="1" t="n">
        <v>0</v>
      </c>
      <c r="MAV3002" s="1" t="n">
        <v>0</v>
      </c>
      <c r="MAW3002" s="1" t="n">
        <v>0</v>
      </c>
      <c r="MAX3002" s="1" t="n">
        <v>0</v>
      </c>
      <c r="MAY3002" s="1" t="n">
        <v>0</v>
      </c>
      <c r="MAZ3002" s="1" t="n">
        <v>0</v>
      </c>
      <c r="MBA3002" s="1" t="n">
        <v>0</v>
      </c>
      <c r="MBB3002" s="1" t="n">
        <v>0</v>
      </c>
      <c r="MBC3002" s="1" t="n">
        <v>0</v>
      </c>
      <c r="MBD3002" s="1" t="n">
        <v>0</v>
      </c>
      <c r="MBE3002" s="1" t="n">
        <v>0</v>
      </c>
      <c r="MBF3002" s="1" t="n">
        <v>0</v>
      </c>
      <c r="MBG3002" s="1" t="n">
        <v>0</v>
      </c>
      <c r="MBH3002" s="1" t="n">
        <v>0</v>
      </c>
      <c r="MBI3002" s="1" t="n">
        <v>0</v>
      </c>
      <c r="MBJ3002" s="1" t="n">
        <v>0</v>
      </c>
      <c r="MBK3002" s="1" t="n">
        <v>0</v>
      </c>
      <c r="MBL3002" s="1" t="n">
        <v>0</v>
      </c>
      <c r="MBM3002" s="1" t="n">
        <v>0</v>
      </c>
      <c r="MBN3002" s="1" t="n">
        <v>0</v>
      </c>
      <c r="MBO3002" s="1" t="n">
        <v>0</v>
      </c>
      <c r="MBP3002" s="1" t="n">
        <v>0</v>
      </c>
      <c r="MBQ3002" s="1" t="n">
        <v>0</v>
      </c>
      <c r="MBR3002" s="1" t="n">
        <v>0</v>
      </c>
      <c r="MBS3002" s="1" t="n">
        <v>0</v>
      </c>
      <c r="MBT3002" s="1" t="n">
        <v>0</v>
      </c>
      <c r="MBU3002" s="1" t="n">
        <v>0</v>
      </c>
      <c r="MBV3002" s="1" t="n">
        <v>0</v>
      </c>
      <c r="MBW3002" s="1" t="n">
        <v>0</v>
      </c>
      <c r="MBX3002" s="1" t="n">
        <v>0</v>
      </c>
      <c r="MBY3002" s="1" t="n">
        <v>0</v>
      </c>
      <c r="MBZ3002" s="1" t="n">
        <v>0</v>
      </c>
      <c r="MCA3002" s="1" t="n">
        <v>0</v>
      </c>
      <c r="MCB3002" s="1" t="n">
        <v>0</v>
      </c>
      <c r="MCC3002" s="1" t="n">
        <v>0</v>
      </c>
      <c r="MCD3002" s="1" t="n">
        <v>0</v>
      </c>
      <c r="MCE3002" s="1" t="n">
        <v>0</v>
      </c>
      <c r="MCF3002" s="1" t="n">
        <v>0</v>
      </c>
      <c r="MCG3002" s="1" t="n">
        <v>0</v>
      </c>
      <c r="MCH3002" s="1" t="n">
        <v>0</v>
      </c>
      <c r="MCI3002" s="1" t="n">
        <v>0</v>
      </c>
      <c r="MCJ3002" s="1" t="n">
        <v>0</v>
      </c>
      <c r="MCK3002" s="1" t="n">
        <v>0</v>
      </c>
      <c r="MCL3002" s="1" t="n">
        <v>0</v>
      </c>
      <c r="MCM3002" s="1" t="n">
        <v>0</v>
      </c>
      <c r="MCN3002" s="1" t="n">
        <v>0</v>
      </c>
      <c r="MCO3002" s="1" t="n">
        <v>0</v>
      </c>
      <c r="MCP3002" s="1" t="n">
        <v>0</v>
      </c>
      <c r="MCQ3002" s="1" t="n">
        <v>0</v>
      </c>
      <c r="MCR3002" s="1" t="n">
        <v>0</v>
      </c>
      <c r="MCS3002" s="1" t="n">
        <v>0</v>
      </c>
      <c r="MCT3002" s="1" t="n">
        <v>0</v>
      </c>
      <c r="MCU3002" s="1" t="n">
        <v>0</v>
      </c>
      <c r="MCV3002" s="1" t="n">
        <v>0</v>
      </c>
      <c r="MCW3002" s="1" t="n">
        <v>0</v>
      </c>
      <c r="MCX3002" s="1" t="n">
        <v>0</v>
      </c>
      <c r="MCY3002" s="1" t="n">
        <v>0</v>
      </c>
      <c r="MCZ3002" s="1" t="n">
        <v>0</v>
      </c>
      <c r="MDA3002" s="1" t="n">
        <v>0</v>
      </c>
      <c r="MDB3002" s="1" t="n">
        <v>0</v>
      </c>
      <c r="MDC3002" s="1" t="n">
        <v>0</v>
      </c>
      <c r="MDD3002" s="1" t="n">
        <v>0</v>
      </c>
      <c r="MDE3002" s="1" t="n">
        <v>0</v>
      </c>
      <c r="MDF3002" s="1" t="n">
        <v>0</v>
      </c>
      <c r="MDG3002" s="1" t="n">
        <v>0</v>
      </c>
      <c r="MDH3002" s="1" t="n">
        <v>0</v>
      </c>
      <c r="MDI3002" s="1" t="n">
        <v>0</v>
      </c>
      <c r="MDJ3002" s="1" t="n">
        <v>0</v>
      </c>
      <c r="MDK3002" s="1" t="n">
        <v>0</v>
      </c>
      <c r="MDL3002" s="1" t="n">
        <v>0</v>
      </c>
      <c r="MDM3002" s="1" t="n">
        <v>0</v>
      </c>
      <c r="MDN3002" s="1" t="n">
        <v>0</v>
      </c>
      <c r="MDO3002" s="1" t="n">
        <v>0</v>
      </c>
      <c r="MDP3002" s="1" t="n">
        <v>0</v>
      </c>
      <c r="MDQ3002" s="1" t="n">
        <v>0</v>
      </c>
      <c r="MDR3002" s="1" t="n">
        <v>0</v>
      </c>
      <c r="MDS3002" s="1" t="n">
        <v>0</v>
      </c>
      <c r="MDT3002" s="1" t="n">
        <v>0</v>
      </c>
      <c r="MDU3002" s="1" t="n">
        <v>0</v>
      </c>
      <c r="MDV3002" s="1" t="n">
        <v>0</v>
      </c>
      <c r="MDW3002" s="1" t="n">
        <v>0</v>
      </c>
      <c r="MDX3002" s="1" t="n">
        <v>0</v>
      </c>
      <c r="MDY3002" s="1" t="n">
        <v>0</v>
      </c>
      <c r="MDZ3002" s="1" t="n">
        <v>0</v>
      </c>
      <c r="MEA3002" s="1" t="n">
        <v>0</v>
      </c>
      <c r="MEB3002" s="1" t="n">
        <v>0</v>
      </c>
      <c r="MEC3002" s="1" t="n">
        <v>0</v>
      </c>
      <c r="MED3002" s="1" t="n">
        <v>0</v>
      </c>
      <c r="MEE3002" s="1" t="n">
        <v>0</v>
      </c>
      <c r="MEF3002" s="1" t="n">
        <v>0</v>
      </c>
      <c r="MEG3002" s="1" t="n">
        <v>0</v>
      </c>
      <c r="MEH3002" s="1" t="n">
        <v>0</v>
      </c>
      <c r="MEI3002" s="1" t="n">
        <v>0</v>
      </c>
      <c r="MEJ3002" s="1" t="n">
        <v>0</v>
      </c>
      <c r="MEK3002" s="1" t="n">
        <v>0</v>
      </c>
      <c r="MEL3002" s="1" t="n">
        <v>0</v>
      </c>
      <c r="MEM3002" s="1" t="n">
        <v>0</v>
      </c>
      <c r="MEN3002" s="1" t="n">
        <v>0</v>
      </c>
      <c r="MEO3002" s="1" t="n">
        <v>0</v>
      </c>
      <c r="MEP3002" s="1" t="n">
        <v>0</v>
      </c>
      <c r="MEQ3002" s="1" t="n">
        <v>0</v>
      </c>
      <c r="MER3002" s="1" t="n">
        <v>0</v>
      </c>
      <c r="MES3002" s="1" t="n">
        <v>0</v>
      </c>
      <c r="MET3002" s="1" t="n">
        <v>0</v>
      </c>
      <c r="MEU3002" s="1" t="n">
        <v>0</v>
      </c>
      <c r="MEV3002" s="1" t="n">
        <v>0</v>
      </c>
      <c r="MEW3002" s="1" t="n">
        <v>0</v>
      </c>
      <c r="MEX3002" s="1" t="n">
        <v>0</v>
      </c>
      <c r="MEY3002" s="1" t="n">
        <v>0</v>
      </c>
      <c r="MEZ3002" s="1" t="n">
        <v>0</v>
      </c>
      <c r="MFA3002" s="1" t="n">
        <v>0</v>
      </c>
      <c r="MFB3002" s="1" t="n">
        <v>0</v>
      </c>
      <c r="MFC3002" s="1" t="n">
        <v>0</v>
      </c>
      <c r="MFD3002" s="1" t="n">
        <v>0</v>
      </c>
      <c r="MFE3002" s="1" t="n">
        <v>0</v>
      </c>
      <c r="MFF3002" s="1" t="n">
        <v>0</v>
      </c>
      <c r="MFG3002" s="1" t="n">
        <v>0</v>
      </c>
      <c r="MFH3002" s="1" t="n">
        <v>0</v>
      </c>
      <c r="MFI3002" s="1" t="n">
        <v>0</v>
      </c>
      <c r="MFJ3002" s="1" t="n">
        <v>0</v>
      </c>
      <c r="MFK3002" s="1" t="n">
        <v>0</v>
      </c>
      <c r="MFL3002" s="1" t="n">
        <v>0</v>
      </c>
      <c r="MFM3002" s="1" t="n">
        <v>0</v>
      </c>
      <c r="MFN3002" s="1" t="n">
        <v>0</v>
      </c>
      <c r="MFO3002" s="1" t="n">
        <v>0</v>
      </c>
      <c r="MFP3002" s="1" t="n">
        <v>0</v>
      </c>
      <c r="MFQ3002" s="1" t="n">
        <v>0</v>
      </c>
      <c r="MFR3002" s="1" t="n">
        <v>0</v>
      </c>
      <c r="MFS3002" s="1" t="n">
        <v>0</v>
      </c>
      <c r="MFT3002" s="1" t="n">
        <v>0</v>
      </c>
      <c r="MFU3002" s="1" t="n">
        <v>0</v>
      </c>
      <c r="MFV3002" s="1" t="n">
        <v>0</v>
      </c>
      <c r="MFW3002" s="1" t="n">
        <v>0</v>
      </c>
      <c r="MFX3002" s="1" t="n">
        <v>0</v>
      </c>
      <c r="MFY3002" s="1" t="n">
        <v>0</v>
      </c>
      <c r="MFZ3002" s="1" t="n">
        <v>0</v>
      </c>
      <c r="MGA3002" s="1" t="n">
        <v>0</v>
      </c>
      <c r="MGB3002" s="1" t="n">
        <v>0</v>
      </c>
      <c r="MGC3002" s="1" t="n">
        <v>0</v>
      </c>
      <c r="MGD3002" s="1" t="n">
        <v>0</v>
      </c>
      <c r="MGE3002" s="1" t="n">
        <v>0</v>
      </c>
      <c r="MGF3002" s="1" t="n">
        <v>0</v>
      </c>
      <c r="MGG3002" s="1" t="n">
        <v>0</v>
      </c>
      <c r="MGH3002" s="1" t="n">
        <v>0</v>
      </c>
      <c r="MGI3002" s="1" t="n">
        <v>0</v>
      </c>
      <c r="MGJ3002" s="1" t="n">
        <v>0</v>
      </c>
      <c r="MGK3002" s="1" t="n">
        <v>0</v>
      </c>
      <c r="MGL3002" s="1" t="n">
        <v>0</v>
      </c>
      <c r="MGM3002" s="1" t="n">
        <v>0</v>
      </c>
      <c r="MGN3002" s="1" t="n">
        <v>0</v>
      </c>
      <c r="MGO3002" s="1" t="n">
        <v>0</v>
      </c>
      <c r="MGP3002" s="1" t="n">
        <v>0</v>
      </c>
      <c r="MGQ3002" s="1" t="n">
        <v>0</v>
      </c>
      <c r="MGR3002" s="1" t="n">
        <v>0</v>
      </c>
      <c r="MGS3002" s="1" t="n">
        <v>0</v>
      </c>
      <c r="MGT3002" s="1" t="n">
        <v>0</v>
      </c>
      <c r="MGU3002" s="1" t="n">
        <v>0</v>
      </c>
      <c r="MGV3002" s="1" t="n">
        <v>0</v>
      </c>
      <c r="MGW3002" s="1" t="n">
        <v>0</v>
      </c>
      <c r="MGX3002" s="1" t="n">
        <v>0</v>
      </c>
      <c r="MGY3002" s="1" t="n">
        <v>0</v>
      </c>
      <c r="MGZ3002" s="1" t="n">
        <v>0</v>
      </c>
      <c r="MHA3002" s="1" t="n">
        <v>0</v>
      </c>
      <c r="MHB3002" s="1" t="n">
        <v>0</v>
      </c>
      <c r="MHC3002" s="1" t="n">
        <v>0</v>
      </c>
      <c r="MHD3002" s="1" t="n">
        <v>0</v>
      </c>
      <c r="MHE3002" s="1" t="n">
        <v>0</v>
      </c>
      <c r="MHF3002" s="1" t="n">
        <v>0</v>
      </c>
      <c r="MHG3002" s="1" t="n">
        <v>0</v>
      </c>
      <c r="MHH3002" s="1" t="n">
        <v>0</v>
      </c>
      <c r="MHI3002" s="1" t="n">
        <v>0</v>
      </c>
      <c r="MHJ3002" s="1" t="n">
        <v>0</v>
      </c>
      <c r="MHK3002" s="1" t="n">
        <v>0</v>
      </c>
      <c r="MHL3002" s="1" t="n">
        <v>0</v>
      </c>
      <c r="MHM3002" s="1" t="n">
        <v>0</v>
      </c>
      <c r="MHN3002" s="1" t="n">
        <v>0</v>
      </c>
      <c r="MHO3002" s="1" t="n">
        <v>0</v>
      </c>
      <c r="MHP3002" s="1" t="n">
        <v>0</v>
      </c>
      <c r="MHQ3002" s="1" t="n">
        <v>0</v>
      </c>
      <c r="MHR3002" s="1" t="n">
        <v>0</v>
      </c>
      <c r="MHS3002" s="1" t="n">
        <v>0</v>
      </c>
      <c r="MHT3002" s="1" t="n">
        <v>0</v>
      </c>
      <c r="MHU3002" s="1" t="n">
        <v>0</v>
      </c>
      <c r="MHV3002" s="1" t="n">
        <v>0</v>
      </c>
      <c r="MHW3002" s="1" t="n">
        <v>0</v>
      </c>
      <c r="MHX3002" s="1" t="n">
        <v>0</v>
      </c>
      <c r="MHY3002" s="1" t="n">
        <v>0</v>
      </c>
      <c r="MHZ3002" s="1" t="n">
        <v>0</v>
      </c>
      <c r="MIA3002" s="1" t="n">
        <v>0</v>
      </c>
      <c r="MIB3002" s="1" t="n">
        <v>0</v>
      </c>
      <c r="MIC3002" s="1" t="n">
        <v>0</v>
      </c>
      <c r="MID3002" s="1" t="n">
        <v>0</v>
      </c>
      <c r="MIE3002" s="1" t="n">
        <v>0</v>
      </c>
      <c r="MIF3002" s="1" t="n">
        <v>0</v>
      </c>
      <c r="MIG3002" s="1" t="n">
        <v>0</v>
      </c>
      <c r="MIH3002" s="1" t="n">
        <v>0</v>
      </c>
      <c r="MII3002" s="1" t="n">
        <v>0</v>
      </c>
      <c r="MIJ3002" s="1" t="n">
        <v>0</v>
      </c>
      <c r="MIK3002" s="1" t="n">
        <v>0</v>
      </c>
      <c r="MIL3002" s="1" t="n">
        <v>0</v>
      </c>
      <c r="MIM3002" s="1" t="n">
        <v>0</v>
      </c>
      <c r="MIN3002" s="1" t="n">
        <v>0</v>
      </c>
      <c r="MIO3002" s="1" t="n">
        <v>0</v>
      </c>
      <c r="MIP3002" s="1" t="n">
        <v>0</v>
      </c>
      <c r="MIQ3002" s="1" t="n">
        <v>0</v>
      </c>
      <c r="MIR3002" s="1" t="n">
        <v>0</v>
      </c>
      <c r="MIS3002" s="1" t="n">
        <v>0</v>
      </c>
      <c r="MIT3002" s="1" t="n">
        <v>0</v>
      </c>
      <c r="MIU3002" s="1" t="n">
        <v>0</v>
      </c>
      <c r="MIV3002" s="1" t="n">
        <v>0</v>
      </c>
      <c r="MIW3002" s="1" t="n">
        <v>0</v>
      </c>
      <c r="MIX3002" s="1" t="n">
        <v>0</v>
      </c>
      <c r="MIY3002" s="1" t="n">
        <v>0</v>
      </c>
      <c r="MIZ3002" s="1" t="n">
        <v>0</v>
      </c>
      <c r="MJA3002" s="1" t="n">
        <v>0</v>
      </c>
      <c r="MJB3002" s="1" t="n">
        <v>0</v>
      </c>
      <c r="MJC3002" s="1" t="n">
        <v>0</v>
      </c>
      <c r="MJD3002" s="1" t="n">
        <v>0</v>
      </c>
      <c r="MJE3002" s="1" t="n">
        <v>0</v>
      </c>
      <c r="MJF3002" s="1" t="n">
        <v>0</v>
      </c>
      <c r="MJG3002" s="1" t="n">
        <v>0</v>
      </c>
      <c r="MJH3002" s="1" t="n">
        <v>0</v>
      </c>
      <c r="MJI3002" s="1" t="n">
        <v>0</v>
      </c>
      <c r="MJJ3002" s="1" t="n">
        <v>0</v>
      </c>
      <c r="MJK3002" s="1" t="n">
        <v>0</v>
      </c>
      <c r="MJL3002" s="1" t="n">
        <v>0</v>
      </c>
      <c r="MJM3002" s="1" t="n">
        <v>0</v>
      </c>
      <c r="MJN3002" s="1" t="n">
        <v>0</v>
      </c>
      <c r="MJO3002" s="1" t="n">
        <v>0</v>
      </c>
      <c r="MJP3002" s="1" t="n">
        <v>0</v>
      </c>
      <c r="MJQ3002" s="1" t="n">
        <v>0</v>
      </c>
      <c r="MJR3002" s="1" t="n">
        <v>0</v>
      </c>
      <c r="MJS3002" s="1" t="n">
        <v>0</v>
      </c>
      <c r="MJT3002" s="1" t="n">
        <v>0</v>
      </c>
      <c r="MJU3002" s="1" t="n">
        <v>0</v>
      </c>
      <c r="MJV3002" s="1" t="n">
        <v>0</v>
      </c>
      <c r="MJW3002" s="1" t="n">
        <v>0</v>
      </c>
      <c r="MJX3002" s="1" t="n">
        <v>0</v>
      </c>
      <c r="MJY3002" s="1" t="n">
        <v>0</v>
      </c>
      <c r="MJZ3002" s="1" t="n">
        <v>0</v>
      </c>
      <c r="MKA3002" s="1" t="n">
        <v>0</v>
      </c>
      <c r="MKB3002" s="1" t="n">
        <v>0</v>
      </c>
      <c r="MKC3002" s="1" t="n">
        <v>0</v>
      </c>
      <c r="MKD3002" s="1" t="n">
        <v>0</v>
      </c>
      <c r="MKE3002" s="1" t="n">
        <v>0</v>
      </c>
      <c r="MKF3002" s="1" t="n">
        <v>0</v>
      </c>
      <c r="MKG3002" s="1" t="n">
        <v>0</v>
      </c>
      <c r="MKH3002" s="1" t="n">
        <v>0</v>
      </c>
      <c r="MKI3002" s="1" t="n">
        <v>0</v>
      </c>
      <c r="MKJ3002" s="1" t="n">
        <v>0</v>
      </c>
      <c r="MKK3002" s="1" t="n">
        <v>0</v>
      </c>
      <c r="MKL3002" s="1" t="n">
        <v>0</v>
      </c>
      <c r="MKM3002" s="1" t="n">
        <v>0</v>
      </c>
      <c r="MKN3002" s="1" t="n">
        <v>0</v>
      </c>
      <c r="MKO3002" s="1" t="n">
        <v>0</v>
      </c>
      <c r="MKP3002" s="1" t="n">
        <v>0</v>
      </c>
      <c r="MKQ3002" s="1" t="n">
        <v>0</v>
      </c>
      <c r="MKR3002" s="1" t="n">
        <v>0</v>
      </c>
      <c r="MKS3002" s="1" t="n">
        <v>0</v>
      </c>
      <c r="MKT3002" s="1" t="n">
        <v>0</v>
      </c>
      <c r="MKU3002" s="1" t="n">
        <v>0</v>
      </c>
      <c r="MKV3002" s="1" t="n">
        <v>0</v>
      </c>
      <c r="MKW3002" s="1" t="n">
        <v>0</v>
      </c>
      <c r="MKX3002" s="1" t="n">
        <v>0</v>
      </c>
      <c r="MKY3002" s="1" t="n">
        <v>0</v>
      </c>
      <c r="MKZ3002" s="1" t="n">
        <v>0</v>
      </c>
      <c r="MLA3002" s="1" t="n">
        <v>0</v>
      </c>
      <c r="MLB3002" s="1" t="n">
        <v>0</v>
      </c>
      <c r="MLC3002" s="1" t="n">
        <v>0</v>
      </c>
      <c r="MLD3002" s="1" t="n">
        <v>0</v>
      </c>
      <c r="MLE3002" s="1" t="n">
        <v>0</v>
      </c>
      <c r="MLF3002" s="1" t="n">
        <v>0</v>
      </c>
      <c r="MLG3002" s="1" t="n">
        <v>0</v>
      </c>
      <c r="MLH3002" s="1" t="n">
        <v>0</v>
      </c>
      <c r="MLI3002" s="1" t="n">
        <v>0</v>
      </c>
      <c r="MLJ3002" s="1" t="n">
        <v>0</v>
      </c>
      <c r="MLK3002" s="1" t="n">
        <v>0</v>
      </c>
      <c r="MLL3002" s="1" t="n">
        <v>0</v>
      </c>
      <c r="MLM3002" s="1" t="n">
        <v>0</v>
      </c>
      <c r="MLN3002" s="1" t="n">
        <v>0</v>
      </c>
      <c r="MLO3002" s="1" t="n">
        <v>0</v>
      </c>
      <c r="MLP3002" s="1" t="n">
        <v>0</v>
      </c>
      <c r="MLQ3002" s="1" t="n">
        <v>0</v>
      </c>
      <c r="MLR3002" s="1" t="n">
        <v>0</v>
      </c>
      <c r="MLS3002" s="1" t="n">
        <v>0</v>
      </c>
      <c r="MLT3002" s="1" t="n">
        <v>0</v>
      </c>
      <c r="MLU3002" s="1" t="n">
        <v>0</v>
      </c>
      <c r="MLV3002" s="1" t="n">
        <v>0</v>
      </c>
      <c r="MLW3002" s="1" t="n">
        <v>0</v>
      </c>
      <c r="MLX3002" s="1" t="n">
        <v>0</v>
      </c>
      <c r="MLY3002" s="1" t="n">
        <v>0</v>
      </c>
      <c r="MLZ3002" s="1" t="n">
        <v>0</v>
      </c>
      <c r="MMA3002" s="1" t="n">
        <v>0</v>
      </c>
      <c r="MMB3002" s="1" t="n">
        <v>0</v>
      </c>
      <c r="MMC3002" s="1" t="n">
        <v>0</v>
      </c>
      <c r="MMD3002" s="1" t="n">
        <v>0</v>
      </c>
      <c r="MME3002" s="1" t="n">
        <v>0</v>
      </c>
      <c r="MMF3002" s="1" t="n">
        <v>0</v>
      </c>
      <c r="MMG3002" s="1" t="n">
        <v>0</v>
      </c>
      <c r="MMH3002" s="1" t="n">
        <v>0</v>
      </c>
      <c r="MMI3002" s="1" t="n">
        <v>0</v>
      </c>
      <c r="MMJ3002" s="1" t="n">
        <v>0</v>
      </c>
      <c r="MMK3002" s="1" t="n">
        <v>0</v>
      </c>
      <c r="MML3002" s="1" t="n">
        <v>0</v>
      </c>
      <c r="MMM3002" s="1" t="n">
        <v>0</v>
      </c>
      <c r="MMN3002" s="1" t="n">
        <v>0</v>
      </c>
      <c r="MMO3002" s="1" t="n">
        <v>0</v>
      </c>
      <c r="MMP3002" s="1" t="n">
        <v>0</v>
      </c>
      <c r="MMQ3002" s="1" t="n">
        <v>0</v>
      </c>
      <c r="MMR3002" s="1" t="n">
        <v>0</v>
      </c>
      <c r="MMS3002" s="1" t="n">
        <v>0</v>
      </c>
      <c r="MMT3002" s="1" t="n">
        <v>0</v>
      </c>
      <c r="MMU3002" s="1" t="n">
        <v>0</v>
      </c>
      <c r="MMV3002" s="1" t="n">
        <v>0</v>
      </c>
      <c r="MMW3002" s="1" t="n">
        <v>0</v>
      </c>
      <c r="MMX3002" s="1" t="n">
        <v>0</v>
      </c>
      <c r="MMY3002" s="1" t="n">
        <v>0</v>
      </c>
      <c r="MMZ3002" s="1" t="n">
        <v>0</v>
      </c>
      <c r="MNA3002" s="1" t="n">
        <v>0</v>
      </c>
      <c r="MNB3002" s="1" t="n">
        <v>0</v>
      </c>
      <c r="MNC3002" s="1" t="n">
        <v>0</v>
      </c>
      <c r="MND3002" s="1" t="n">
        <v>0</v>
      </c>
      <c r="MNE3002" s="1" t="n">
        <v>0</v>
      </c>
      <c r="MNF3002" s="1" t="n">
        <v>0</v>
      </c>
      <c r="MNG3002" s="1" t="n">
        <v>0</v>
      </c>
      <c r="MNH3002" s="1" t="n">
        <v>0</v>
      </c>
      <c r="MNI3002" s="1" t="n">
        <v>0</v>
      </c>
      <c r="MNJ3002" s="1" t="n">
        <v>0</v>
      </c>
      <c r="MNK3002" s="1" t="n">
        <v>0</v>
      </c>
      <c r="MNL3002" s="1" t="n">
        <v>0</v>
      </c>
      <c r="MNM3002" s="1" t="n">
        <v>0</v>
      </c>
      <c r="MNN3002" s="1" t="n">
        <v>0</v>
      </c>
      <c r="MNO3002" s="1" t="n">
        <v>0</v>
      </c>
      <c r="MNP3002" s="1" t="n">
        <v>0</v>
      </c>
      <c r="MNQ3002" s="1" t="n">
        <v>0</v>
      </c>
      <c r="MNR3002" s="1" t="n">
        <v>0</v>
      </c>
      <c r="MNS3002" s="1" t="n">
        <v>0</v>
      </c>
      <c r="MNT3002" s="1" t="n">
        <v>0</v>
      </c>
      <c r="MNU3002" s="1" t="n">
        <v>0</v>
      </c>
      <c r="MNV3002" s="1" t="n">
        <v>0</v>
      </c>
      <c r="MNW3002" s="1" t="n">
        <v>0</v>
      </c>
      <c r="MNX3002" s="1" t="n">
        <v>0</v>
      </c>
      <c r="MNY3002" s="1" t="n">
        <v>0</v>
      </c>
      <c r="MNZ3002" s="1" t="n">
        <v>0</v>
      </c>
      <c r="MOA3002" s="1" t="n">
        <v>0</v>
      </c>
      <c r="MOB3002" s="1" t="n">
        <v>0</v>
      </c>
      <c r="MOC3002" s="1" t="n">
        <v>0</v>
      </c>
      <c r="MOD3002" s="1" t="n">
        <v>0</v>
      </c>
      <c r="MOE3002" s="1" t="n">
        <v>0</v>
      </c>
      <c r="MOF3002" s="1" t="n">
        <v>0</v>
      </c>
      <c r="MOG3002" s="1" t="n">
        <v>0</v>
      </c>
      <c r="MOH3002" s="1" t="n">
        <v>0</v>
      </c>
      <c r="MOI3002" s="1" t="n">
        <v>0</v>
      </c>
      <c r="MOJ3002" s="1" t="n">
        <v>0</v>
      </c>
      <c r="MOK3002" s="1" t="n">
        <v>0</v>
      </c>
      <c r="MOL3002" s="1" t="n">
        <v>0</v>
      </c>
      <c r="MOM3002" s="1" t="n">
        <v>0</v>
      </c>
      <c r="MON3002" s="1" t="n">
        <v>0</v>
      </c>
      <c r="MOO3002" s="1" t="n">
        <v>0</v>
      </c>
      <c r="MOP3002" s="1" t="n">
        <v>0</v>
      </c>
      <c r="MOQ3002" s="1" t="n">
        <v>0</v>
      </c>
      <c r="MOR3002" s="1" t="n">
        <v>0</v>
      </c>
      <c r="MOS3002" s="1" t="n">
        <v>0</v>
      </c>
      <c r="MOT3002" s="1" t="n">
        <v>0</v>
      </c>
      <c r="MOU3002" s="1" t="n">
        <v>0</v>
      </c>
      <c r="MOV3002" s="1" t="n">
        <v>0</v>
      </c>
      <c r="MOW3002" s="1" t="n">
        <v>0</v>
      </c>
      <c r="MOX3002" s="1" t="n">
        <v>0</v>
      </c>
      <c r="MOY3002" s="1" t="n">
        <v>0</v>
      </c>
      <c r="MOZ3002" s="1" t="n">
        <v>0</v>
      </c>
      <c r="MPA3002" s="1" t="n">
        <v>0</v>
      </c>
      <c r="MPB3002" s="1" t="n">
        <v>0</v>
      </c>
      <c r="MPC3002" s="1" t="n">
        <v>0</v>
      </c>
      <c r="MPD3002" s="1" t="n">
        <v>0</v>
      </c>
      <c r="MPE3002" s="1" t="n">
        <v>0</v>
      </c>
      <c r="MPF3002" s="1" t="n">
        <v>0</v>
      </c>
      <c r="MPG3002" s="1" t="n">
        <v>0</v>
      </c>
      <c r="MPH3002" s="1" t="n">
        <v>0</v>
      </c>
      <c r="MPI3002" s="1" t="n">
        <v>0</v>
      </c>
      <c r="MPJ3002" s="1" t="n">
        <v>0</v>
      </c>
      <c r="MPK3002" s="1" t="n">
        <v>0</v>
      </c>
      <c r="MPL3002" s="1" t="n">
        <v>0</v>
      </c>
      <c r="MPM3002" s="1" t="n">
        <v>0</v>
      </c>
      <c r="MPN3002" s="1" t="n">
        <v>0</v>
      </c>
      <c r="MPO3002" s="1" t="n">
        <v>0</v>
      </c>
      <c r="MPP3002" s="1" t="n">
        <v>0</v>
      </c>
      <c r="MPQ3002" s="1" t="n">
        <v>0</v>
      </c>
      <c r="MPR3002" s="1" t="n">
        <v>0</v>
      </c>
      <c r="MPS3002" s="1" t="n">
        <v>0</v>
      </c>
      <c r="MPT3002" s="1" t="n">
        <v>0</v>
      </c>
      <c r="MPU3002" s="1" t="n">
        <v>0</v>
      </c>
      <c r="MPV3002" s="1" t="n">
        <v>0</v>
      </c>
      <c r="MPW3002" s="1" t="n">
        <v>0</v>
      </c>
      <c r="MPX3002" s="1" t="n">
        <v>0</v>
      </c>
      <c r="MPY3002" s="1" t="n">
        <v>0</v>
      </c>
      <c r="MPZ3002" s="1" t="n">
        <v>0</v>
      </c>
      <c r="MQA3002" s="1" t="n">
        <v>0</v>
      </c>
      <c r="MQB3002" s="1" t="n">
        <v>0</v>
      </c>
      <c r="MQC3002" s="1" t="n">
        <v>0</v>
      </c>
      <c r="MQD3002" s="1" t="n">
        <v>0</v>
      </c>
      <c r="MQE3002" s="1" t="n">
        <v>0</v>
      </c>
      <c r="MQF3002" s="1" t="n">
        <v>0</v>
      </c>
      <c r="MQG3002" s="1" t="n">
        <v>0</v>
      </c>
      <c r="MQH3002" s="1" t="n">
        <v>0</v>
      </c>
      <c r="MQI3002" s="1" t="n">
        <v>0</v>
      </c>
      <c r="MQJ3002" s="1" t="n">
        <v>0</v>
      </c>
      <c r="MQK3002" s="1" t="n">
        <v>0</v>
      </c>
      <c r="MQL3002" s="1" t="n">
        <v>0</v>
      </c>
      <c r="MQM3002" s="1" t="n">
        <v>0</v>
      </c>
      <c r="MQN3002" s="1" t="n">
        <v>0</v>
      </c>
      <c r="MQO3002" s="1" t="n">
        <v>0</v>
      </c>
      <c r="MQP3002" s="1" t="n">
        <v>0</v>
      </c>
      <c r="MQQ3002" s="1" t="n">
        <v>0</v>
      </c>
      <c r="MQR3002" s="1" t="n">
        <v>0</v>
      </c>
      <c r="MQS3002" s="1" t="n">
        <v>0</v>
      </c>
      <c r="MQT3002" s="1" t="n">
        <v>0</v>
      </c>
      <c r="MQU3002" s="1" t="n">
        <v>0</v>
      </c>
      <c r="MQV3002" s="1" t="n">
        <v>0</v>
      </c>
      <c r="MQW3002" s="1" t="n">
        <v>0</v>
      </c>
      <c r="MQX3002" s="1" t="n">
        <v>0</v>
      </c>
      <c r="MQY3002" s="1" t="n">
        <v>0</v>
      </c>
      <c r="MQZ3002" s="1" t="n">
        <v>0</v>
      </c>
      <c r="MRA3002" s="1" t="n">
        <v>0</v>
      </c>
      <c r="MRB3002" s="1" t="n">
        <v>0</v>
      </c>
      <c r="MRC3002" s="1" t="n">
        <v>0</v>
      </c>
      <c r="MRD3002" s="1" t="n">
        <v>0</v>
      </c>
      <c r="MRE3002" s="1" t="n">
        <v>0</v>
      </c>
      <c r="MRF3002" s="1" t="n">
        <v>0</v>
      </c>
      <c r="MRG3002" s="1" t="n">
        <v>0</v>
      </c>
      <c r="MRH3002" s="1" t="n">
        <v>0</v>
      </c>
      <c r="MRI3002" s="1" t="n">
        <v>0</v>
      </c>
      <c r="MRJ3002" s="1" t="n">
        <v>0</v>
      </c>
      <c r="MRK3002" s="1" t="n">
        <v>0</v>
      </c>
      <c r="MRL3002" s="1" t="n">
        <v>0</v>
      </c>
      <c r="MRM3002" s="1" t="n">
        <v>0</v>
      </c>
      <c r="MRN3002" s="1" t="n">
        <v>0</v>
      </c>
      <c r="MRO3002" s="1" t="n">
        <v>0</v>
      </c>
      <c r="MRP3002" s="1" t="n">
        <v>0</v>
      </c>
      <c r="MRQ3002" s="1" t="n">
        <v>0</v>
      </c>
      <c r="MRR3002" s="1" t="n">
        <v>0</v>
      </c>
      <c r="MRS3002" s="1" t="n">
        <v>0</v>
      </c>
      <c r="MRT3002" s="1" t="n">
        <v>0</v>
      </c>
      <c r="MRU3002" s="1" t="n">
        <v>0</v>
      </c>
      <c r="MRV3002" s="1" t="n">
        <v>0</v>
      </c>
      <c r="MRW3002" s="1" t="n">
        <v>0</v>
      </c>
      <c r="MRX3002" s="1" t="n">
        <v>0</v>
      </c>
      <c r="MRY3002" s="1" t="n">
        <v>0</v>
      </c>
      <c r="MRZ3002" s="1" t="n">
        <v>0</v>
      </c>
      <c r="MSA3002" s="1" t="n">
        <v>0</v>
      </c>
      <c r="MSB3002" s="1" t="n">
        <v>0</v>
      </c>
      <c r="MSC3002" s="1" t="n">
        <v>0</v>
      </c>
      <c r="MSD3002" s="1" t="n">
        <v>0</v>
      </c>
      <c r="MSE3002" s="1" t="n">
        <v>0</v>
      </c>
      <c r="MSF3002" s="1" t="n">
        <v>0</v>
      </c>
      <c r="MSG3002" s="1" t="n">
        <v>0</v>
      </c>
      <c r="MSH3002" s="1" t="n">
        <v>0</v>
      </c>
      <c r="MSI3002" s="1" t="n">
        <v>0</v>
      </c>
      <c r="MSJ3002" s="1" t="n">
        <v>0</v>
      </c>
      <c r="MSK3002" s="1" t="n">
        <v>0</v>
      </c>
      <c r="MSL3002" s="1" t="n">
        <v>0</v>
      </c>
      <c r="MSM3002" s="1" t="n">
        <v>0</v>
      </c>
      <c r="MSN3002" s="1" t="n">
        <v>0</v>
      </c>
      <c r="MSO3002" s="1" t="n">
        <v>0</v>
      </c>
      <c r="MSP3002" s="1" t="n">
        <v>0</v>
      </c>
      <c r="MSQ3002" s="1" t="n">
        <v>0</v>
      </c>
      <c r="MSR3002" s="1" t="n">
        <v>0</v>
      </c>
      <c r="MSS3002" s="1" t="n">
        <v>0</v>
      </c>
      <c r="MST3002" s="1" t="n">
        <v>0</v>
      </c>
      <c r="MSU3002" s="1" t="n">
        <v>0</v>
      </c>
      <c r="MSV3002" s="1" t="n">
        <v>0</v>
      </c>
      <c r="MSW3002" s="1" t="n">
        <v>0</v>
      </c>
      <c r="MSX3002" s="1" t="n">
        <v>0</v>
      </c>
      <c r="MSY3002" s="1" t="n">
        <v>0</v>
      </c>
      <c r="MSZ3002" s="1" t="n">
        <v>0</v>
      </c>
      <c r="MTA3002" s="1" t="n">
        <v>0</v>
      </c>
      <c r="MTB3002" s="1" t="n">
        <v>0</v>
      </c>
      <c r="MTC3002" s="1" t="n">
        <v>0</v>
      </c>
      <c r="MTD3002" s="1" t="n">
        <v>0</v>
      </c>
      <c r="MTE3002" s="1" t="n">
        <v>0</v>
      </c>
      <c r="MTF3002" s="1" t="n">
        <v>0</v>
      </c>
      <c r="MTG3002" s="1" t="n">
        <v>0</v>
      </c>
      <c r="MTH3002" s="1" t="n">
        <v>0</v>
      </c>
      <c r="MTI3002" s="1" t="n">
        <v>0</v>
      </c>
      <c r="MTJ3002" s="1" t="n">
        <v>0</v>
      </c>
      <c r="MTK3002" s="1" t="n">
        <v>0</v>
      </c>
      <c r="MTL3002" s="1" t="n">
        <v>0</v>
      </c>
      <c r="MTM3002" s="1" t="n">
        <v>0</v>
      </c>
      <c r="MTN3002" s="1" t="n">
        <v>0</v>
      </c>
      <c r="MTO3002" s="1" t="n">
        <v>0</v>
      </c>
      <c r="MTP3002" s="1" t="n">
        <v>0</v>
      </c>
      <c r="MTQ3002" s="1" t="n">
        <v>0</v>
      </c>
      <c r="MTR3002" s="1" t="n">
        <v>0</v>
      </c>
      <c r="MTS3002" s="1" t="n">
        <v>0</v>
      </c>
      <c r="MTT3002" s="1" t="n">
        <v>0</v>
      </c>
      <c r="MTU3002" s="1" t="n">
        <v>0</v>
      </c>
      <c r="MTV3002" s="1" t="n">
        <v>0</v>
      </c>
      <c r="MTW3002" s="1" t="n">
        <v>0</v>
      </c>
      <c r="MTX3002" s="1" t="n">
        <v>0</v>
      </c>
      <c r="MTY3002" s="1" t="n">
        <v>0</v>
      </c>
      <c r="MTZ3002" s="1" t="n">
        <v>0</v>
      </c>
      <c r="MUA3002" s="1" t="n">
        <v>0</v>
      </c>
      <c r="MUB3002" s="1" t="n">
        <v>0</v>
      </c>
      <c r="MUC3002" s="1" t="n">
        <v>0</v>
      </c>
      <c r="MUD3002" s="1" t="n">
        <v>0</v>
      </c>
      <c r="MUE3002" s="1" t="n">
        <v>0</v>
      </c>
      <c r="MUF3002" s="1" t="n">
        <v>0</v>
      </c>
      <c r="MUG3002" s="1" t="n">
        <v>0</v>
      </c>
      <c r="MUH3002" s="1" t="n">
        <v>0</v>
      </c>
      <c r="MUI3002" s="1" t="n">
        <v>0</v>
      </c>
      <c r="MUJ3002" s="1" t="n">
        <v>0</v>
      </c>
      <c r="MUK3002" s="1" t="n">
        <v>0</v>
      </c>
      <c r="MUL3002" s="1" t="n">
        <v>0</v>
      </c>
      <c r="MUM3002" s="1" t="n">
        <v>0</v>
      </c>
      <c r="MUN3002" s="1" t="n">
        <v>0</v>
      </c>
      <c r="MUO3002" s="1" t="n">
        <v>0</v>
      </c>
      <c r="MUP3002" s="1" t="n">
        <v>0</v>
      </c>
      <c r="MUQ3002" s="1" t="n">
        <v>0</v>
      </c>
      <c r="MUR3002" s="1" t="n">
        <v>0</v>
      </c>
      <c r="MUS3002" s="1" t="n">
        <v>0</v>
      </c>
      <c r="MUT3002" s="1" t="n">
        <v>0</v>
      </c>
      <c r="MUU3002" s="1" t="n">
        <v>0</v>
      </c>
      <c r="MUV3002" s="1" t="n">
        <v>0</v>
      </c>
      <c r="MUW3002" s="1" t="n">
        <v>0</v>
      </c>
      <c r="MUX3002" s="1" t="n">
        <v>0</v>
      </c>
      <c r="MUY3002" s="1" t="n">
        <v>0</v>
      </c>
      <c r="MUZ3002" s="1" t="n">
        <v>0</v>
      </c>
      <c r="MVA3002" s="1" t="n">
        <v>0</v>
      </c>
      <c r="MVB3002" s="1" t="n">
        <v>0</v>
      </c>
      <c r="MVC3002" s="1" t="n">
        <v>0</v>
      </c>
      <c r="MVD3002" s="1" t="n">
        <v>0</v>
      </c>
      <c r="MVE3002" s="1" t="n">
        <v>0</v>
      </c>
      <c r="MVF3002" s="1" t="n">
        <v>0</v>
      </c>
      <c r="MVG3002" s="1" t="n">
        <v>0</v>
      </c>
      <c r="MVH3002" s="1" t="n">
        <v>0</v>
      </c>
      <c r="MVI3002" s="1" t="n">
        <v>0</v>
      </c>
      <c r="MVJ3002" s="1" t="n">
        <v>0</v>
      </c>
      <c r="MVK3002" s="1" t="n">
        <v>0</v>
      </c>
      <c r="MVL3002" s="1" t="n">
        <v>0</v>
      </c>
      <c r="MVM3002" s="1" t="n">
        <v>0</v>
      </c>
      <c r="MVN3002" s="1" t="n">
        <v>0</v>
      </c>
      <c r="MVO3002" s="1" t="n">
        <v>0</v>
      </c>
      <c r="MVP3002" s="1" t="n">
        <v>0</v>
      </c>
      <c r="MVQ3002" s="1" t="n">
        <v>0</v>
      </c>
      <c r="MVR3002" s="1" t="n">
        <v>0</v>
      </c>
      <c r="MVS3002" s="1" t="n">
        <v>0</v>
      </c>
      <c r="MVT3002" s="1" t="n">
        <v>0</v>
      </c>
      <c r="MVU3002" s="1" t="n">
        <v>0</v>
      </c>
      <c r="MVV3002" s="1" t="n">
        <v>0</v>
      </c>
      <c r="MVW3002" s="1" t="n">
        <v>0</v>
      </c>
      <c r="MVX3002" s="1" t="n">
        <v>0</v>
      </c>
      <c r="MVY3002" s="1" t="n">
        <v>0</v>
      </c>
      <c r="MVZ3002" s="1" t="n">
        <v>0</v>
      </c>
      <c r="MWA3002" s="1" t="n">
        <v>0</v>
      </c>
      <c r="MWB3002" s="1" t="n">
        <v>0</v>
      </c>
      <c r="MWC3002" s="1" t="n">
        <v>0</v>
      </c>
      <c r="MWD3002" s="1" t="n">
        <v>0</v>
      </c>
      <c r="MWE3002" s="1" t="n">
        <v>0</v>
      </c>
      <c r="MWF3002" s="1" t="n">
        <v>0</v>
      </c>
      <c r="MWG3002" s="1" t="n">
        <v>0</v>
      </c>
      <c r="MWH3002" s="1" t="n">
        <v>0</v>
      </c>
      <c r="MWI3002" s="1" t="n">
        <v>0</v>
      </c>
      <c r="MWJ3002" s="1" t="n">
        <v>0</v>
      </c>
      <c r="MWK3002" s="1" t="n">
        <v>0</v>
      </c>
      <c r="MWL3002" s="1" t="n">
        <v>0</v>
      </c>
      <c r="MWM3002" s="1" t="n">
        <v>0</v>
      </c>
      <c r="MWN3002" s="1" t="n">
        <v>0</v>
      </c>
      <c r="MWO3002" s="1" t="n">
        <v>0</v>
      </c>
      <c r="MWP3002" s="1" t="n">
        <v>0</v>
      </c>
      <c r="MWQ3002" s="1" t="n">
        <v>0</v>
      </c>
      <c r="MWR3002" s="1" t="n">
        <v>0</v>
      </c>
      <c r="MWS3002" s="1" t="n">
        <v>0</v>
      </c>
      <c r="MWT3002" s="1" t="n">
        <v>0</v>
      </c>
      <c r="MWU3002" s="1" t="n">
        <v>0</v>
      </c>
      <c r="MWV3002" s="1" t="n">
        <v>0</v>
      </c>
      <c r="MWW3002" s="1" t="n">
        <v>0</v>
      </c>
      <c r="MWX3002" s="1" t="n">
        <v>0</v>
      </c>
      <c r="MWY3002" s="1" t="n">
        <v>0</v>
      </c>
      <c r="MWZ3002" s="1" t="n">
        <v>0</v>
      </c>
      <c r="MXA3002" s="1" t="n">
        <v>0</v>
      </c>
      <c r="MXB3002" s="1" t="n">
        <v>0</v>
      </c>
      <c r="MXC3002" s="1" t="n">
        <v>0</v>
      </c>
      <c r="MXD3002" s="1" t="n">
        <v>0</v>
      </c>
      <c r="MXE3002" s="1" t="n">
        <v>0</v>
      </c>
      <c r="MXF3002" s="1" t="n">
        <v>0</v>
      </c>
      <c r="MXG3002" s="1" t="n">
        <v>0</v>
      </c>
      <c r="MXH3002" s="1" t="n">
        <v>0</v>
      </c>
      <c r="MXI3002" s="1" t="n">
        <v>0</v>
      </c>
      <c r="MXJ3002" s="1" t="n">
        <v>0</v>
      </c>
      <c r="MXK3002" s="1" t="n">
        <v>0</v>
      </c>
      <c r="MXL3002" s="1" t="n">
        <v>0</v>
      </c>
      <c r="MXM3002" s="1" t="n">
        <v>0</v>
      </c>
      <c r="MXN3002" s="1" t="n">
        <v>0</v>
      </c>
      <c r="MXO3002" s="1" t="n">
        <v>0</v>
      </c>
      <c r="MXP3002" s="1" t="n">
        <v>0</v>
      </c>
      <c r="MXQ3002" s="1" t="n">
        <v>0</v>
      </c>
      <c r="MXR3002" s="1" t="n">
        <v>0</v>
      </c>
      <c r="MXS3002" s="1" t="n">
        <v>0</v>
      </c>
      <c r="MXT3002" s="1" t="n">
        <v>0</v>
      </c>
      <c r="MXU3002" s="1" t="n">
        <v>0</v>
      </c>
      <c r="MXV3002" s="1" t="n">
        <v>0</v>
      </c>
      <c r="MXW3002" s="1" t="n">
        <v>0</v>
      </c>
      <c r="MXX3002" s="1" t="n">
        <v>0</v>
      </c>
      <c r="MXY3002" s="1" t="n">
        <v>0</v>
      </c>
      <c r="MXZ3002" s="1" t="n">
        <v>0</v>
      </c>
      <c r="MYA3002" s="1" t="n">
        <v>0</v>
      </c>
      <c r="MYB3002" s="1" t="n">
        <v>0</v>
      </c>
      <c r="MYC3002" s="1" t="n">
        <v>0</v>
      </c>
      <c r="MYD3002" s="1" t="n">
        <v>0</v>
      </c>
      <c r="MYE3002" s="1" t="n">
        <v>0</v>
      </c>
      <c r="MYF3002" s="1" t="n">
        <v>0</v>
      </c>
      <c r="MYG3002" s="1" t="n">
        <v>0</v>
      </c>
      <c r="MYH3002" s="1" t="n">
        <v>0</v>
      </c>
      <c r="MYI3002" s="1" t="n">
        <v>0</v>
      </c>
      <c r="MYJ3002" s="1" t="n">
        <v>0</v>
      </c>
      <c r="MYK3002" s="1" t="n">
        <v>0</v>
      </c>
      <c r="MYL3002" s="1" t="n">
        <v>0</v>
      </c>
      <c r="MYM3002" s="1" t="n">
        <v>0</v>
      </c>
      <c r="MYN3002" s="1" t="n">
        <v>0</v>
      </c>
      <c r="MYO3002" s="1" t="n">
        <v>0</v>
      </c>
      <c r="MYP3002" s="1" t="n">
        <v>0</v>
      </c>
      <c r="MYQ3002" s="1" t="n">
        <v>0</v>
      </c>
      <c r="MYR3002" s="1" t="n">
        <v>0</v>
      </c>
      <c r="MYS3002" s="1" t="n">
        <v>0</v>
      </c>
      <c r="MYT3002" s="1" t="n">
        <v>0</v>
      </c>
      <c r="MYU3002" s="1" t="n">
        <v>0</v>
      </c>
      <c r="MYV3002" s="1" t="n">
        <v>0</v>
      </c>
      <c r="MYW3002" s="1" t="n">
        <v>0</v>
      </c>
      <c r="MYX3002" s="1" t="n">
        <v>0</v>
      </c>
      <c r="MYY3002" s="1" t="n">
        <v>0</v>
      </c>
      <c r="MYZ3002" s="1" t="n">
        <v>0</v>
      </c>
      <c r="MZA3002" s="1" t="n">
        <v>0</v>
      </c>
      <c r="MZB3002" s="1" t="n">
        <v>0</v>
      </c>
      <c r="MZC3002" s="1" t="n">
        <v>0</v>
      </c>
      <c r="MZD3002" s="1" t="n">
        <v>0</v>
      </c>
      <c r="MZE3002" s="1" t="n">
        <v>0</v>
      </c>
      <c r="MZF3002" s="1" t="n">
        <v>0</v>
      </c>
      <c r="MZG3002" s="1" t="n">
        <v>0</v>
      </c>
      <c r="MZH3002" s="1" t="n">
        <v>0</v>
      </c>
      <c r="MZI3002" s="1" t="n">
        <v>0</v>
      </c>
      <c r="MZJ3002" s="1" t="n">
        <v>0</v>
      </c>
      <c r="MZK3002" s="1" t="n">
        <v>0</v>
      </c>
      <c r="MZL3002" s="1" t="n">
        <v>0</v>
      </c>
      <c r="MZM3002" s="1" t="n">
        <v>0</v>
      </c>
      <c r="MZN3002" s="1" t="n">
        <v>0</v>
      </c>
      <c r="MZO3002" s="1" t="n">
        <v>0</v>
      </c>
      <c r="MZP3002" s="1" t="n">
        <v>0</v>
      </c>
      <c r="MZQ3002" s="1" t="n">
        <v>0</v>
      </c>
      <c r="MZR3002" s="1" t="n">
        <v>0</v>
      </c>
      <c r="MZS3002" s="1" t="n">
        <v>0</v>
      </c>
      <c r="MZT3002" s="1" t="n">
        <v>0</v>
      </c>
      <c r="MZU3002" s="1" t="n">
        <v>0</v>
      </c>
      <c r="MZV3002" s="1" t="n">
        <v>0</v>
      </c>
      <c r="MZW3002" s="1" t="n">
        <v>0</v>
      </c>
      <c r="MZX3002" s="1" t="n">
        <v>0</v>
      </c>
      <c r="MZY3002" s="1" t="n">
        <v>0</v>
      </c>
      <c r="MZZ3002" s="1" t="n">
        <v>0</v>
      </c>
      <c r="NAA3002" s="1" t="n">
        <v>0</v>
      </c>
      <c r="NAB3002" s="1" t="n">
        <v>0</v>
      </c>
      <c r="NAC3002" s="1" t="n">
        <v>0</v>
      </c>
      <c r="NAD3002" s="1" t="n">
        <v>0</v>
      </c>
      <c r="NAE3002" s="1" t="n">
        <v>0</v>
      </c>
      <c r="NAF3002" s="1" t="n">
        <v>0</v>
      </c>
      <c r="NAG3002" s="1" t="n">
        <v>0</v>
      </c>
      <c r="NAH3002" s="1" t="n">
        <v>0</v>
      </c>
      <c r="NAI3002" s="1" t="n">
        <v>0</v>
      </c>
      <c r="NAJ3002" s="1" t="n">
        <v>0</v>
      </c>
      <c r="NAK3002" s="1" t="n">
        <v>0</v>
      </c>
      <c r="NAL3002" s="1" t="n">
        <v>0</v>
      </c>
      <c r="NAM3002" s="1" t="n">
        <v>0</v>
      </c>
      <c r="NAN3002" s="1" t="n">
        <v>0</v>
      </c>
      <c r="NAO3002" s="1" t="n">
        <v>0</v>
      </c>
      <c r="NAP3002" s="1" t="n">
        <v>0</v>
      </c>
      <c r="NAQ3002" s="1" t="n">
        <v>0</v>
      </c>
      <c r="NAR3002" s="1" t="n">
        <v>0</v>
      </c>
      <c r="NAS3002" s="1" t="n">
        <v>0</v>
      </c>
      <c r="NAT3002" s="1" t="n">
        <v>0</v>
      </c>
      <c r="NAU3002" s="1" t="n">
        <v>0</v>
      </c>
      <c r="NAV3002" s="1" t="n">
        <v>0</v>
      </c>
      <c r="NAW3002" s="1" t="n">
        <v>0</v>
      </c>
      <c r="NAX3002" s="1" t="n">
        <v>0</v>
      </c>
      <c r="NAY3002" s="1" t="n">
        <v>0</v>
      </c>
      <c r="NAZ3002" s="1" t="n">
        <v>0</v>
      </c>
      <c r="NBA3002" s="1" t="n">
        <v>0</v>
      </c>
      <c r="NBB3002" s="1" t="n">
        <v>0</v>
      </c>
      <c r="NBC3002" s="1" t="n">
        <v>0</v>
      </c>
      <c r="NBD3002" s="1" t="n">
        <v>0</v>
      </c>
      <c r="NBE3002" s="1" t="n">
        <v>0</v>
      </c>
      <c r="NBF3002" s="1" t="n">
        <v>0</v>
      </c>
      <c r="NBG3002" s="1" t="n">
        <v>0</v>
      </c>
      <c r="NBH3002" s="1" t="n">
        <v>0</v>
      </c>
      <c r="NBI3002" s="1" t="n">
        <v>0</v>
      </c>
      <c r="NBJ3002" s="1" t="n">
        <v>0</v>
      </c>
      <c r="NBK3002" s="1" t="n">
        <v>0</v>
      </c>
      <c r="NBL3002" s="1" t="n">
        <v>0</v>
      </c>
      <c r="NBM3002" s="1" t="n">
        <v>0</v>
      </c>
      <c r="NBN3002" s="1" t="n">
        <v>0</v>
      </c>
      <c r="NBO3002" s="1" t="n">
        <v>0</v>
      </c>
      <c r="NBP3002" s="1" t="n">
        <v>0</v>
      </c>
      <c r="NBQ3002" s="1" t="n">
        <v>0</v>
      </c>
      <c r="NBR3002" s="1" t="n">
        <v>0</v>
      </c>
      <c r="NBS3002" s="1" t="n">
        <v>0</v>
      </c>
      <c r="NBT3002" s="1" t="n">
        <v>0</v>
      </c>
      <c r="NBU3002" s="1" t="n">
        <v>0</v>
      </c>
      <c r="NBV3002" s="1" t="n">
        <v>0</v>
      </c>
      <c r="NBW3002" s="1" t="n">
        <v>0</v>
      </c>
      <c r="NBX3002" s="1" t="n">
        <v>0</v>
      </c>
      <c r="NBY3002" s="1" t="n">
        <v>0</v>
      </c>
      <c r="NBZ3002" s="1" t="n">
        <v>0</v>
      </c>
      <c r="NCA3002" s="1" t="n">
        <v>0</v>
      </c>
      <c r="NCB3002" s="1" t="n">
        <v>0</v>
      </c>
      <c r="NCC3002" s="1" t="n">
        <v>0</v>
      </c>
      <c r="NCD3002" s="1" t="n">
        <v>0</v>
      </c>
      <c r="NCE3002" s="1" t="n">
        <v>0</v>
      </c>
      <c r="NCF3002" s="1" t="n">
        <v>0</v>
      </c>
      <c r="NCG3002" s="1" t="n">
        <v>0</v>
      </c>
      <c r="NCH3002" s="1" t="n">
        <v>0</v>
      </c>
      <c r="NCI3002" s="1" t="n">
        <v>0</v>
      </c>
      <c r="NCJ3002" s="1" t="n">
        <v>0</v>
      </c>
      <c r="NCK3002" s="1" t="n">
        <v>0</v>
      </c>
      <c r="NCL3002" s="1" t="n">
        <v>0</v>
      </c>
      <c r="NCM3002" s="1" t="n">
        <v>0</v>
      </c>
      <c r="NCN3002" s="1" t="n">
        <v>0</v>
      </c>
      <c r="NCO3002" s="1" t="n">
        <v>0</v>
      </c>
      <c r="NCP3002" s="1" t="n">
        <v>0</v>
      </c>
      <c r="NCQ3002" s="1" t="n">
        <v>0</v>
      </c>
      <c r="NCR3002" s="1" t="n">
        <v>0</v>
      </c>
      <c r="NCS3002" s="1" t="n">
        <v>0</v>
      </c>
      <c r="NCT3002" s="1" t="n">
        <v>0</v>
      </c>
      <c r="NCU3002" s="1" t="n">
        <v>0</v>
      </c>
      <c r="NCV3002" s="1" t="n">
        <v>0</v>
      </c>
      <c r="NCW3002" s="1" t="n">
        <v>0</v>
      </c>
      <c r="NCX3002" s="1" t="n">
        <v>0</v>
      </c>
      <c r="NCY3002" s="1" t="n">
        <v>0</v>
      </c>
      <c r="NCZ3002" s="1" t="n">
        <v>0</v>
      </c>
      <c r="NDA3002" s="1" t="n">
        <v>0</v>
      </c>
      <c r="NDB3002" s="1" t="n">
        <v>0</v>
      </c>
      <c r="NDC3002" s="1" t="n">
        <v>0</v>
      </c>
      <c r="NDD3002" s="1" t="n">
        <v>0</v>
      </c>
      <c r="NDE3002" s="1" t="n">
        <v>0</v>
      </c>
      <c r="NDF3002" s="1" t="n">
        <v>0</v>
      </c>
      <c r="NDG3002" s="1" t="n">
        <v>0</v>
      </c>
      <c r="NDH3002" s="1" t="n">
        <v>0</v>
      </c>
      <c r="NDI3002" s="1" t="n">
        <v>0</v>
      </c>
      <c r="NDJ3002" s="1" t="n">
        <v>0</v>
      </c>
      <c r="NDK3002" s="1" t="n">
        <v>0</v>
      </c>
      <c r="NDL3002" s="1" t="n">
        <v>0</v>
      </c>
      <c r="NDM3002" s="1" t="n">
        <v>0</v>
      </c>
      <c r="NDN3002" s="1" t="n">
        <v>0</v>
      </c>
      <c r="NDO3002" s="1" t="n">
        <v>0</v>
      </c>
      <c r="NDP3002" s="1" t="n">
        <v>0</v>
      </c>
      <c r="NDQ3002" s="1" t="n">
        <v>0</v>
      </c>
      <c r="NDR3002" s="1" t="n">
        <v>0</v>
      </c>
      <c r="NDS3002" s="1" t="n">
        <v>0</v>
      </c>
      <c r="NDT3002" s="1" t="n">
        <v>0</v>
      </c>
      <c r="NDU3002" s="1" t="n">
        <v>0</v>
      </c>
      <c r="NDV3002" s="1" t="n">
        <v>0</v>
      </c>
      <c r="NDW3002" s="1" t="n">
        <v>0</v>
      </c>
      <c r="NDX3002" s="1" t="n">
        <v>0</v>
      </c>
      <c r="NDY3002" s="1" t="n">
        <v>0</v>
      </c>
      <c r="NDZ3002" s="1" t="n">
        <v>0</v>
      </c>
      <c r="NEA3002" s="1" t="n">
        <v>0</v>
      </c>
      <c r="NEB3002" s="1" t="n">
        <v>0</v>
      </c>
      <c r="NEC3002" s="1" t="n">
        <v>0</v>
      </c>
      <c r="NED3002" s="1" t="n">
        <v>0</v>
      </c>
      <c r="NEE3002" s="1" t="n">
        <v>0</v>
      </c>
      <c r="NEF3002" s="1" t="n">
        <v>0</v>
      </c>
      <c r="NEG3002" s="1" t="n">
        <v>0</v>
      </c>
      <c r="NEH3002" s="1" t="n">
        <v>0</v>
      </c>
      <c r="NEI3002" s="1" t="n">
        <v>0</v>
      </c>
      <c r="NEJ3002" s="1" t="n">
        <v>0</v>
      </c>
      <c r="NEK3002" s="1" t="n">
        <v>0</v>
      </c>
      <c r="NEL3002" s="1" t="n">
        <v>0</v>
      </c>
      <c r="NEM3002" s="1" t="n">
        <v>0</v>
      </c>
      <c r="NEN3002" s="1" t="n">
        <v>0</v>
      </c>
      <c r="NEO3002" s="1" t="n">
        <v>0</v>
      </c>
      <c r="NEP3002" s="1" t="n">
        <v>0</v>
      </c>
      <c r="NEQ3002" s="1" t="n">
        <v>0</v>
      </c>
      <c r="NER3002" s="1" t="n">
        <v>0</v>
      </c>
      <c r="NES3002" s="1" t="n">
        <v>0</v>
      </c>
      <c r="NET3002" s="1" t="n">
        <v>0</v>
      </c>
      <c r="NEU3002" s="1" t="n">
        <v>0</v>
      </c>
      <c r="NEV3002" s="1" t="n">
        <v>0</v>
      </c>
      <c r="NEW3002" s="1" t="n">
        <v>0</v>
      </c>
      <c r="NEX3002" s="1" t="n">
        <v>0</v>
      </c>
      <c r="NEY3002" s="1" t="n">
        <v>0</v>
      </c>
      <c r="NEZ3002" s="1" t="n">
        <v>0</v>
      </c>
      <c r="NFA3002" s="1" t="n">
        <v>0</v>
      </c>
      <c r="NFB3002" s="1" t="n">
        <v>0</v>
      </c>
      <c r="NFC3002" s="1" t="n">
        <v>0</v>
      </c>
      <c r="NFD3002" s="1" t="n">
        <v>0</v>
      </c>
      <c r="NFE3002" s="1" t="n">
        <v>0</v>
      </c>
      <c r="NFF3002" s="1" t="n">
        <v>0</v>
      </c>
      <c r="NFG3002" s="1" t="n">
        <v>0</v>
      </c>
      <c r="NFH3002" s="1" t="n">
        <v>0</v>
      </c>
      <c r="NFI3002" s="1" t="n">
        <v>0</v>
      </c>
      <c r="NFJ3002" s="1" t="n">
        <v>0</v>
      </c>
      <c r="NFK3002" s="1" t="n">
        <v>0</v>
      </c>
      <c r="NFL3002" s="1" t="n">
        <v>0</v>
      </c>
      <c r="NFM3002" s="1" t="n">
        <v>0</v>
      </c>
      <c r="NFN3002" s="1" t="n">
        <v>0</v>
      </c>
      <c r="NFO3002" s="1" t="n">
        <v>0</v>
      </c>
      <c r="NFP3002" s="1" t="n">
        <v>0</v>
      </c>
      <c r="NFQ3002" s="1" t="n">
        <v>0</v>
      </c>
      <c r="NFR3002" s="1" t="n">
        <v>0</v>
      </c>
      <c r="NFS3002" s="1" t="n">
        <v>0</v>
      </c>
      <c r="NFT3002" s="1" t="n">
        <v>0</v>
      </c>
      <c r="NFU3002" s="1" t="n">
        <v>0</v>
      </c>
      <c r="NFV3002" s="1" t="n">
        <v>0</v>
      </c>
      <c r="NFW3002" s="1" t="n">
        <v>0</v>
      </c>
      <c r="NFX3002" s="1" t="n">
        <v>0</v>
      </c>
      <c r="NFY3002" s="1" t="n">
        <v>0</v>
      </c>
      <c r="NFZ3002" s="1" t="n">
        <v>0</v>
      </c>
      <c r="NGA3002" s="1" t="n">
        <v>0</v>
      </c>
      <c r="NGB3002" s="1" t="n">
        <v>0</v>
      </c>
      <c r="NGC3002" s="1" t="n">
        <v>0</v>
      </c>
      <c r="NGD3002" s="1" t="n">
        <v>0</v>
      </c>
      <c r="NGE3002" s="1" t="n">
        <v>0</v>
      </c>
      <c r="NGF3002" s="1" t="n">
        <v>0</v>
      </c>
      <c r="NGG3002" s="1" t="n">
        <v>0</v>
      </c>
      <c r="NGH3002" s="1" t="n">
        <v>0</v>
      </c>
      <c r="NGI3002" s="1" t="n">
        <v>0</v>
      </c>
      <c r="NGJ3002" s="1" t="n">
        <v>0</v>
      </c>
      <c r="NGK3002" s="1" t="n">
        <v>0</v>
      </c>
      <c r="NGL3002" s="1" t="n">
        <v>0</v>
      </c>
      <c r="NGM3002" s="1" t="n">
        <v>0</v>
      </c>
      <c r="NGN3002" s="1" t="n">
        <v>0</v>
      </c>
      <c r="NGO3002" s="1" t="n">
        <v>0</v>
      </c>
      <c r="NGP3002" s="1" t="n">
        <v>0</v>
      </c>
      <c r="NGQ3002" s="1" t="n">
        <v>0</v>
      </c>
      <c r="NGR3002" s="1" t="n">
        <v>0</v>
      </c>
      <c r="NGS3002" s="1" t="n">
        <v>0</v>
      </c>
      <c r="NGT3002" s="1" t="n">
        <v>0</v>
      </c>
      <c r="NGU3002" s="1" t="n">
        <v>0</v>
      </c>
      <c r="NGV3002" s="1" t="n">
        <v>0</v>
      </c>
      <c r="NGW3002" s="1" t="n">
        <v>0</v>
      </c>
      <c r="NGX3002" s="1" t="n">
        <v>0</v>
      </c>
      <c r="NGY3002" s="1" t="n">
        <v>0</v>
      </c>
      <c r="NGZ3002" s="1" t="n">
        <v>0</v>
      </c>
      <c r="NHA3002" s="1" t="n">
        <v>0</v>
      </c>
      <c r="NHB3002" s="1" t="n">
        <v>0</v>
      </c>
      <c r="NHC3002" s="1" t="n">
        <v>0</v>
      </c>
      <c r="NHD3002" s="1" t="n">
        <v>0</v>
      </c>
      <c r="NHE3002" s="1" t="n">
        <v>0</v>
      </c>
      <c r="NHF3002" s="1" t="n">
        <v>0</v>
      </c>
      <c r="NHG3002" s="1" t="n">
        <v>0</v>
      </c>
      <c r="NHH3002" s="1" t="n">
        <v>0</v>
      </c>
      <c r="NHI3002" s="1" t="n">
        <v>0</v>
      </c>
      <c r="NHJ3002" s="1" t="n">
        <v>0</v>
      </c>
      <c r="NHK3002" s="1" t="n">
        <v>0</v>
      </c>
      <c r="NHL3002" s="1" t="n">
        <v>0</v>
      </c>
      <c r="NHM3002" s="1" t="n">
        <v>0</v>
      </c>
      <c r="NHN3002" s="1" t="n">
        <v>0</v>
      </c>
      <c r="NHO3002" s="1" t="n">
        <v>0</v>
      </c>
      <c r="NHP3002" s="1" t="n">
        <v>0</v>
      </c>
      <c r="NHQ3002" s="1" t="n">
        <v>0</v>
      </c>
      <c r="NHR3002" s="1" t="n">
        <v>0</v>
      </c>
      <c r="NHS3002" s="1" t="n">
        <v>0</v>
      </c>
      <c r="NHT3002" s="1" t="n">
        <v>0</v>
      </c>
      <c r="NHU3002" s="1" t="n">
        <v>0</v>
      </c>
      <c r="NHV3002" s="1" t="n">
        <v>0</v>
      </c>
      <c r="NHW3002" s="1" t="n">
        <v>0</v>
      </c>
      <c r="NHX3002" s="1" t="n">
        <v>0</v>
      </c>
      <c r="NHY3002" s="1" t="n">
        <v>0</v>
      </c>
      <c r="NHZ3002" s="1" t="n">
        <v>0</v>
      </c>
      <c r="NIA3002" s="1" t="n">
        <v>0</v>
      </c>
      <c r="NIB3002" s="1" t="n">
        <v>0</v>
      </c>
      <c r="NIC3002" s="1" t="n">
        <v>0</v>
      </c>
      <c r="NID3002" s="1" t="n">
        <v>0</v>
      </c>
      <c r="NIE3002" s="1" t="n">
        <v>0</v>
      </c>
      <c r="NIF3002" s="1" t="n">
        <v>0</v>
      </c>
      <c r="NIG3002" s="1" t="n">
        <v>0</v>
      </c>
      <c r="NIH3002" s="1" t="n">
        <v>0</v>
      </c>
      <c r="NII3002" s="1" t="n">
        <v>0</v>
      </c>
      <c r="NIJ3002" s="1" t="n">
        <v>0</v>
      </c>
      <c r="NIK3002" s="1" t="n">
        <v>0</v>
      </c>
      <c r="NIL3002" s="1" t="n">
        <v>0</v>
      </c>
      <c r="NIM3002" s="1" t="n">
        <v>0</v>
      </c>
      <c r="NIN3002" s="1" t="n">
        <v>0</v>
      </c>
      <c r="NIO3002" s="1" t="n">
        <v>0</v>
      </c>
      <c r="NIP3002" s="1" t="n">
        <v>0</v>
      </c>
      <c r="NIQ3002" s="1" t="n">
        <v>0</v>
      </c>
      <c r="NIR3002" s="1" t="n">
        <v>0</v>
      </c>
      <c r="NIS3002" s="1" t="n">
        <v>0</v>
      </c>
      <c r="NIT3002" s="1" t="n">
        <v>0</v>
      </c>
      <c r="NIU3002" s="1" t="n">
        <v>0</v>
      </c>
      <c r="NIV3002" s="1" t="n">
        <v>0</v>
      </c>
      <c r="NIW3002" s="1" t="n">
        <v>0</v>
      </c>
      <c r="NIX3002" s="1" t="n">
        <v>0</v>
      </c>
      <c r="NIY3002" s="1" t="n">
        <v>0</v>
      </c>
      <c r="NIZ3002" s="1" t="n">
        <v>0</v>
      </c>
      <c r="NJA3002" s="1" t="n">
        <v>0</v>
      </c>
      <c r="NJB3002" s="1" t="n">
        <v>0</v>
      </c>
      <c r="NJC3002" s="1" t="n">
        <v>0</v>
      </c>
      <c r="NJD3002" s="1" t="n">
        <v>0</v>
      </c>
      <c r="NJE3002" s="1" t="n">
        <v>0</v>
      </c>
      <c r="NJF3002" s="1" t="n">
        <v>0</v>
      </c>
      <c r="NJG3002" s="1" t="n">
        <v>0</v>
      </c>
      <c r="NJH3002" s="1" t="n">
        <v>0</v>
      </c>
      <c r="NJI3002" s="1" t="n">
        <v>0</v>
      </c>
      <c r="NJJ3002" s="1" t="n">
        <v>0</v>
      </c>
      <c r="NJK3002" s="1" t="n">
        <v>0</v>
      </c>
      <c r="NJL3002" s="1" t="n">
        <v>0</v>
      </c>
      <c r="NJM3002" s="1" t="n">
        <v>0</v>
      </c>
      <c r="NJN3002" s="1" t="n">
        <v>0</v>
      </c>
      <c r="NJO3002" s="1" t="n">
        <v>0</v>
      </c>
      <c r="NJP3002" s="1" t="n">
        <v>0</v>
      </c>
      <c r="NJQ3002" s="1" t="n">
        <v>0</v>
      </c>
      <c r="NJR3002" s="1" t="n">
        <v>0</v>
      </c>
      <c r="NJS3002" s="1" t="n">
        <v>0</v>
      </c>
      <c r="NJT3002" s="1" t="n">
        <v>0</v>
      </c>
      <c r="NJU3002" s="1" t="n">
        <v>0</v>
      </c>
      <c r="NJV3002" s="1" t="n">
        <v>0</v>
      </c>
      <c r="NJW3002" s="1" t="n">
        <v>0</v>
      </c>
      <c r="NJX3002" s="1" t="n">
        <v>0</v>
      </c>
      <c r="NJY3002" s="1" t="n">
        <v>0</v>
      </c>
      <c r="NJZ3002" s="1" t="n">
        <v>0</v>
      </c>
      <c r="NKA3002" s="1" t="n">
        <v>0</v>
      </c>
      <c r="NKB3002" s="1" t="n">
        <v>0</v>
      </c>
      <c r="NKC3002" s="1" t="n">
        <v>0</v>
      </c>
      <c r="NKD3002" s="1" t="n">
        <v>0</v>
      </c>
      <c r="NKE3002" s="1" t="n">
        <v>0</v>
      </c>
      <c r="NKF3002" s="1" t="n">
        <v>0</v>
      </c>
      <c r="NKG3002" s="1" t="n">
        <v>0</v>
      </c>
      <c r="NKH3002" s="1" t="n">
        <v>0</v>
      </c>
      <c r="NKI3002" s="1" t="n">
        <v>0</v>
      </c>
      <c r="NKJ3002" s="1" t="n">
        <v>0</v>
      </c>
      <c r="NKK3002" s="1" t="n">
        <v>0</v>
      </c>
      <c r="NKL3002" s="1" t="n">
        <v>0</v>
      </c>
      <c r="NKM3002" s="1" t="n">
        <v>0</v>
      </c>
      <c r="NKN3002" s="1" t="n">
        <v>0</v>
      </c>
      <c r="NKO3002" s="1" t="n">
        <v>0</v>
      </c>
      <c r="NKP3002" s="1" t="n">
        <v>0</v>
      </c>
      <c r="NKQ3002" s="1" t="n">
        <v>0</v>
      </c>
      <c r="NKR3002" s="1" t="n">
        <v>0</v>
      </c>
      <c r="NKS3002" s="1" t="n">
        <v>0</v>
      </c>
      <c r="NKT3002" s="1" t="n">
        <v>0</v>
      </c>
      <c r="NKU3002" s="1" t="n">
        <v>0</v>
      </c>
      <c r="NKV3002" s="1" t="n">
        <v>0</v>
      </c>
      <c r="NKW3002" s="1" t="n">
        <v>0</v>
      </c>
      <c r="NKX3002" s="1" t="n">
        <v>0</v>
      </c>
      <c r="NKY3002" s="1" t="n">
        <v>0</v>
      </c>
      <c r="NKZ3002" s="1" t="n">
        <v>0</v>
      </c>
      <c r="NLA3002" s="1" t="n">
        <v>0</v>
      </c>
      <c r="NLB3002" s="1" t="n">
        <v>0</v>
      </c>
      <c r="NLC3002" s="1" t="n">
        <v>0</v>
      </c>
      <c r="NLD3002" s="1" t="n">
        <v>0</v>
      </c>
      <c r="NLE3002" s="1" t="n">
        <v>0</v>
      </c>
      <c r="NLF3002" s="1" t="n">
        <v>0</v>
      </c>
      <c r="NLG3002" s="1" t="n">
        <v>0</v>
      </c>
      <c r="NLH3002" s="1" t="n">
        <v>0</v>
      </c>
      <c r="NLI3002" s="1" t="n">
        <v>0</v>
      </c>
      <c r="NLJ3002" s="1" t="n">
        <v>0</v>
      </c>
      <c r="NLK3002" s="1" t="n">
        <v>0</v>
      </c>
      <c r="NLL3002" s="1" t="n">
        <v>0</v>
      </c>
      <c r="NLM3002" s="1" t="n">
        <v>0</v>
      </c>
      <c r="NLN3002" s="1" t="n">
        <v>0</v>
      </c>
      <c r="NLO3002" s="1" t="n">
        <v>0</v>
      </c>
      <c r="NLP3002" s="1" t="n">
        <v>0</v>
      </c>
      <c r="NLQ3002" s="1" t="n">
        <v>0</v>
      </c>
      <c r="NLR3002" s="1" t="n">
        <v>0</v>
      </c>
      <c r="NLS3002" s="1" t="n">
        <v>0</v>
      </c>
      <c r="NLT3002" s="1" t="n">
        <v>0</v>
      </c>
      <c r="NLU3002" s="1" t="n">
        <v>0</v>
      </c>
      <c r="NLV3002" s="1" t="n">
        <v>0</v>
      </c>
      <c r="NLW3002" s="1" t="n">
        <v>0</v>
      </c>
      <c r="NLX3002" s="1" t="n">
        <v>0</v>
      </c>
      <c r="NLY3002" s="1" t="n">
        <v>0</v>
      </c>
      <c r="NLZ3002" s="1" t="n">
        <v>0</v>
      </c>
      <c r="NMA3002" s="1" t="n">
        <v>0</v>
      </c>
      <c r="NMB3002" s="1" t="n">
        <v>0</v>
      </c>
      <c r="NMC3002" s="1" t="n">
        <v>0</v>
      </c>
      <c r="NMD3002" s="1" t="n">
        <v>0</v>
      </c>
      <c r="NME3002" s="1" t="n">
        <v>0</v>
      </c>
      <c r="NMF3002" s="1" t="n">
        <v>0</v>
      </c>
      <c r="NMG3002" s="1" t="n">
        <v>0</v>
      </c>
      <c r="NMH3002" s="1" t="n">
        <v>0</v>
      </c>
      <c r="NMI3002" s="1" t="n">
        <v>0</v>
      </c>
      <c r="NMJ3002" s="1" t="n">
        <v>0</v>
      </c>
      <c r="NMK3002" s="1" t="n">
        <v>0</v>
      </c>
      <c r="NML3002" s="1" t="n">
        <v>0</v>
      </c>
      <c r="NMM3002" s="1" t="n">
        <v>0</v>
      </c>
      <c r="NMN3002" s="1" t="n">
        <v>0</v>
      </c>
      <c r="NMO3002" s="1" t="n">
        <v>0</v>
      </c>
      <c r="NMP3002" s="1" t="n">
        <v>0</v>
      </c>
      <c r="NMQ3002" s="1" t="n">
        <v>0</v>
      </c>
      <c r="NMR3002" s="1" t="n">
        <v>0</v>
      </c>
      <c r="NMS3002" s="1" t="n">
        <v>0</v>
      </c>
      <c r="NMT3002" s="1" t="n">
        <v>0</v>
      </c>
      <c r="NMU3002" s="1" t="n">
        <v>0</v>
      </c>
      <c r="NMV3002" s="1" t="n">
        <v>0</v>
      </c>
      <c r="NMW3002" s="1" t="n">
        <v>0</v>
      </c>
      <c r="NMX3002" s="1" t="n">
        <v>0</v>
      </c>
      <c r="NMY3002" s="1" t="n">
        <v>0</v>
      </c>
      <c r="NMZ3002" s="1" t="n">
        <v>0</v>
      </c>
      <c r="NNA3002" s="1" t="n">
        <v>0</v>
      </c>
      <c r="NNB3002" s="1" t="n">
        <v>0</v>
      </c>
      <c r="NNC3002" s="1" t="n">
        <v>0</v>
      </c>
      <c r="NND3002" s="1" t="n">
        <v>0</v>
      </c>
      <c r="NNE3002" s="1" t="n">
        <v>0</v>
      </c>
      <c r="NNF3002" s="1" t="n">
        <v>0</v>
      </c>
      <c r="NNG3002" s="1" t="n">
        <v>0</v>
      </c>
      <c r="NNH3002" s="1" t="n">
        <v>0</v>
      </c>
      <c r="NNI3002" s="1" t="n">
        <v>0</v>
      </c>
      <c r="NNJ3002" s="1" t="n">
        <v>0</v>
      </c>
      <c r="NNK3002" s="1" t="n">
        <v>0</v>
      </c>
      <c r="NNL3002" s="1" t="n">
        <v>0</v>
      </c>
      <c r="NNM3002" s="1" t="n">
        <v>0</v>
      </c>
      <c r="NNN3002" s="1" t="n">
        <v>0</v>
      </c>
      <c r="NNO3002" s="1" t="n">
        <v>0</v>
      </c>
      <c r="NNP3002" s="1" t="n">
        <v>0</v>
      </c>
      <c r="NNQ3002" s="1" t="n">
        <v>0</v>
      </c>
      <c r="NNR3002" s="1" t="n">
        <v>0</v>
      </c>
      <c r="NNS3002" s="1" t="n">
        <v>0</v>
      </c>
      <c r="NNT3002" s="1" t="n">
        <v>0</v>
      </c>
      <c r="NNU3002" s="1" t="n">
        <v>0</v>
      </c>
      <c r="NNV3002" s="1" t="n">
        <v>0</v>
      </c>
      <c r="NNW3002" s="1" t="n">
        <v>0</v>
      </c>
      <c r="NNX3002" s="1" t="n">
        <v>0</v>
      </c>
      <c r="NNY3002" s="1" t="n">
        <v>0</v>
      </c>
      <c r="NNZ3002" s="1" t="n">
        <v>0</v>
      </c>
      <c r="NOA3002" s="1" t="n">
        <v>0</v>
      </c>
      <c r="NOB3002" s="1" t="n">
        <v>0</v>
      </c>
      <c r="NOC3002" s="1" t="n">
        <v>0</v>
      </c>
      <c r="NOD3002" s="1" t="n">
        <v>0</v>
      </c>
      <c r="NOE3002" s="1" t="n">
        <v>0</v>
      </c>
      <c r="NOF3002" s="1" t="n">
        <v>0</v>
      </c>
      <c r="NOG3002" s="1" t="n">
        <v>0</v>
      </c>
      <c r="NOH3002" s="1" t="n">
        <v>0</v>
      </c>
      <c r="NOI3002" s="1" t="n">
        <v>0</v>
      </c>
      <c r="NOJ3002" s="1" t="n">
        <v>0</v>
      </c>
      <c r="NOK3002" s="1" t="n">
        <v>0</v>
      </c>
      <c r="NOL3002" s="1" t="n">
        <v>0</v>
      </c>
      <c r="NOM3002" s="1" t="n">
        <v>0</v>
      </c>
      <c r="NON3002" s="1" t="n">
        <v>0</v>
      </c>
      <c r="NOO3002" s="1" t="n">
        <v>0</v>
      </c>
      <c r="NOP3002" s="1" t="n">
        <v>0</v>
      </c>
      <c r="NOQ3002" s="1" t="n">
        <v>0</v>
      </c>
      <c r="NOR3002" s="1" t="n">
        <v>0</v>
      </c>
      <c r="NOS3002" s="1" t="n">
        <v>0</v>
      </c>
      <c r="NOT3002" s="1" t="n">
        <v>0</v>
      </c>
      <c r="NOU3002" s="1" t="n">
        <v>0</v>
      </c>
      <c r="NOV3002" s="1" t="n">
        <v>0</v>
      </c>
      <c r="NOW3002" s="1" t="n">
        <v>0</v>
      </c>
      <c r="NOX3002" s="1" t="n">
        <v>0</v>
      </c>
      <c r="NOY3002" s="1" t="n">
        <v>0</v>
      </c>
      <c r="NOZ3002" s="1" t="n">
        <v>0</v>
      </c>
      <c r="NPA3002" s="1" t="n">
        <v>0</v>
      </c>
      <c r="NPB3002" s="1" t="n">
        <v>0</v>
      </c>
      <c r="NPC3002" s="1" t="n">
        <v>0</v>
      </c>
      <c r="NPD3002" s="1" t="n">
        <v>0</v>
      </c>
      <c r="NPE3002" s="1" t="n">
        <v>0</v>
      </c>
      <c r="NPF3002" s="1" t="n">
        <v>0</v>
      </c>
      <c r="NPG3002" s="1" t="n">
        <v>0</v>
      </c>
      <c r="NPH3002" s="1" t="n">
        <v>0</v>
      </c>
      <c r="NPI3002" s="1" t="n">
        <v>0</v>
      </c>
      <c r="NPJ3002" s="1" t="n">
        <v>0</v>
      </c>
      <c r="NPK3002" s="1" t="n">
        <v>0</v>
      </c>
      <c r="NPL3002" s="1" t="n">
        <v>0</v>
      </c>
      <c r="NPM3002" s="1" t="n">
        <v>0</v>
      </c>
      <c r="NPN3002" s="1" t="n">
        <v>0</v>
      </c>
      <c r="NPO3002" s="1" t="n">
        <v>0</v>
      </c>
      <c r="NPP3002" s="1" t="n">
        <v>0</v>
      </c>
      <c r="NPQ3002" s="1" t="n">
        <v>0</v>
      </c>
      <c r="NPR3002" s="1" t="n">
        <v>0</v>
      </c>
      <c r="NPS3002" s="1" t="n">
        <v>0</v>
      </c>
      <c r="NPT3002" s="1" t="n">
        <v>0</v>
      </c>
      <c r="NPU3002" s="1" t="n">
        <v>0</v>
      </c>
      <c r="NPV3002" s="1" t="n">
        <v>0</v>
      </c>
      <c r="NPW3002" s="1" t="n">
        <v>0</v>
      </c>
      <c r="NPX3002" s="1" t="n">
        <v>0</v>
      </c>
      <c r="NPY3002" s="1" t="n">
        <v>0</v>
      </c>
      <c r="NPZ3002" s="1" t="n">
        <v>0</v>
      </c>
      <c r="NQA3002" s="1" t="n">
        <v>0</v>
      </c>
      <c r="NQB3002" s="1" t="n">
        <v>0</v>
      </c>
      <c r="NQC3002" s="1" t="n">
        <v>0</v>
      </c>
      <c r="NQD3002" s="1" t="n">
        <v>0</v>
      </c>
      <c r="NQE3002" s="1" t="n">
        <v>0</v>
      </c>
      <c r="NQF3002" s="1" t="n">
        <v>0</v>
      </c>
      <c r="NQG3002" s="1" t="n">
        <v>0</v>
      </c>
      <c r="NQH3002" s="1" t="n">
        <v>0</v>
      </c>
      <c r="NQI3002" s="1" t="n">
        <v>0</v>
      </c>
      <c r="NQJ3002" s="1" t="n">
        <v>0</v>
      </c>
      <c r="NQK3002" s="1" t="n">
        <v>0</v>
      </c>
      <c r="NQL3002" s="1" t="n">
        <v>0</v>
      </c>
      <c r="NQM3002" s="1" t="n">
        <v>0</v>
      </c>
      <c r="NQN3002" s="1" t="n">
        <v>0</v>
      </c>
      <c r="NQO3002" s="1" t="n">
        <v>0</v>
      </c>
      <c r="NQP3002" s="1" t="n">
        <v>0</v>
      </c>
      <c r="NQQ3002" s="1" t="n">
        <v>0</v>
      </c>
      <c r="NQR3002" s="1" t="n">
        <v>0</v>
      </c>
      <c r="NQS3002" s="1" t="n">
        <v>0</v>
      </c>
      <c r="NQT3002" s="1" t="n">
        <v>0</v>
      </c>
      <c r="NQU3002" s="1" t="n">
        <v>0</v>
      </c>
      <c r="NQV3002" s="1" t="n">
        <v>0</v>
      </c>
      <c r="NQW3002" s="1" t="n">
        <v>0</v>
      </c>
      <c r="NQX3002" s="1" t="n">
        <v>0</v>
      </c>
      <c r="NQY3002" s="1" t="n">
        <v>0</v>
      </c>
      <c r="NQZ3002" s="1" t="n">
        <v>0</v>
      </c>
      <c r="NRA3002" s="1" t="n">
        <v>0</v>
      </c>
      <c r="NRB3002" s="1" t="n">
        <v>0</v>
      </c>
      <c r="NRC3002" s="1" t="n">
        <v>0</v>
      </c>
      <c r="NRD3002" s="1" t="n">
        <v>0</v>
      </c>
      <c r="NRE3002" s="1" t="n">
        <v>0</v>
      </c>
      <c r="NRF3002" s="1" t="n">
        <v>0</v>
      </c>
      <c r="NRG3002" s="1" t="n">
        <v>0</v>
      </c>
      <c r="NRH3002" s="1" t="n">
        <v>0</v>
      </c>
      <c r="NRI3002" s="1" t="n">
        <v>0</v>
      </c>
      <c r="NRJ3002" s="1" t="n">
        <v>0</v>
      </c>
      <c r="NRK3002" s="1" t="n">
        <v>0</v>
      </c>
      <c r="NRL3002" s="1" t="n">
        <v>0</v>
      </c>
      <c r="NRM3002" s="1" t="n">
        <v>0</v>
      </c>
      <c r="NRN3002" s="1" t="n">
        <v>0</v>
      </c>
      <c r="NRO3002" s="1" t="n">
        <v>0</v>
      </c>
      <c r="NRP3002" s="1" t="n">
        <v>0</v>
      </c>
      <c r="NRQ3002" s="1" t="n">
        <v>0</v>
      </c>
      <c r="NRR3002" s="1" t="n">
        <v>0</v>
      </c>
      <c r="NRS3002" s="1" t="n">
        <v>0</v>
      </c>
      <c r="NRT3002" s="1" t="n">
        <v>0</v>
      </c>
      <c r="NRU3002" s="1" t="n">
        <v>0</v>
      </c>
      <c r="NRV3002" s="1" t="n">
        <v>0</v>
      </c>
      <c r="NRW3002" s="1" t="n">
        <v>0</v>
      </c>
      <c r="NRX3002" s="1" t="n">
        <v>0</v>
      </c>
      <c r="NRY3002" s="1" t="n">
        <v>0</v>
      </c>
      <c r="NRZ3002" s="1" t="n">
        <v>0</v>
      </c>
      <c r="NSA3002" s="1" t="n">
        <v>0</v>
      </c>
      <c r="NSB3002" s="1" t="n">
        <v>0</v>
      </c>
      <c r="NSC3002" s="1" t="n">
        <v>0</v>
      </c>
      <c r="NSD3002" s="1" t="n">
        <v>0</v>
      </c>
      <c r="NSE3002" s="1" t="n">
        <v>0</v>
      </c>
      <c r="NSF3002" s="1" t="n">
        <v>0</v>
      </c>
      <c r="NSG3002" s="1" t="n">
        <v>0</v>
      </c>
      <c r="NSH3002" s="1" t="n">
        <v>0</v>
      </c>
      <c r="NSI3002" s="1" t="n">
        <v>0</v>
      </c>
      <c r="NSJ3002" s="1" t="n">
        <v>0</v>
      </c>
      <c r="NSK3002" s="1" t="n">
        <v>0</v>
      </c>
      <c r="NSL3002" s="1" t="n">
        <v>0</v>
      </c>
      <c r="NSM3002" s="1" t="n">
        <v>0</v>
      </c>
      <c r="NSN3002" s="1" t="n">
        <v>0</v>
      </c>
      <c r="NSO3002" s="1" t="n">
        <v>0</v>
      </c>
      <c r="NSP3002" s="1" t="n">
        <v>0</v>
      </c>
      <c r="NSQ3002" s="1" t="n">
        <v>0</v>
      </c>
      <c r="NSR3002" s="1" t="n">
        <v>0</v>
      </c>
      <c r="NSS3002" s="1" t="n">
        <v>0</v>
      </c>
      <c r="NST3002" s="1" t="n">
        <v>0</v>
      </c>
      <c r="NSU3002" s="1" t="n">
        <v>0</v>
      </c>
      <c r="NSV3002" s="1" t="n">
        <v>0</v>
      </c>
      <c r="NSW3002" s="1" t="n">
        <v>0</v>
      </c>
      <c r="NSX3002" s="1" t="n">
        <v>0</v>
      </c>
      <c r="NSY3002" s="1" t="n">
        <v>0</v>
      </c>
      <c r="NSZ3002" s="1" t="n">
        <v>0</v>
      </c>
      <c r="NTA3002" s="1" t="n">
        <v>0</v>
      </c>
      <c r="NTB3002" s="1" t="n">
        <v>0</v>
      </c>
      <c r="NTC3002" s="1" t="n">
        <v>0</v>
      </c>
      <c r="NTD3002" s="1" t="n">
        <v>0</v>
      </c>
      <c r="NTE3002" s="1" t="n">
        <v>0</v>
      </c>
      <c r="NTF3002" s="1" t="n">
        <v>0</v>
      </c>
      <c r="NTG3002" s="1" t="n">
        <v>0</v>
      </c>
      <c r="NTH3002" s="1" t="n">
        <v>0</v>
      </c>
      <c r="NTI3002" s="1" t="n">
        <v>0</v>
      </c>
      <c r="NTJ3002" s="1" t="n">
        <v>0</v>
      </c>
      <c r="NTK3002" s="1" t="n">
        <v>0</v>
      </c>
      <c r="NTL3002" s="1" t="n">
        <v>0</v>
      </c>
      <c r="NTM3002" s="1" t="n">
        <v>0</v>
      </c>
      <c r="NTN3002" s="1" t="n">
        <v>0</v>
      </c>
      <c r="NTO3002" s="1" t="n">
        <v>0</v>
      </c>
      <c r="NTP3002" s="1" t="n">
        <v>0</v>
      </c>
      <c r="NTQ3002" s="1" t="n">
        <v>0</v>
      </c>
      <c r="NTR3002" s="1" t="n">
        <v>0</v>
      </c>
      <c r="NTS3002" s="1" t="n">
        <v>0</v>
      </c>
      <c r="NTT3002" s="1" t="n">
        <v>0</v>
      </c>
      <c r="NTU3002" s="1" t="n">
        <v>0</v>
      </c>
      <c r="NTV3002" s="1" t="n">
        <v>0</v>
      </c>
      <c r="NTW3002" s="1" t="n">
        <v>0</v>
      </c>
      <c r="NTX3002" s="1" t="n">
        <v>0</v>
      </c>
      <c r="NTY3002" s="1" t="n">
        <v>0</v>
      </c>
      <c r="NTZ3002" s="1" t="n">
        <v>0</v>
      </c>
      <c r="NUA3002" s="1" t="n">
        <v>0</v>
      </c>
      <c r="NUB3002" s="1" t="n">
        <v>0</v>
      </c>
      <c r="NUC3002" s="1" t="n">
        <v>0</v>
      </c>
      <c r="NUD3002" s="1" t="n">
        <v>0</v>
      </c>
      <c r="NUE3002" s="1" t="n">
        <v>0</v>
      </c>
      <c r="NUF3002" s="1" t="n">
        <v>0</v>
      </c>
      <c r="NUG3002" s="1" t="n">
        <v>0</v>
      </c>
      <c r="NUH3002" s="1" t="n">
        <v>0</v>
      </c>
      <c r="NUI3002" s="1" t="n">
        <v>0</v>
      </c>
      <c r="NUJ3002" s="1" t="n">
        <v>0</v>
      </c>
      <c r="NUK3002" s="1" t="n">
        <v>0</v>
      </c>
      <c r="NUL3002" s="1" t="n">
        <v>0</v>
      </c>
      <c r="NUM3002" s="1" t="n">
        <v>0</v>
      </c>
      <c r="NUN3002" s="1" t="n">
        <v>0</v>
      </c>
      <c r="NUO3002" s="1" t="n">
        <v>0</v>
      </c>
      <c r="NUP3002" s="1" t="n">
        <v>0</v>
      </c>
      <c r="NUQ3002" s="1" t="n">
        <v>0</v>
      </c>
      <c r="NUR3002" s="1" t="n">
        <v>0</v>
      </c>
      <c r="NUS3002" s="1" t="n">
        <v>0</v>
      </c>
      <c r="NUT3002" s="1" t="n">
        <v>0</v>
      </c>
      <c r="NUU3002" s="1" t="n">
        <v>0</v>
      </c>
      <c r="NUV3002" s="1" t="n">
        <v>0</v>
      </c>
      <c r="NUW3002" s="1" t="n">
        <v>0</v>
      </c>
      <c r="NUX3002" s="1" t="n">
        <v>0</v>
      </c>
      <c r="NUY3002" s="1" t="n">
        <v>0</v>
      </c>
      <c r="NUZ3002" s="1" t="n">
        <v>0</v>
      </c>
      <c r="NVA3002" s="1" t="n">
        <v>0</v>
      </c>
      <c r="NVB3002" s="1" t="n">
        <v>0</v>
      </c>
      <c r="NVC3002" s="1" t="n">
        <v>0</v>
      </c>
      <c r="NVD3002" s="1" t="n">
        <v>0</v>
      </c>
      <c r="NVE3002" s="1" t="n">
        <v>0</v>
      </c>
      <c r="NVF3002" s="1" t="n">
        <v>0</v>
      </c>
      <c r="NVG3002" s="1" t="n">
        <v>0</v>
      </c>
      <c r="NVH3002" s="1" t="n">
        <v>0</v>
      </c>
      <c r="NVI3002" s="1" t="n">
        <v>0</v>
      </c>
      <c r="NVJ3002" s="1" t="n">
        <v>0</v>
      </c>
      <c r="NVK3002" s="1" t="n">
        <v>0</v>
      </c>
      <c r="NVL3002" s="1" t="n">
        <v>0</v>
      </c>
      <c r="NVM3002" s="1" t="n">
        <v>0</v>
      </c>
      <c r="NVN3002" s="1" t="n">
        <v>0</v>
      </c>
      <c r="NVO3002" s="1" t="n">
        <v>0</v>
      </c>
      <c r="NVP3002" s="1" t="n">
        <v>0</v>
      </c>
      <c r="NVQ3002" s="1" t="n">
        <v>0</v>
      </c>
      <c r="NVR3002" s="1" t="n">
        <v>0</v>
      </c>
      <c r="NVS3002" s="1" t="n">
        <v>0</v>
      </c>
      <c r="NVT3002" s="1" t="n">
        <v>0</v>
      </c>
      <c r="NVU3002" s="1" t="n">
        <v>0</v>
      </c>
      <c r="NVV3002" s="1" t="n">
        <v>0</v>
      </c>
      <c r="NVW3002" s="1" t="n">
        <v>0</v>
      </c>
      <c r="NVX3002" s="1" t="n">
        <v>0</v>
      </c>
      <c r="NVY3002" s="1" t="n">
        <v>0</v>
      </c>
      <c r="NVZ3002" s="1" t="n">
        <v>0</v>
      </c>
      <c r="NWA3002" s="1" t="n">
        <v>0</v>
      </c>
      <c r="NWB3002" s="1" t="n">
        <v>0</v>
      </c>
      <c r="NWC3002" s="1" t="n">
        <v>0</v>
      </c>
      <c r="NWD3002" s="1" t="n">
        <v>0</v>
      </c>
      <c r="NWE3002" s="1" t="n">
        <v>0</v>
      </c>
      <c r="NWF3002" s="1" t="n">
        <v>0</v>
      </c>
      <c r="NWG3002" s="1" t="n">
        <v>0</v>
      </c>
      <c r="NWH3002" s="1" t="n">
        <v>0</v>
      </c>
      <c r="NWI3002" s="1" t="n">
        <v>0</v>
      </c>
      <c r="NWJ3002" s="1" t="n">
        <v>0</v>
      </c>
      <c r="NWK3002" s="1" t="n">
        <v>0</v>
      </c>
      <c r="NWL3002" s="1" t="n">
        <v>0</v>
      </c>
      <c r="NWM3002" s="1" t="n">
        <v>0</v>
      </c>
      <c r="NWN3002" s="1" t="n">
        <v>0</v>
      </c>
      <c r="NWO3002" s="1" t="n">
        <v>0</v>
      </c>
      <c r="NWP3002" s="1" t="n">
        <v>0</v>
      </c>
      <c r="NWQ3002" s="1" t="n">
        <v>0</v>
      </c>
      <c r="NWR3002" s="1" t="n">
        <v>0</v>
      </c>
      <c r="NWS3002" s="1" t="n">
        <v>0</v>
      </c>
      <c r="NWT3002" s="1" t="n">
        <v>0</v>
      </c>
      <c r="NWU3002" s="1" t="n">
        <v>0</v>
      </c>
      <c r="NWV3002" s="1" t="n">
        <v>0</v>
      </c>
      <c r="NWW3002" s="1" t="n">
        <v>0</v>
      </c>
      <c r="NWX3002" s="1" t="n">
        <v>0</v>
      </c>
      <c r="NWY3002" s="1" t="n">
        <v>0</v>
      </c>
      <c r="NWZ3002" s="1" t="n">
        <v>0</v>
      </c>
      <c r="NXA3002" s="1" t="n">
        <v>0</v>
      </c>
      <c r="NXB3002" s="1" t="n">
        <v>0</v>
      </c>
      <c r="NXC3002" s="1" t="n">
        <v>0</v>
      </c>
      <c r="NXD3002" s="1" t="n">
        <v>0</v>
      </c>
      <c r="NXE3002" s="1" t="n">
        <v>0</v>
      </c>
      <c r="NXF3002" s="1" t="n">
        <v>0</v>
      </c>
      <c r="NXG3002" s="1" t="n">
        <v>0</v>
      </c>
      <c r="NXH3002" s="1" t="n">
        <v>0</v>
      </c>
      <c r="NXI3002" s="1" t="n">
        <v>0</v>
      </c>
      <c r="NXJ3002" s="1" t="n">
        <v>0</v>
      </c>
      <c r="NXK3002" s="1" t="n">
        <v>0</v>
      </c>
      <c r="NXL3002" s="1" t="n">
        <v>0</v>
      </c>
      <c r="NXM3002" s="1" t="n">
        <v>0</v>
      </c>
      <c r="NXN3002" s="1" t="n">
        <v>0</v>
      </c>
      <c r="NXO3002" s="1" t="n">
        <v>0</v>
      </c>
      <c r="NXP3002" s="1" t="n">
        <v>0</v>
      </c>
      <c r="NXQ3002" s="1" t="n">
        <v>0</v>
      </c>
      <c r="NXR3002" s="1" t="n">
        <v>0</v>
      </c>
      <c r="NXS3002" s="1" t="n">
        <v>0</v>
      </c>
      <c r="NXT3002" s="1" t="n">
        <v>0</v>
      </c>
      <c r="NXU3002" s="1" t="n">
        <v>0</v>
      </c>
      <c r="NXV3002" s="1" t="n">
        <v>0</v>
      </c>
      <c r="NXW3002" s="1" t="n">
        <v>0</v>
      </c>
      <c r="NXX3002" s="1" t="n">
        <v>0</v>
      </c>
      <c r="NXY3002" s="1" t="n">
        <v>0</v>
      </c>
      <c r="NXZ3002" s="1" t="n">
        <v>0</v>
      </c>
      <c r="NYA3002" s="1" t="n">
        <v>0</v>
      </c>
      <c r="NYB3002" s="1" t="n">
        <v>0</v>
      </c>
      <c r="NYC3002" s="1" t="n">
        <v>0</v>
      </c>
      <c r="NYD3002" s="1" t="n">
        <v>0</v>
      </c>
      <c r="NYE3002" s="1" t="n">
        <v>0</v>
      </c>
      <c r="NYF3002" s="1" t="n">
        <v>0</v>
      </c>
      <c r="NYG3002" s="1" t="n">
        <v>0</v>
      </c>
      <c r="NYH3002" s="1" t="n">
        <v>0</v>
      </c>
      <c r="NYI3002" s="1" t="n">
        <v>0</v>
      </c>
      <c r="NYJ3002" s="1" t="n">
        <v>0</v>
      </c>
      <c r="NYK3002" s="1" t="n">
        <v>0</v>
      </c>
      <c r="NYL3002" s="1" t="n">
        <v>0</v>
      </c>
      <c r="NYM3002" s="1" t="n">
        <v>0</v>
      </c>
      <c r="NYN3002" s="1" t="n">
        <v>0</v>
      </c>
      <c r="NYO3002" s="1" t="n">
        <v>0</v>
      </c>
      <c r="NYP3002" s="1" t="n">
        <v>0</v>
      </c>
      <c r="NYQ3002" s="1" t="n">
        <v>0</v>
      </c>
      <c r="NYR3002" s="1" t="n">
        <v>0</v>
      </c>
      <c r="NYS3002" s="1" t="n">
        <v>0</v>
      </c>
      <c r="NYT3002" s="1" t="n">
        <v>0</v>
      </c>
      <c r="NYU3002" s="1" t="n">
        <v>0</v>
      </c>
      <c r="NYV3002" s="1" t="n">
        <v>0</v>
      </c>
      <c r="NYW3002" s="1" t="n">
        <v>0</v>
      </c>
      <c r="NYX3002" s="1" t="n">
        <v>0</v>
      </c>
      <c r="NYY3002" s="1" t="n">
        <v>0</v>
      </c>
      <c r="NYZ3002" s="1" t="n">
        <v>0</v>
      </c>
      <c r="NZA3002" s="1" t="n">
        <v>0</v>
      </c>
      <c r="NZB3002" s="1" t="n">
        <v>0</v>
      </c>
      <c r="NZC3002" s="1" t="n">
        <v>0</v>
      </c>
      <c r="NZD3002" s="1" t="n">
        <v>0</v>
      </c>
      <c r="NZE3002" s="1" t="n">
        <v>0</v>
      </c>
      <c r="NZF3002" s="1" t="n">
        <v>0</v>
      </c>
      <c r="NZG3002" s="1" t="n">
        <v>0</v>
      </c>
      <c r="NZH3002" s="1" t="n">
        <v>0</v>
      </c>
      <c r="NZI3002" s="1" t="n">
        <v>0</v>
      </c>
      <c r="NZJ3002" s="1" t="n">
        <v>0</v>
      </c>
      <c r="NZK3002" s="1" t="n">
        <v>0</v>
      </c>
      <c r="NZL3002" s="1" t="n">
        <v>0</v>
      </c>
      <c r="NZM3002" s="1" t="n">
        <v>0</v>
      </c>
      <c r="NZN3002" s="1" t="n">
        <v>0</v>
      </c>
      <c r="NZO3002" s="1" t="n">
        <v>0</v>
      </c>
      <c r="NZP3002" s="1" t="n">
        <v>0</v>
      </c>
      <c r="NZQ3002" s="1" t="n">
        <v>0</v>
      </c>
      <c r="NZR3002" s="1" t="n">
        <v>0</v>
      </c>
      <c r="NZS3002" s="1" t="n">
        <v>0</v>
      </c>
      <c r="NZT3002" s="1" t="n">
        <v>0</v>
      </c>
      <c r="NZU3002" s="1" t="n">
        <v>0</v>
      </c>
      <c r="NZV3002" s="1" t="n">
        <v>0</v>
      </c>
      <c r="NZW3002" s="1" t="n">
        <v>0</v>
      </c>
      <c r="NZX3002" s="1" t="n">
        <v>0</v>
      </c>
      <c r="NZY3002" s="1" t="n">
        <v>0</v>
      </c>
      <c r="NZZ3002" s="1" t="n">
        <v>0</v>
      </c>
      <c r="OAA3002" s="1" t="n">
        <v>0</v>
      </c>
      <c r="OAB3002" s="1" t="n">
        <v>0</v>
      </c>
      <c r="OAC3002" s="1" t="n">
        <v>0</v>
      </c>
      <c r="OAD3002" s="1" t="n">
        <v>0</v>
      </c>
      <c r="OAE3002" s="1" t="n">
        <v>0</v>
      </c>
      <c r="OAF3002" s="1" t="n">
        <v>0</v>
      </c>
      <c r="OAG3002" s="1" t="n">
        <v>0</v>
      </c>
      <c r="OAH3002" s="1" t="n">
        <v>0</v>
      </c>
      <c r="OAI3002" s="1" t="n">
        <v>0</v>
      </c>
      <c r="OAJ3002" s="1" t="n">
        <v>0</v>
      </c>
      <c r="OAK3002" s="1" t="n">
        <v>0</v>
      </c>
      <c r="OAL3002" s="1" t="n">
        <v>0</v>
      </c>
      <c r="OAM3002" s="1" t="n">
        <v>0</v>
      </c>
      <c r="OAN3002" s="1" t="n">
        <v>0</v>
      </c>
      <c r="OAO3002" s="1" t="n">
        <v>0</v>
      </c>
      <c r="OAP3002" s="1" t="n">
        <v>0</v>
      </c>
      <c r="OAQ3002" s="1" t="n">
        <v>0</v>
      </c>
      <c r="OAR3002" s="1" t="n">
        <v>0</v>
      </c>
      <c r="OAS3002" s="1" t="n">
        <v>0</v>
      </c>
      <c r="OAT3002" s="1" t="n">
        <v>0</v>
      </c>
      <c r="OAU3002" s="1" t="n">
        <v>0</v>
      </c>
      <c r="OAV3002" s="1" t="n">
        <v>0</v>
      </c>
      <c r="OAW3002" s="1" t="n">
        <v>0</v>
      </c>
      <c r="OAX3002" s="1" t="n">
        <v>0</v>
      </c>
      <c r="OAY3002" s="1" t="n">
        <v>0</v>
      </c>
      <c r="OAZ3002" s="1" t="n">
        <v>0</v>
      </c>
      <c r="OBA3002" s="1" t="n">
        <v>0</v>
      </c>
      <c r="OBB3002" s="1" t="n">
        <v>0</v>
      </c>
      <c r="OBC3002" s="1" t="n">
        <v>0</v>
      </c>
      <c r="OBD3002" s="1" t="n">
        <v>0</v>
      </c>
      <c r="OBE3002" s="1" t="n">
        <v>0</v>
      </c>
      <c r="OBF3002" s="1" t="n">
        <v>0</v>
      </c>
      <c r="OBG3002" s="1" t="n">
        <v>0</v>
      </c>
      <c r="OBH3002" s="1" t="n">
        <v>0</v>
      </c>
      <c r="OBI3002" s="1" t="n">
        <v>0</v>
      </c>
      <c r="OBJ3002" s="1" t="n">
        <v>0</v>
      </c>
      <c r="OBK3002" s="1" t="n">
        <v>0</v>
      </c>
      <c r="OBL3002" s="1" t="n">
        <v>0</v>
      </c>
      <c r="OBM3002" s="1" t="n">
        <v>0</v>
      </c>
      <c r="OBN3002" s="1" t="n">
        <v>0</v>
      </c>
      <c r="OBO3002" s="1" t="n">
        <v>0</v>
      </c>
      <c r="OBP3002" s="1" t="n">
        <v>0</v>
      </c>
      <c r="OBQ3002" s="1" t="n">
        <v>0</v>
      </c>
      <c r="OBR3002" s="1" t="n">
        <v>0</v>
      </c>
      <c r="OBS3002" s="1" t="n">
        <v>0</v>
      </c>
      <c r="OBT3002" s="1" t="n">
        <v>0</v>
      </c>
      <c r="OBU3002" s="1" t="n">
        <v>0</v>
      </c>
      <c r="OBV3002" s="1" t="n">
        <v>0</v>
      </c>
      <c r="OBW3002" s="1" t="n">
        <v>0</v>
      </c>
      <c r="OBX3002" s="1" t="n">
        <v>0</v>
      </c>
      <c r="OBY3002" s="1" t="n">
        <v>0</v>
      </c>
      <c r="OBZ3002" s="1" t="n">
        <v>0</v>
      </c>
      <c r="OCA3002" s="1" t="n">
        <v>0</v>
      </c>
      <c r="OCB3002" s="1" t="n">
        <v>0</v>
      </c>
      <c r="OCC3002" s="1" t="n">
        <v>0</v>
      </c>
      <c r="OCD3002" s="1" t="n">
        <v>0</v>
      </c>
      <c r="OCE3002" s="1" t="n">
        <v>0</v>
      </c>
      <c r="OCF3002" s="1" t="n">
        <v>0</v>
      </c>
      <c r="OCG3002" s="1" t="n">
        <v>0</v>
      </c>
      <c r="OCH3002" s="1" t="n">
        <v>0</v>
      </c>
      <c r="OCI3002" s="1" t="n">
        <v>0</v>
      </c>
      <c r="OCJ3002" s="1" t="n">
        <v>0</v>
      </c>
      <c r="OCK3002" s="1" t="n">
        <v>0</v>
      </c>
      <c r="OCL3002" s="1" t="n">
        <v>0</v>
      </c>
      <c r="OCM3002" s="1" t="n">
        <v>0</v>
      </c>
      <c r="OCN3002" s="1" t="n">
        <v>0</v>
      </c>
      <c r="OCO3002" s="1" t="n">
        <v>0</v>
      </c>
      <c r="OCP3002" s="1" t="n">
        <v>0</v>
      </c>
      <c r="OCQ3002" s="1" t="n">
        <v>0</v>
      </c>
      <c r="OCR3002" s="1" t="n">
        <v>0</v>
      </c>
      <c r="OCS3002" s="1" t="n">
        <v>0</v>
      </c>
      <c r="OCT3002" s="1" t="n">
        <v>0</v>
      </c>
      <c r="OCU3002" s="1" t="n">
        <v>0</v>
      </c>
      <c r="OCV3002" s="1" t="n">
        <v>0</v>
      </c>
      <c r="OCW3002" s="1" t="n">
        <v>0</v>
      </c>
      <c r="OCX3002" s="1" t="n">
        <v>0</v>
      </c>
      <c r="OCY3002" s="1" t="n">
        <v>0</v>
      </c>
      <c r="OCZ3002" s="1" t="n">
        <v>0</v>
      </c>
      <c r="ODA3002" s="1" t="n">
        <v>0</v>
      </c>
      <c r="ODB3002" s="1" t="n">
        <v>0</v>
      </c>
      <c r="ODC3002" s="1" t="n">
        <v>0</v>
      </c>
      <c r="ODD3002" s="1" t="n">
        <v>0</v>
      </c>
      <c r="ODE3002" s="1" t="n">
        <v>0</v>
      </c>
      <c r="ODF3002" s="1" t="n">
        <v>0</v>
      </c>
      <c r="ODG3002" s="1" t="n">
        <v>0</v>
      </c>
      <c r="ODH3002" s="1" t="n">
        <v>0</v>
      </c>
      <c r="ODI3002" s="1" t="n">
        <v>0</v>
      </c>
      <c r="ODJ3002" s="1" t="n">
        <v>0</v>
      </c>
      <c r="ODK3002" s="1" t="n">
        <v>0</v>
      </c>
      <c r="ODL3002" s="1" t="n">
        <v>0</v>
      </c>
      <c r="ODM3002" s="1" t="n">
        <v>0</v>
      </c>
      <c r="ODN3002" s="1" t="n">
        <v>0</v>
      </c>
      <c r="ODO3002" s="1" t="n">
        <v>0</v>
      </c>
      <c r="ODP3002" s="1" t="n">
        <v>0</v>
      </c>
      <c r="ODQ3002" s="1" t="n">
        <v>0</v>
      </c>
      <c r="ODR3002" s="1" t="n">
        <v>0</v>
      </c>
      <c r="ODS3002" s="1" t="n">
        <v>0</v>
      </c>
      <c r="ODT3002" s="1" t="n">
        <v>0</v>
      </c>
      <c r="ODU3002" s="1" t="n">
        <v>0</v>
      </c>
      <c r="ODV3002" s="1" t="n">
        <v>0</v>
      </c>
      <c r="ODW3002" s="1" t="n">
        <v>0</v>
      </c>
      <c r="ODX3002" s="1" t="n">
        <v>0</v>
      </c>
      <c r="ODY3002" s="1" t="n">
        <v>0</v>
      </c>
      <c r="ODZ3002" s="1" t="n">
        <v>0</v>
      </c>
      <c r="OEA3002" s="1" t="n">
        <v>0</v>
      </c>
      <c r="OEB3002" s="1" t="n">
        <v>0</v>
      </c>
      <c r="OEC3002" s="1" t="n">
        <v>0</v>
      </c>
      <c r="OED3002" s="1" t="n">
        <v>0</v>
      </c>
      <c r="OEE3002" s="1" t="n">
        <v>0</v>
      </c>
      <c r="OEF3002" s="1" t="n">
        <v>0</v>
      </c>
      <c r="OEG3002" s="1" t="n">
        <v>0</v>
      </c>
      <c r="OEH3002" s="1" t="n">
        <v>0</v>
      </c>
      <c r="OEI3002" s="1" t="n">
        <v>0</v>
      </c>
      <c r="OEJ3002" s="1" t="n">
        <v>0</v>
      </c>
      <c r="OEK3002" s="1" t="n">
        <v>0</v>
      </c>
      <c r="OEL3002" s="1" t="n">
        <v>0</v>
      </c>
      <c r="OEM3002" s="1" t="n">
        <v>0</v>
      </c>
      <c r="OEN3002" s="1" t="n">
        <v>0</v>
      </c>
      <c r="OEO3002" s="1" t="n">
        <v>0</v>
      </c>
      <c r="OEP3002" s="1" t="n">
        <v>0</v>
      </c>
      <c r="OEQ3002" s="1" t="n">
        <v>0</v>
      </c>
      <c r="OER3002" s="1" t="n">
        <v>0</v>
      </c>
      <c r="OES3002" s="1" t="n">
        <v>0</v>
      </c>
      <c r="OET3002" s="1" t="n">
        <v>0</v>
      </c>
      <c r="OEU3002" s="1" t="n">
        <v>0</v>
      </c>
      <c r="OEV3002" s="1" t="n">
        <v>0</v>
      </c>
      <c r="OEW3002" s="1" t="n">
        <v>0</v>
      </c>
      <c r="OEX3002" s="1" t="n">
        <v>0</v>
      </c>
      <c r="OEY3002" s="1" t="n">
        <v>0</v>
      </c>
      <c r="OEZ3002" s="1" t="n">
        <v>0</v>
      </c>
      <c r="OFA3002" s="1" t="n">
        <v>0</v>
      </c>
      <c r="OFB3002" s="1" t="n">
        <v>0</v>
      </c>
      <c r="OFC3002" s="1" t="n">
        <v>0</v>
      </c>
      <c r="OFD3002" s="1" t="n">
        <v>0</v>
      </c>
      <c r="OFE3002" s="1" t="n">
        <v>0</v>
      </c>
      <c r="OFF3002" s="1" t="n">
        <v>0</v>
      </c>
      <c r="OFG3002" s="1" t="n">
        <v>0</v>
      </c>
      <c r="OFH3002" s="1" t="n">
        <v>0</v>
      </c>
      <c r="OFI3002" s="1" t="n">
        <v>0</v>
      </c>
      <c r="OFJ3002" s="1" t="n">
        <v>0</v>
      </c>
      <c r="OFK3002" s="1" t="n">
        <v>0</v>
      </c>
      <c r="OFL3002" s="1" t="n">
        <v>0</v>
      </c>
      <c r="OFM3002" s="1" t="n">
        <v>0</v>
      </c>
      <c r="OFN3002" s="1" t="n">
        <v>0</v>
      </c>
      <c r="OFO3002" s="1" t="n">
        <v>0</v>
      </c>
      <c r="OFP3002" s="1" t="n">
        <v>0</v>
      </c>
      <c r="OFQ3002" s="1" t="n">
        <v>0</v>
      </c>
      <c r="OFR3002" s="1" t="n">
        <v>0</v>
      </c>
      <c r="OFS3002" s="1" t="n">
        <v>0</v>
      </c>
      <c r="OFT3002" s="1" t="n">
        <v>0</v>
      </c>
      <c r="OFU3002" s="1" t="n">
        <v>0</v>
      </c>
      <c r="OFV3002" s="1" t="n">
        <v>0</v>
      </c>
      <c r="OFW3002" s="1" t="n">
        <v>0</v>
      </c>
      <c r="OFX3002" s="1" t="n">
        <v>0</v>
      </c>
      <c r="OFY3002" s="1" t="n">
        <v>0</v>
      </c>
      <c r="OFZ3002" s="1" t="n">
        <v>0</v>
      </c>
      <c r="OGA3002" s="1" t="n">
        <v>0</v>
      </c>
      <c r="OGB3002" s="1" t="n">
        <v>0</v>
      </c>
      <c r="OGC3002" s="1" t="n">
        <v>0</v>
      </c>
      <c r="OGD3002" s="1" t="n">
        <v>0</v>
      </c>
      <c r="OGE3002" s="1" t="n">
        <v>0</v>
      </c>
      <c r="OGF3002" s="1" t="n">
        <v>0</v>
      </c>
      <c r="OGG3002" s="1" t="n">
        <v>0</v>
      </c>
      <c r="OGH3002" s="1" t="n">
        <v>0</v>
      </c>
      <c r="OGI3002" s="1" t="n">
        <v>0</v>
      </c>
      <c r="OGJ3002" s="1" t="n">
        <v>0</v>
      </c>
      <c r="OGK3002" s="1" t="n">
        <v>0</v>
      </c>
      <c r="OGL3002" s="1" t="n">
        <v>0</v>
      </c>
      <c r="OGM3002" s="1" t="n">
        <v>0</v>
      </c>
      <c r="OGN3002" s="1" t="n">
        <v>0</v>
      </c>
      <c r="OGO3002" s="1" t="n">
        <v>0</v>
      </c>
      <c r="OGP3002" s="1" t="n">
        <v>0</v>
      </c>
      <c r="OGQ3002" s="1" t="n">
        <v>0</v>
      </c>
      <c r="OGR3002" s="1" t="n">
        <v>0</v>
      </c>
      <c r="OGS3002" s="1" t="n">
        <v>0</v>
      </c>
      <c r="OGT3002" s="1" t="n">
        <v>0</v>
      </c>
      <c r="OGU3002" s="1" t="n">
        <v>0</v>
      </c>
      <c r="OGV3002" s="1" t="n">
        <v>0</v>
      </c>
      <c r="OGW3002" s="1" t="n">
        <v>0</v>
      </c>
      <c r="OGX3002" s="1" t="n">
        <v>0</v>
      </c>
      <c r="OGY3002" s="1" t="n">
        <v>0</v>
      </c>
      <c r="OGZ3002" s="1" t="n">
        <v>0</v>
      </c>
      <c r="OHA3002" s="1" t="n">
        <v>0</v>
      </c>
      <c r="OHB3002" s="1" t="n">
        <v>0</v>
      </c>
      <c r="OHC3002" s="1" t="n">
        <v>0</v>
      </c>
      <c r="OHD3002" s="1" t="n">
        <v>0</v>
      </c>
      <c r="OHE3002" s="1" t="n">
        <v>0</v>
      </c>
      <c r="OHF3002" s="1" t="n">
        <v>0</v>
      </c>
      <c r="OHG3002" s="1" t="n">
        <v>0</v>
      </c>
      <c r="OHH3002" s="1" t="n">
        <v>0</v>
      </c>
      <c r="OHI3002" s="1" t="n">
        <v>0</v>
      </c>
      <c r="OHJ3002" s="1" t="n">
        <v>0</v>
      </c>
      <c r="OHK3002" s="1" t="n">
        <v>0</v>
      </c>
      <c r="OHL3002" s="1" t="n">
        <v>0</v>
      </c>
      <c r="OHM3002" s="1" t="n">
        <v>0</v>
      </c>
      <c r="OHN3002" s="1" t="n">
        <v>0</v>
      </c>
      <c r="OHO3002" s="1" t="n">
        <v>0</v>
      </c>
      <c r="OHP3002" s="1" t="n">
        <v>0</v>
      </c>
      <c r="OHQ3002" s="1" t="n">
        <v>0</v>
      </c>
      <c r="OHR3002" s="1" t="n">
        <v>0</v>
      </c>
      <c r="OHS3002" s="1" t="n">
        <v>0</v>
      </c>
      <c r="OHT3002" s="1" t="n">
        <v>0</v>
      </c>
      <c r="OHU3002" s="1" t="n">
        <v>0</v>
      </c>
      <c r="OHV3002" s="1" t="n">
        <v>0</v>
      </c>
      <c r="OHW3002" s="1" t="n">
        <v>0</v>
      </c>
      <c r="OHX3002" s="1" t="n">
        <v>0</v>
      </c>
      <c r="OHY3002" s="1" t="n">
        <v>0</v>
      </c>
      <c r="OHZ3002" s="1" t="n">
        <v>0</v>
      </c>
      <c r="OIA3002" s="1" t="n">
        <v>0</v>
      </c>
      <c r="OIB3002" s="1" t="n">
        <v>0</v>
      </c>
      <c r="OIC3002" s="1" t="n">
        <v>0</v>
      </c>
      <c r="OID3002" s="1" t="n">
        <v>0</v>
      </c>
      <c r="OIE3002" s="1" t="n">
        <v>0</v>
      </c>
      <c r="OIF3002" s="1" t="n">
        <v>0</v>
      </c>
      <c r="OIG3002" s="1" t="n">
        <v>0</v>
      </c>
      <c r="OIH3002" s="1" t="n">
        <v>0</v>
      </c>
      <c r="OII3002" s="1" t="n">
        <v>0</v>
      </c>
      <c r="OIJ3002" s="1" t="n">
        <v>0</v>
      </c>
      <c r="OIK3002" s="1" t="n">
        <v>0</v>
      </c>
      <c r="OIL3002" s="1" t="n">
        <v>0</v>
      </c>
      <c r="OIM3002" s="1" t="n">
        <v>0</v>
      </c>
      <c r="OIN3002" s="1" t="n">
        <v>0</v>
      </c>
      <c r="OIO3002" s="1" t="n">
        <v>0</v>
      </c>
      <c r="OIP3002" s="1" t="n">
        <v>0</v>
      </c>
      <c r="OIQ3002" s="1" t="n">
        <v>0</v>
      </c>
      <c r="OIR3002" s="1" t="n">
        <v>0</v>
      </c>
      <c r="OIS3002" s="1" t="n">
        <v>0</v>
      </c>
      <c r="OIT3002" s="1" t="n">
        <v>0</v>
      </c>
      <c r="OIU3002" s="1" t="n">
        <v>0</v>
      </c>
      <c r="OIV3002" s="1" t="n">
        <v>0</v>
      </c>
      <c r="OIW3002" s="1" t="n">
        <v>0</v>
      </c>
      <c r="OIX3002" s="1" t="n">
        <v>0</v>
      </c>
      <c r="OIY3002" s="1" t="n">
        <v>0</v>
      </c>
      <c r="OIZ3002" s="1" t="n">
        <v>0</v>
      </c>
      <c r="OJA3002" s="1" t="n">
        <v>0</v>
      </c>
      <c r="OJB3002" s="1" t="n">
        <v>0</v>
      </c>
      <c r="OJC3002" s="1" t="n">
        <v>0</v>
      </c>
      <c r="OJD3002" s="1" t="n">
        <v>0</v>
      </c>
      <c r="OJE3002" s="1" t="n">
        <v>0</v>
      </c>
      <c r="OJF3002" s="1" t="n">
        <v>0</v>
      </c>
      <c r="OJG3002" s="1" t="n">
        <v>0</v>
      </c>
      <c r="OJH3002" s="1" t="n">
        <v>0</v>
      </c>
      <c r="OJI3002" s="1" t="n">
        <v>0</v>
      </c>
      <c r="OJJ3002" s="1" t="n">
        <v>0</v>
      </c>
      <c r="OJK3002" s="1" t="n">
        <v>0</v>
      </c>
      <c r="OJL3002" s="1" t="n">
        <v>0</v>
      </c>
      <c r="OJM3002" s="1" t="n">
        <v>0</v>
      </c>
      <c r="OJN3002" s="1" t="n">
        <v>0</v>
      </c>
      <c r="OJO3002" s="1" t="n">
        <v>0</v>
      </c>
      <c r="OJP3002" s="1" t="n">
        <v>0</v>
      </c>
      <c r="OJQ3002" s="1" t="n">
        <v>0</v>
      </c>
      <c r="OJR3002" s="1" t="n">
        <v>0</v>
      </c>
      <c r="OJS3002" s="1" t="n">
        <v>0</v>
      </c>
      <c r="OJT3002" s="1" t="n">
        <v>0</v>
      </c>
      <c r="OJU3002" s="1" t="n">
        <v>0</v>
      </c>
      <c r="OJV3002" s="1" t="n">
        <v>0</v>
      </c>
      <c r="OJW3002" s="1" t="n">
        <v>0</v>
      </c>
      <c r="OJX3002" s="1" t="n">
        <v>0</v>
      </c>
      <c r="OJY3002" s="1" t="n">
        <v>0</v>
      </c>
      <c r="OJZ3002" s="1" t="n">
        <v>0</v>
      </c>
      <c r="OKA3002" s="1" t="n">
        <v>0</v>
      </c>
      <c r="OKB3002" s="1" t="n">
        <v>0</v>
      </c>
      <c r="OKC3002" s="1" t="n">
        <v>0</v>
      </c>
      <c r="OKD3002" s="1" t="n">
        <v>0</v>
      </c>
      <c r="OKE3002" s="1" t="n">
        <v>0</v>
      </c>
      <c r="OKF3002" s="1" t="n">
        <v>0</v>
      </c>
      <c r="OKG3002" s="1" t="n">
        <v>0</v>
      </c>
      <c r="OKH3002" s="1" t="n">
        <v>0</v>
      </c>
      <c r="OKI3002" s="1" t="n">
        <v>0</v>
      </c>
      <c r="OKJ3002" s="1" t="n">
        <v>0</v>
      </c>
      <c r="OKK3002" s="1" t="n">
        <v>0</v>
      </c>
      <c r="OKL3002" s="1" t="n">
        <v>0</v>
      </c>
      <c r="OKM3002" s="1" t="n">
        <v>0</v>
      </c>
      <c r="OKN3002" s="1" t="n">
        <v>0</v>
      </c>
      <c r="OKO3002" s="1" t="n">
        <v>0</v>
      </c>
      <c r="OKP3002" s="1" t="n">
        <v>0</v>
      </c>
      <c r="OKQ3002" s="1" t="n">
        <v>0</v>
      </c>
      <c r="OKR3002" s="1" t="n">
        <v>0</v>
      </c>
      <c r="OKS3002" s="1" t="n">
        <v>0</v>
      </c>
      <c r="OKT3002" s="1" t="n">
        <v>0</v>
      </c>
      <c r="OKU3002" s="1" t="n">
        <v>0</v>
      </c>
      <c r="OKV3002" s="1" t="n">
        <v>0</v>
      </c>
      <c r="OKW3002" s="1" t="n">
        <v>0</v>
      </c>
      <c r="OKX3002" s="1" t="n">
        <v>0</v>
      </c>
      <c r="OKY3002" s="1" t="n">
        <v>0</v>
      </c>
      <c r="OKZ3002" s="1" t="n">
        <v>0</v>
      </c>
      <c r="OLA3002" s="1" t="n">
        <v>0</v>
      </c>
      <c r="OLB3002" s="1" t="n">
        <v>0</v>
      </c>
      <c r="OLC3002" s="1" t="n">
        <v>0</v>
      </c>
      <c r="OLD3002" s="1" t="n">
        <v>0</v>
      </c>
      <c r="OLE3002" s="1" t="n">
        <v>0</v>
      </c>
      <c r="OLF3002" s="1" t="n">
        <v>0</v>
      </c>
      <c r="OLG3002" s="1" t="n">
        <v>0</v>
      </c>
      <c r="OLH3002" s="1" t="n">
        <v>0</v>
      </c>
      <c r="OLI3002" s="1" t="n">
        <v>0</v>
      </c>
      <c r="OLJ3002" s="1" t="n">
        <v>0</v>
      </c>
      <c r="OLK3002" s="1" t="n">
        <v>0</v>
      </c>
      <c r="OLL3002" s="1" t="n">
        <v>0</v>
      </c>
      <c r="OLM3002" s="1" t="n">
        <v>0</v>
      </c>
      <c r="OLN3002" s="1" t="n">
        <v>0</v>
      </c>
      <c r="OLO3002" s="1" t="n">
        <v>0</v>
      </c>
      <c r="OLP3002" s="1" t="n">
        <v>0</v>
      </c>
      <c r="OLQ3002" s="1" t="n">
        <v>0</v>
      </c>
      <c r="OLR3002" s="1" t="n">
        <v>0</v>
      </c>
      <c r="OLS3002" s="1" t="n">
        <v>0</v>
      </c>
      <c r="OLT3002" s="1" t="n">
        <v>0</v>
      </c>
      <c r="OLU3002" s="1" t="n">
        <v>0</v>
      </c>
      <c r="OLV3002" s="1" t="n">
        <v>0</v>
      </c>
      <c r="OLW3002" s="1" t="n">
        <v>0</v>
      </c>
      <c r="OLX3002" s="1" t="n">
        <v>0</v>
      </c>
      <c r="OLY3002" s="1" t="n">
        <v>0</v>
      </c>
      <c r="OLZ3002" s="1" t="n">
        <v>0</v>
      </c>
      <c r="OMA3002" s="1" t="n">
        <v>0</v>
      </c>
      <c r="OMB3002" s="1" t="n">
        <v>0</v>
      </c>
      <c r="OMC3002" s="1" t="n">
        <v>0</v>
      </c>
      <c r="OMD3002" s="1" t="n">
        <v>0</v>
      </c>
      <c r="OME3002" s="1" t="n">
        <v>0</v>
      </c>
      <c r="OMF3002" s="1" t="n">
        <v>0</v>
      </c>
      <c r="OMG3002" s="1" t="n">
        <v>0</v>
      </c>
      <c r="OMH3002" s="1" t="n">
        <v>0</v>
      </c>
      <c r="OMI3002" s="1" t="n">
        <v>0</v>
      </c>
      <c r="OMJ3002" s="1" t="n">
        <v>0</v>
      </c>
      <c r="OMK3002" s="1" t="n">
        <v>0</v>
      </c>
      <c r="OML3002" s="1" t="n">
        <v>0</v>
      </c>
      <c r="OMM3002" s="1" t="n">
        <v>0</v>
      </c>
      <c r="OMN3002" s="1" t="n">
        <v>0</v>
      </c>
      <c r="OMO3002" s="1" t="n">
        <v>0</v>
      </c>
      <c r="OMP3002" s="1" t="n">
        <v>0</v>
      </c>
      <c r="OMQ3002" s="1" t="n">
        <v>0</v>
      </c>
      <c r="OMR3002" s="1" t="n">
        <v>0</v>
      </c>
      <c r="OMS3002" s="1" t="n">
        <v>0</v>
      </c>
      <c r="OMT3002" s="1" t="n">
        <v>0</v>
      </c>
      <c r="OMU3002" s="1" t="n">
        <v>0</v>
      </c>
      <c r="OMV3002" s="1" t="n">
        <v>0</v>
      </c>
      <c r="OMW3002" s="1" t="n">
        <v>0</v>
      </c>
      <c r="OMX3002" s="1" t="n">
        <v>0</v>
      </c>
      <c r="OMY3002" s="1" t="n">
        <v>0</v>
      </c>
      <c r="OMZ3002" s="1" t="n">
        <v>0</v>
      </c>
      <c r="ONA3002" s="1" t="n">
        <v>0</v>
      </c>
      <c r="ONB3002" s="1" t="n">
        <v>0</v>
      </c>
      <c r="ONC3002" s="1" t="n">
        <v>0</v>
      </c>
      <c r="OND3002" s="1" t="n">
        <v>0</v>
      </c>
      <c r="ONE3002" s="1" t="n">
        <v>0</v>
      </c>
      <c r="ONF3002" s="1" t="n">
        <v>0</v>
      </c>
      <c r="ONG3002" s="1" t="n">
        <v>0</v>
      </c>
      <c r="ONH3002" s="1" t="n">
        <v>0</v>
      </c>
      <c r="ONI3002" s="1" t="n">
        <v>0</v>
      </c>
      <c r="ONJ3002" s="1" t="n">
        <v>0</v>
      </c>
      <c r="ONK3002" s="1" t="n">
        <v>0</v>
      </c>
      <c r="ONL3002" s="1" t="n">
        <v>0</v>
      </c>
      <c r="ONM3002" s="1" t="n">
        <v>0</v>
      </c>
      <c r="ONN3002" s="1" t="n">
        <v>0</v>
      </c>
      <c r="ONO3002" s="1" t="n">
        <v>0</v>
      </c>
      <c r="ONP3002" s="1" t="n">
        <v>0</v>
      </c>
      <c r="ONQ3002" s="1" t="n">
        <v>0</v>
      </c>
      <c r="ONR3002" s="1" t="n">
        <v>0</v>
      </c>
      <c r="ONS3002" s="1" t="n">
        <v>0</v>
      </c>
      <c r="ONT3002" s="1" t="n">
        <v>0</v>
      </c>
      <c r="ONU3002" s="1" t="n">
        <v>0</v>
      </c>
      <c r="ONV3002" s="1" t="n">
        <v>0</v>
      </c>
      <c r="ONW3002" s="1" t="n">
        <v>0</v>
      </c>
      <c r="ONX3002" s="1" t="n">
        <v>0</v>
      </c>
      <c r="ONY3002" s="1" t="n">
        <v>0</v>
      </c>
      <c r="ONZ3002" s="1" t="n">
        <v>0</v>
      </c>
      <c r="OOA3002" s="1" t="n">
        <v>0</v>
      </c>
      <c r="OOB3002" s="1" t="n">
        <v>0</v>
      </c>
      <c r="OOC3002" s="1" t="n">
        <v>0</v>
      </c>
      <c r="OOD3002" s="1" t="n">
        <v>0</v>
      </c>
      <c r="OOE3002" s="1" t="n">
        <v>0</v>
      </c>
      <c r="OOF3002" s="1" t="n">
        <v>0</v>
      </c>
      <c r="OOG3002" s="1" t="n">
        <v>0</v>
      </c>
      <c r="OOH3002" s="1" t="n">
        <v>0</v>
      </c>
      <c r="OOI3002" s="1" t="n">
        <v>0</v>
      </c>
      <c r="OOJ3002" s="1" t="n">
        <v>0</v>
      </c>
      <c r="OOK3002" s="1" t="n">
        <v>0</v>
      </c>
      <c r="OOL3002" s="1" t="n">
        <v>0</v>
      </c>
      <c r="OOM3002" s="1" t="n">
        <v>0</v>
      </c>
      <c r="OON3002" s="1" t="n">
        <v>0</v>
      </c>
      <c r="OOO3002" s="1" t="n">
        <v>0</v>
      </c>
      <c r="OOP3002" s="1" t="n">
        <v>0</v>
      </c>
      <c r="OOQ3002" s="1" t="n">
        <v>0</v>
      </c>
      <c r="OOR3002" s="1" t="n">
        <v>0</v>
      </c>
      <c r="OOS3002" s="1" t="n">
        <v>0</v>
      </c>
      <c r="OOT3002" s="1" t="n">
        <v>0</v>
      </c>
      <c r="OOU3002" s="1" t="n">
        <v>0</v>
      </c>
      <c r="OOV3002" s="1" t="n">
        <v>0</v>
      </c>
      <c r="OOW3002" s="1" t="n">
        <v>0</v>
      </c>
      <c r="OOX3002" s="1" t="n">
        <v>0</v>
      </c>
      <c r="OOY3002" s="1" t="n">
        <v>0</v>
      </c>
      <c r="OOZ3002" s="1" t="n">
        <v>0</v>
      </c>
      <c r="OPA3002" s="1" t="n">
        <v>0</v>
      </c>
      <c r="OPB3002" s="1" t="n">
        <v>0</v>
      </c>
      <c r="OPC3002" s="1" t="n">
        <v>0</v>
      </c>
      <c r="OPD3002" s="1" t="n">
        <v>0</v>
      </c>
      <c r="OPE3002" s="1" t="n">
        <v>0</v>
      </c>
      <c r="OPF3002" s="1" t="n">
        <v>0</v>
      </c>
      <c r="OPG3002" s="1" t="n">
        <v>0</v>
      </c>
      <c r="OPH3002" s="1" t="n">
        <v>0</v>
      </c>
      <c r="OPI3002" s="1" t="n">
        <v>0</v>
      </c>
      <c r="OPJ3002" s="1" t="n">
        <v>0</v>
      </c>
      <c r="OPK3002" s="1" t="n">
        <v>0</v>
      </c>
      <c r="OPL3002" s="1" t="n">
        <v>0</v>
      </c>
      <c r="OPM3002" s="1" t="n">
        <v>0</v>
      </c>
      <c r="OPN3002" s="1" t="n">
        <v>0</v>
      </c>
      <c r="OPO3002" s="1" t="n">
        <v>0</v>
      </c>
      <c r="OPP3002" s="1" t="n">
        <v>0</v>
      </c>
      <c r="OPQ3002" s="1" t="n">
        <v>0</v>
      </c>
      <c r="OPR3002" s="1" t="n">
        <v>0</v>
      </c>
      <c r="OPS3002" s="1" t="n">
        <v>0</v>
      </c>
      <c r="OPT3002" s="1" t="n">
        <v>0</v>
      </c>
      <c r="OPU3002" s="1" t="n">
        <v>0</v>
      </c>
      <c r="OPV3002" s="1" t="n">
        <v>0</v>
      </c>
      <c r="OPW3002" s="1" t="n">
        <v>0</v>
      </c>
      <c r="OPX3002" s="1" t="n">
        <v>0</v>
      </c>
      <c r="OPY3002" s="1" t="n">
        <v>0</v>
      </c>
      <c r="OPZ3002" s="1" t="n">
        <v>0</v>
      </c>
      <c r="OQA3002" s="1" t="n">
        <v>0</v>
      </c>
      <c r="OQB3002" s="1" t="n">
        <v>0</v>
      </c>
      <c r="OQC3002" s="1" t="n">
        <v>0</v>
      </c>
      <c r="OQD3002" s="1" t="n">
        <v>0</v>
      </c>
      <c r="OQE3002" s="1" t="n">
        <v>0</v>
      </c>
      <c r="OQF3002" s="1" t="n">
        <v>0</v>
      </c>
      <c r="OQG3002" s="1" t="n">
        <v>0</v>
      </c>
      <c r="OQH3002" s="1" t="n">
        <v>0</v>
      </c>
      <c r="OQI3002" s="1" t="n">
        <v>0</v>
      </c>
      <c r="OQJ3002" s="1" t="n">
        <v>0</v>
      </c>
      <c r="OQK3002" s="1" t="n">
        <v>0</v>
      </c>
      <c r="OQL3002" s="1" t="n">
        <v>0</v>
      </c>
      <c r="OQM3002" s="1" t="n">
        <v>0</v>
      </c>
      <c r="OQN3002" s="1" t="n">
        <v>0</v>
      </c>
      <c r="OQO3002" s="1" t="n">
        <v>0</v>
      </c>
      <c r="OQP3002" s="1" t="n">
        <v>0</v>
      </c>
      <c r="OQQ3002" s="1" t="n">
        <v>0</v>
      </c>
      <c r="OQR3002" s="1" t="n">
        <v>0</v>
      </c>
      <c r="OQS3002" s="1" t="n">
        <v>0</v>
      </c>
      <c r="OQT3002" s="1" t="n">
        <v>0</v>
      </c>
      <c r="OQU3002" s="1" t="n">
        <v>0</v>
      </c>
      <c r="OQV3002" s="1" t="n">
        <v>0</v>
      </c>
      <c r="OQW3002" s="1" t="n">
        <v>0</v>
      </c>
      <c r="OQX3002" s="1" t="n">
        <v>0</v>
      </c>
      <c r="OQY3002" s="1" t="n">
        <v>0</v>
      </c>
      <c r="OQZ3002" s="1" t="n">
        <v>0</v>
      </c>
      <c r="ORA3002" s="1" t="n">
        <v>0</v>
      </c>
      <c r="ORB3002" s="1" t="n">
        <v>0</v>
      </c>
      <c r="ORC3002" s="1" t="n">
        <v>0</v>
      </c>
      <c r="ORD3002" s="1" t="n">
        <v>0</v>
      </c>
      <c r="ORE3002" s="1" t="n">
        <v>0</v>
      </c>
      <c r="ORF3002" s="1" t="n">
        <v>0</v>
      </c>
      <c r="ORG3002" s="1" t="n">
        <v>0</v>
      </c>
      <c r="ORH3002" s="1" t="n">
        <v>0</v>
      </c>
      <c r="ORI3002" s="1" t="n">
        <v>0</v>
      </c>
      <c r="ORJ3002" s="1" t="n">
        <v>0</v>
      </c>
      <c r="ORK3002" s="1" t="n">
        <v>0</v>
      </c>
      <c r="ORL3002" s="1" t="n">
        <v>0</v>
      </c>
      <c r="ORM3002" s="1" t="n">
        <v>0</v>
      </c>
      <c r="ORN3002" s="1" t="n">
        <v>0</v>
      </c>
      <c r="ORO3002" s="1" t="n">
        <v>0</v>
      </c>
      <c r="ORP3002" s="1" t="n">
        <v>0</v>
      </c>
      <c r="ORQ3002" s="1" t="n">
        <v>0</v>
      </c>
      <c r="ORR3002" s="1" t="n">
        <v>0</v>
      </c>
      <c r="ORS3002" s="1" t="n">
        <v>0</v>
      </c>
      <c r="ORT3002" s="1" t="n">
        <v>0</v>
      </c>
      <c r="ORU3002" s="1" t="n">
        <v>0</v>
      </c>
      <c r="ORV3002" s="1" t="n">
        <v>0</v>
      </c>
      <c r="ORW3002" s="1" t="n">
        <v>0</v>
      </c>
      <c r="ORX3002" s="1" t="n">
        <v>0</v>
      </c>
      <c r="ORY3002" s="1" t="n">
        <v>0</v>
      </c>
      <c r="ORZ3002" s="1" t="n">
        <v>0</v>
      </c>
      <c r="OSA3002" s="1" t="n">
        <v>0</v>
      </c>
      <c r="OSB3002" s="1" t="n">
        <v>0</v>
      </c>
      <c r="OSC3002" s="1" t="n">
        <v>0</v>
      </c>
      <c r="OSD3002" s="1" t="n">
        <v>0</v>
      </c>
      <c r="OSE3002" s="1" t="n">
        <v>0</v>
      </c>
      <c r="OSF3002" s="1" t="n">
        <v>0</v>
      </c>
      <c r="OSG3002" s="1" t="n">
        <v>0</v>
      </c>
      <c r="OSH3002" s="1" t="n">
        <v>0</v>
      </c>
      <c r="OSI3002" s="1" t="n">
        <v>0</v>
      </c>
      <c r="OSJ3002" s="1" t="n">
        <v>0</v>
      </c>
      <c r="OSK3002" s="1" t="n">
        <v>0</v>
      </c>
      <c r="OSL3002" s="1" t="n">
        <v>0</v>
      </c>
      <c r="OSM3002" s="1" t="n">
        <v>0</v>
      </c>
      <c r="OSN3002" s="1" t="n">
        <v>0</v>
      </c>
      <c r="OSO3002" s="1" t="n">
        <v>0</v>
      </c>
      <c r="OSP3002" s="1" t="n">
        <v>0</v>
      </c>
      <c r="OSQ3002" s="1" t="n">
        <v>0</v>
      </c>
      <c r="OSR3002" s="1" t="n">
        <v>0</v>
      </c>
      <c r="OSS3002" s="1" t="n">
        <v>0</v>
      </c>
      <c r="OST3002" s="1" t="n">
        <v>0</v>
      </c>
      <c r="OSU3002" s="1" t="n">
        <v>0</v>
      </c>
      <c r="OSV3002" s="1" t="n">
        <v>0</v>
      </c>
      <c r="OSW3002" s="1" t="n">
        <v>0</v>
      </c>
      <c r="OSX3002" s="1" t="n">
        <v>0</v>
      </c>
      <c r="OSY3002" s="1" t="n">
        <v>0</v>
      </c>
      <c r="OSZ3002" s="1" t="n">
        <v>0</v>
      </c>
      <c r="OTA3002" s="1" t="n">
        <v>0</v>
      </c>
      <c r="OTB3002" s="1" t="n">
        <v>0</v>
      </c>
      <c r="OTC3002" s="1" t="n">
        <v>0</v>
      </c>
      <c r="OTD3002" s="1" t="n">
        <v>0</v>
      </c>
      <c r="OTE3002" s="1" t="n">
        <v>0</v>
      </c>
      <c r="OTF3002" s="1" t="n">
        <v>0</v>
      </c>
      <c r="OTG3002" s="1" t="n">
        <v>0</v>
      </c>
      <c r="OTH3002" s="1" t="n">
        <v>0</v>
      </c>
      <c r="OTI3002" s="1" t="n">
        <v>0</v>
      </c>
      <c r="OTJ3002" s="1" t="n">
        <v>0</v>
      </c>
      <c r="OTK3002" s="1" t="n">
        <v>0</v>
      </c>
      <c r="OTL3002" s="1" t="n">
        <v>0</v>
      </c>
      <c r="OTM3002" s="1" t="n">
        <v>0</v>
      </c>
      <c r="OTN3002" s="1" t="n">
        <v>0</v>
      </c>
      <c r="OTO3002" s="1" t="n">
        <v>0</v>
      </c>
      <c r="OTP3002" s="1" t="n">
        <v>0</v>
      </c>
      <c r="OTQ3002" s="1" t="n">
        <v>0</v>
      </c>
      <c r="OTR3002" s="1" t="n">
        <v>0</v>
      </c>
      <c r="OTS3002" s="1" t="n">
        <v>0</v>
      </c>
      <c r="OTT3002" s="1" t="n">
        <v>0</v>
      </c>
      <c r="OTU3002" s="1" t="n">
        <v>0</v>
      </c>
      <c r="OTV3002" s="1" t="n">
        <v>0</v>
      </c>
      <c r="OTW3002" s="1" t="n">
        <v>0</v>
      </c>
      <c r="OTX3002" s="1" t="n">
        <v>0</v>
      </c>
      <c r="OTY3002" s="1" t="n">
        <v>0</v>
      </c>
      <c r="OTZ3002" s="1" t="n">
        <v>0</v>
      </c>
      <c r="OUA3002" s="1" t="n">
        <v>0</v>
      </c>
      <c r="OUB3002" s="1" t="n">
        <v>0</v>
      </c>
      <c r="OUC3002" s="1" t="n">
        <v>0</v>
      </c>
      <c r="OUD3002" s="1" t="n">
        <v>0</v>
      </c>
      <c r="OUE3002" s="1" t="n">
        <v>0</v>
      </c>
      <c r="OUF3002" s="1" t="n">
        <v>0</v>
      </c>
      <c r="OUG3002" s="1" t="n">
        <v>0</v>
      </c>
      <c r="OUH3002" s="1" t="n">
        <v>0</v>
      </c>
      <c r="OUI3002" s="1" t="n">
        <v>0</v>
      </c>
      <c r="OUJ3002" s="1" t="n">
        <v>0</v>
      </c>
      <c r="OUK3002" s="1" t="n">
        <v>0</v>
      </c>
      <c r="OUL3002" s="1" t="n">
        <v>0</v>
      </c>
      <c r="OUM3002" s="1" t="n">
        <v>0</v>
      </c>
      <c r="OUN3002" s="1" t="n">
        <v>0</v>
      </c>
      <c r="OUO3002" s="1" t="n">
        <v>0</v>
      </c>
      <c r="OUP3002" s="1" t="n">
        <v>0</v>
      </c>
      <c r="OUQ3002" s="1" t="n">
        <v>0</v>
      </c>
      <c r="OUR3002" s="1" t="n">
        <v>0</v>
      </c>
      <c r="OUS3002" s="1" t="n">
        <v>0</v>
      </c>
      <c r="OUT3002" s="1" t="n">
        <v>0</v>
      </c>
      <c r="OUU3002" s="1" t="n">
        <v>0</v>
      </c>
      <c r="OUV3002" s="1" t="n">
        <v>0</v>
      </c>
      <c r="OUW3002" s="1" t="n">
        <v>0</v>
      </c>
      <c r="OUX3002" s="1" t="n">
        <v>0</v>
      </c>
      <c r="OUY3002" s="1" t="n">
        <v>0</v>
      </c>
      <c r="OUZ3002" s="1" t="n">
        <v>0</v>
      </c>
      <c r="OVA3002" s="1" t="n">
        <v>0</v>
      </c>
      <c r="OVB3002" s="1" t="n">
        <v>0</v>
      </c>
      <c r="OVC3002" s="1" t="n">
        <v>0</v>
      </c>
      <c r="OVD3002" s="1" t="n">
        <v>0</v>
      </c>
      <c r="OVE3002" s="1" t="n">
        <v>0</v>
      </c>
      <c r="OVF3002" s="1" t="n">
        <v>0</v>
      </c>
      <c r="OVG3002" s="1" t="n">
        <v>0</v>
      </c>
      <c r="OVH3002" s="1" t="n">
        <v>0</v>
      </c>
      <c r="OVI3002" s="1" t="n">
        <v>0</v>
      </c>
      <c r="OVJ3002" s="1" t="n">
        <v>0</v>
      </c>
      <c r="OVK3002" s="1" t="n">
        <v>0</v>
      </c>
      <c r="OVL3002" s="1" t="n">
        <v>0</v>
      </c>
      <c r="OVM3002" s="1" t="n">
        <v>0</v>
      </c>
      <c r="OVN3002" s="1" t="n">
        <v>0</v>
      </c>
      <c r="OVO3002" s="1" t="n">
        <v>0</v>
      </c>
      <c r="OVP3002" s="1" t="n">
        <v>0</v>
      </c>
      <c r="OVQ3002" s="1" t="n">
        <v>0</v>
      </c>
      <c r="OVR3002" s="1" t="n">
        <v>0</v>
      </c>
      <c r="OVS3002" s="1" t="n">
        <v>0</v>
      </c>
      <c r="OVT3002" s="1" t="n">
        <v>0</v>
      </c>
      <c r="OVU3002" s="1" t="n">
        <v>0</v>
      </c>
      <c r="OVV3002" s="1" t="n">
        <v>0</v>
      </c>
      <c r="OVW3002" s="1" t="n">
        <v>0</v>
      </c>
      <c r="OVX3002" s="1" t="n">
        <v>0</v>
      </c>
      <c r="OVY3002" s="1" t="n">
        <v>0</v>
      </c>
      <c r="OVZ3002" s="1" t="n">
        <v>0</v>
      </c>
      <c r="OWA3002" s="1" t="n">
        <v>0</v>
      </c>
      <c r="OWB3002" s="1" t="n">
        <v>0</v>
      </c>
      <c r="OWC3002" s="1" t="n">
        <v>0</v>
      </c>
      <c r="OWD3002" s="1" t="n">
        <v>0</v>
      </c>
      <c r="OWE3002" s="1" t="n">
        <v>0</v>
      </c>
      <c r="OWF3002" s="1" t="n">
        <v>0</v>
      </c>
      <c r="OWG3002" s="1" t="n">
        <v>0</v>
      </c>
      <c r="OWH3002" s="1" t="n">
        <v>0</v>
      </c>
      <c r="OWI3002" s="1" t="n">
        <v>0</v>
      </c>
      <c r="OWJ3002" s="1" t="n">
        <v>0</v>
      </c>
      <c r="OWK3002" s="1" t="n">
        <v>0</v>
      </c>
      <c r="OWL3002" s="1" t="n">
        <v>0</v>
      </c>
      <c r="OWM3002" s="1" t="n">
        <v>0</v>
      </c>
      <c r="OWN3002" s="1" t="n">
        <v>0</v>
      </c>
      <c r="OWO3002" s="1" t="n">
        <v>0</v>
      </c>
      <c r="OWP3002" s="1" t="n">
        <v>0</v>
      </c>
      <c r="OWQ3002" s="1" t="n">
        <v>0</v>
      </c>
      <c r="OWR3002" s="1" t="n">
        <v>0</v>
      </c>
      <c r="OWS3002" s="1" t="n">
        <v>0</v>
      </c>
      <c r="OWT3002" s="1" t="n">
        <v>0</v>
      </c>
      <c r="OWU3002" s="1" t="n">
        <v>0</v>
      </c>
      <c r="OWV3002" s="1" t="n">
        <v>0</v>
      </c>
      <c r="OWW3002" s="1" t="n">
        <v>0</v>
      </c>
      <c r="OWX3002" s="1" t="n">
        <v>0</v>
      </c>
      <c r="OWY3002" s="1" t="n">
        <v>0</v>
      </c>
      <c r="OWZ3002" s="1" t="n">
        <v>0</v>
      </c>
      <c r="OXA3002" s="1" t="n">
        <v>0</v>
      </c>
      <c r="OXB3002" s="1" t="n">
        <v>0</v>
      </c>
      <c r="OXC3002" s="1" t="n">
        <v>0</v>
      </c>
      <c r="OXD3002" s="1" t="n">
        <v>0</v>
      </c>
      <c r="OXE3002" s="1" t="n">
        <v>0</v>
      </c>
      <c r="OXF3002" s="1" t="n">
        <v>0</v>
      </c>
      <c r="OXG3002" s="1" t="n">
        <v>0</v>
      </c>
      <c r="OXH3002" s="1" t="n">
        <v>0</v>
      </c>
      <c r="OXI3002" s="1" t="n">
        <v>0</v>
      </c>
      <c r="OXJ3002" s="1" t="n">
        <v>0</v>
      </c>
      <c r="OXK3002" s="1" t="n">
        <v>0</v>
      </c>
      <c r="OXL3002" s="1" t="n">
        <v>0</v>
      </c>
      <c r="OXM3002" s="1" t="n">
        <v>0</v>
      </c>
      <c r="OXN3002" s="1" t="n">
        <v>0</v>
      </c>
      <c r="OXO3002" s="1" t="n">
        <v>0</v>
      </c>
      <c r="OXP3002" s="1" t="n">
        <v>0</v>
      </c>
      <c r="OXQ3002" s="1" t="n">
        <v>0</v>
      </c>
      <c r="OXR3002" s="1" t="n">
        <v>0</v>
      </c>
      <c r="OXS3002" s="1" t="n">
        <v>0</v>
      </c>
      <c r="OXT3002" s="1" t="n">
        <v>0</v>
      </c>
      <c r="OXU3002" s="1" t="n">
        <v>0</v>
      </c>
      <c r="OXV3002" s="1" t="n">
        <v>0</v>
      </c>
      <c r="OXW3002" s="1" t="n">
        <v>0</v>
      </c>
      <c r="OXX3002" s="1" t="n">
        <v>0</v>
      </c>
      <c r="OXY3002" s="1" t="n">
        <v>0</v>
      </c>
      <c r="OXZ3002" s="1" t="n">
        <v>0</v>
      </c>
      <c r="OYA3002" s="1" t="n">
        <v>0</v>
      </c>
      <c r="OYB3002" s="1" t="n">
        <v>0</v>
      </c>
      <c r="OYC3002" s="1" t="n">
        <v>0</v>
      </c>
      <c r="OYD3002" s="1" t="n">
        <v>0</v>
      </c>
      <c r="OYE3002" s="1" t="n">
        <v>0</v>
      </c>
      <c r="OYF3002" s="1" t="n">
        <v>0</v>
      </c>
      <c r="OYG3002" s="1" t="n">
        <v>0</v>
      </c>
      <c r="OYH3002" s="1" t="n">
        <v>0</v>
      </c>
      <c r="OYI3002" s="1" t="n">
        <v>0</v>
      </c>
      <c r="OYJ3002" s="1" t="n">
        <v>0</v>
      </c>
      <c r="OYK3002" s="1" t="n">
        <v>0</v>
      </c>
      <c r="OYL3002" s="1" t="n">
        <v>0</v>
      </c>
      <c r="OYM3002" s="1" t="n">
        <v>0</v>
      </c>
      <c r="OYN3002" s="1" t="n">
        <v>0</v>
      </c>
      <c r="OYO3002" s="1" t="n">
        <v>0</v>
      </c>
      <c r="OYP3002" s="1" t="n">
        <v>0</v>
      </c>
      <c r="OYQ3002" s="1" t="n">
        <v>0</v>
      </c>
      <c r="OYR3002" s="1" t="n">
        <v>0</v>
      </c>
      <c r="OYS3002" s="1" t="n">
        <v>0</v>
      </c>
      <c r="OYT3002" s="1" t="n">
        <v>0</v>
      </c>
      <c r="OYU3002" s="1" t="n">
        <v>0</v>
      </c>
      <c r="OYV3002" s="1" t="n">
        <v>0</v>
      </c>
      <c r="OYW3002" s="1" t="n">
        <v>0</v>
      </c>
      <c r="OYX3002" s="1" t="n">
        <v>0</v>
      </c>
      <c r="OYY3002" s="1" t="n">
        <v>0</v>
      </c>
      <c r="OYZ3002" s="1" t="n">
        <v>0</v>
      </c>
      <c r="OZA3002" s="1" t="n">
        <v>0</v>
      </c>
      <c r="OZB3002" s="1" t="n">
        <v>0</v>
      </c>
      <c r="OZC3002" s="1" t="n">
        <v>0</v>
      </c>
      <c r="OZD3002" s="1" t="n">
        <v>0</v>
      </c>
      <c r="OZE3002" s="1" t="n">
        <v>0</v>
      </c>
      <c r="OZF3002" s="1" t="n">
        <v>0</v>
      </c>
      <c r="OZG3002" s="1" t="n">
        <v>0</v>
      </c>
      <c r="OZH3002" s="1" t="n">
        <v>0</v>
      </c>
      <c r="OZI3002" s="1" t="n">
        <v>0</v>
      </c>
      <c r="OZJ3002" s="1" t="n">
        <v>0</v>
      </c>
      <c r="OZK3002" s="1" t="n">
        <v>0</v>
      </c>
      <c r="OZL3002" s="1" t="n">
        <v>0</v>
      </c>
      <c r="OZM3002" s="1" t="n">
        <v>0</v>
      </c>
      <c r="OZN3002" s="1" t="n">
        <v>0</v>
      </c>
      <c r="OZO3002" s="1" t="n">
        <v>0</v>
      </c>
      <c r="OZP3002" s="1" t="n">
        <v>0</v>
      </c>
      <c r="OZQ3002" s="1" t="n">
        <v>0</v>
      </c>
      <c r="OZR3002" s="1" t="n">
        <v>0</v>
      </c>
      <c r="OZS3002" s="1" t="n">
        <v>0</v>
      </c>
      <c r="OZT3002" s="1" t="n">
        <v>0</v>
      </c>
      <c r="OZU3002" s="1" t="n">
        <v>0</v>
      </c>
      <c r="OZV3002" s="1" t="n">
        <v>0</v>
      </c>
      <c r="OZW3002" s="1" t="n">
        <v>0</v>
      </c>
      <c r="OZX3002" s="1" t="n">
        <v>0</v>
      </c>
      <c r="OZY3002" s="1" t="n">
        <v>0</v>
      </c>
      <c r="OZZ3002" s="1" t="n">
        <v>0</v>
      </c>
      <c r="PAA3002" s="1" t="n">
        <v>0</v>
      </c>
      <c r="PAB3002" s="1" t="n">
        <v>0</v>
      </c>
      <c r="PAC3002" s="1" t="n">
        <v>0</v>
      </c>
      <c r="PAD3002" s="1" t="n">
        <v>0</v>
      </c>
      <c r="PAE3002" s="1" t="n">
        <v>0</v>
      </c>
      <c r="PAF3002" s="1" t="n">
        <v>0</v>
      </c>
      <c r="PAG3002" s="1" t="n">
        <v>0</v>
      </c>
      <c r="PAH3002" s="1" t="n">
        <v>0</v>
      </c>
      <c r="PAI3002" s="1" t="n">
        <v>0</v>
      </c>
      <c r="PAJ3002" s="1" t="n">
        <v>0</v>
      </c>
      <c r="PAK3002" s="1" t="n">
        <v>0</v>
      </c>
      <c r="PAL3002" s="1" t="n">
        <v>0</v>
      </c>
      <c r="PAM3002" s="1" t="n">
        <v>0</v>
      </c>
      <c r="PAN3002" s="1" t="n">
        <v>0</v>
      </c>
      <c r="PAO3002" s="1" t="n">
        <v>0</v>
      </c>
      <c r="PAP3002" s="1" t="n">
        <v>0</v>
      </c>
      <c r="PAQ3002" s="1" t="n">
        <v>0</v>
      </c>
      <c r="PAR3002" s="1" t="n">
        <v>0</v>
      </c>
      <c r="PAS3002" s="1" t="n">
        <v>0</v>
      </c>
      <c r="PAT3002" s="1" t="n">
        <v>0</v>
      </c>
      <c r="PAU3002" s="1" t="n">
        <v>0</v>
      </c>
      <c r="PAV3002" s="1" t="n">
        <v>0</v>
      </c>
      <c r="PAW3002" s="1" t="n">
        <v>0</v>
      </c>
      <c r="PAX3002" s="1" t="n">
        <v>0</v>
      </c>
      <c r="PAY3002" s="1" t="n">
        <v>0</v>
      </c>
      <c r="PAZ3002" s="1" t="n">
        <v>0</v>
      </c>
      <c r="PBA3002" s="1" t="n">
        <v>0</v>
      </c>
      <c r="PBB3002" s="1" t="n">
        <v>0</v>
      </c>
      <c r="PBC3002" s="1" t="n">
        <v>0</v>
      </c>
      <c r="PBD3002" s="1" t="n">
        <v>0</v>
      </c>
      <c r="PBE3002" s="1" t="n">
        <v>0</v>
      </c>
      <c r="PBF3002" s="1" t="n">
        <v>0</v>
      </c>
      <c r="PBG3002" s="1" t="n">
        <v>0</v>
      </c>
      <c r="PBH3002" s="1" t="n">
        <v>0</v>
      </c>
      <c r="PBI3002" s="1" t="n">
        <v>0</v>
      </c>
      <c r="PBJ3002" s="1" t="n">
        <v>0</v>
      </c>
      <c r="PBK3002" s="1" t="n">
        <v>0</v>
      </c>
      <c r="PBL3002" s="1" t="n">
        <v>0</v>
      </c>
      <c r="PBM3002" s="1" t="n">
        <v>0</v>
      </c>
      <c r="PBN3002" s="1" t="n">
        <v>0</v>
      </c>
      <c r="PBO3002" s="1" t="n">
        <v>0</v>
      </c>
      <c r="PBP3002" s="1" t="n">
        <v>0</v>
      </c>
      <c r="PBQ3002" s="1" t="n">
        <v>0</v>
      </c>
      <c r="PBR3002" s="1" t="n">
        <v>0</v>
      </c>
      <c r="PBS3002" s="1" t="n">
        <v>0</v>
      </c>
      <c r="PBT3002" s="1" t="n">
        <v>0</v>
      </c>
      <c r="PBU3002" s="1" t="n">
        <v>0</v>
      </c>
      <c r="PBV3002" s="1" t="n">
        <v>0</v>
      </c>
      <c r="PBW3002" s="1" t="n">
        <v>0</v>
      </c>
      <c r="PBX3002" s="1" t="n">
        <v>0</v>
      </c>
      <c r="PBY3002" s="1" t="n">
        <v>0</v>
      </c>
      <c r="PBZ3002" s="1" t="n">
        <v>0</v>
      </c>
      <c r="PCA3002" s="1" t="n">
        <v>0</v>
      </c>
      <c r="PCB3002" s="1" t="n">
        <v>0</v>
      </c>
      <c r="PCC3002" s="1" t="n">
        <v>0</v>
      </c>
      <c r="PCD3002" s="1" t="n">
        <v>0</v>
      </c>
      <c r="PCE3002" s="1" t="n">
        <v>0</v>
      </c>
      <c r="PCF3002" s="1" t="n">
        <v>0</v>
      </c>
      <c r="PCG3002" s="1" t="n">
        <v>0</v>
      </c>
      <c r="PCH3002" s="1" t="n">
        <v>0</v>
      </c>
      <c r="PCI3002" s="1" t="n">
        <v>0</v>
      </c>
      <c r="PCJ3002" s="1" t="n">
        <v>0</v>
      </c>
      <c r="PCK3002" s="1" t="n">
        <v>0</v>
      </c>
      <c r="PCL3002" s="1" t="n">
        <v>0</v>
      </c>
      <c r="PCM3002" s="1" t="n">
        <v>0</v>
      </c>
      <c r="PCN3002" s="1" t="n">
        <v>0</v>
      </c>
      <c r="PCO3002" s="1" t="n">
        <v>0</v>
      </c>
      <c r="PCP3002" s="1" t="n">
        <v>0</v>
      </c>
      <c r="PCQ3002" s="1" t="n">
        <v>0</v>
      </c>
      <c r="PCR3002" s="1" t="n">
        <v>0</v>
      </c>
      <c r="PCS3002" s="1" t="n">
        <v>0</v>
      </c>
      <c r="PCT3002" s="1" t="n">
        <v>0</v>
      </c>
      <c r="PCU3002" s="1" t="n">
        <v>0</v>
      </c>
      <c r="PCV3002" s="1" t="n">
        <v>0</v>
      </c>
      <c r="PCW3002" s="1" t="n">
        <v>0</v>
      </c>
      <c r="PCX3002" s="1" t="n">
        <v>0</v>
      </c>
      <c r="PCY3002" s="1" t="n">
        <v>0</v>
      </c>
      <c r="PCZ3002" s="1" t="n">
        <v>0</v>
      </c>
      <c r="PDA3002" s="1" t="n">
        <v>0</v>
      </c>
      <c r="PDB3002" s="1" t="n">
        <v>0</v>
      </c>
      <c r="PDC3002" s="1" t="n">
        <v>0</v>
      </c>
      <c r="PDD3002" s="1" t="n">
        <v>0</v>
      </c>
      <c r="PDE3002" s="1" t="n">
        <v>0</v>
      </c>
      <c r="PDF3002" s="1" t="n">
        <v>0</v>
      </c>
      <c r="PDG3002" s="1" t="n">
        <v>0</v>
      </c>
      <c r="PDH3002" s="1" t="n">
        <v>0</v>
      </c>
      <c r="PDI3002" s="1" t="n">
        <v>0</v>
      </c>
      <c r="PDJ3002" s="1" t="n">
        <v>0</v>
      </c>
      <c r="PDK3002" s="1" t="n">
        <v>0</v>
      </c>
      <c r="PDL3002" s="1" t="n">
        <v>0</v>
      </c>
      <c r="PDM3002" s="1" t="n">
        <v>0</v>
      </c>
      <c r="PDN3002" s="1" t="n">
        <v>0</v>
      </c>
      <c r="PDO3002" s="1" t="n">
        <v>0</v>
      </c>
      <c r="PDP3002" s="1" t="n">
        <v>0</v>
      </c>
      <c r="PDQ3002" s="1" t="n">
        <v>0</v>
      </c>
      <c r="PDR3002" s="1" t="n">
        <v>0</v>
      </c>
      <c r="PDS3002" s="1" t="n">
        <v>0</v>
      </c>
      <c r="PDT3002" s="1" t="n">
        <v>0</v>
      </c>
      <c r="PDU3002" s="1" t="n">
        <v>0</v>
      </c>
      <c r="PDV3002" s="1" t="n">
        <v>0</v>
      </c>
      <c r="PDW3002" s="1" t="n">
        <v>0</v>
      </c>
      <c r="PDX3002" s="1" t="n">
        <v>0</v>
      </c>
      <c r="PDY3002" s="1" t="n">
        <v>0</v>
      </c>
      <c r="PDZ3002" s="1" t="n">
        <v>0</v>
      </c>
      <c r="PEA3002" s="1" t="n">
        <v>0</v>
      </c>
      <c r="PEB3002" s="1" t="n">
        <v>0</v>
      </c>
      <c r="PEC3002" s="1" t="n">
        <v>0</v>
      </c>
      <c r="PED3002" s="1" t="n">
        <v>0</v>
      </c>
      <c r="PEE3002" s="1" t="n">
        <v>0</v>
      </c>
      <c r="PEF3002" s="1" t="n">
        <v>0</v>
      </c>
      <c r="PEG3002" s="1" t="n">
        <v>0</v>
      </c>
      <c r="PEH3002" s="1" t="n">
        <v>0</v>
      </c>
      <c r="PEI3002" s="1" t="n">
        <v>0</v>
      </c>
      <c r="PEJ3002" s="1" t="n">
        <v>0</v>
      </c>
      <c r="PEK3002" s="1" t="n">
        <v>0</v>
      </c>
      <c r="PEL3002" s="1" t="n">
        <v>0</v>
      </c>
      <c r="PEM3002" s="1" t="n">
        <v>0</v>
      </c>
      <c r="PEN3002" s="1" t="n">
        <v>0</v>
      </c>
      <c r="PEO3002" s="1" t="n">
        <v>0</v>
      </c>
      <c r="PEP3002" s="1" t="n">
        <v>0</v>
      </c>
      <c r="PEQ3002" s="1" t="n">
        <v>0</v>
      </c>
      <c r="PER3002" s="1" t="n">
        <v>0</v>
      </c>
      <c r="PES3002" s="1" t="n">
        <v>0</v>
      </c>
      <c r="PET3002" s="1" t="n">
        <v>0</v>
      </c>
      <c r="PEU3002" s="1" t="n">
        <v>0</v>
      </c>
      <c r="PEV3002" s="1" t="n">
        <v>0</v>
      </c>
      <c r="PEW3002" s="1" t="n">
        <v>0</v>
      </c>
      <c r="PEX3002" s="1" t="n">
        <v>0</v>
      </c>
      <c r="PEY3002" s="1" t="n">
        <v>0</v>
      </c>
      <c r="PEZ3002" s="1" t="n">
        <v>0</v>
      </c>
      <c r="PFA3002" s="1" t="n">
        <v>0</v>
      </c>
      <c r="PFB3002" s="1" t="n">
        <v>0</v>
      </c>
      <c r="PFC3002" s="1" t="n">
        <v>0</v>
      </c>
      <c r="PFD3002" s="1" t="n">
        <v>0</v>
      </c>
      <c r="PFE3002" s="1" t="n">
        <v>0</v>
      </c>
      <c r="PFF3002" s="1" t="n">
        <v>0</v>
      </c>
      <c r="PFG3002" s="1" t="n">
        <v>0</v>
      </c>
      <c r="PFH3002" s="1" t="n">
        <v>0</v>
      </c>
      <c r="PFI3002" s="1" t="n">
        <v>0</v>
      </c>
      <c r="PFJ3002" s="1" t="n">
        <v>0</v>
      </c>
      <c r="PFK3002" s="1" t="n">
        <v>0</v>
      </c>
      <c r="PFL3002" s="1" t="n">
        <v>0</v>
      </c>
      <c r="PFM3002" s="1" t="n">
        <v>0</v>
      </c>
      <c r="PFN3002" s="1" t="n">
        <v>0</v>
      </c>
      <c r="PFO3002" s="1" t="n">
        <v>0</v>
      </c>
      <c r="PFP3002" s="1" t="n">
        <v>0</v>
      </c>
      <c r="PFQ3002" s="1" t="n">
        <v>0</v>
      </c>
      <c r="PFR3002" s="1" t="n">
        <v>0</v>
      </c>
      <c r="PFS3002" s="1" t="n">
        <v>0</v>
      </c>
      <c r="PFT3002" s="1" t="n">
        <v>0</v>
      </c>
      <c r="PFU3002" s="1" t="n">
        <v>0</v>
      </c>
      <c r="PFV3002" s="1" t="n">
        <v>0</v>
      </c>
      <c r="PFW3002" s="1" t="n">
        <v>0</v>
      </c>
      <c r="PFX3002" s="1" t="n">
        <v>0</v>
      </c>
      <c r="PFY3002" s="1" t="n">
        <v>0</v>
      </c>
      <c r="PFZ3002" s="1" t="n">
        <v>0</v>
      </c>
      <c r="PGA3002" s="1" t="n">
        <v>0</v>
      </c>
      <c r="PGB3002" s="1" t="n">
        <v>0</v>
      </c>
      <c r="PGC3002" s="1" t="n">
        <v>0</v>
      </c>
      <c r="PGD3002" s="1" t="n">
        <v>0</v>
      </c>
      <c r="PGE3002" s="1" t="n">
        <v>0</v>
      </c>
      <c r="PGF3002" s="1" t="n">
        <v>0</v>
      </c>
      <c r="PGG3002" s="1" t="n">
        <v>0</v>
      </c>
      <c r="PGH3002" s="1" t="n">
        <v>0</v>
      </c>
      <c r="PGI3002" s="1" t="n">
        <v>0</v>
      </c>
      <c r="PGJ3002" s="1" t="n">
        <v>0</v>
      </c>
      <c r="PGK3002" s="1" t="n">
        <v>0</v>
      </c>
      <c r="PGL3002" s="1" t="n">
        <v>0</v>
      </c>
      <c r="PGM3002" s="1" t="n">
        <v>0</v>
      </c>
      <c r="PGN3002" s="1" t="n">
        <v>0</v>
      </c>
      <c r="PGO3002" s="1" t="n">
        <v>0</v>
      </c>
      <c r="PGP3002" s="1" t="n">
        <v>0</v>
      </c>
      <c r="PGQ3002" s="1" t="n">
        <v>0</v>
      </c>
      <c r="PGR3002" s="1" t="n">
        <v>0</v>
      </c>
      <c r="PGS3002" s="1" t="n">
        <v>0</v>
      </c>
      <c r="PGT3002" s="1" t="n">
        <v>0</v>
      </c>
      <c r="PGU3002" s="1" t="n">
        <v>0</v>
      </c>
      <c r="PGV3002" s="1" t="n">
        <v>0</v>
      </c>
      <c r="PGW3002" s="1" t="n">
        <v>0</v>
      </c>
      <c r="PGX3002" s="1" t="n">
        <v>0</v>
      </c>
      <c r="PGY3002" s="1" t="n">
        <v>0</v>
      </c>
      <c r="PGZ3002" s="1" t="n">
        <v>0</v>
      </c>
      <c r="PHA3002" s="1" t="n">
        <v>0</v>
      </c>
      <c r="PHB3002" s="1" t="n">
        <v>0</v>
      </c>
      <c r="PHC3002" s="1" t="n">
        <v>0</v>
      </c>
      <c r="PHD3002" s="1" t="n">
        <v>0</v>
      </c>
      <c r="PHE3002" s="1" t="n">
        <v>0</v>
      </c>
      <c r="PHF3002" s="1" t="n">
        <v>0</v>
      </c>
      <c r="PHG3002" s="1" t="n">
        <v>0</v>
      </c>
      <c r="PHH3002" s="1" t="n">
        <v>0</v>
      </c>
      <c r="PHI3002" s="1" t="n">
        <v>0</v>
      </c>
      <c r="PHJ3002" s="1" t="n">
        <v>0</v>
      </c>
      <c r="PHK3002" s="1" t="n">
        <v>0</v>
      </c>
      <c r="PHL3002" s="1" t="n">
        <v>0</v>
      </c>
      <c r="PHM3002" s="1" t="n">
        <v>0</v>
      </c>
      <c r="PHN3002" s="1" t="n">
        <v>0</v>
      </c>
      <c r="PHO3002" s="1" t="n">
        <v>0</v>
      </c>
      <c r="PHP3002" s="1" t="n">
        <v>0</v>
      </c>
      <c r="PHQ3002" s="1" t="n">
        <v>0</v>
      </c>
      <c r="PHR3002" s="1" t="n">
        <v>0</v>
      </c>
      <c r="PHS3002" s="1" t="n">
        <v>0</v>
      </c>
      <c r="PHT3002" s="1" t="n">
        <v>0</v>
      </c>
      <c r="PHU3002" s="1" t="n">
        <v>0</v>
      </c>
      <c r="PHV3002" s="1" t="n">
        <v>0</v>
      </c>
      <c r="PHW3002" s="1" t="n">
        <v>0</v>
      </c>
      <c r="PHX3002" s="1" t="n">
        <v>0</v>
      </c>
      <c r="PHY3002" s="1" t="n">
        <v>0</v>
      </c>
      <c r="PHZ3002" s="1" t="n">
        <v>0</v>
      </c>
      <c r="PIA3002" s="1" t="n">
        <v>0</v>
      </c>
      <c r="PIB3002" s="1" t="n">
        <v>0</v>
      </c>
      <c r="PIC3002" s="1" t="n">
        <v>0</v>
      </c>
      <c r="PID3002" s="1" t="n">
        <v>0</v>
      </c>
      <c r="PIE3002" s="1" t="n">
        <v>0</v>
      </c>
      <c r="PIF3002" s="1" t="n">
        <v>0</v>
      </c>
      <c r="PIG3002" s="1" t="n">
        <v>0</v>
      </c>
      <c r="PIH3002" s="1" t="n">
        <v>0</v>
      </c>
      <c r="PII3002" s="1" t="n">
        <v>0</v>
      </c>
      <c r="PIJ3002" s="1" t="n">
        <v>0</v>
      </c>
      <c r="PIK3002" s="1" t="n">
        <v>0</v>
      </c>
      <c r="PIL3002" s="1" t="n">
        <v>0</v>
      </c>
      <c r="PIM3002" s="1" t="n">
        <v>0</v>
      </c>
      <c r="PIN3002" s="1" t="n">
        <v>0</v>
      </c>
      <c r="PIO3002" s="1" t="n">
        <v>0</v>
      </c>
      <c r="PIP3002" s="1" t="n">
        <v>0</v>
      </c>
      <c r="PIQ3002" s="1" t="n">
        <v>0</v>
      </c>
      <c r="PIR3002" s="1" t="n">
        <v>0</v>
      </c>
      <c r="PIS3002" s="1" t="n">
        <v>0</v>
      </c>
      <c r="PIT3002" s="1" t="n">
        <v>0</v>
      </c>
      <c r="PIU3002" s="1" t="n">
        <v>0</v>
      </c>
      <c r="PIV3002" s="1" t="n">
        <v>0</v>
      </c>
      <c r="PIW3002" s="1" t="n">
        <v>0</v>
      </c>
      <c r="PIX3002" s="1" t="n">
        <v>0</v>
      </c>
      <c r="PIY3002" s="1" t="n">
        <v>0</v>
      </c>
      <c r="PIZ3002" s="1" t="n">
        <v>0</v>
      </c>
      <c r="PJA3002" s="1" t="n">
        <v>0</v>
      </c>
      <c r="PJB3002" s="1" t="n">
        <v>0</v>
      </c>
      <c r="PJC3002" s="1" t="n">
        <v>0</v>
      </c>
      <c r="PJD3002" s="1" t="n">
        <v>0</v>
      </c>
      <c r="PJE3002" s="1" t="n">
        <v>0</v>
      </c>
      <c r="PJF3002" s="1" t="n">
        <v>0</v>
      </c>
      <c r="PJG3002" s="1" t="n">
        <v>0</v>
      </c>
      <c r="PJH3002" s="1" t="n">
        <v>0</v>
      </c>
      <c r="PJI3002" s="1" t="n">
        <v>0</v>
      </c>
      <c r="PJJ3002" s="1" t="n">
        <v>0</v>
      </c>
      <c r="PJK3002" s="1" t="n">
        <v>0</v>
      </c>
      <c r="PJL3002" s="1" t="n">
        <v>0</v>
      </c>
      <c r="PJM3002" s="1" t="n">
        <v>0</v>
      </c>
      <c r="PJN3002" s="1" t="n">
        <v>0</v>
      </c>
      <c r="PJO3002" s="1" t="n">
        <v>0</v>
      </c>
      <c r="PJP3002" s="1" t="n">
        <v>0</v>
      </c>
      <c r="PJQ3002" s="1" t="n">
        <v>0</v>
      </c>
      <c r="PJR3002" s="1" t="n">
        <v>0</v>
      </c>
      <c r="PJS3002" s="1" t="n">
        <v>0</v>
      </c>
      <c r="PJT3002" s="1" t="n">
        <v>0</v>
      </c>
      <c r="PJU3002" s="1" t="n">
        <v>0</v>
      </c>
      <c r="PJV3002" s="1" t="n">
        <v>0</v>
      </c>
      <c r="PJW3002" s="1" t="n">
        <v>0</v>
      </c>
      <c r="PJX3002" s="1" t="n">
        <v>0</v>
      </c>
      <c r="PJY3002" s="1" t="n">
        <v>0</v>
      </c>
      <c r="PJZ3002" s="1" t="n">
        <v>0</v>
      </c>
      <c r="PKA3002" s="1" t="n">
        <v>0</v>
      </c>
      <c r="PKB3002" s="1" t="n">
        <v>0</v>
      </c>
      <c r="PKC3002" s="1" t="n">
        <v>0</v>
      </c>
      <c r="PKD3002" s="1" t="n">
        <v>0</v>
      </c>
      <c r="PKE3002" s="1" t="n">
        <v>0</v>
      </c>
      <c r="PKF3002" s="1" t="n">
        <v>0</v>
      </c>
      <c r="PKG3002" s="1" t="n">
        <v>0</v>
      </c>
      <c r="PKH3002" s="1" t="n">
        <v>0</v>
      </c>
      <c r="PKI3002" s="1" t="n">
        <v>0</v>
      </c>
      <c r="PKJ3002" s="1" t="n">
        <v>0</v>
      </c>
      <c r="PKK3002" s="1" t="n">
        <v>0</v>
      </c>
      <c r="PKL3002" s="1" t="n">
        <v>0</v>
      </c>
      <c r="PKM3002" s="1" t="n">
        <v>0</v>
      </c>
      <c r="PKN3002" s="1" t="n">
        <v>0</v>
      </c>
      <c r="PKO3002" s="1" t="n">
        <v>0</v>
      </c>
      <c r="PKP3002" s="1" t="n">
        <v>0</v>
      </c>
      <c r="PKQ3002" s="1" t="n">
        <v>0</v>
      </c>
      <c r="PKR3002" s="1" t="n">
        <v>0</v>
      </c>
      <c r="PKS3002" s="1" t="n">
        <v>0</v>
      </c>
      <c r="PKT3002" s="1" t="n">
        <v>0</v>
      </c>
      <c r="PKU3002" s="1" t="n">
        <v>0</v>
      </c>
      <c r="PKV3002" s="1" t="n">
        <v>0</v>
      </c>
      <c r="PKW3002" s="1" t="n">
        <v>0</v>
      </c>
      <c r="PKX3002" s="1" t="n">
        <v>0</v>
      </c>
      <c r="PKY3002" s="1" t="n">
        <v>0</v>
      </c>
      <c r="PKZ3002" s="1" t="n">
        <v>0</v>
      </c>
      <c r="PLA3002" s="1" t="n">
        <v>0</v>
      </c>
      <c r="PLB3002" s="1" t="n">
        <v>0</v>
      </c>
      <c r="PLC3002" s="1" t="n">
        <v>0</v>
      </c>
      <c r="PLD3002" s="1" t="n">
        <v>0</v>
      </c>
      <c r="PLE3002" s="1" t="n">
        <v>0</v>
      </c>
      <c r="PLF3002" s="1" t="n">
        <v>0</v>
      </c>
      <c r="PLG3002" s="1" t="n">
        <v>0</v>
      </c>
      <c r="PLH3002" s="1" t="n">
        <v>0</v>
      </c>
      <c r="PLI3002" s="1" t="n">
        <v>0</v>
      </c>
      <c r="PLJ3002" s="1" t="n">
        <v>0</v>
      </c>
      <c r="PLK3002" s="1" t="n">
        <v>0</v>
      </c>
      <c r="PLL3002" s="1" t="n">
        <v>0</v>
      </c>
      <c r="PLM3002" s="1" t="n">
        <v>0</v>
      </c>
      <c r="PLN3002" s="1" t="n">
        <v>0</v>
      </c>
      <c r="PLO3002" s="1" t="n">
        <v>0</v>
      </c>
      <c r="PLP3002" s="1" t="n">
        <v>0</v>
      </c>
      <c r="PLQ3002" s="1" t="n">
        <v>0</v>
      </c>
      <c r="PLR3002" s="1" t="n">
        <v>0</v>
      </c>
      <c r="PLS3002" s="1" t="n">
        <v>0</v>
      </c>
      <c r="PLT3002" s="1" t="n">
        <v>0</v>
      </c>
      <c r="PLU3002" s="1" t="n">
        <v>0</v>
      </c>
      <c r="PLV3002" s="1" t="n">
        <v>0</v>
      </c>
      <c r="PLW3002" s="1" t="n">
        <v>0</v>
      </c>
      <c r="PLX3002" s="1" t="n">
        <v>0</v>
      </c>
      <c r="PLY3002" s="1" t="n">
        <v>0</v>
      </c>
      <c r="PLZ3002" s="1" t="n">
        <v>0</v>
      </c>
      <c r="PMA3002" s="1" t="n">
        <v>0</v>
      </c>
      <c r="PMB3002" s="1" t="n">
        <v>0</v>
      </c>
      <c r="PMC3002" s="1" t="n">
        <v>0</v>
      </c>
      <c r="PMD3002" s="1" t="n">
        <v>0</v>
      </c>
      <c r="PME3002" s="1" t="n">
        <v>0</v>
      </c>
      <c r="PMF3002" s="1" t="n">
        <v>0</v>
      </c>
      <c r="PMG3002" s="1" t="n">
        <v>0</v>
      </c>
      <c r="PMH3002" s="1" t="n">
        <v>0</v>
      </c>
      <c r="PMI3002" s="1" t="n">
        <v>0</v>
      </c>
      <c r="PMJ3002" s="1" t="n">
        <v>0</v>
      </c>
      <c r="PMK3002" s="1" t="n">
        <v>0</v>
      </c>
      <c r="PML3002" s="1" t="n">
        <v>0</v>
      </c>
      <c r="PMM3002" s="1" t="n">
        <v>0</v>
      </c>
      <c r="PMN3002" s="1" t="n">
        <v>0</v>
      </c>
      <c r="PMO3002" s="1" t="n">
        <v>0</v>
      </c>
      <c r="PMP3002" s="1" t="n">
        <v>0</v>
      </c>
      <c r="PMQ3002" s="1" t="n">
        <v>0</v>
      </c>
      <c r="PMR3002" s="1" t="n">
        <v>0</v>
      </c>
      <c r="PMS3002" s="1" t="n">
        <v>0</v>
      </c>
      <c r="PMT3002" s="1" t="n">
        <v>0</v>
      </c>
      <c r="PMU3002" s="1" t="n">
        <v>0</v>
      </c>
      <c r="PMV3002" s="1" t="n">
        <v>0</v>
      </c>
      <c r="PMW3002" s="1" t="n">
        <v>0</v>
      </c>
      <c r="PMX3002" s="1" t="n">
        <v>0</v>
      </c>
      <c r="PMY3002" s="1" t="n">
        <v>0</v>
      </c>
      <c r="PMZ3002" s="1" t="n">
        <v>0</v>
      </c>
      <c r="PNA3002" s="1" t="n">
        <v>0</v>
      </c>
      <c r="PNB3002" s="1" t="n">
        <v>0</v>
      </c>
      <c r="PNC3002" s="1" t="n">
        <v>0</v>
      </c>
      <c r="PND3002" s="1" t="n">
        <v>0</v>
      </c>
      <c r="PNE3002" s="1" t="n">
        <v>0</v>
      </c>
      <c r="PNF3002" s="1" t="n">
        <v>0</v>
      </c>
      <c r="PNG3002" s="1" t="n">
        <v>0</v>
      </c>
      <c r="PNH3002" s="1" t="n">
        <v>0</v>
      </c>
      <c r="PNI3002" s="1" t="n">
        <v>0</v>
      </c>
      <c r="PNJ3002" s="1" t="n">
        <v>0</v>
      </c>
      <c r="PNK3002" s="1" t="n">
        <v>0</v>
      </c>
      <c r="PNL3002" s="1" t="n">
        <v>0</v>
      </c>
      <c r="PNM3002" s="1" t="n">
        <v>0</v>
      </c>
      <c r="PNN3002" s="1" t="n">
        <v>0</v>
      </c>
      <c r="PNO3002" s="1" t="n">
        <v>0</v>
      </c>
      <c r="PNP3002" s="1" t="n">
        <v>0</v>
      </c>
      <c r="PNQ3002" s="1" t="n">
        <v>0</v>
      </c>
      <c r="PNR3002" s="1" t="n">
        <v>0</v>
      </c>
      <c r="PNS3002" s="1" t="n">
        <v>0</v>
      </c>
      <c r="PNT3002" s="1" t="n">
        <v>0</v>
      </c>
      <c r="PNU3002" s="1" t="n">
        <v>0</v>
      </c>
      <c r="PNV3002" s="1" t="n">
        <v>0</v>
      </c>
      <c r="PNW3002" s="1" t="n">
        <v>0</v>
      </c>
      <c r="PNX3002" s="1" t="n">
        <v>0</v>
      </c>
      <c r="PNY3002" s="1" t="n">
        <v>0</v>
      </c>
      <c r="PNZ3002" s="1" t="n">
        <v>0</v>
      </c>
      <c r="POA3002" s="1" t="n">
        <v>0</v>
      </c>
      <c r="POB3002" s="1" t="n">
        <v>0</v>
      </c>
      <c r="POC3002" s="1" t="n">
        <v>0</v>
      </c>
      <c r="POD3002" s="1" t="n">
        <v>0</v>
      </c>
      <c r="POE3002" s="1" t="n">
        <v>0</v>
      </c>
      <c r="POF3002" s="1" t="n">
        <v>0</v>
      </c>
      <c r="POG3002" s="1" t="n">
        <v>0</v>
      </c>
      <c r="POH3002" s="1" t="n">
        <v>0</v>
      </c>
      <c r="POI3002" s="1" t="n">
        <v>0</v>
      </c>
      <c r="POJ3002" s="1" t="n">
        <v>0</v>
      </c>
      <c r="POK3002" s="1" t="n">
        <v>0</v>
      </c>
      <c r="POL3002" s="1" t="n">
        <v>0</v>
      </c>
      <c r="POM3002" s="1" t="n">
        <v>0</v>
      </c>
      <c r="PON3002" s="1" t="n">
        <v>0</v>
      </c>
      <c r="POO3002" s="1" t="n">
        <v>0</v>
      </c>
      <c r="POP3002" s="1" t="n">
        <v>0</v>
      </c>
      <c r="POQ3002" s="1" t="n">
        <v>0</v>
      </c>
      <c r="POR3002" s="1" t="n">
        <v>0</v>
      </c>
      <c r="POS3002" s="1" t="n">
        <v>0</v>
      </c>
      <c r="POT3002" s="1" t="n">
        <v>0</v>
      </c>
      <c r="POU3002" s="1" t="n">
        <v>0</v>
      </c>
      <c r="POV3002" s="1" t="n">
        <v>0</v>
      </c>
      <c r="POW3002" s="1" t="n">
        <v>0</v>
      </c>
      <c r="POX3002" s="1" t="n">
        <v>0</v>
      </c>
      <c r="POY3002" s="1" t="n">
        <v>0</v>
      </c>
      <c r="POZ3002" s="1" t="n">
        <v>0</v>
      </c>
      <c r="PPA3002" s="1" t="n">
        <v>0</v>
      </c>
      <c r="PPB3002" s="1" t="n">
        <v>0</v>
      </c>
      <c r="PPC3002" s="1" t="n">
        <v>0</v>
      </c>
      <c r="PPD3002" s="1" t="n">
        <v>0</v>
      </c>
      <c r="PPE3002" s="1" t="n">
        <v>0</v>
      </c>
      <c r="PPF3002" s="1" t="n">
        <v>0</v>
      </c>
      <c r="PPG3002" s="1" t="n">
        <v>0</v>
      </c>
      <c r="PPH3002" s="1" t="n">
        <v>0</v>
      </c>
      <c r="PPI3002" s="1" t="n">
        <v>0</v>
      </c>
      <c r="PPJ3002" s="1" t="n">
        <v>0</v>
      </c>
      <c r="PPK3002" s="1" t="n">
        <v>0</v>
      </c>
      <c r="PPL3002" s="1" t="n">
        <v>0</v>
      </c>
      <c r="PPM3002" s="1" t="n">
        <v>0</v>
      </c>
      <c r="PPN3002" s="1" t="n">
        <v>0</v>
      </c>
      <c r="PPO3002" s="1" t="n">
        <v>0</v>
      </c>
      <c r="PPP3002" s="1" t="n">
        <v>0</v>
      </c>
      <c r="PPQ3002" s="1" t="n">
        <v>0</v>
      </c>
      <c r="PPR3002" s="1" t="n">
        <v>0</v>
      </c>
      <c r="PPS3002" s="1" t="n">
        <v>0</v>
      </c>
      <c r="PPT3002" s="1" t="n">
        <v>0</v>
      </c>
      <c r="PPU3002" s="1" t="n">
        <v>0</v>
      </c>
      <c r="PPV3002" s="1" t="n">
        <v>0</v>
      </c>
      <c r="PPW3002" s="1" t="n">
        <v>0</v>
      </c>
      <c r="PPX3002" s="1" t="n">
        <v>0</v>
      </c>
      <c r="PPY3002" s="1" t="n">
        <v>0</v>
      </c>
      <c r="PPZ3002" s="1" t="n">
        <v>0</v>
      </c>
      <c r="PQA3002" s="1" t="n">
        <v>0</v>
      </c>
      <c r="PQB3002" s="1" t="n">
        <v>0</v>
      </c>
      <c r="PQC3002" s="1" t="n">
        <v>0</v>
      </c>
      <c r="PQD3002" s="1" t="n">
        <v>0</v>
      </c>
      <c r="PQE3002" s="1" t="n">
        <v>0</v>
      </c>
      <c r="PQF3002" s="1" t="n">
        <v>0</v>
      </c>
      <c r="PQG3002" s="1" t="n">
        <v>0</v>
      </c>
      <c r="PQH3002" s="1" t="n">
        <v>0</v>
      </c>
      <c r="PQI3002" s="1" t="n">
        <v>0</v>
      </c>
      <c r="PQJ3002" s="1" t="n">
        <v>0</v>
      </c>
      <c r="PQK3002" s="1" t="n">
        <v>0</v>
      </c>
      <c r="PQL3002" s="1" t="n">
        <v>0</v>
      </c>
      <c r="PQM3002" s="1" t="n">
        <v>0</v>
      </c>
      <c r="PQN3002" s="1" t="n">
        <v>0</v>
      </c>
      <c r="PQO3002" s="1" t="n">
        <v>0</v>
      </c>
      <c r="PQP3002" s="1" t="n">
        <v>0</v>
      </c>
      <c r="PQQ3002" s="1" t="n">
        <v>0</v>
      </c>
      <c r="PQR3002" s="1" t="n">
        <v>0</v>
      </c>
      <c r="PQS3002" s="1" t="n">
        <v>0</v>
      </c>
      <c r="PQT3002" s="1" t="n">
        <v>0</v>
      </c>
      <c r="PQU3002" s="1" t="n">
        <v>0</v>
      </c>
      <c r="PQV3002" s="1" t="n">
        <v>0</v>
      </c>
      <c r="PQW3002" s="1" t="n">
        <v>0</v>
      </c>
      <c r="PQX3002" s="1" t="n">
        <v>0</v>
      </c>
      <c r="PQY3002" s="1" t="n">
        <v>0</v>
      </c>
      <c r="PQZ3002" s="1" t="n">
        <v>0</v>
      </c>
      <c r="PRA3002" s="1" t="n">
        <v>0</v>
      </c>
      <c r="PRB3002" s="1" t="n">
        <v>0</v>
      </c>
      <c r="PRC3002" s="1" t="n">
        <v>0</v>
      </c>
      <c r="PRD3002" s="1" t="n">
        <v>0</v>
      </c>
      <c r="PRE3002" s="1" t="n">
        <v>0</v>
      </c>
      <c r="PRF3002" s="1" t="n">
        <v>0</v>
      </c>
      <c r="PRG3002" s="1" t="n">
        <v>0</v>
      </c>
      <c r="PRH3002" s="1" t="n">
        <v>0</v>
      </c>
      <c r="PRI3002" s="1" t="n">
        <v>0</v>
      </c>
      <c r="PRJ3002" s="1" t="n">
        <v>0</v>
      </c>
      <c r="PRK3002" s="1" t="n">
        <v>0</v>
      </c>
      <c r="PRL3002" s="1" t="n">
        <v>0</v>
      </c>
      <c r="PRM3002" s="1" t="n">
        <v>0</v>
      </c>
      <c r="PRN3002" s="1" t="n">
        <v>0</v>
      </c>
      <c r="PRO3002" s="1" t="n">
        <v>0</v>
      </c>
      <c r="PRP3002" s="1" t="n">
        <v>0</v>
      </c>
      <c r="PRQ3002" s="1" t="n">
        <v>0</v>
      </c>
      <c r="PRR3002" s="1" t="n">
        <v>0</v>
      </c>
      <c r="PRS3002" s="1" t="n">
        <v>0</v>
      </c>
      <c r="PRT3002" s="1" t="n">
        <v>0</v>
      </c>
      <c r="PRU3002" s="1" t="n">
        <v>0</v>
      </c>
      <c r="PRV3002" s="1" t="n">
        <v>0</v>
      </c>
      <c r="PRW3002" s="1" t="n">
        <v>0</v>
      </c>
      <c r="PRX3002" s="1" t="n">
        <v>0</v>
      </c>
      <c r="PRY3002" s="1" t="n">
        <v>0</v>
      </c>
      <c r="PRZ3002" s="1" t="n">
        <v>0</v>
      </c>
      <c r="PSA3002" s="1" t="n">
        <v>0</v>
      </c>
      <c r="PSB3002" s="1" t="n">
        <v>0</v>
      </c>
      <c r="PSC3002" s="1" t="n">
        <v>0</v>
      </c>
      <c r="PSD3002" s="1" t="n">
        <v>0</v>
      </c>
      <c r="PSE3002" s="1" t="n">
        <v>0</v>
      </c>
      <c r="PSF3002" s="1" t="n">
        <v>0</v>
      </c>
      <c r="PSG3002" s="1" t="n">
        <v>0</v>
      </c>
      <c r="PSH3002" s="1" t="n">
        <v>0</v>
      </c>
      <c r="PSI3002" s="1" t="n">
        <v>0</v>
      </c>
      <c r="PSJ3002" s="1" t="n">
        <v>0</v>
      </c>
      <c r="PSK3002" s="1" t="n">
        <v>0</v>
      </c>
      <c r="PSL3002" s="1" t="n">
        <v>0</v>
      </c>
      <c r="PSM3002" s="1" t="n">
        <v>0</v>
      </c>
      <c r="PSN3002" s="1" t="n">
        <v>0</v>
      </c>
      <c r="PSO3002" s="1" t="n">
        <v>0</v>
      </c>
      <c r="PSP3002" s="1" t="n">
        <v>0</v>
      </c>
      <c r="PSQ3002" s="1" t="n">
        <v>0</v>
      </c>
      <c r="PSR3002" s="1" t="n">
        <v>0</v>
      </c>
      <c r="PSS3002" s="1" t="n">
        <v>0</v>
      </c>
      <c r="PST3002" s="1" t="n">
        <v>0</v>
      </c>
      <c r="PSU3002" s="1" t="n">
        <v>0</v>
      </c>
      <c r="PSV3002" s="1" t="n">
        <v>0</v>
      </c>
      <c r="PSW3002" s="1" t="n">
        <v>0</v>
      </c>
      <c r="PSX3002" s="1" t="n">
        <v>0</v>
      </c>
      <c r="PSY3002" s="1" t="n">
        <v>0</v>
      </c>
      <c r="PSZ3002" s="1" t="n">
        <v>0</v>
      </c>
      <c r="PTA3002" s="1" t="n">
        <v>0</v>
      </c>
      <c r="PTB3002" s="1" t="n">
        <v>0</v>
      </c>
      <c r="PTC3002" s="1" t="n">
        <v>0</v>
      </c>
      <c r="PTD3002" s="1" t="n">
        <v>0</v>
      </c>
      <c r="PTE3002" s="1" t="n">
        <v>0</v>
      </c>
      <c r="PTF3002" s="1" t="n">
        <v>0</v>
      </c>
      <c r="PTG3002" s="1" t="n">
        <v>0</v>
      </c>
      <c r="PTH3002" s="1" t="n">
        <v>0</v>
      </c>
      <c r="PTI3002" s="1" t="n">
        <v>0</v>
      </c>
      <c r="PTJ3002" s="1" t="n">
        <v>0</v>
      </c>
      <c r="PTK3002" s="1" t="n">
        <v>0</v>
      </c>
      <c r="PTL3002" s="1" t="n">
        <v>0</v>
      </c>
      <c r="PTM3002" s="1" t="n">
        <v>0</v>
      </c>
      <c r="PTN3002" s="1" t="n">
        <v>0</v>
      </c>
      <c r="PTO3002" s="1" t="n">
        <v>0</v>
      </c>
      <c r="PTP3002" s="1" t="n">
        <v>0</v>
      </c>
      <c r="PTQ3002" s="1" t="n">
        <v>0</v>
      </c>
      <c r="PTR3002" s="1" t="n">
        <v>0</v>
      </c>
      <c r="PTS3002" s="1" t="n">
        <v>0</v>
      </c>
      <c r="PTT3002" s="1" t="n">
        <v>0</v>
      </c>
      <c r="PTU3002" s="1" t="n">
        <v>0</v>
      </c>
      <c r="PTV3002" s="1" t="n">
        <v>0</v>
      </c>
      <c r="PTW3002" s="1" t="n">
        <v>0</v>
      </c>
      <c r="PTX3002" s="1" t="n">
        <v>0</v>
      </c>
      <c r="PTY3002" s="1" t="n">
        <v>0</v>
      </c>
      <c r="PTZ3002" s="1" t="n">
        <v>0</v>
      </c>
      <c r="PUA3002" s="1" t="n">
        <v>0</v>
      </c>
      <c r="PUB3002" s="1" t="n">
        <v>0</v>
      </c>
      <c r="PUC3002" s="1" t="n">
        <v>0</v>
      </c>
      <c r="PUD3002" s="1" t="n">
        <v>0</v>
      </c>
      <c r="PUE3002" s="1" t="n">
        <v>0</v>
      </c>
      <c r="PUF3002" s="1" t="n">
        <v>0</v>
      </c>
      <c r="PUG3002" s="1" t="n">
        <v>0</v>
      </c>
      <c r="PUH3002" s="1" t="n">
        <v>0</v>
      </c>
      <c r="PUI3002" s="1" t="n">
        <v>0</v>
      </c>
      <c r="PUJ3002" s="1" t="n">
        <v>0</v>
      </c>
      <c r="PUK3002" s="1" t="n">
        <v>0</v>
      </c>
      <c r="PUL3002" s="1" t="n">
        <v>0</v>
      </c>
      <c r="PUM3002" s="1" t="n">
        <v>0</v>
      </c>
      <c r="PUN3002" s="1" t="n">
        <v>0</v>
      </c>
      <c r="PUO3002" s="1" t="n">
        <v>0</v>
      </c>
      <c r="PUP3002" s="1" t="n">
        <v>0</v>
      </c>
      <c r="PUQ3002" s="1" t="n">
        <v>0</v>
      </c>
      <c r="PUR3002" s="1" t="n">
        <v>0</v>
      </c>
      <c r="PUS3002" s="1" t="n">
        <v>0</v>
      </c>
      <c r="PUT3002" s="1" t="n">
        <v>0</v>
      </c>
      <c r="PUU3002" s="1" t="n">
        <v>0</v>
      </c>
      <c r="PUV3002" s="1" t="n">
        <v>0</v>
      </c>
      <c r="PUW3002" s="1" t="n">
        <v>0</v>
      </c>
      <c r="PUX3002" s="1" t="n">
        <v>0</v>
      </c>
      <c r="PUY3002" s="1" t="n">
        <v>0</v>
      </c>
      <c r="PUZ3002" s="1" t="n">
        <v>0</v>
      </c>
      <c r="PVA3002" s="1" t="n">
        <v>0</v>
      </c>
      <c r="PVB3002" s="1" t="n">
        <v>0</v>
      </c>
      <c r="PVC3002" s="1" t="n">
        <v>0</v>
      </c>
      <c r="PVD3002" s="1" t="n">
        <v>0</v>
      </c>
      <c r="PVE3002" s="1" t="n">
        <v>0</v>
      </c>
      <c r="PVF3002" s="1" t="n">
        <v>0</v>
      </c>
      <c r="PVG3002" s="1" t="n">
        <v>0</v>
      </c>
      <c r="PVH3002" s="1" t="n">
        <v>0</v>
      </c>
      <c r="PVI3002" s="1" t="n">
        <v>0</v>
      </c>
      <c r="PVJ3002" s="1" t="n">
        <v>0</v>
      </c>
      <c r="PVK3002" s="1" t="n">
        <v>0</v>
      </c>
      <c r="PVL3002" s="1" t="n">
        <v>0</v>
      </c>
      <c r="PVM3002" s="1" t="n">
        <v>0</v>
      </c>
      <c r="PVN3002" s="1" t="n">
        <v>0</v>
      </c>
      <c r="PVO3002" s="1" t="n">
        <v>0</v>
      </c>
      <c r="PVP3002" s="1" t="n">
        <v>0</v>
      </c>
      <c r="PVQ3002" s="1" t="n">
        <v>0</v>
      </c>
      <c r="PVR3002" s="1" t="n">
        <v>0</v>
      </c>
      <c r="PVS3002" s="1" t="n">
        <v>0</v>
      </c>
      <c r="PVT3002" s="1" t="n">
        <v>0</v>
      </c>
      <c r="PVU3002" s="1" t="n">
        <v>0</v>
      </c>
      <c r="PVV3002" s="1" t="n">
        <v>0</v>
      </c>
      <c r="PVW3002" s="1" t="n">
        <v>0</v>
      </c>
      <c r="PVX3002" s="1" t="n">
        <v>0</v>
      </c>
      <c r="PVY3002" s="1" t="n">
        <v>0</v>
      </c>
      <c r="PVZ3002" s="1" t="n">
        <v>0</v>
      </c>
      <c r="PWA3002" s="1" t="n">
        <v>0</v>
      </c>
      <c r="PWB3002" s="1" t="n">
        <v>0</v>
      </c>
      <c r="PWC3002" s="1" t="n">
        <v>0</v>
      </c>
      <c r="PWD3002" s="1" t="n">
        <v>0</v>
      </c>
      <c r="PWE3002" s="1" t="n">
        <v>0</v>
      </c>
      <c r="PWF3002" s="1" t="n">
        <v>0</v>
      </c>
      <c r="PWG3002" s="1" t="n">
        <v>0</v>
      </c>
      <c r="PWH3002" s="1" t="n">
        <v>0</v>
      </c>
      <c r="PWI3002" s="1" t="n">
        <v>0</v>
      </c>
      <c r="PWJ3002" s="1" t="n">
        <v>0</v>
      </c>
      <c r="PWK3002" s="1" t="n">
        <v>0</v>
      </c>
      <c r="PWL3002" s="1" t="n">
        <v>0</v>
      </c>
      <c r="PWM3002" s="1" t="n">
        <v>0</v>
      </c>
      <c r="PWN3002" s="1" t="n">
        <v>0</v>
      </c>
      <c r="PWO3002" s="1" t="n">
        <v>0</v>
      </c>
      <c r="PWP3002" s="1" t="n">
        <v>0</v>
      </c>
      <c r="PWQ3002" s="1" t="n">
        <v>0</v>
      </c>
      <c r="PWR3002" s="1" t="n">
        <v>0</v>
      </c>
      <c r="PWS3002" s="1" t="n">
        <v>0</v>
      </c>
      <c r="PWT3002" s="1" t="n">
        <v>0</v>
      </c>
      <c r="PWU3002" s="1" t="n">
        <v>0</v>
      </c>
      <c r="PWV3002" s="1" t="n">
        <v>0</v>
      </c>
      <c r="PWW3002" s="1" t="n">
        <v>0</v>
      </c>
      <c r="PWX3002" s="1" t="n">
        <v>0</v>
      </c>
      <c r="PWY3002" s="1" t="n">
        <v>0</v>
      </c>
      <c r="PWZ3002" s="1" t="n">
        <v>0</v>
      </c>
      <c r="PXA3002" s="1" t="n">
        <v>0</v>
      </c>
      <c r="PXB3002" s="1" t="n">
        <v>0</v>
      </c>
      <c r="PXC3002" s="1" t="n">
        <v>0</v>
      </c>
      <c r="PXD3002" s="1" t="n">
        <v>0</v>
      </c>
      <c r="PXE3002" s="1" t="n">
        <v>0</v>
      </c>
      <c r="PXF3002" s="1" t="n">
        <v>0</v>
      </c>
      <c r="PXG3002" s="1" t="n">
        <v>0</v>
      </c>
      <c r="PXH3002" s="1" t="n">
        <v>0</v>
      </c>
      <c r="PXI3002" s="1" t="n">
        <v>0</v>
      </c>
      <c r="PXJ3002" s="1" t="n">
        <v>0</v>
      </c>
      <c r="PXK3002" s="1" t="n">
        <v>0</v>
      </c>
      <c r="PXL3002" s="1" t="n">
        <v>0</v>
      </c>
      <c r="PXM3002" s="1" t="n">
        <v>0</v>
      </c>
      <c r="PXN3002" s="1" t="n">
        <v>0</v>
      </c>
      <c r="PXO3002" s="1" t="n">
        <v>0</v>
      </c>
      <c r="PXP3002" s="1" t="n">
        <v>0</v>
      </c>
      <c r="PXQ3002" s="1" t="n">
        <v>0</v>
      </c>
      <c r="PXR3002" s="1" t="n">
        <v>0</v>
      </c>
      <c r="PXS3002" s="1" t="n">
        <v>0</v>
      </c>
      <c r="PXT3002" s="1" t="n">
        <v>0</v>
      </c>
      <c r="PXU3002" s="1" t="n">
        <v>0</v>
      </c>
      <c r="PXV3002" s="1" t="n">
        <v>0</v>
      </c>
      <c r="PXW3002" s="1" t="n">
        <v>0</v>
      </c>
      <c r="PXX3002" s="1" t="n">
        <v>0</v>
      </c>
      <c r="PXY3002" s="1" t="n">
        <v>0</v>
      </c>
      <c r="PXZ3002" s="1" t="n">
        <v>0</v>
      </c>
      <c r="PYA3002" s="1" t="n">
        <v>0</v>
      </c>
      <c r="PYB3002" s="1" t="n">
        <v>0</v>
      </c>
      <c r="PYC3002" s="1" t="n">
        <v>0</v>
      </c>
      <c r="PYD3002" s="1" t="n">
        <v>0</v>
      </c>
      <c r="PYE3002" s="1" t="n">
        <v>0</v>
      </c>
      <c r="PYF3002" s="1" t="n">
        <v>0</v>
      </c>
      <c r="PYG3002" s="1" t="n">
        <v>0</v>
      </c>
      <c r="PYH3002" s="1" t="n">
        <v>0</v>
      </c>
      <c r="PYI3002" s="1" t="n">
        <v>0</v>
      </c>
      <c r="PYJ3002" s="1" t="n">
        <v>0</v>
      </c>
      <c r="PYK3002" s="1" t="n">
        <v>0</v>
      </c>
      <c r="PYL3002" s="1" t="n">
        <v>0</v>
      </c>
      <c r="PYM3002" s="1" t="n">
        <v>0</v>
      </c>
      <c r="PYN3002" s="1" t="n">
        <v>0</v>
      </c>
      <c r="PYO3002" s="1" t="n">
        <v>0</v>
      </c>
      <c r="PYP3002" s="1" t="n">
        <v>0</v>
      </c>
      <c r="PYQ3002" s="1" t="n">
        <v>0</v>
      </c>
      <c r="PYR3002" s="1" t="n">
        <v>0</v>
      </c>
      <c r="PYS3002" s="1" t="n">
        <v>0</v>
      </c>
      <c r="PYT3002" s="1" t="n">
        <v>0</v>
      </c>
      <c r="PYU3002" s="1" t="n">
        <v>0</v>
      </c>
      <c r="PYV3002" s="1" t="n">
        <v>0</v>
      </c>
      <c r="PYW3002" s="1" t="n">
        <v>0</v>
      </c>
      <c r="PYX3002" s="1" t="n">
        <v>0</v>
      </c>
      <c r="PYY3002" s="1" t="n">
        <v>0</v>
      </c>
      <c r="PYZ3002" s="1" t="n">
        <v>0</v>
      </c>
      <c r="PZA3002" s="1" t="n">
        <v>0</v>
      </c>
      <c r="PZB3002" s="1" t="n">
        <v>0</v>
      </c>
      <c r="PZC3002" s="1" t="n">
        <v>0</v>
      </c>
      <c r="PZD3002" s="1" t="n">
        <v>0</v>
      </c>
      <c r="PZE3002" s="1" t="n">
        <v>0</v>
      </c>
      <c r="PZF3002" s="1" t="n">
        <v>0</v>
      </c>
      <c r="PZG3002" s="1" t="n">
        <v>0</v>
      </c>
      <c r="PZH3002" s="1" t="n">
        <v>0</v>
      </c>
      <c r="PZI3002" s="1" t="n">
        <v>0</v>
      </c>
      <c r="PZJ3002" s="1" t="n">
        <v>0</v>
      </c>
      <c r="PZK3002" s="1" t="n">
        <v>0</v>
      </c>
      <c r="PZL3002" s="1" t="n">
        <v>0</v>
      </c>
      <c r="PZM3002" s="1" t="n">
        <v>0</v>
      </c>
      <c r="PZN3002" s="1" t="n">
        <v>0</v>
      </c>
      <c r="PZO3002" s="1" t="n">
        <v>0</v>
      </c>
      <c r="PZP3002" s="1" t="n">
        <v>0</v>
      </c>
      <c r="PZQ3002" s="1" t="n">
        <v>0</v>
      </c>
      <c r="PZR3002" s="1" t="n">
        <v>0</v>
      </c>
      <c r="PZS3002" s="1" t="n">
        <v>0</v>
      </c>
      <c r="PZT3002" s="1" t="n">
        <v>0</v>
      </c>
      <c r="PZU3002" s="1" t="n">
        <v>0</v>
      </c>
      <c r="PZV3002" s="1" t="n">
        <v>0</v>
      </c>
      <c r="PZW3002" s="1" t="n">
        <v>0</v>
      </c>
      <c r="PZX3002" s="1" t="n">
        <v>0</v>
      </c>
      <c r="PZY3002" s="1" t="n">
        <v>0</v>
      </c>
      <c r="PZZ3002" s="1" t="n">
        <v>0</v>
      </c>
      <c r="QAA3002" s="1" t="n">
        <v>0</v>
      </c>
      <c r="QAB3002" s="1" t="n">
        <v>0</v>
      </c>
      <c r="QAC3002" s="1" t="n">
        <v>0</v>
      </c>
      <c r="QAD3002" s="1" t="n">
        <v>0</v>
      </c>
      <c r="QAE3002" s="1" t="n">
        <v>0</v>
      </c>
      <c r="QAF3002" s="1" t="n">
        <v>0</v>
      </c>
      <c r="QAG3002" s="1" t="n">
        <v>0</v>
      </c>
      <c r="QAH3002" s="1" t="n">
        <v>0</v>
      </c>
      <c r="QAI3002" s="1" t="n">
        <v>0</v>
      </c>
      <c r="QAJ3002" s="1" t="n">
        <v>0</v>
      </c>
      <c r="QAK3002" s="1" t="n">
        <v>0</v>
      </c>
      <c r="QAL3002" s="1" t="n">
        <v>0</v>
      </c>
      <c r="QAM3002" s="1" t="n">
        <v>0</v>
      </c>
      <c r="QAN3002" s="1" t="n">
        <v>0</v>
      </c>
      <c r="QAO3002" s="1" t="n">
        <v>0</v>
      </c>
      <c r="QAP3002" s="1" t="n">
        <v>0</v>
      </c>
      <c r="QAQ3002" s="1" t="n">
        <v>0</v>
      </c>
      <c r="QAR3002" s="1" t="n">
        <v>0</v>
      </c>
      <c r="QAS3002" s="1" t="n">
        <v>0</v>
      </c>
      <c r="QAT3002" s="1" t="n">
        <v>0</v>
      </c>
      <c r="QAU3002" s="1" t="n">
        <v>0</v>
      </c>
      <c r="QAV3002" s="1" t="n">
        <v>0</v>
      </c>
      <c r="QAW3002" s="1" t="n">
        <v>0</v>
      </c>
      <c r="QAX3002" s="1" t="n">
        <v>0</v>
      </c>
      <c r="QAY3002" s="1" t="n">
        <v>0</v>
      </c>
      <c r="QAZ3002" s="1" t="n">
        <v>0</v>
      </c>
      <c r="QBA3002" s="1" t="n">
        <v>0</v>
      </c>
      <c r="QBB3002" s="1" t="n">
        <v>0</v>
      </c>
      <c r="QBC3002" s="1" t="n">
        <v>0</v>
      </c>
      <c r="QBD3002" s="1" t="n">
        <v>0</v>
      </c>
      <c r="QBE3002" s="1" t="n">
        <v>0</v>
      </c>
      <c r="QBF3002" s="1" t="n">
        <v>0</v>
      </c>
      <c r="QBG3002" s="1" t="n">
        <v>0</v>
      </c>
      <c r="QBH3002" s="1" t="n">
        <v>0</v>
      </c>
      <c r="QBI3002" s="1" t="n">
        <v>0</v>
      </c>
      <c r="QBJ3002" s="1" t="n">
        <v>0</v>
      </c>
      <c r="QBK3002" s="1" t="n">
        <v>0</v>
      </c>
      <c r="QBL3002" s="1" t="n">
        <v>0</v>
      </c>
      <c r="QBM3002" s="1" t="n">
        <v>0</v>
      </c>
      <c r="QBN3002" s="1" t="n">
        <v>0</v>
      </c>
      <c r="QBO3002" s="1" t="n">
        <v>0</v>
      </c>
      <c r="QBP3002" s="1" t="n">
        <v>0</v>
      </c>
      <c r="QBQ3002" s="1" t="n">
        <v>0</v>
      </c>
      <c r="QBR3002" s="1" t="n">
        <v>0</v>
      </c>
      <c r="QBS3002" s="1" t="n">
        <v>0</v>
      </c>
      <c r="QBT3002" s="1" t="n">
        <v>0</v>
      </c>
      <c r="QBU3002" s="1" t="n">
        <v>0</v>
      </c>
      <c r="QBV3002" s="1" t="n">
        <v>0</v>
      </c>
      <c r="QBW3002" s="1" t="n">
        <v>0</v>
      </c>
      <c r="QBX3002" s="1" t="n">
        <v>0</v>
      </c>
      <c r="QBY3002" s="1" t="n">
        <v>0</v>
      </c>
      <c r="QBZ3002" s="1" t="n">
        <v>0</v>
      </c>
      <c r="QCA3002" s="1" t="n">
        <v>0</v>
      </c>
      <c r="QCB3002" s="1" t="n">
        <v>0</v>
      </c>
      <c r="QCC3002" s="1" t="n">
        <v>0</v>
      </c>
      <c r="QCD3002" s="1" t="n">
        <v>0</v>
      </c>
      <c r="QCE3002" s="1" t="n">
        <v>0</v>
      </c>
      <c r="QCF3002" s="1" t="n">
        <v>0</v>
      </c>
      <c r="QCG3002" s="1" t="n">
        <v>0</v>
      </c>
      <c r="QCH3002" s="1" t="n">
        <v>0</v>
      </c>
      <c r="QCI3002" s="1" t="n">
        <v>0</v>
      </c>
      <c r="QCJ3002" s="1" t="n">
        <v>0</v>
      </c>
      <c r="QCK3002" s="1" t="n">
        <v>0</v>
      </c>
      <c r="QCL3002" s="1" t="n">
        <v>0</v>
      </c>
      <c r="QCM3002" s="1" t="n">
        <v>0</v>
      </c>
      <c r="QCN3002" s="1" t="n">
        <v>0</v>
      </c>
      <c r="QCO3002" s="1" t="n">
        <v>0</v>
      </c>
      <c r="QCP3002" s="1" t="n">
        <v>0</v>
      </c>
      <c r="QCQ3002" s="1" t="n">
        <v>0</v>
      </c>
      <c r="QCR3002" s="1" t="n">
        <v>0</v>
      </c>
      <c r="QCS3002" s="1" t="n">
        <v>0</v>
      </c>
      <c r="QCT3002" s="1" t="n">
        <v>0</v>
      </c>
      <c r="QCU3002" s="1" t="n">
        <v>0</v>
      </c>
      <c r="QCV3002" s="1" t="n">
        <v>0</v>
      </c>
      <c r="QCW3002" s="1" t="n">
        <v>0</v>
      </c>
      <c r="QCX3002" s="1" t="n">
        <v>0</v>
      </c>
      <c r="QCY3002" s="1" t="n">
        <v>0</v>
      </c>
      <c r="QCZ3002" s="1" t="n">
        <v>0</v>
      </c>
      <c r="QDA3002" s="1" t="n">
        <v>0</v>
      </c>
      <c r="QDB3002" s="1" t="n">
        <v>0</v>
      </c>
      <c r="QDC3002" s="1" t="n">
        <v>0</v>
      </c>
      <c r="QDD3002" s="1" t="n">
        <v>0</v>
      </c>
      <c r="QDE3002" s="1" t="n">
        <v>0</v>
      </c>
      <c r="QDF3002" s="1" t="n">
        <v>0</v>
      </c>
      <c r="QDG3002" s="1" t="n">
        <v>0</v>
      </c>
      <c r="QDH3002" s="1" t="n">
        <v>0</v>
      </c>
      <c r="QDI3002" s="1" t="n">
        <v>0</v>
      </c>
      <c r="QDJ3002" s="1" t="n">
        <v>0</v>
      </c>
      <c r="QDK3002" s="1" t="n">
        <v>0</v>
      </c>
      <c r="QDL3002" s="1" t="n">
        <v>0</v>
      </c>
      <c r="QDM3002" s="1" t="n">
        <v>0</v>
      </c>
      <c r="QDN3002" s="1" t="n">
        <v>0</v>
      </c>
      <c r="QDO3002" s="1" t="n">
        <v>0</v>
      </c>
      <c r="QDP3002" s="1" t="n">
        <v>0</v>
      </c>
      <c r="QDQ3002" s="1" t="n">
        <v>0</v>
      </c>
      <c r="QDR3002" s="1" t="n">
        <v>0</v>
      </c>
      <c r="QDS3002" s="1" t="n">
        <v>0</v>
      </c>
      <c r="QDT3002" s="1" t="n">
        <v>0</v>
      </c>
      <c r="QDU3002" s="1" t="n">
        <v>0</v>
      </c>
      <c r="QDV3002" s="1" t="n">
        <v>0</v>
      </c>
      <c r="QDW3002" s="1" t="n">
        <v>0</v>
      </c>
      <c r="QDX3002" s="1" t="n">
        <v>0</v>
      </c>
      <c r="QDY3002" s="1" t="n">
        <v>0</v>
      </c>
      <c r="QDZ3002" s="1" t="n">
        <v>0</v>
      </c>
      <c r="QEA3002" s="1" t="n">
        <v>0</v>
      </c>
      <c r="QEB3002" s="1" t="n">
        <v>0</v>
      </c>
      <c r="QEC3002" s="1" t="n">
        <v>0</v>
      </c>
      <c r="QED3002" s="1" t="n">
        <v>0</v>
      </c>
      <c r="QEE3002" s="1" t="n">
        <v>0</v>
      </c>
      <c r="QEF3002" s="1" t="n">
        <v>0</v>
      </c>
      <c r="QEG3002" s="1" t="n">
        <v>0</v>
      </c>
      <c r="QEH3002" s="1" t="n">
        <v>0</v>
      </c>
      <c r="QEI3002" s="1" t="n">
        <v>0</v>
      </c>
      <c r="QEJ3002" s="1" t="n">
        <v>0</v>
      </c>
      <c r="QEK3002" s="1" t="n">
        <v>0</v>
      </c>
      <c r="QEL3002" s="1" t="n">
        <v>0</v>
      </c>
      <c r="QEM3002" s="1" t="n">
        <v>0</v>
      </c>
      <c r="QEN3002" s="1" t="n">
        <v>0</v>
      </c>
      <c r="QEO3002" s="1" t="n">
        <v>0</v>
      </c>
      <c r="QEP3002" s="1" t="n">
        <v>0</v>
      </c>
      <c r="QEQ3002" s="1" t="n">
        <v>0</v>
      </c>
      <c r="QER3002" s="1" t="n">
        <v>0</v>
      </c>
      <c r="QES3002" s="1" t="n">
        <v>0</v>
      </c>
      <c r="QET3002" s="1" t="n">
        <v>0</v>
      </c>
      <c r="QEU3002" s="1" t="n">
        <v>0</v>
      </c>
      <c r="QEV3002" s="1" t="n">
        <v>0</v>
      </c>
      <c r="QEW3002" s="1" t="n">
        <v>0</v>
      </c>
      <c r="QEX3002" s="1" t="n">
        <v>0</v>
      </c>
      <c r="QEY3002" s="1" t="n">
        <v>0</v>
      </c>
      <c r="QEZ3002" s="1" t="n">
        <v>0</v>
      </c>
      <c r="QFA3002" s="1" t="n">
        <v>0</v>
      </c>
      <c r="QFB3002" s="1" t="n">
        <v>0</v>
      </c>
      <c r="QFC3002" s="1" t="n">
        <v>0</v>
      </c>
      <c r="QFD3002" s="1" t="n">
        <v>0</v>
      </c>
      <c r="QFE3002" s="1" t="n">
        <v>0</v>
      </c>
      <c r="QFF3002" s="1" t="n">
        <v>0</v>
      </c>
      <c r="QFG3002" s="1" t="n">
        <v>0</v>
      </c>
      <c r="QFH3002" s="1" t="n">
        <v>0</v>
      </c>
      <c r="QFI3002" s="1" t="n">
        <v>0</v>
      </c>
      <c r="QFJ3002" s="1" t="n">
        <v>0</v>
      </c>
      <c r="QFK3002" s="1" t="n">
        <v>0</v>
      </c>
      <c r="QFL3002" s="1" t="n">
        <v>0</v>
      </c>
      <c r="QFM3002" s="1" t="n">
        <v>0</v>
      </c>
      <c r="QFN3002" s="1" t="n">
        <v>0</v>
      </c>
      <c r="QFO3002" s="1" t="n">
        <v>0</v>
      </c>
      <c r="QFP3002" s="1" t="n">
        <v>0</v>
      </c>
      <c r="QFQ3002" s="1" t="n">
        <v>0</v>
      </c>
      <c r="QFR3002" s="1" t="n">
        <v>0</v>
      </c>
      <c r="QFS3002" s="1" t="n">
        <v>0</v>
      </c>
      <c r="QFT3002" s="1" t="n">
        <v>0</v>
      </c>
      <c r="QFU3002" s="1" t="n">
        <v>0</v>
      </c>
      <c r="QFV3002" s="1" t="n">
        <v>0</v>
      </c>
      <c r="QFW3002" s="1" t="n">
        <v>0</v>
      </c>
      <c r="QFX3002" s="1" t="n">
        <v>0</v>
      </c>
      <c r="QFY3002" s="1" t="n">
        <v>0</v>
      </c>
      <c r="QFZ3002" s="1" t="n">
        <v>0</v>
      </c>
      <c r="QGA3002" s="1" t="n">
        <v>0</v>
      </c>
      <c r="QGB3002" s="1" t="n">
        <v>0</v>
      </c>
      <c r="QGC3002" s="1" t="n">
        <v>0</v>
      </c>
      <c r="QGD3002" s="1" t="n">
        <v>0</v>
      </c>
      <c r="QGE3002" s="1" t="n">
        <v>0</v>
      </c>
      <c r="QGF3002" s="1" t="n">
        <v>0</v>
      </c>
      <c r="QGG3002" s="1" t="n">
        <v>0</v>
      </c>
      <c r="QGH3002" s="1" t="n">
        <v>0</v>
      </c>
      <c r="QGI3002" s="1" t="n">
        <v>0</v>
      </c>
      <c r="QGJ3002" s="1" t="n">
        <v>0</v>
      </c>
      <c r="QGK3002" s="1" t="n">
        <v>0</v>
      </c>
      <c r="QGL3002" s="1" t="n">
        <v>0</v>
      </c>
      <c r="QGM3002" s="1" t="n">
        <v>0</v>
      </c>
      <c r="QGN3002" s="1" t="n">
        <v>0</v>
      </c>
      <c r="QGO3002" s="1" t="n">
        <v>0</v>
      </c>
      <c r="QGP3002" s="1" t="n">
        <v>0</v>
      </c>
      <c r="QGQ3002" s="1" t="n">
        <v>0</v>
      </c>
      <c r="QGR3002" s="1" t="n">
        <v>0</v>
      </c>
      <c r="QGS3002" s="1" t="n">
        <v>0</v>
      </c>
      <c r="QGT3002" s="1" t="n">
        <v>0</v>
      </c>
      <c r="QGU3002" s="1" t="n">
        <v>0</v>
      </c>
      <c r="QGV3002" s="1" t="n">
        <v>0</v>
      </c>
      <c r="QGW3002" s="1" t="n">
        <v>0</v>
      </c>
      <c r="QGX3002" s="1" t="n">
        <v>0</v>
      </c>
      <c r="QGY3002" s="1" t="n">
        <v>0</v>
      </c>
      <c r="QGZ3002" s="1" t="n">
        <v>0</v>
      </c>
      <c r="QHA3002" s="1" t="n">
        <v>0</v>
      </c>
      <c r="QHB3002" s="1" t="n">
        <v>0</v>
      </c>
      <c r="QHC3002" s="1" t="n">
        <v>0</v>
      </c>
      <c r="QHD3002" s="1" t="n">
        <v>0</v>
      </c>
      <c r="QHE3002" s="1" t="n">
        <v>0</v>
      </c>
      <c r="QHF3002" s="1" t="n">
        <v>0</v>
      </c>
      <c r="QHG3002" s="1" t="n">
        <v>0</v>
      </c>
      <c r="QHH3002" s="1" t="n">
        <v>0</v>
      </c>
      <c r="QHI3002" s="1" t="n">
        <v>0</v>
      </c>
      <c r="QHJ3002" s="1" t="n">
        <v>0</v>
      </c>
      <c r="QHK3002" s="1" t="n">
        <v>0</v>
      </c>
      <c r="QHL3002" s="1" t="n">
        <v>0</v>
      </c>
      <c r="QHM3002" s="1" t="n">
        <v>0</v>
      </c>
      <c r="QHN3002" s="1" t="n">
        <v>0</v>
      </c>
      <c r="QHO3002" s="1" t="n">
        <v>0</v>
      </c>
      <c r="QHP3002" s="1" t="n">
        <v>0</v>
      </c>
      <c r="QHQ3002" s="1" t="n">
        <v>0</v>
      </c>
      <c r="QHR3002" s="1" t="n">
        <v>0</v>
      </c>
      <c r="QHS3002" s="1" t="n">
        <v>0</v>
      </c>
      <c r="QHT3002" s="1" t="n">
        <v>0</v>
      </c>
      <c r="QHU3002" s="1" t="n">
        <v>0</v>
      </c>
      <c r="QHV3002" s="1" t="n">
        <v>0</v>
      </c>
      <c r="QHW3002" s="1" t="n">
        <v>0</v>
      </c>
      <c r="QHX3002" s="1" t="n">
        <v>0</v>
      </c>
      <c r="QHY3002" s="1" t="n">
        <v>0</v>
      </c>
      <c r="QHZ3002" s="1" t="n">
        <v>0</v>
      </c>
      <c r="QIA3002" s="1" t="n">
        <v>0</v>
      </c>
      <c r="QIB3002" s="1" t="n">
        <v>0</v>
      </c>
      <c r="QIC3002" s="1" t="n">
        <v>0</v>
      </c>
      <c r="QID3002" s="1" t="n">
        <v>0</v>
      </c>
      <c r="QIE3002" s="1" t="n">
        <v>0</v>
      </c>
      <c r="QIF3002" s="1" t="n">
        <v>0</v>
      </c>
      <c r="QIG3002" s="1" t="n">
        <v>0</v>
      </c>
      <c r="QIH3002" s="1" t="n">
        <v>0</v>
      </c>
      <c r="QII3002" s="1" t="n">
        <v>0</v>
      </c>
      <c r="QIJ3002" s="1" t="n">
        <v>0</v>
      </c>
      <c r="QIK3002" s="1" t="n">
        <v>0</v>
      </c>
      <c r="QIL3002" s="1" t="n">
        <v>0</v>
      </c>
      <c r="QIM3002" s="1" t="n">
        <v>0</v>
      </c>
      <c r="QIN3002" s="1" t="n">
        <v>0</v>
      </c>
      <c r="QIO3002" s="1" t="n">
        <v>0</v>
      </c>
      <c r="QIP3002" s="1" t="n">
        <v>0</v>
      </c>
      <c r="QIQ3002" s="1" t="n">
        <v>0</v>
      </c>
      <c r="QIR3002" s="1" t="n">
        <v>0</v>
      </c>
      <c r="QIS3002" s="1" t="n">
        <v>0</v>
      </c>
      <c r="QIT3002" s="1" t="n">
        <v>0</v>
      </c>
      <c r="QIU3002" s="1" t="n">
        <v>0</v>
      </c>
      <c r="QIV3002" s="1" t="n">
        <v>0</v>
      </c>
      <c r="QIW3002" s="1" t="n">
        <v>0</v>
      </c>
      <c r="QIX3002" s="1" t="n">
        <v>0</v>
      </c>
      <c r="QIY3002" s="1" t="n">
        <v>0</v>
      </c>
      <c r="QIZ3002" s="1" t="n">
        <v>0</v>
      </c>
      <c r="QJA3002" s="1" t="n">
        <v>0</v>
      </c>
      <c r="QJB3002" s="1" t="n">
        <v>0</v>
      </c>
      <c r="QJC3002" s="1" t="n">
        <v>0</v>
      </c>
      <c r="QJD3002" s="1" t="n">
        <v>0</v>
      </c>
      <c r="QJE3002" s="1" t="n">
        <v>0</v>
      </c>
      <c r="QJF3002" s="1" t="n">
        <v>0</v>
      </c>
      <c r="QJG3002" s="1" t="n">
        <v>0</v>
      </c>
      <c r="QJH3002" s="1" t="n">
        <v>0</v>
      </c>
      <c r="QJI3002" s="1" t="n">
        <v>0</v>
      </c>
      <c r="QJJ3002" s="1" t="n">
        <v>0</v>
      </c>
      <c r="QJK3002" s="1" t="n">
        <v>0</v>
      </c>
      <c r="QJL3002" s="1" t="n">
        <v>0</v>
      </c>
      <c r="QJM3002" s="1" t="n">
        <v>0</v>
      </c>
      <c r="QJN3002" s="1" t="n">
        <v>0</v>
      </c>
      <c r="QJO3002" s="1" t="n">
        <v>0</v>
      </c>
      <c r="QJP3002" s="1" t="n">
        <v>0</v>
      </c>
      <c r="QJQ3002" s="1" t="n">
        <v>0</v>
      </c>
      <c r="QJR3002" s="1" t="n">
        <v>0</v>
      </c>
      <c r="QJS3002" s="1" t="n">
        <v>0</v>
      </c>
      <c r="QJT3002" s="1" t="n">
        <v>0</v>
      </c>
      <c r="QJU3002" s="1" t="n">
        <v>0</v>
      </c>
      <c r="QJV3002" s="1" t="n">
        <v>0</v>
      </c>
      <c r="QJW3002" s="1" t="n">
        <v>0</v>
      </c>
      <c r="QJX3002" s="1" t="n">
        <v>0</v>
      </c>
      <c r="QJY3002" s="1" t="n">
        <v>0</v>
      </c>
      <c r="QJZ3002" s="1" t="n">
        <v>0</v>
      </c>
      <c r="QKA3002" s="1" t="n">
        <v>0</v>
      </c>
      <c r="QKB3002" s="1" t="n">
        <v>0</v>
      </c>
      <c r="QKC3002" s="1" t="n">
        <v>0</v>
      </c>
      <c r="QKD3002" s="1" t="n">
        <v>0</v>
      </c>
      <c r="QKE3002" s="1" t="n">
        <v>0</v>
      </c>
      <c r="QKF3002" s="1" t="n">
        <v>0</v>
      </c>
      <c r="QKG3002" s="1" t="n">
        <v>0</v>
      </c>
      <c r="QKH3002" s="1" t="n">
        <v>0</v>
      </c>
      <c r="QKI3002" s="1" t="n">
        <v>0</v>
      </c>
      <c r="QKJ3002" s="1" t="n">
        <v>0</v>
      </c>
      <c r="QKK3002" s="1" t="n">
        <v>0</v>
      </c>
      <c r="QKL3002" s="1" t="n">
        <v>0</v>
      </c>
      <c r="QKM3002" s="1" t="n">
        <v>0</v>
      </c>
      <c r="QKN3002" s="1" t="n">
        <v>0</v>
      </c>
      <c r="QKO3002" s="1" t="n">
        <v>0</v>
      </c>
      <c r="QKP3002" s="1" t="n">
        <v>0</v>
      </c>
      <c r="QKQ3002" s="1" t="n">
        <v>0</v>
      </c>
      <c r="QKR3002" s="1" t="n">
        <v>0</v>
      </c>
      <c r="QKS3002" s="1" t="n">
        <v>0</v>
      </c>
      <c r="QKT3002" s="1" t="n">
        <v>0</v>
      </c>
      <c r="QKU3002" s="1" t="n">
        <v>0</v>
      </c>
      <c r="QKV3002" s="1" t="n">
        <v>0</v>
      </c>
      <c r="QKW3002" s="1" t="n">
        <v>0</v>
      </c>
      <c r="QKX3002" s="1" t="n">
        <v>0</v>
      </c>
      <c r="QKY3002" s="1" t="n">
        <v>0</v>
      </c>
      <c r="QKZ3002" s="1" t="n">
        <v>0</v>
      </c>
      <c r="QLA3002" s="1" t="n">
        <v>0</v>
      </c>
      <c r="QLB3002" s="1" t="n">
        <v>0</v>
      </c>
      <c r="QLC3002" s="1" t="n">
        <v>0</v>
      </c>
      <c r="QLD3002" s="1" t="n">
        <v>0</v>
      </c>
      <c r="QLE3002" s="1" t="n">
        <v>0</v>
      </c>
      <c r="QLF3002" s="1" t="n">
        <v>0</v>
      </c>
      <c r="QLG3002" s="1" t="n">
        <v>0</v>
      </c>
      <c r="QLH3002" s="1" t="n">
        <v>0</v>
      </c>
      <c r="QLI3002" s="1" t="n">
        <v>0</v>
      </c>
      <c r="QLJ3002" s="1" t="n">
        <v>0</v>
      </c>
      <c r="QLK3002" s="1" t="n">
        <v>0</v>
      </c>
      <c r="QLL3002" s="1" t="n">
        <v>0</v>
      </c>
      <c r="QLM3002" s="1" t="n">
        <v>0</v>
      </c>
      <c r="QLN3002" s="1" t="n">
        <v>0</v>
      </c>
      <c r="QLO3002" s="1" t="n">
        <v>0</v>
      </c>
      <c r="QLP3002" s="1" t="n">
        <v>0</v>
      </c>
      <c r="QLQ3002" s="1" t="n">
        <v>0</v>
      </c>
      <c r="QLR3002" s="1" t="n">
        <v>0</v>
      </c>
      <c r="QLS3002" s="1" t="n">
        <v>0</v>
      </c>
      <c r="QLT3002" s="1" t="n">
        <v>0</v>
      </c>
      <c r="QLU3002" s="1" t="n">
        <v>0</v>
      </c>
      <c r="QLV3002" s="1" t="n">
        <v>0</v>
      </c>
      <c r="QLW3002" s="1" t="n">
        <v>0</v>
      </c>
      <c r="QLX3002" s="1" t="n">
        <v>0</v>
      </c>
      <c r="QLY3002" s="1" t="n">
        <v>0</v>
      </c>
      <c r="QLZ3002" s="1" t="n">
        <v>0</v>
      </c>
      <c r="QMA3002" s="1" t="n">
        <v>0</v>
      </c>
      <c r="QMB3002" s="1" t="n">
        <v>0</v>
      </c>
      <c r="QMC3002" s="1" t="n">
        <v>0</v>
      </c>
      <c r="QMD3002" s="1" t="n">
        <v>0</v>
      </c>
      <c r="QME3002" s="1" t="n">
        <v>0</v>
      </c>
      <c r="QMF3002" s="1" t="n">
        <v>0</v>
      </c>
      <c r="QMG3002" s="1" t="n">
        <v>0</v>
      </c>
      <c r="QMH3002" s="1" t="n">
        <v>0</v>
      </c>
      <c r="QMI3002" s="1" t="n">
        <v>0</v>
      </c>
      <c r="QMJ3002" s="1" t="n">
        <v>0</v>
      </c>
      <c r="QMK3002" s="1" t="n">
        <v>0</v>
      </c>
      <c r="QML3002" s="1" t="n">
        <v>0</v>
      </c>
      <c r="QMM3002" s="1" t="n">
        <v>0</v>
      </c>
      <c r="QMN3002" s="1" t="n">
        <v>0</v>
      </c>
      <c r="QMO3002" s="1" t="n">
        <v>0</v>
      </c>
      <c r="QMP3002" s="1" t="n">
        <v>0</v>
      </c>
      <c r="QMQ3002" s="1" t="n">
        <v>0</v>
      </c>
      <c r="QMR3002" s="1" t="n">
        <v>0</v>
      </c>
      <c r="QMS3002" s="1" t="n">
        <v>0</v>
      </c>
      <c r="QMT3002" s="1" t="n">
        <v>0</v>
      </c>
      <c r="QMU3002" s="1" t="n">
        <v>0</v>
      </c>
      <c r="QMV3002" s="1" t="n">
        <v>0</v>
      </c>
      <c r="QMW3002" s="1" t="n">
        <v>0</v>
      </c>
      <c r="QMX3002" s="1" t="n">
        <v>0</v>
      </c>
      <c r="QMY3002" s="1" t="n">
        <v>0</v>
      </c>
      <c r="QMZ3002" s="1" t="n">
        <v>0</v>
      </c>
      <c r="QNA3002" s="1" t="n">
        <v>0</v>
      </c>
      <c r="QNB3002" s="1" t="n">
        <v>0</v>
      </c>
      <c r="QNC3002" s="1" t="n">
        <v>0</v>
      </c>
      <c r="QND3002" s="1" t="n">
        <v>0</v>
      </c>
      <c r="QNE3002" s="1" t="n">
        <v>0</v>
      </c>
      <c r="QNF3002" s="1" t="n">
        <v>0</v>
      </c>
      <c r="QNG3002" s="1" t="n">
        <v>0</v>
      </c>
      <c r="QNH3002" s="1" t="n">
        <v>0</v>
      </c>
      <c r="QNI3002" s="1" t="n">
        <v>0</v>
      </c>
      <c r="QNJ3002" s="1" t="n">
        <v>0</v>
      </c>
      <c r="QNK3002" s="1" t="n">
        <v>0</v>
      </c>
      <c r="QNL3002" s="1" t="n">
        <v>0</v>
      </c>
      <c r="QNM3002" s="1" t="n">
        <v>0</v>
      </c>
      <c r="QNN3002" s="1" t="n">
        <v>0</v>
      </c>
      <c r="QNO3002" s="1" t="n">
        <v>0</v>
      </c>
      <c r="QNP3002" s="1" t="n">
        <v>0</v>
      </c>
      <c r="QNQ3002" s="1" t="n">
        <v>0</v>
      </c>
      <c r="QNR3002" s="1" t="n">
        <v>0</v>
      </c>
      <c r="QNS3002" s="1" t="n">
        <v>0</v>
      </c>
      <c r="QNT3002" s="1" t="n">
        <v>0</v>
      </c>
      <c r="QNU3002" s="1" t="n">
        <v>0</v>
      </c>
      <c r="QNV3002" s="1" t="n">
        <v>0</v>
      </c>
      <c r="QNW3002" s="1" t="n">
        <v>0</v>
      </c>
      <c r="QNX3002" s="1" t="n">
        <v>0</v>
      </c>
      <c r="QNY3002" s="1" t="n">
        <v>0</v>
      </c>
      <c r="QNZ3002" s="1" t="n">
        <v>0</v>
      </c>
      <c r="QOA3002" s="1" t="n">
        <v>0</v>
      </c>
      <c r="QOB3002" s="1" t="n">
        <v>0</v>
      </c>
      <c r="QOC3002" s="1" t="n">
        <v>0</v>
      </c>
      <c r="QOD3002" s="1" t="n">
        <v>0</v>
      </c>
      <c r="QOE3002" s="1" t="n">
        <v>0</v>
      </c>
      <c r="QOF3002" s="1" t="n">
        <v>0</v>
      </c>
      <c r="QOG3002" s="1" t="n">
        <v>0</v>
      </c>
      <c r="QOH3002" s="1" t="n">
        <v>0</v>
      </c>
      <c r="QOI3002" s="1" t="n">
        <v>0</v>
      </c>
      <c r="QOJ3002" s="1" t="n">
        <v>0</v>
      </c>
      <c r="QOK3002" s="1" t="n">
        <v>0</v>
      </c>
      <c r="QOL3002" s="1" t="n">
        <v>0</v>
      </c>
      <c r="QOM3002" s="1" t="n">
        <v>0</v>
      </c>
      <c r="QON3002" s="1" t="n">
        <v>0</v>
      </c>
      <c r="QOO3002" s="1" t="n">
        <v>0</v>
      </c>
      <c r="QOP3002" s="1" t="n">
        <v>0</v>
      </c>
      <c r="QOQ3002" s="1" t="n">
        <v>0</v>
      </c>
      <c r="QOR3002" s="1" t="n">
        <v>0</v>
      </c>
      <c r="QOS3002" s="1" t="n">
        <v>0</v>
      </c>
      <c r="QOT3002" s="1" t="n">
        <v>0</v>
      </c>
      <c r="QOU3002" s="1" t="n">
        <v>0</v>
      </c>
      <c r="QOV3002" s="1" t="n">
        <v>0</v>
      </c>
      <c r="QOW3002" s="1" t="n">
        <v>0</v>
      </c>
      <c r="QOX3002" s="1" t="n">
        <v>0</v>
      </c>
      <c r="QOY3002" s="1" t="n">
        <v>0</v>
      </c>
      <c r="QOZ3002" s="1" t="n">
        <v>0</v>
      </c>
      <c r="QPA3002" s="1" t="n">
        <v>0</v>
      </c>
      <c r="QPB3002" s="1" t="n">
        <v>0</v>
      </c>
      <c r="QPC3002" s="1" t="n">
        <v>0</v>
      </c>
      <c r="QPD3002" s="1" t="n">
        <v>0</v>
      </c>
      <c r="QPE3002" s="1" t="n">
        <v>0</v>
      </c>
      <c r="QPF3002" s="1" t="n">
        <v>0</v>
      </c>
      <c r="QPG3002" s="1" t="n">
        <v>0</v>
      </c>
      <c r="QPH3002" s="1" t="n">
        <v>0</v>
      </c>
      <c r="QPI3002" s="1" t="n">
        <v>0</v>
      </c>
      <c r="QPJ3002" s="1" t="n">
        <v>0</v>
      </c>
      <c r="QPK3002" s="1" t="n">
        <v>0</v>
      </c>
      <c r="QPL3002" s="1" t="n">
        <v>0</v>
      </c>
      <c r="QPM3002" s="1" t="n">
        <v>0</v>
      </c>
      <c r="QPN3002" s="1" t="n">
        <v>0</v>
      </c>
      <c r="QPO3002" s="1" t="n">
        <v>0</v>
      </c>
      <c r="QPP3002" s="1" t="n">
        <v>0</v>
      </c>
      <c r="QPQ3002" s="1" t="n">
        <v>0</v>
      </c>
      <c r="QPR3002" s="1" t="n">
        <v>0</v>
      </c>
      <c r="QPS3002" s="1" t="n">
        <v>0</v>
      </c>
      <c r="QPT3002" s="1" t="n">
        <v>0</v>
      </c>
      <c r="QPU3002" s="1" t="n">
        <v>0</v>
      </c>
      <c r="QPV3002" s="1" t="n">
        <v>0</v>
      </c>
      <c r="QPW3002" s="1" t="n">
        <v>0</v>
      </c>
      <c r="QPX3002" s="1" t="n">
        <v>0</v>
      </c>
      <c r="QPY3002" s="1" t="n">
        <v>0</v>
      </c>
      <c r="QPZ3002" s="1" t="n">
        <v>0</v>
      </c>
      <c r="QQA3002" s="1" t="n">
        <v>0</v>
      </c>
      <c r="QQB3002" s="1" t="n">
        <v>0</v>
      </c>
      <c r="QQC3002" s="1" t="n">
        <v>0</v>
      </c>
      <c r="QQD3002" s="1" t="n">
        <v>0</v>
      </c>
      <c r="QQE3002" s="1" t="n">
        <v>0</v>
      </c>
      <c r="QQF3002" s="1" t="n">
        <v>0</v>
      </c>
      <c r="QQG3002" s="1" t="n">
        <v>0</v>
      </c>
      <c r="QQH3002" s="1" t="n">
        <v>0</v>
      </c>
      <c r="QQI3002" s="1" t="n">
        <v>0</v>
      </c>
      <c r="QQJ3002" s="1" t="n">
        <v>0</v>
      </c>
      <c r="QQK3002" s="1" t="n">
        <v>0</v>
      </c>
      <c r="QQL3002" s="1" t="n">
        <v>0</v>
      </c>
      <c r="QQM3002" s="1" t="n">
        <v>0</v>
      </c>
      <c r="QQN3002" s="1" t="n">
        <v>0</v>
      </c>
      <c r="QQO3002" s="1" t="n">
        <v>0</v>
      </c>
      <c r="QQP3002" s="1" t="n">
        <v>0</v>
      </c>
      <c r="QQQ3002" s="1" t="n">
        <v>0</v>
      </c>
      <c r="QQR3002" s="1" t="n">
        <v>0</v>
      </c>
      <c r="QQS3002" s="1" t="n">
        <v>0</v>
      </c>
      <c r="QQT3002" s="1" t="n">
        <v>0</v>
      </c>
      <c r="QQU3002" s="1" t="n">
        <v>0</v>
      </c>
      <c r="QQV3002" s="1" t="n">
        <v>0</v>
      </c>
      <c r="QQW3002" s="1" t="n">
        <v>0</v>
      </c>
      <c r="QQX3002" s="1" t="n">
        <v>0</v>
      </c>
      <c r="QQY3002" s="1" t="n">
        <v>0</v>
      </c>
      <c r="QQZ3002" s="1" t="n">
        <v>0</v>
      </c>
      <c r="QRA3002" s="1" t="n">
        <v>0</v>
      </c>
      <c r="QRB3002" s="1" t="n">
        <v>0</v>
      </c>
      <c r="QRC3002" s="1" t="n">
        <v>0</v>
      </c>
      <c r="QRD3002" s="1" t="n">
        <v>0</v>
      </c>
      <c r="QRE3002" s="1" t="n">
        <v>0</v>
      </c>
      <c r="QRF3002" s="1" t="n">
        <v>0</v>
      </c>
      <c r="QRG3002" s="1" t="n">
        <v>0</v>
      </c>
      <c r="QRH3002" s="1" t="n">
        <v>0</v>
      </c>
      <c r="QRI3002" s="1" t="n">
        <v>0</v>
      </c>
      <c r="QRJ3002" s="1" t="n">
        <v>0</v>
      </c>
      <c r="QRK3002" s="1" t="n">
        <v>0</v>
      </c>
      <c r="QRL3002" s="1" t="n">
        <v>0</v>
      </c>
      <c r="QRM3002" s="1" t="n">
        <v>0</v>
      </c>
      <c r="QRN3002" s="1" t="n">
        <v>0</v>
      </c>
      <c r="QRO3002" s="1" t="n">
        <v>0</v>
      </c>
      <c r="QRP3002" s="1" t="n">
        <v>0</v>
      </c>
      <c r="QRQ3002" s="1" t="n">
        <v>0</v>
      </c>
      <c r="QRR3002" s="1" t="n">
        <v>0</v>
      </c>
      <c r="QRS3002" s="1" t="n">
        <v>0</v>
      </c>
      <c r="QRT3002" s="1" t="n">
        <v>0</v>
      </c>
      <c r="QRU3002" s="1" t="n">
        <v>0</v>
      </c>
      <c r="QRV3002" s="1" t="n">
        <v>0</v>
      </c>
      <c r="QRW3002" s="1" t="n">
        <v>0</v>
      </c>
      <c r="QRX3002" s="1" t="n">
        <v>0</v>
      </c>
      <c r="QRY3002" s="1" t="n">
        <v>0</v>
      </c>
      <c r="QRZ3002" s="1" t="n">
        <v>0</v>
      </c>
      <c r="QSA3002" s="1" t="n">
        <v>0</v>
      </c>
      <c r="QSB3002" s="1" t="n">
        <v>0</v>
      </c>
      <c r="QSC3002" s="1" t="n">
        <v>0</v>
      </c>
      <c r="QSD3002" s="1" t="n">
        <v>0</v>
      </c>
      <c r="QSE3002" s="1" t="n">
        <v>0</v>
      </c>
      <c r="QSF3002" s="1" t="n">
        <v>0</v>
      </c>
      <c r="QSG3002" s="1" t="n">
        <v>0</v>
      </c>
      <c r="QSH3002" s="1" t="n">
        <v>0</v>
      </c>
      <c r="QSI3002" s="1" t="n">
        <v>0</v>
      </c>
      <c r="QSJ3002" s="1" t="n">
        <v>0</v>
      </c>
      <c r="QSK3002" s="1" t="n">
        <v>0</v>
      </c>
      <c r="QSL3002" s="1" t="n">
        <v>0</v>
      </c>
      <c r="QSM3002" s="1" t="n">
        <v>0</v>
      </c>
      <c r="QSN3002" s="1" t="n">
        <v>0</v>
      </c>
      <c r="QSO3002" s="1" t="n">
        <v>0</v>
      </c>
      <c r="QSP3002" s="1" t="n">
        <v>0</v>
      </c>
      <c r="QSQ3002" s="1" t="n">
        <v>0</v>
      </c>
      <c r="QSR3002" s="1" t="n">
        <v>0</v>
      </c>
      <c r="QSS3002" s="1" t="n">
        <v>0</v>
      </c>
      <c r="QST3002" s="1" t="n">
        <v>0</v>
      </c>
      <c r="QSU3002" s="1" t="n">
        <v>0</v>
      </c>
      <c r="QSV3002" s="1" t="n">
        <v>0</v>
      </c>
      <c r="QSW3002" s="1" t="n">
        <v>0</v>
      </c>
      <c r="QSX3002" s="1" t="n">
        <v>0</v>
      </c>
      <c r="QSY3002" s="1" t="n">
        <v>0</v>
      </c>
      <c r="QSZ3002" s="1" t="n">
        <v>0</v>
      </c>
      <c r="QTA3002" s="1" t="n">
        <v>0</v>
      </c>
      <c r="QTB3002" s="1" t="n">
        <v>0</v>
      </c>
      <c r="QTC3002" s="1" t="n">
        <v>0</v>
      </c>
      <c r="QTD3002" s="1" t="n">
        <v>0</v>
      </c>
      <c r="QTE3002" s="1" t="n">
        <v>0</v>
      </c>
      <c r="QTF3002" s="1" t="n">
        <v>0</v>
      </c>
      <c r="QTG3002" s="1" t="n">
        <v>0</v>
      </c>
      <c r="QTH3002" s="1" t="n">
        <v>0</v>
      </c>
      <c r="QTI3002" s="1" t="n">
        <v>0</v>
      </c>
      <c r="QTJ3002" s="1" t="n">
        <v>0</v>
      </c>
      <c r="QTK3002" s="1" t="n">
        <v>0</v>
      </c>
      <c r="QTL3002" s="1" t="n">
        <v>0</v>
      </c>
      <c r="QTM3002" s="1" t="n">
        <v>0</v>
      </c>
      <c r="QTN3002" s="1" t="n">
        <v>0</v>
      </c>
      <c r="QTO3002" s="1" t="n">
        <v>0</v>
      </c>
      <c r="QTP3002" s="1" t="n">
        <v>0</v>
      </c>
      <c r="QTQ3002" s="1" t="n">
        <v>0</v>
      </c>
      <c r="QTR3002" s="1" t="n">
        <v>0</v>
      </c>
      <c r="QTS3002" s="1" t="n">
        <v>0</v>
      </c>
      <c r="QTT3002" s="1" t="n">
        <v>0</v>
      </c>
      <c r="QTU3002" s="1" t="n">
        <v>0</v>
      </c>
      <c r="QTV3002" s="1" t="n">
        <v>0</v>
      </c>
      <c r="QTW3002" s="1" t="n">
        <v>0</v>
      </c>
      <c r="QTX3002" s="1" t="n">
        <v>0</v>
      </c>
      <c r="QTY3002" s="1" t="n">
        <v>0</v>
      </c>
      <c r="QTZ3002" s="1" t="n">
        <v>0</v>
      </c>
      <c r="QUA3002" s="1" t="n">
        <v>0</v>
      </c>
      <c r="QUB3002" s="1" t="n">
        <v>0</v>
      </c>
      <c r="QUC3002" s="1" t="n">
        <v>0</v>
      </c>
      <c r="QUD3002" s="1" t="n">
        <v>0</v>
      </c>
      <c r="QUE3002" s="1" t="n">
        <v>0</v>
      </c>
      <c r="QUF3002" s="1" t="n">
        <v>0</v>
      </c>
      <c r="QUG3002" s="1" t="n">
        <v>0</v>
      </c>
      <c r="QUH3002" s="1" t="n">
        <v>0</v>
      </c>
      <c r="QUI3002" s="1" t="n">
        <v>0</v>
      </c>
      <c r="QUJ3002" s="1" t="n">
        <v>0</v>
      </c>
      <c r="QUK3002" s="1" t="n">
        <v>0</v>
      </c>
      <c r="QUL3002" s="1" t="n">
        <v>0</v>
      </c>
      <c r="QUM3002" s="1" t="n">
        <v>0</v>
      </c>
      <c r="QUN3002" s="1" t="n">
        <v>0</v>
      </c>
      <c r="QUO3002" s="1" t="n">
        <v>0</v>
      </c>
      <c r="QUP3002" s="1" t="n">
        <v>0</v>
      </c>
      <c r="QUQ3002" s="1" t="n">
        <v>0</v>
      </c>
      <c r="QUR3002" s="1" t="n">
        <v>0</v>
      </c>
      <c r="QUS3002" s="1" t="n">
        <v>0</v>
      </c>
      <c r="QUT3002" s="1" t="n">
        <v>0</v>
      </c>
      <c r="QUU3002" s="1" t="n">
        <v>0</v>
      </c>
      <c r="QUV3002" s="1" t="n">
        <v>0</v>
      </c>
      <c r="QUW3002" s="1" t="n">
        <v>0</v>
      </c>
      <c r="QUX3002" s="1" t="n">
        <v>0</v>
      </c>
      <c r="QUY3002" s="1" t="n">
        <v>0</v>
      </c>
      <c r="QUZ3002" s="1" t="n">
        <v>0</v>
      </c>
      <c r="QVA3002" s="1" t="n">
        <v>0</v>
      </c>
      <c r="QVB3002" s="1" t="n">
        <v>0</v>
      </c>
      <c r="QVC3002" s="1" t="n">
        <v>0</v>
      </c>
      <c r="QVD3002" s="1" t="n">
        <v>0</v>
      </c>
      <c r="QVE3002" s="1" t="n">
        <v>0</v>
      </c>
      <c r="QVF3002" s="1" t="n">
        <v>0</v>
      </c>
      <c r="QVG3002" s="1" t="n">
        <v>0</v>
      </c>
      <c r="QVH3002" s="1" t="n">
        <v>0</v>
      </c>
      <c r="QVI3002" s="1" t="n">
        <v>0</v>
      </c>
      <c r="QVJ3002" s="1" t="n">
        <v>0</v>
      </c>
      <c r="QVK3002" s="1" t="n">
        <v>0</v>
      </c>
      <c r="QVL3002" s="1" t="n">
        <v>0</v>
      </c>
      <c r="QVM3002" s="1" t="n">
        <v>0</v>
      </c>
      <c r="QVN3002" s="1" t="n">
        <v>0</v>
      </c>
      <c r="QVO3002" s="1" t="n">
        <v>0</v>
      </c>
      <c r="QVP3002" s="1" t="n">
        <v>0</v>
      </c>
      <c r="QVQ3002" s="1" t="n">
        <v>0</v>
      </c>
      <c r="QVR3002" s="1" t="n">
        <v>0</v>
      </c>
      <c r="QVS3002" s="1" t="n">
        <v>0</v>
      </c>
      <c r="QVT3002" s="1" t="n">
        <v>0</v>
      </c>
      <c r="QVU3002" s="1" t="n">
        <v>0</v>
      </c>
      <c r="QVV3002" s="1" t="n">
        <v>0</v>
      </c>
      <c r="QVW3002" s="1" t="n">
        <v>0</v>
      </c>
      <c r="QVX3002" s="1" t="n">
        <v>0</v>
      </c>
      <c r="QVY3002" s="1" t="n">
        <v>0</v>
      </c>
      <c r="QVZ3002" s="1" t="n">
        <v>0</v>
      </c>
      <c r="QWA3002" s="1" t="n">
        <v>0</v>
      </c>
      <c r="QWB3002" s="1" t="n">
        <v>0</v>
      </c>
      <c r="QWC3002" s="1" t="n">
        <v>0</v>
      </c>
      <c r="QWD3002" s="1" t="n">
        <v>0</v>
      </c>
      <c r="QWE3002" s="1" t="n">
        <v>0</v>
      </c>
      <c r="QWF3002" s="1" t="n">
        <v>0</v>
      </c>
      <c r="QWG3002" s="1" t="n">
        <v>0</v>
      </c>
      <c r="QWH3002" s="1" t="n">
        <v>0</v>
      </c>
      <c r="QWI3002" s="1" t="n">
        <v>0</v>
      </c>
      <c r="QWJ3002" s="1" t="n">
        <v>0</v>
      </c>
      <c r="QWK3002" s="1" t="n">
        <v>0</v>
      </c>
      <c r="QWL3002" s="1" t="n">
        <v>0</v>
      </c>
      <c r="QWM3002" s="1" t="n">
        <v>0</v>
      </c>
      <c r="QWN3002" s="1" t="n">
        <v>0</v>
      </c>
      <c r="QWO3002" s="1" t="n">
        <v>0</v>
      </c>
      <c r="QWP3002" s="1" t="n">
        <v>0</v>
      </c>
      <c r="QWQ3002" s="1" t="n">
        <v>0</v>
      </c>
      <c r="QWR3002" s="1" t="n">
        <v>0</v>
      </c>
      <c r="QWS3002" s="1" t="n">
        <v>0</v>
      </c>
      <c r="QWT3002" s="1" t="n">
        <v>0</v>
      </c>
      <c r="QWU3002" s="1" t="n">
        <v>0</v>
      </c>
      <c r="QWV3002" s="1" t="n">
        <v>0</v>
      </c>
      <c r="QWW3002" s="1" t="n">
        <v>0</v>
      </c>
      <c r="QWX3002" s="1" t="n">
        <v>0</v>
      </c>
      <c r="QWY3002" s="1" t="n">
        <v>0</v>
      </c>
      <c r="QWZ3002" s="1" t="n">
        <v>0</v>
      </c>
      <c r="QXA3002" s="1" t="n">
        <v>0</v>
      </c>
      <c r="QXB3002" s="1" t="n">
        <v>0</v>
      </c>
      <c r="QXC3002" s="1" t="n">
        <v>0</v>
      </c>
      <c r="QXD3002" s="1" t="n">
        <v>0</v>
      </c>
      <c r="QXE3002" s="1" t="n">
        <v>0</v>
      </c>
      <c r="QXF3002" s="1" t="n">
        <v>0</v>
      </c>
      <c r="QXG3002" s="1" t="n">
        <v>0</v>
      </c>
      <c r="QXH3002" s="1" t="n">
        <v>0</v>
      </c>
      <c r="QXI3002" s="1" t="n">
        <v>0</v>
      </c>
      <c r="QXJ3002" s="1" t="n">
        <v>0</v>
      </c>
      <c r="QXK3002" s="1" t="n">
        <v>0</v>
      </c>
      <c r="QXL3002" s="1" t="n">
        <v>0</v>
      </c>
      <c r="QXM3002" s="1" t="n">
        <v>0</v>
      </c>
      <c r="QXN3002" s="1" t="n">
        <v>0</v>
      </c>
      <c r="QXO3002" s="1" t="n">
        <v>0</v>
      </c>
      <c r="QXP3002" s="1" t="n">
        <v>0</v>
      </c>
      <c r="QXQ3002" s="1" t="n">
        <v>0</v>
      </c>
      <c r="QXR3002" s="1" t="n">
        <v>0</v>
      </c>
      <c r="QXS3002" s="1" t="n">
        <v>0</v>
      </c>
      <c r="QXT3002" s="1" t="n">
        <v>0</v>
      </c>
      <c r="QXU3002" s="1" t="n">
        <v>0</v>
      </c>
      <c r="QXV3002" s="1" t="n">
        <v>0</v>
      </c>
      <c r="QXW3002" s="1" t="n">
        <v>0</v>
      </c>
      <c r="QXX3002" s="1" t="n">
        <v>0</v>
      </c>
      <c r="QXY3002" s="1" t="n">
        <v>0</v>
      </c>
      <c r="QXZ3002" s="1" t="n">
        <v>0</v>
      </c>
      <c r="QYA3002" s="1" t="n">
        <v>0</v>
      </c>
      <c r="QYB3002" s="1" t="n">
        <v>0</v>
      </c>
      <c r="QYC3002" s="1" t="n">
        <v>0</v>
      </c>
      <c r="QYD3002" s="1" t="n">
        <v>0</v>
      </c>
      <c r="QYE3002" s="1" t="n">
        <v>0</v>
      </c>
      <c r="QYF3002" s="1" t="n">
        <v>0</v>
      </c>
      <c r="QYG3002" s="1" t="n">
        <v>0</v>
      </c>
      <c r="QYH3002" s="1" t="n">
        <v>0</v>
      </c>
      <c r="QYI3002" s="1" t="n">
        <v>0</v>
      </c>
      <c r="QYJ3002" s="1" t="n">
        <v>0</v>
      </c>
      <c r="QYK3002" s="1" t="n">
        <v>0</v>
      </c>
      <c r="QYL3002" s="1" t="n">
        <v>0</v>
      </c>
      <c r="QYM3002" s="1" t="n">
        <v>0</v>
      </c>
      <c r="QYN3002" s="1" t="n">
        <v>0</v>
      </c>
      <c r="QYO3002" s="1" t="n">
        <v>0</v>
      </c>
      <c r="QYP3002" s="1" t="n">
        <v>0</v>
      </c>
      <c r="QYQ3002" s="1" t="n">
        <v>0</v>
      </c>
      <c r="QYR3002" s="1" t="n">
        <v>0</v>
      </c>
      <c r="QYS3002" s="1" t="n">
        <v>0</v>
      </c>
      <c r="QYT3002" s="1" t="n">
        <v>0</v>
      </c>
      <c r="QYU3002" s="1" t="n">
        <v>0</v>
      </c>
      <c r="QYV3002" s="1" t="n">
        <v>0</v>
      </c>
      <c r="QYW3002" s="1" t="n">
        <v>0</v>
      </c>
      <c r="QYX3002" s="1" t="n">
        <v>0</v>
      </c>
      <c r="QYY3002" s="1" t="n">
        <v>0</v>
      </c>
      <c r="QYZ3002" s="1" t="n">
        <v>0</v>
      </c>
      <c r="QZA3002" s="1" t="n">
        <v>0</v>
      </c>
      <c r="QZB3002" s="1" t="n">
        <v>0</v>
      </c>
      <c r="QZC3002" s="1" t="n">
        <v>0</v>
      </c>
      <c r="QZD3002" s="1" t="n">
        <v>0</v>
      </c>
      <c r="QZE3002" s="1" t="n">
        <v>0</v>
      </c>
      <c r="QZF3002" s="1" t="n">
        <v>0</v>
      </c>
      <c r="QZG3002" s="1" t="n">
        <v>0</v>
      </c>
      <c r="QZH3002" s="1" t="n">
        <v>0</v>
      </c>
      <c r="QZI3002" s="1" t="n">
        <v>0</v>
      </c>
      <c r="QZJ3002" s="1" t="n">
        <v>0</v>
      </c>
      <c r="QZK3002" s="1" t="n">
        <v>0</v>
      </c>
      <c r="QZL3002" s="1" t="n">
        <v>0</v>
      </c>
      <c r="QZM3002" s="1" t="n">
        <v>0</v>
      </c>
      <c r="QZN3002" s="1" t="n">
        <v>0</v>
      </c>
      <c r="QZO3002" s="1" t="n">
        <v>0</v>
      </c>
      <c r="QZP3002" s="1" t="n">
        <v>0</v>
      </c>
      <c r="QZQ3002" s="1" t="n">
        <v>0</v>
      </c>
      <c r="QZR3002" s="1" t="n">
        <v>0</v>
      </c>
      <c r="QZS3002" s="1" t="n">
        <v>0</v>
      </c>
      <c r="QZT3002" s="1" t="n">
        <v>0</v>
      </c>
      <c r="QZU3002" s="1" t="n">
        <v>0</v>
      </c>
      <c r="QZV3002" s="1" t="n">
        <v>0</v>
      </c>
      <c r="QZW3002" s="1" t="n">
        <v>0</v>
      </c>
      <c r="QZX3002" s="1" t="n">
        <v>0</v>
      </c>
      <c r="QZY3002" s="1" t="n">
        <v>0</v>
      </c>
      <c r="QZZ3002" s="1" t="n">
        <v>0</v>
      </c>
      <c r="RAA3002" s="1" t="n">
        <v>0</v>
      </c>
      <c r="RAB3002" s="1" t="n">
        <v>0</v>
      </c>
      <c r="RAC3002" s="1" t="n">
        <v>0</v>
      </c>
      <c r="RAD3002" s="1" t="n">
        <v>0</v>
      </c>
      <c r="RAE3002" s="1" t="n">
        <v>0</v>
      </c>
      <c r="RAF3002" s="1" t="n">
        <v>0</v>
      </c>
      <c r="RAG3002" s="1" t="n">
        <v>0</v>
      </c>
      <c r="RAH3002" s="1" t="n">
        <v>0</v>
      </c>
      <c r="RAI3002" s="1" t="n">
        <v>0</v>
      </c>
      <c r="RAJ3002" s="1" t="n">
        <v>0</v>
      </c>
      <c r="RAK3002" s="1" t="n">
        <v>0</v>
      </c>
      <c r="RAL3002" s="1" t="n">
        <v>0</v>
      </c>
      <c r="RAM3002" s="1" t="n">
        <v>0</v>
      </c>
      <c r="RAN3002" s="1" t="n">
        <v>0</v>
      </c>
      <c r="RAO3002" s="1" t="n">
        <v>0</v>
      </c>
      <c r="RAP3002" s="1" t="n">
        <v>0</v>
      </c>
      <c r="RAQ3002" s="1" t="n">
        <v>0</v>
      </c>
      <c r="RAR3002" s="1" t="n">
        <v>0</v>
      </c>
      <c r="RAS3002" s="1" t="n">
        <v>0</v>
      </c>
      <c r="RAT3002" s="1" t="n">
        <v>0</v>
      </c>
      <c r="RAU3002" s="1" t="n">
        <v>0</v>
      </c>
      <c r="RAV3002" s="1" t="n">
        <v>0</v>
      </c>
      <c r="RAW3002" s="1" t="n">
        <v>0</v>
      </c>
      <c r="RAX3002" s="1" t="n">
        <v>0</v>
      </c>
      <c r="RAY3002" s="1" t="n">
        <v>0</v>
      </c>
      <c r="RAZ3002" s="1" t="n">
        <v>0</v>
      </c>
      <c r="RBA3002" s="1" t="n">
        <v>0</v>
      </c>
      <c r="RBB3002" s="1" t="n">
        <v>0</v>
      </c>
      <c r="RBC3002" s="1" t="n">
        <v>0</v>
      </c>
      <c r="RBD3002" s="1" t="n">
        <v>0</v>
      </c>
      <c r="RBE3002" s="1" t="n">
        <v>0</v>
      </c>
      <c r="RBF3002" s="1" t="n">
        <v>0</v>
      </c>
      <c r="RBG3002" s="1" t="n">
        <v>0</v>
      </c>
      <c r="RBH3002" s="1" t="n">
        <v>0</v>
      </c>
      <c r="RBI3002" s="1" t="n">
        <v>0</v>
      </c>
      <c r="RBJ3002" s="1" t="n">
        <v>0</v>
      </c>
      <c r="RBK3002" s="1" t="n">
        <v>0</v>
      </c>
      <c r="RBL3002" s="1" t="n">
        <v>0</v>
      </c>
      <c r="RBM3002" s="1" t="n">
        <v>0</v>
      </c>
      <c r="RBN3002" s="1" t="n">
        <v>0</v>
      </c>
      <c r="RBO3002" s="1" t="n">
        <v>0</v>
      </c>
      <c r="RBP3002" s="1" t="n">
        <v>0</v>
      </c>
      <c r="RBQ3002" s="1" t="n">
        <v>0</v>
      </c>
      <c r="RBR3002" s="1" t="n">
        <v>0</v>
      </c>
      <c r="RBS3002" s="1" t="n">
        <v>0</v>
      </c>
      <c r="RBT3002" s="1" t="n">
        <v>0</v>
      </c>
      <c r="RBU3002" s="1" t="n">
        <v>0</v>
      </c>
      <c r="RBV3002" s="1" t="n">
        <v>0</v>
      </c>
      <c r="RBW3002" s="1" t="n">
        <v>0</v>
      </c>
      <c r="RBX3002" s="1" t="n">
        <v>0</v>
      </c>
      <c r="RBY3002" s="1" t="n">
        <v>0</v>
      </c>
      <c r="RBZ3002" s="1" t="n">
        <v>0</v>
      </c>
      <c r="RCA3002" s="1" t="n">
        <v>0</v>
      </c>
      <c r="RCB3002" s="1" t="n">
        <v>0</v>
      </c>
      <c r="RCC3002" s="1" t="n">
        <v>0</v>
      </c>
      <c r="RCD3002" s="1" t="n">
        <v>0</v>
      </c>
      <c r="RCE3002" s="1" t="n">
        <v>0</v>
      </c>
      <c r="RCF3002" s="1" t="n">
        <v>0</v>
      </c>
      <c r="RCG3002" s="1" t="n">
        <v>0</v>
      </c>
      <c r="RCH3002" s="1" t="n">
        <v>0</v>
      </c>
      <c r="RCI3002" s="1" t="n">
        <v>0</v>
      </c>
      <c r="RCJ3002" s="1" t="n">
        <v>0</v>
      </c>
      <c r="RCK3002" s="1" t="n">
        <v>0</v>
      </c>
      <c r="RCL3002" s="1" t="n">
        <v>0</v>
      </c>
      <c r="RCM3002" s="1" t="n">
        <v>0</v>
      </c>
      <c r="RCN3002" s="1" t="n">
        <v>0</v>
      </c>
      <c r="RCO3002" s="1" t="n">
        <v>0</v>
      </c>
      <c r="RCP3002" s="1" t="n">
        <v>0</v>
      </c>
      <c r="RCQ3002" s="1" t="n">
        <v>0</v>
      </c>
      <c r="RCR3002" s="1" t="n">
        <v>0</v>
      </c>
      <c r="RCS3002" s="1" t="n">
        <v>0</v>
      </c>
      <c r="RCT3002" s="1" t="n">
        <v>0</v>
      </c>
      <c r="RCU3002" s="1" t="n">
        <v>0</v>
      </c>
      <c r="RCV3002" s="1" t="n">
        <v>0</v>
      </c>
      <c r="RCW3002" s="1" t="n">
        <v>0</v>
      </c>
      <c r="RCX3002" s="1" t="n">
        <v>0</v>
      </c>
      <c r="RCY3002" s="1" t="n">
        <v>0</v>
      </c>
      <c r="RCZ3002" s="1" t="n">
        <v>0</v>
      </c>
      <c r="RDA3002" s="1" t="n">
        <v>0</v>
      </c>
      <c r="RDB3002" s="1" t="n">
        <v>0</v>
      </c>
      <c r="RDC3002" s="1" t="n">
        <v>0</v>
      </c>
      <c r="RDD3002" s="1" t="n">
        <v>0</v>
      </c>
      <c r="RDE3002" s="1" t="n">
        <v>0</v>
      </c>
      <c r="RDF3002" s="1" t="n">
        <v>0</v>
      </c>
      <c r="RDG3002" s="1" t="n">
        <v>0</v>
      </c>
      <c r="RDH3002" s="1" t="n">
        <v>0</v>
      </c>
      <c r="RDI3002" s="1" t="n">
        <v>0</v>
      </c>
      <c r="RDJ3002" s="1" t="n">
        <v>0</v>
      </c>
      <c r="RDK3002" s="1" t="n">
        <v>0</v>
      </c>
      <c r="RDL3002" s="1" t="n">
        <v>0</v>
      </c>
      <c r="RDM3002" s="1" t="n">
        <v>0</v>
      </c>
      <c r="RDN3002" s="1" t="n">
        <v>0</v>
      </c>
      <c r="RDO3002" s="1" t="n">
        <v>0</v>
      </c>
      <c r="RDP3002" s="1" t="n">
        <v>0</v>
      </c>
      <c r="RDQ3002" s="1" t="n">
        <v>0</v>
      </c>
      <c r="RDR3002" s="1" t="n">
        <v>0</v>
      </c>
      <c r="RDS3002" s="1" t="n">
        <v>0</v>
      </c>
      <c r="RDT3002" s="1" t="n">
        <v>0</v>
      </c>
      <c r="RDU3002" s="1" t="n">
        <v>0</v>
      </c>
      <c r="RDV3002" s="1" t="n">
        <v>0</v>
      </c>
      <c r="RDW3002" s="1" t="n">
        <v>0</v>
      </c>
      <c r="RDX3002" s="1" t="n">
        <v>0</v>
      </c>
      <c r="RDY3002" s="1" t="n">
        <v>0</v>
      </c>
      <c r="RDZ3002" s="1" t="n">
        <v>0</v>
      </c>
      <c r="REA3002" s="1" t="n">
        <v>0</v>
      </c>
      <c r="REB3002" s="1" t="n">
        <v>0</v>
      </c>
      <c r="REC3002" s="1" t="n">
        <v>0</v>
      </c>
      <c r="RED3002" s="1" t="n">
        <v>0</v>
      </c>
      <c r="REE3002" s="1" t="n">
        <v>0</v>
      </c>
      <c r="REF3002" s="1" t="n">
        <v>0</v>
      </c>
      <c r="REG3002" s="1" t="n">
        <v>0</v>
      </c>
      <c r="REH3002" s="1" t="n">
        <v>0</v>
      </c>
      <c r="REI3002" s="1" t="n">
        <v>0</v>
      </c>
      <c r="REJ3002" s="1" t="n">
        <v>0</v>
      </c>
      <c r="REK3002" s="1" t="n">
        <v>0</v>
      </c>
      <c r="REL3002" s="1" t="n">
        <v>0</v>
      </c>
      <c r="REM3002" s="1" t="n">
        <v>0</v>
      </c>
      <c r="REN3002" s="1" t="n">
        <v>0</v>
      </c>
      <c r="REO3002" s="1" t="n">
        <v>0</v>
      </c>
      <c r="REP3002" s="1" t="n">
        <v>0</v>
      </c>
      <c r="REQ3002" s="1" t="n">
        <v>0</v>
      </c>
      <c r="RER3002" s="1" t="n">
        <v>0</v>
      </c>
      <c r="RES3002" s="1" t="n">
        <v>0</v>
      </c>
      <c r="RET3002" s="1" t="n">
        <v>0</v>
      </c>
      <c r="REU3002" s="1" t="n">
        <v>0</v>
      </c>
      <c r="REV3002" s="1" t="n">
        <v>0</v>
      </c>
      <c r="REW3002" s="1" t="n">
        <v>0</v>
      </c>
      <c r="REX3002" s="1" t="n">
        <v>0</v>
      </c>
      <c r="REY3002" s="1" t="n">
        <v>0</v>
      </c>
      <c r="REZ3002" s="1" t="n">
        <v>0</v>
      </c>
      <c r="RFA3002" s="1" t="n">
        <v>0</v>
      </c>
      <c r="RFB3002" s="1" t="n">
        <v>0</v>
      </c>
      <c r="RFC3002" s="1" t="n">
        <v>0</v>
      </c>
      <c r="RFD3002" s="1" t="n">
        <v>0</v>
      </c>
      <c r="RFE3002" s="1" t="n">
        <v>0</v>
      </c>
      <c r="RFF3002" s="1" t="n">
        <v>0</v>
      </c>
      <c r="RFG3002" s="1" t="n">
        <v>0</v>
      </c>
      <c r="RFH3002" s="1" t="n">
        <v>0</v>
      </c>
      <c r="RFI3002" s="1" t="n">
        <v>0</v>
      </c>
      <c r="RFJ3002" s="1" t="n">
        <v>0</v>
      </c>
      <c r="RFK3002" s="1" t="n">
        <v>0</v>
      </c>
      <c r="RFL3002" s="1" t="n">
        <v>0</v>
      </c>
      <c r="RFM3002" s="1" t="n">
        <v>0</v>
      </c>
      <c r="RFN3002" s="1" t="n">
        <v>0</v>
      </c>
      <c r="RFO3002" s="1" t="n">
        <v>0</v>
      </c>
      <c r="RFP3002" s="1" t="n">
        <v>0</v>
      </c>
      <c r="RFQ3002" s="1" t="n">
        <v>0</v>
      </c>
      <c r="RFR3002" s="1" t="n">
        <v>0</v>
      </c>
      <c r="RFS3002" s="1" t="n">
        <v>0</v>
      </c>
      <c r="RFT3002" s="1" t="n">
        <v>0</v>
      </c>
      <c r="RFU3002" s="1" t="n">
        <v>0</v>
      </c>
      <c r="RFV3002" s="1" t="n">
        <v>0</v>
      </c>
      <c r="RFW3002" s="1" t="n">
        <v>0</v>
      </c>
      <c r="RFX3002" s="1" t="n">
        <v>0</v>
      </c>
      <c r="RFY3002" s="1" t="n">
        <v>0</v>
      </c>
      <c r="RFZ3002" s="1" t="n">
        <v>0</v>
      </c>
      <c r="RGA3002" s="1" t="n">
        <v>0</v>
      </c>
      <c r="RGB3002" s="1" t="n">
        <v>0</v>
      </c>
      <c r="RGC3002" s="1" t="n">
        <v>0</v>
      </c>
      <c r="RGD3002" s="1" t="n">
        <v>0</v>
      </c>
      <c r="RGE3002" s="1" t="n">
        <v>0</v>
      </c>
      <c r="RGF3002" s="1" t="n">
        <v>0</v>
      </c>
      <c r="RGG3002" s="1" t="n">
        <v>0</v>
      </c>
      <c r="RGH3002" s="1" t="n">
        <v>0</v>
      </c>
      <c r="RGI3002" s="1" t="n">
        <v>0</v>
      </c>
      <c r="RGJ3002" s="1" t="n">
        <v>0</v>
      </c>
      <c r="RGK3002" s="1" t="n">
        <v>0</v>
      </c>
      <c r="RGL3002" s="1" t="n">
        <v>0</v>
      </c>
      <c r="RGM3002" s="1" t="n">
        <v>0</v>
      </c>
      <c r="RGN3002" s="1" t="n">
        <v>0</v>
      </c>
      <c r="RGO3002" s="1" t="n">
        <v>0</v>
      </c>
      <c r="RGP3002" s="1" t="n">
        <v>0</v>
      </c>
      <c r="RGQ3002" s="1" t="n">
        <v>0</v>
      </c>
      <c r="RGR3002" s="1" t="n">
        <v>0</v>
      </c>
      <c r="RGS3002" s="1" t="n">
        <v>0</v>
      </c>
      <c r="RGT3002" s="1" t="n">
        <v>0</v>
      </c>
      <c r="RGU3002" s="1" t="n">
        <v>0</v>
      </c>
      <c r="RGV3002" s="1" t="n">
        <v>0</v>
      </c>
      <c r="RGW3002" s="1" t="n">
        <v>0</v>
      </c>
      <c r="RGX3002" s="1" t="n">
        <v>0</v>
      </c>
      <c r="RGY3002" s="1" t="n">
        <v>0</v>
      </c>
      <c r="RGZ3002" s="1" t="n">
        <v>0</v>
      </c>
      <c r="RHA3002" s="1" t="n">
        <v>0</v>
      </c>
      <c r="RHB3002" s="1" t="n">
        <v>0</v>
      </c>
      <c r="RHC3002" s="1" t="n">
        <v>0</v>
      </c>
      <c r="RHD3002" s="1" t="n">
        <v>0</v>
      </c>
      <c r="RHE3002" s="1" t="n">
        <v>0</v>
      </c>
      <c r="RHF3002" s="1" t="n">
        <v>0</v>
      </c>
      <c r="RHG3002" s="1" t="n">
        <v>0</v>
      </c>
      <c r="RHH3002" s="1" t="n">
        <v>0</v>
      </c>
      <c r="RHI3002" s="1" t="n">
        <v>0</v>
      </c>
      <c r="RHJ3002" s="1" t="n">
        <v>0</v>
      </c>
      <c r="RHK3002" s="1" t="n">
        <v>0</v>
      </c>
      <c r="RHL3002" s="1" t="n">
        <v>0</v>
      </c>
      <c r="RHM3002" s="1" t="n">
        <v>0</v>
      </c>
      <c r="RHN3002" s="1" t="n">
        <v>0</v>
      </c>
      <c r="RHO3002" s="1" t="n">
        <v>0</v>
      </c>
      <c r="RHP3002" s="1" t="n">
        <v>0</v>
      </c>
      <c r="RHQ3002" s="1" t="n">
        <v>0</v>
      </c>
      <c r="RHR3002" s="1" t="n">
        <v>0</v>
      </c>
      <c r="RHS3002" s="1" t="n">
        <v>0</v>
      </c>
      <c r="RHT3002" s="1" t="n">
        <v>0</v>
      </c>
      <c r="RHU3002" s="1" t="n">
        <v>0</v>
      </c>
      <c r="RHV3002" s="1" t="n">
        <v>0</v>
      </c>
      <c r="RHW3002" s="1" t="n">
        <v>0</v>
      </c>
      <c r="RHX3002" s="1" t="n">
        <v>0</v>
      </c>
      <c r="RHY3002" s="1" t="n">
        <v>0</v>
      </c>
      <c r="RHZ3002" s="1" t="n">
        <v>0</v>
      </c>
      <c r="RIA3002" s="1" t="n">
        <v>0</v>
      </c>
      <c r="RIB3002" s="1" t="n">
        <v>0</v>
      </c>
      <c r="RIC3002" s="1" t="n">
        <v>0</v>
      </c>
      <c r="RID3002" s="1" t="n">
        <v>0</v>
      </c>
      <c r="RIE3002" s="1" t="n">
        <v>0</v>
      </c>
      <c r="RIF3002" s="1" t="n">
        <v>0</v>
      </c>
      <c r="RIG3002" s="1" t="n">
        <v>0</v>
      </c>
      <c r="RIH3002" s="1" t="n">
        <v>0</v>
      </c>
      <c r="RII3002" s="1" t="n">
        <v>0</v>
      </c>
      <c r="RIJ3002" s="1" t="n">
        <v>0</v>
      </c>
      <c r="RIK3002" s="1" t="n">
        <v>0</v>
      </c>
      <c r="RIL3002" s="1" t="n">
        <v>0</v>
      </c>
      <c r="RIM3002" s="1" t="n">
        <v>0</v>
      </c>
      <c r="RIN3002" s="1" t="n">
        <v>0</v>
      </c>
      <c r="RIO3002" s="1" t="n">
        <v>0</v>
      </c>
      <c r="RIP3002" s="1" t="n">
        <v>0</v>
      </c>
      <c r="RIQ3002" s="1" t="n">
        <v>0</v>
      </c>
      <c r="RIR3002" s="1" t="n">
        <v>0</v>
      </c>
      <c r="RIS3002" s="1" t="n">
        <v>0</v>
      </c>
      <c r="RIT3002" s="1" t="n">
        <v>0</v>
      </c>
      <c r="RIU3002" s="1" t="n">
        <v>0</v>
      </c>
      <c r="RIV3002" s="1" t="n">
        <v>0</v>
      </c>
      <c r="RIW3002" s="1" t="n">
        <v>0</v>
      </c>
      <c r="RIX3002" s="1" t="n">
        <v>0</v>
      </c>
      <c r="RIY3002" s="1" t="n">
        <v>0</v>
      </c>
      <c r="RIZ3002" s="1" t="n">
        <v>0</v>
      </c>
      <c r="RJA3002" s="1" t="n">
        <v>0</v>
      </c>
      <c r="RJB3002" s="1" t="n">
        <v>0</v>
      </c>
      <c r="RJC3002" s="1" t="n">
        <v>0</v>
      </c>
      <c r="RJD3002" s="1" t="n">
        <v>0</v>
      </c>
      <c r="RJE3002" s="1" t="n">
        <v>0</v>
      </c>
      <c r="RJF3002" s="1" t="n">
        <v>0</v>
      </c>
      <c r="RJG3002" s="1" t="n">
        <v>0</v>
      </c>
      <c r="RJH3002" s="1" t="n">
        <v>0</v>
      </c>
      <c r="RJI3002" s="1" t="n">
        <v>0</v>
      </c>
      <c r="RJJ3002" s="1" t="n">
        <v>0</v>
      </c>
      <c r="RJK3002" s="1" t="n">
        <v>0</v>
      </c>
      <c r="RJL3002" s="1" t="n">
        <v>0</v>
      </c>
      <c r="RJM3002" s="1" t="n">
        <v>0</v>
      </c>
      <c r="RJN3002" s="1" t="n">
        <v>0</v>
      </c>
      <c r="RJO3002" s="1" t="n">
        <v>0</v>
      </c>
      <c r="RJP3002" s="1" t="n">
        <v>0</v>
      </c>
      <c r="RJQ3002" s="1" t="n">
        <v>0</v>
      </c>
      <c r="RJR3002" s="1" t="n">
        <v>0</v>
      </c>
      <c r="RJS3002" s="1" t="n">
        <v>0</v>
      </c>
      <c r="RJT3002" s="1" t="n">
        <v>0</v>
      </c>
      <c r="RJU3002" s="1" t="n">
        <v>0</v>
      </c>
      <c r="RJV3002" s="1" t="n">
        <v>0</v>
      </c>
      <c r="RJW3002" s="1" t="n">
        <v>0</v>
      </c>
      <c r="RJX3002" s="1" t="n">
        <v>0</v>
      </c>
      <c r="RJY3002" s="1" t="n">
        <v>0</v>
      </c>
      <c r="RJZ3002" s="1" t="n">
        <v>0</v>
      </c>
      <c r="RKA3002" s="1" t="n">
        <v>0</v>
      </c>
      <c r="RKB3002" s="1" t="n">
        <v>0</v>
      </c>
      <c r="RKC3002" s="1" t="n">
        <v>0</v>
      </c>
      <c r="RKD3002" s="1" t="n">
        <v>0</v>
      </c>
      <c r="RKE3002" s="1" t="n">
        <v>0</v>
      </c>
      <c r="RKF3002" s="1" t="n">
        <v>0</v>
      </c>
      <c r="RKG3002" s="1" t="n">
        <v>0</v>
      </c>
      <c r="RKH3002" s="1" t="n">
        <v>0</v>
      </c>
      <c r="RKI3002" s="1" t="n">
        <v>0</v>
      </c>
      <c r="RKJ3002" s="1" t="n">
        <v>0</v>
      </c>
      <c r="RKK3002" s="1" t="n">
        <v>0</v>
      </c>
      <c r="RKL3002" s="1" t="n">
        <v>0</v>
      </c>
      <c r="RKM3002" s="1" t="n">
        <v>0</v>
      </c>
      <c r="RKN3002" s="1" t="n">
        <v>0</v>
      </c>
      <c r="RKO3002" s="1" t="n">
        <v>0</v>
      </c>
      <c r="RKP3002" s="1" t="n">
        <v>0</v>
      </c>
      <c r="RKQ3002" s="1" t="n">
        <v>0</v>
      </c>
      <c r="RKR3002" s="1" t="n">
        <v>0</v>
      </c>
      <c r="RKS3002" s="1" t="n">
        <v>0</v>
      </c>
      <c r="RKT3002" s="1" t="n">
        <v>0</v>
      </c>
      <c r="RKU3002" s="1" t="n">
        <v>0</v>
      </c>
      <c r="RKV3002" s="1" t="n">
        <v>0</v>
      </c>
      <c r="RKW3002" s="1" t="n">
        <v>0</v>
      </c>
      <c r="RKX3002" s="1" t="n">
        <v>0</v>
      </c>
      <c r="RKY3002" s="1" t="n">
        <v>0</v>
      </c>
      <c r="RKZ3002" s="1" t="n">
        <v>0</v>
      </c>
      <c r="RLA3002" s="1" t="n">
        <v>0</v>
      </c>
      <c r="RLB3002" s="1" t="n">
        <v>0</v>
      </c>
      <c r="RLC3002" s="1" t="n">
        <v>0</v>
      </c>
      <c r="RLD3002" s="1" t="n">
        <v>0</v>
      </c>
      <c r="RLE3002" s="1" t="n">
        <v>0</v>
      </c>
      <c r="RLF3002" s="1" t="n">
        <v>0</v>
      </c>
      <c r="RLG3002" s="1" t="n">
        <v>0</v>
      </c>
      <c r="RLH3002" s="1" t="n">
        <v>0</v>
      </c>
      <c r="RLI3002" s="1" t="n">
        <v>0</v>
      </c>
      <c r="RLJ3002" s="1" t="n">
        <v>0</v>
      </c>
      <c r="RLK3002" s="1" t="n">
        <v>0</v>
      </c>
      <c r="RLL3002" s="1" t="n">
        <v>0</v>
      </c>
      <c r="RLM3002" s="1" t="n">
        <v>0</v>
      </c>
      <c r="RLN3002" s="1" t="n">
        <v>0</v>
      </c>
      <c r="RLO3002" s="1" t="n">
        <v>0</v>
      </c>
      <c r="RLP3002" s="1" t="n">
        <v>0</v>
      </c>
      <c r="RLQ3002" s="1" t="n">
        <v>0</v>
      </c>
      <c r="RLR3002" s="1" t="n">
        <v>0</v>
      </c>
      <c r="RLS3002" s="1" t="n">
        <v>0</v>
      </c>
      <c r="RLT3002" s="1" t="n">
        <v>0</v>
      </c>
      <c r="RLU3002" s="1" t="n">
        <v>0</v>
      </c>
      <c r="RLV3002" s="1" t="n">
        <v>0</v>
      </c>
      <c r="RLW3002" s="1" t="n">
        <v>0</v>
      </c>
      <c r="RLX3002" s="1" t="n">
        <v>0</v>
      </c>
      <c r="RLY3002" s="1" t="n">
        <v>0</v>
      </c>
      <c r="RLZ3002" s="1" t="n">
        <v>0</v>
      </c>
      <c r="RMA3002" s="1" t="n">
        <v>0</v>
      </c>
      <c r="RMB3002" s="1" t="n">
        <v>0</v>
      </c>
      <c r="RMC3002" s="1" t="n">
        <v>0</v>
      </c>
      <c r="RMD3002" s="1" t="n">
        <v>0</v>
      </c>
      <c r="RME3002" s="1" t="n">
        <v>0</v>
      </c>
      <c r="RMF3002" s="1" t="n">
        <v>0</v>
      </c>
      <c r="RMG3002" s="1" t="n">
        <v>0</v>
      </c>
      <c r="RMH3002" s="1" t="n">
        <v>0</v>
      </c>
      <c r="RMI3002" s="1" t="n">
        <v>0</v>
      </c>
      <c r="RMJ3002" s="1" t="n">
        <v>0</v>
      </c>
      <c r="RMK3002" s="1" t="n">
        <v>0</v>
      </c>
      <c r="RML3002" s="1" t="n">
        <v>0</v>
      </c>
      <c r="RMM3002" s="1" t="n">
        <v>0</v>
      </c>
      <c r="RMN3002" s="1" t="n">
        <v>0</v>
      </c>
      <c r="RMO3002" s="1" t="n">
        <v>0</v>
      </c>
      <c r="RMP3002" s="1" t="n">
        <v>0</v>
      </c>
      <c r="RMQ3002" s="1" t="n">
        <v>0</v>
      </c>
      <c r="RMR3002" s="1" t="n">
        <v>0</v>
      </c>
      <c r="RMS3002" s="1" t="n">
        <v>0</v>
      </c>
      <c r="RMT3002" s="1" t="n">
        <v>0</v>
      </c>
      <c r="RMU3002" s="1" t="n">
        <v>0</v>
      </c>
      <c r="RMV3002" s="1" t="n">
        <v>0</v>
      </c>
      <c r="RMW3002" s="1" t="n">
        <v>0</v>
      </c>
      <c r="RMX3002" s="1" t="n">
        <v>0</v>
      </c>
      <c r="RMY3002" s="1" t="n">
        <v>0</v>
      </c>
      <c r="RMZ3002" s="1" t="n">
        <v>0</v>
      </c>
      <c r="RNA3002" s="1" t="n">
        <v>0</v>
      </c>
      <c r="RNB3002" s="1" t="n">
        <v>0</v>
      </c>
      <c r="RNC3002" s="1" t="n">
        <v>0</v>
      </c>
      <c r="RND3002" s="1" t="n">
        <v>0</v>
      </c>
      <c r="RNE3002" s="1" t="n">
        <v>0</v>
      </c>
      <c r="RNF3002" s="1" t="n">
        <v>0</v>
      </c>
      <c r="RNG3002" s="1" t="n">
        <v>0</v>
      </c>
      <c r="RNH3002" s="1" t="n">
        <v>0</v>
      </c>
      <c r="RNI3002" s="1" t="n">
        <v>0</v>
      </c>
      <c r="RNJ3002" s="1" t="n">
        <v>0</v>
      </c>
      <c r="RNK3002" s="1" t="n">
        <v>0</v>
      </c>
      <c r="RNL3002" s="1" t="n">
        <v>0</v>
      </c>
      <c r="RNM3002" s="1" t="n">
        <v>0</v>
      </c>
      <c r="RNN3002" s="1" t="n">
        <v>0</v>
      </c>
      <c r="RNO3002" s="1" t="n">
        <v>0</v>
      </c>
      <c r="RNP3002" s="1" t="n">
        <v>0</v>
      </c>
      <c r="RNQ3002" s="1" t="n">
        <v>0</v>
      </c>
      <c r="RNR3002" s="1" t="n">
        <v>0</v>
      </c>
      <c r="RNS3002" s="1" t="n">
        <v>0</v>
      </c>
      <c r="RNT3002" s="1" t="n">
        <v>0</v>
      </c>
      <c r="RNU3002" s="1" t="n">
        <v>0</v>
      </c>
      <c r="RNV3002" s="1" t="n">
        <v>0</v>
      </c>
      <c r="RNW3002" s="1" t="n">
        <v>0</v>
      </c>
      <c r="RNX3002" s="1" t="n">
        <v>0</v>
      </c>
      <c r="RNY3002" s="1" t="n">
        <v>0</v>
      </c>
      <c r="RNZ3002" s="1" t="n">
        <v>0</v>
      </c>
      <c r="ROA3002" s="1" t="n">
        <v>0</v>
      </c>
      <c r="ROB3002" s="1" t="n">
        <v>0</v>
      </c>
      <c r="ROC3002" s="1" t="n">
        <v>0</v>
      </c>
      <c r="ROD3002" s="1" t="n">
        <v>0</v>
      </c>
      <c r="ROE3002" s="1" t="n">
        <v>0</v>
      </c>
      <c r="ROF3002" s="1" t="n">
        <v>0</v>
      </c>
      <c r="ROG3002" s="1" t="n">
        <v>0</v>
      </c>
      <c r="ROH3002" s="1" t="n">
        <v>0</v>
      </c>
      <c r="ROI3002" s="1" t="n">
        <v>0</v>
      </c>
      <c r="ROJ3002" s="1" t="n">
        <v>0</v>
      </c>
      <c r="ROK3002" s="1" t="n">
        <v>0</v>
      </c>
      <c r="ROL3002" s="1" t="n">
        <v>0</v>
      </c>
      <c r="ROM3002" s="1" t="n">
        <v>0</v>
      </c>
      <c r="RON3002" s="1" t="n">
        <v>0</v>
      </c>
      <c r="ROO3002" s="1" t="n">
        <v>0</v>
      </c>
      <c r="ROP3002" s="1" t="n">
        <v>0</v>
      </c>
      <c r="ROQ3002" s="1" t="n">
        <v>0</v>
      </c>
      <c r="ROR3002" s="1" t="n">
        <v>0</v>
      </c>
      <c r="ROS3002" s="1" t="n">
        <v>0</v>
      </c>
      <c r="ROT3002" s="1" t="n">
        <v>0</v>
      </c>
      <c r="ROU3002" s="1" t="n">
        <v>0</v>
      </c>
      <c r="ROV3002" s="1" t="n">
        <v>0</v>
      </c>
      <c r="ROW3002" s="1" t="n">
        <v>0</v>
      </c>
      <c r="ROX3002" s="1" t="n">
        <v>0</v>
      </c>
      <c r="ROY3002" s="1" t="n">
        <v>0</v>
      </c>
      <c r="ROZ3002" s="1" t="n">
        <v>0</v>
      </c>
      <c r="RPA3002" s="1" t="n">
        <v>0</v>
      </c>
      <c r="RPB3002" s="1" t="n">
        <v>0</v>
      </c>
      <c r="RPC3002" s="1" t="n">
        <v>0</v>
      </c>
      <c r="RPD3002" s="1" t="n">
        <v>0</v>
      </c>
      <c r="RPE3002" s="1" t="n">
        <v>0</v>
      </c>
      <c r="RPF3002" s="1" t="n">
        <v>0</v>
      </c>
      <c r="RPG3002" s="1" t="n">
        <v>0</v>
      </c>
      <c r="RPH3002" s="1" t="n">
        <v>0</v>
      </c>
      <c r="RPI3002" s="1" t="n">
        <v>0</v>
      </c>
      <c r="RPJ3002" s="1" t="n">
        <v>0</v>
      </c>
      <c r="RPK3002" s="1" t="n">
        <v>0</v>
      </c>
      <c r="RPL3002" s="1" t="n">
        <v>0</v>
      </c>
      <c r="RPM3002" s="1" t="n">
        <v>0</v>
      </c>
      <c r="RPN3002" s="1" t="n">
        <v>0</v>
      </c>
      <c r="RPO3002" s="1" t="n">
        <v>0</v>
      </c>
      <c r="RPP3002" s="1" t="n">
        <v>0</v>
      </c>
      <c r="RPQ3002" s="1" t="n">
        <v>0</v>
      </c>
      <c r="RPR3002" s="1" t="n">
        <v>0</v>
      </c>
      <c r="RPS3002" s="1" t="n">
        <v>0</v>
      </c>
      <c r="RPT3002" s="1" t="n">
        <v>0</v>
      </c>
      <c r="RPU3002" s="1" t="n">
        <v>0</v>
      </c>
      <c r="RPV3002" s="1" t="n">
        <v>0</v>
      </c>
      <c r="RPW3002" s="1" t="n">
        <v>0</v>
      </c>
      <c r="RPX3002" s="1" t="n">
        <v>0</v>
      </c>
      <c r="RPY3002" s="1" t="n">
        <v>0</v>
      </c>
      <c r="RPZ3002" s="1" t="n">
        <v>0</v>
      </c>
      <c r="RQA3002" s="1" t="n">
        <v>0</v>
      </c>
      <c r="RQB3002" s="1" t="n">
        <v>0</v>
      </c>
      <c r="RQC3002" s="1" t="n">
        <v>0</v>
      </c>
      <c r="RQD3002" s="1" t="n">
        <v>0</v>
      </c>
      <c r="RQE3002" s="1" t="n">
        <v>0</v>
      </c>
      <c r="RQF3002" s="1" t="n">
        <v>0</v>
      </c>
      <c r="RQG3002" s="1" t="n">
        <v>0</v>
      </c>
      <c r="RQH3002" s="1" t="n">
        <v>0</v>
      </c>
      <c r="RQI3002" s="1" t="n">
        <v>0</v>
      </c>
      <c r="RQJ3002" s="1" t="n">
        <v>0</v>
      </c>
      <c r="RQK3002" s="1" t="n">
        <v>0</v>
      </c>
      <c r="RQL3002" s="1" t="n">
        <v>0</v>
      </c>
      <c r="RQM3002" s="1" t="n">
        <v>0</v>
      </c>
      <c r="RQN3002" s="1" t="n">
        <v>0</v>
      </c>
      <c r="RQO3002" s="1" t="n">
        <v>0</v>
      </c>
      <c r="RQP3002" s="1" t="n">
        <v>0</v>
      </c>
      <c r="RQQ3002" s="1" t="n">
        <v>0</v>
      </c>
      <c r="RQR3002" s="1" t="n">
        <v>0</v>
      </c>
      <c r="RQS3002" s="1" t="n">
        <v>0</v>
      </c>
      <c r="RQT3002" s="1" t="n">
        <v>0</v>
      </c>
      <c r="RQU3002" s="1" t="n">
        <v>0</v>
      </c>
      <c r="RQV3002" s="1" t="n">
        <v>0</v>
      </c>
      <c r="RQW3002" s="1" t="n">
        <v>0</v>
      </c>
      <c r="RQX3002" s="1" t="n">
        <v>0</v>
      </c>
      <c r="RQY3002" s="1" t="n">
        <v>0</v>
      </c>
      <c r="RQZ3002" s="1" t="n">
        <v>0</v>
      </c>
      <c r="RRA3002" s="1" t="n">
        <v>0</v>
      </c>
      <c r="RRB3002" s="1" t="n">
        <v>0</v>
      </c>
      <c r="RRC3002" s="1" t="n">
        <v>0</v>
      </c>
      <c r="RRD3002" s="1" t="n">
        <v>0</v>
      </c>
      <c r="RRE3002" s="1" t="n">
        <v>0</v>
      </c>
      <c r="RRF3002" s="1" t="n">
        <v>0</v>
      </c>
      <c r="RRG3002" s="1" t="n">
        <v>0</v>
      </c>
      <c r="RRH3002" s="1" t="n">
        <v>0</v>
      </c>
      <c r="RRI3002" s="1" t="n">
        <v>0</v>
      </c>
      <c r="RRJ3002" s="1" t="n">
        <v>0</v>
      </c>
      <c r="RRK3002" s="1" t="n">
        <v>0</v>
      </c>
      <c r="RRL3002" s="1" t="n">
        <v>0</v>
      </c>
      <c r="RRM3002" s="1" t="n">
        <v>0</v>
      </c>
      <c r="RRN3002" s="1" t="n">
        <v>0</v>
      </c>
      <c r="RRO3002" s="1" t="n">
        <v>0</v>
      </c>
      <c r="RRP3002" s="1" t="n">
        <v>0</v>
      </c>
      <c r="RRQ3002" s="1" t="n">
        <v>0</v>
      </c>
      <c r="RRR3002" s="1" t="n">
        <v>0</v>
      </c>
      <c r="RRS3002" s="1" t="n">
        <v>0</v>
      </c>
      <c r="RRT3002" s="1" t="n">
        <v>0</v>
      </c>
      <c r="RRU3002" s="1" t="n">
        <v>0</v>
      </c>
      <c r="RRV3002" s="1" t="n">
        <v>0</v>
      </c>
      <c r="RRW3002" s="1" t="n">
        <v>0</v>
      </c>
      <c r="RRX3002" s="1" t="n">
        <v>0</v>
      </c>
      <c r="RRY3002" s="1" t="n">
        <v>0</v>
      </c>
      <c r="RRZ3002" s="1" t="n">
        <v>0</v>
      </c>
      <c r="RSA3002" s="1" t="n">
        <v>0</v>
      </c>
      <c r="RSB3002" s="1" t="n">
        <v>0</v>
      </c>
      <c r="RSC3002" s="1" t="n">
        <v>0</v>
      </c>
      <c r="RSD3002" s="1" t="n">
        <v>0</v>
      </c>
      <c r="RSE3002" s="1" t="n">
        <v>0</v>
      </c>
      <c r="RSF3002" s="1" t="n">
        <v>0</v>
      </c>
      <c r="RSG3002" s="1" t="n">
        <v>0</v>
      </c>
      <c r="RSH3002" s="1" t="n">
        <v>0</v>
      </c>
      <c r="RSI3002" s="1" t="n">
        <v>0</v>
      </c>
      <c r="RSJ3002" s="1" t="n">
        <v>0</v>
      </c>
      <c r="RSK3002" s="1" t="n">
        <v>0</v>
      </c>
      <c r="RSL3002" s="1" t="n">
        <v>0</v>
      </c>
      <c r="RSM3002" s="1" t="n">
        <v>0</v>
      </c>
      <c r="RSN3002" s="1" t="n">
        <v>0</v>
      </c>
      <c r="RSO3002" s="1" t="n">
        <v>0</v>
      </c>
      <c r="RSP3002" s="1" t="n">
        <v>0</v>
      </c>
      <c r="RSQ3002" s="1" t="n">
        <v>0</v>
      </c>
      <c r="RSR3002" s="1" t="n">
        <v>0</v>
      </c>
      <c r="RSS3002" s="1" t="n">
        <v>0</v>
      </c>
      <c r="RST3002" s="1" t="n">
        <v>0</v>
      </c>
      <c r="RSU3002" s="1" t="n">
        <v>0</v>
      </c>
      <c r="RSV3002" s="1" t="n">
        <v>0</v>
      </c>
      <c r="RSW3002" s="1" t="n">
        <v>0</v>
      </c>
      <c r="RSX3002" s="1" t="n">
        <v>0</v>
      </c>
      <c r="RSY3002" s="1" t="n">
        <v>0</v>
      </c>
      <c r="RSZ3002" s="1" t="n">
        <v>0</v>
      </c>
      <c r="RTA3002" s="1" t="n">
        <v>0</v>
      </c>
      <c r="RTB3002" s="1" t="n">
        <v>0</v>
      </c>
      <c r="RTC3002" s="1" t="n">
        <v>0</v>
      </c>
      <c r="RTD3002" s="1" t="n">
        <v>0</v>
      </c>
      <c r="RTE3002" s="1" t="n">
        <v>0</v>
      </c>
      <c r="RTF3002" s="1" t="n">
        <v>0</v>
      </c>
      <c r="RTG3002" s="1" t="n">
        <v>0</v>
      </c>
      <c r="RTH3002" s="1" t="n">
        <v>0</v>
      </c>
      <c r="RTI3002" s="1" t="n">
        <v>0</v>
      </c>
      <c r="RTJ3002" s="1" t="n">
        <v>0</v>
      </c>
      <c r="RTK3002" s="1" t="n">
        <v>0</v>
      </c>
      <c r="RTL3002" s="1" t="n">
        <v>0</v>
      </c>
      <c r="RTM3002" s="1" t="n">
        <v>0</v>
      </c>
      <c r="RTN3002" s="1" t="n">
        <v>0</v>
      </c>
      <c r="RTO3002" s="1" t="n">
        <v>0</v>
      </c>
      <c r="RTP3002" s="1" t="n">
        <v>0</v>
      </c>
      <c r="RTQ3002" s="1" t="n">
        <v>0</v>
      </c>
      <c r="RTR3002" s="1" t="n">
        <v>0</v>
      </c>
      <c r="RTS3002" s="1" t="n">
        <v>0</v>
      </c>
      <c r="RTT3002" s="1" t="n">
        <v>0</v>
      </c>
      <c r="RTU3002" s="1" t="n">
        <v>0</v>
      </c>
      <c r="RTV3002" s="1" t="n">
        <v>0</v>
      </c>
      <c r="RTW3002" s="1" t="n">
        <v>0</v>
      </c>
      <c r="RTX3002" s="1" t="n">
        <v>0</v>
      </c>
      <c r="RTY3002" s="1" t="n">
        <v>0</v>
      </c>
      <c r="RTZ3002" s="1" t="n">
        <v>0</v>
      </c>
      <c r="RUA3002" s="1" t="n">
        <v>0</v>
      </c>
      <c r="RUB3002" s="1" t="n">
        <v>0</v>
      </c>
      <c r="RUC3002" s="1" t="n">
        <v>0</v>
      </c>
      <c r="RUD3002" s="1" t="n">
        <v>0</v>
      </c>
      <c r="RUE3002" s="1" t="n">
        <v>0</v>
      </c>
      <c r="RUF3002" s="1" t="n">
        <v>0</v>
      </c>
      <c r="RUG3002" s="1" t="n">
        <v>0</v>
      </c>
      <c r="RUH3002" s="1" t="n">
        <v>0</v>
      </c>
      <c r="RUI3002" s="1" t="n">
        <v>0</v>
      </c>
      <c r="RUJ3002" s="1" t="n">
        <v>0</v>
      </c>
      <c r="RUK3002" s="1" t="n">
        <v>0</v>
      </c>
      <c r="RUL3002" s="1" t="n">
        <v>0</v>
      </c>
      <c r="RUM3002" s="1" t="n">
        <v>0</v>
      </c>
      <c r="RUN3002" s="1" t="n">
        <v>0</v>
      </c>
      <c r="RUO3002" s="1" t="n">
        <v>0</v>
      </c>
      <c r="RUP3002" s="1" t="n">
        <v>0</v>
      </c>
      <c r="RUQ3002" s="1" t="n">
        <v>0</v>
      </c>
      <c r="RUR3002" s="1" t="n">
        <v>0</v>
      </c>
      <c r="RUS3002" s="1" t="n">
        <v>0</v>
      </c>
      <c r="RUT3002" s="1" t="n">
        <v>0</v>
      </c>
      <c r="RUU3002" s="1" t="n">
        <v>0</v>
      </c>
      <c r="RUV3002" s="1" t="n">
        <v>0</v>
      </c>
      <c r="RUW3002" s="1" t="n">
        <v>0</v>
      </c>
      <c r="RUX3002" s="1" t="n">
        <v>0</v>
      </c>
      <c r="RUY3002" s="1" t="n">
        <v>0</v>
      </c>
      <c r="RUZ3002" s="1" t="n">
        <v>0</v>
      </c>
      <c r="RVA3002" s="1" t="n">
        <v>0</v>
      </c>
      <c r="RVB3002" s="1" t="n">
        <v>0</v>
      </c>
      <c r="RVC3002" s="1" t="n">
        <v>0</v>
      </c>
      <c r="RVD3002" s="1" t="n">
        <v>0</v>
      </c>
      <c r="RVE3002" s="1" t="n">
        <v>0</v>
      </c>
      <c r="RVF3002" s="1" t="n">
        <v>0</v>
      </c>
      <c r="RVG3002" s="1" t="n">
        <v>0</v>
      </c>
      <c r="RVH3002" s="1" t="n">
        <v>0</v>
      </c>
      <c r="RVI3002" s="1" t="n">
        <v>0</v>
      </c>
      <c r="RVJ3002" s="1" t="n">
        <v>0</v>
      </c>
      <c r="RVK3002" s="1" t="n">
        <v>0</v>
      </c>
      <c r="RVL3002" s="1" t="n">
        <v>0</v>
      </c>
      <c r="RVM3002" s="1" t="n">
        <v>0</v>
      </c>
      <c r="RVN3002" s="1" t="n">
        <v>0</v>
      </c>
      <c r="RVO3002" s="1" t="n">
        <v>0</v>
      </c>
      <c r="RVP3002" s="1" t="n">
        <v>0</v>
      </c>
      <c r="RVQ3002" s="1" t="n">
        <v>0</v>
      </c>
      <c r="RVR3002" s="1" t="n">
        <v>0</v>
      </c>
      <c r="RVS3002" s="1" t="n">
        <v>0</v>
      </c>
      <c r="RVT3002" s="1" t="n">
        <v>0</v>
      </c>
      <c r="RVU3002" s="1" t="n">
        <v>0</v>
      </c>
      <c r="RVV3002" s="1" t="n">
        <v>0</v>
      </c>
      <c r="RVW3002" s="1" t="n">
        <v>0</v>
      </c>
      <c r="RVX3002" s="1" t="n">
        <v>0</v>
      </c>
      <c r="RVY3002" s="1" t="n">
        <v>0</v>
      </c>
      <c r="RVZ3002" s="1" t="n">
        <v>0</v>
      </c>
      <c r="RWA3002" s="1" t="n">
        <v>0</v>
      </c>
      <c r="RWB3002" s="1" t="n">
        <v>0</v>
      </c>
      <c r="RWC3002" s="1" t="n">
        <v>0</v>
      </c>
      <c r="RWD3002" s="1" t="n">
        <v>0</v>
      </c>
      <c r="RWE3002" s="1" t="n">
        <v>0</v>
      </c>
      <c r="RWF3002" s="1" t="n">
        <v>0</v>
      </c>
      <c r="RWG3002" s="1" t="n">
        <v>0</v>
      </c>
      <c r="RWH3002" s="1" t="n">
        <v>0</v>
      </c>
      <c r="RWI3002" s="1" t="n">
        <v>0</v>
      </c>
      <c r="RWJ3002" s="1" t="n">
        <v>0</v>
      </c>
      <c r="RWK3002" s="1" t="n">
        <v>0</v>
      </c>
      <c r="RWL3002" s="1" t="n">
        <v>0</v>
      </c>
      <c r="RWM3002" s="1" t="n">
        <v>0</v>
      </c>
      <c r="RWN3002" s="1" t="n">
        <v>0</v>
      </c>
      <c r="RWO3002" s="1" t="n">
        <v>0</v>
      </c>
      <c r="RWP3002" s="1" t="n">
        <v>0</v>
      </c>
      <c r="RWQ3002" s="1" t="n">
        <v>0</v>
      </c>
      <c r="RWR3002" s="1" t="n">
        <v>0</v>
      </c>
      <c r="RWS3002" s="1" t="n">
        <v>0</v>
      </c>
      <c r="RWT3002" s="1" t="n">
        <v>0</v>
      </c>
      <c r="RWU3002" s="1" t="n">
        <v>0</v>
      </c>
      <c r="RWV3002" s="1" t="n">
        <v>0</v>
      </c>
      <c r="RWW3002" s="1" t="n">
        <v>0</v>
      </c>
      <c r="RWX3002" s="1" t="n">
        <v>0</v>
      </c>
      <c r="RWY3002" s="1" t="n">
        <v>0</v>
      </c>
      <c r="RWZ3002" s="1" t="n">
        <v>0</v>
      </c>
      <c r="RXA3002" s="1" t="n">
        <v>0</v>
      </c>
      <c r="RXB3002" s="1" t="n">
        <v>0</v>
      </c>
      <c r="RXC3002" s="1" t="n">
        <v>0</v>
      </c>
      <c r="RXD3002" s="1" t="n">
        <v>0</v>
      </c>
      <c r="RXE3002" s="1" t="n">
        <v>0</v>
      </c>
      <c r="RXF3002" s="1" t="n">
        <v>0</v>
      </c>
      <c r="RXG3002" s="1" t="n">
        <v>0</v>
      </c>
      <c r="RXH3002" s="1" t="n">
        <v>0</v>
      </c>
      <c r="RXI3002" s="1" t="n">
        <v>0</v>
      </c>
      <c r="RXJ3002" s="1" t="n">
        <v>0</v>
      </c>
      <c r="RXK3002" s="1" t="n">
        <v>0</v>
      </c>
      <c r="RXL3002" s="1" t="n">
        <v>0</v>
      </c>
      <c r="RXM3002" s="1" t="n">
        <v>0</v>
      </c>
      <c r="RXN3002" s="1" t="n">
        <v>0</v>
      </c>
      <c r="RXO3002" s="1" t="n">
        <v>0</v>
      </c>
      <c r="RXP3002" s="1" t="n">
        <v>0</v>
      </c>
      <c r="RXQ3002" s="1" t="n">
        <v>0</v>
      </c>
      <c r="RXR3002" s="1" t="n">
        <v>0</v>
      </c>
      <c r="RXS3002" s="1" t="n">
        <v>0</v>
      </c>
      <c r="RXT3002" s="1" t="n">
        <v>0</v>
      </c>
      <c r="RXU3002" s="1" t="n">
        <v>0</v>
      </c>
      <c r="RXV3002" s="1" t="n">
        <v>0</v>
      </c>
      <c r="RXW3002" s="1" t="n">
        <v>0</v>
      </c>
      <c r="RXX3002" s="1" t="n">
        <v>0</v>
      </c>
      <c r="RXY3002" s="1" t="n">
        <v>0</v>
      </c>
      <c r="RXZ3002" s="1" t="n">
        <v>0</v>
      </c>
      <c r="RYA3002" s="1" t="n">
        <v>0</v>
      </c>
      <c r="RYB3002" s="1" t="n">
        <v>0</v>
      </c>
      <c r="RYC3002" s="1" t="n">
        <v>0</v>
      </c>
      <c r="RYD3002" s="1" t="n">
        <v>0</v>
      </c>
      <c r="RYE3002" s="1" t="n">
        <v>0</v>
      </c>
      <c r="RYF3002" s="1" t="n">
        <v>0</v>
      </c>
      <c r="RYG3002" s="1" t="n">
        <v>0</v>
      </c>
      <c r="RYH3002" s="1" t="n">
        <v>0</v>
      </c>
      <c r="RYI3002" s="1" t="n">
        <v>0</v>
      </c>
      <c r="RYJ3002" s="1" t="n">
        <v>0</v>
      </c>
      <c r="RYK3002" s="1" t="n">
        <v>0</v>
      </c>
      <c r="RYL3002" s="1" t="n">
        <v>0</v>
      </c>
      <c r="RYM3002" s="1" t="n">
        <v>0</v>
      </c>
      <c r="RYN3002" s="1" t="n">
        <v>0</v>
      </c>
      <c r="RYO3002" s="1" t="n">
        <v>0</v>
      </c>
      <c r="RYP3002" s="1" t="n">
        <v>0</v>
      </c>
      <c r="RYQ3002" s="1" t="n">
        <v>0</v>
      </c>
      <c r="RYR3002" s="1" t="n">
        <v>0</v>
      </c>
      <c r="RYS3002" s="1" t="n">
        <v>0</v>
      </c>
      <c r="RYT3002" s="1" t="n">
        <v>0</v>
      </c>
      <c r="RYU3002" s="1" t="n">
        <v>0</v>
      </c>
      <c r="RYV3002" s="1" t="n">
        <v>0</v>
      </c>
      <c r="RYW3002" s="1" t="n">
        <v>0</v>
      </c>
      <c r="RYX3002" s="1" t="n">
        <v>0</v>
      </c>
      <c r="RYY3002" s="1" t="n">
        <v>0</v>
      </c>
      <c r="RYZ3002" s="1" t="n">
        <v>0</v>
      </c>
      <c r="RZA3002" s="1" t="n">
        <v>0</v>
      </c>
      <c r="RZB3002" s="1" t="n">
        <v>0</v>
      </c>
      <c r="RZC3002" s="1" t="n">
        <v>0</v>
      </c>
      <c r="RZD3002" s="1" t="n">
        <v>0</v>
      </c>
      <c r="RZE3002" s="1" t="n">
        <v>0</v>
      </c>
      <c r="RZF3002" s="1" t="n">
        <v>0</v>
      </c>
      <c r="RZG3002" s="1" t="n">
        <v>0</v>
      </c>
      <c r="RZH3002" s="1" t="n">
        <v>0</v>
      </c>
      <c r="RZI3002" s="1" t="n">
        <v>0</v>
      </c>
      <c r="RZJ3002" s="1" t="n">
        <v>0</v>
      </c>
      <c r="RZK3002" s="1" t="n">
        <v>0</v>
      </c>
      <c r="RZL3002" s="1" t="n">
        <v>0</v>
      </c>
      <c r="RZM3002" s="1" t="n">
        <v>0</v>
      </c>
      <c r="RZN3002" s="1" t="n">
        <v>0</v>
      </c>
      <c r="RZO3002" s="1" t="n">
        <v>0</v>
      </c>
      <c r="RZP3002" s="1" t="n">
        <v>0</v>
      </c>
      <c r="RZQ3002" s="1" t="n">
        <v>0</v>
      </c>
      <c r="RZR3002" s="1" t="n">
        <v>0</v>
      </c>
      <c r="RZS3002" s="1" t="n">
        <v>0</v>
      </c>
      <c r="RZT3002" s="1" t="n">
        <v>0</v>
      </c>
      <c r="RZU3002" s="1" t="n">
        <v>0</v>
      </c>
      <c r="RZV3002" s="1" t="n">
        <v>0</v>
      </c>
      <c r="RZW3002" s="1" t="n">
        <v>0</v>
      </c>
      <c r="RZX3002" s="1" t="n">
        <v>0</v>
      </c>
      <c r="RZY3002" s="1" t="n">
        <v>0</v>
      </c>
      <c r="RZZ3002" s="1" t="n">
        <v>0</v>
      </c>
      <c r="SAA3002" s="1" t="n">
        <v>0</v>
      </c>
      <c r="SAB3002" s="1" t="n">
        <v>0</v>
      </c>
      <c r="SAC3002" s="1" t="n">
        <v>0</v>
      </c>
      <c r="SAD3002" s="1" t="n">
        <v>0</v>
      </c>
      <c r="SAE3002" s="1" t="n">
        <v>0</v>
      </c>
      <c r="SAF3002" s="1" t="n">
        <v>0</v>
      </c>
      <c r="SAG3002" s="1" t="n">
        <v>0</v>
      </c>
      <c r="SAH3002" s="1" t="n">
        <v>0</v>
      </c>
      <c r="SAI3002" s="1" t="n">
        <v>0</v>
      </c>
      <c r="SAJ3002" s="1" t="n">
        <v>0</v>
      </c>
      <c r="SAK3002" s="1" t="n">
        <v>0</v>
      </c>
      <c r="SAL3002" s="1" t="n">
        <v>0</v>
      </c>
      <c r="SAM3002" s="1" t="n">
        <v>0</v>
      </c>
      <c r="SAN3002" s="1" t="n">
        <v>0</v>
      </c>
      <c r="SAO3002" s="1" t="n">
        <v>0</v>
      </c>
      <c r="SAP3002" s="1" t="n">
        <v>0</v>
      </c>
      <c r="SAQ3002" s="1" t="n">
        <v>0</v>
      </c>
      <c r="SAR3002" s="1" t="n">
        <v>0</v>
      </c>
      <c r="SAS3002" s="1" t="n">
        <v>0</v>
      </c>
      <c r="SAT3002" s="1" t="n">
        <v>0</v>
      </c>
      <c r="SAU3002" s="1" t="n">
        <v>0</v>
      </c>
      <c r="SAV3002" s="1" t="n">
        <v>0</v>
      </c>
      <c r="SAW3002" s="1" t="n">
        <v>0</v>
      </c>
      <c r="SAX3002" s="1" t="n">
        <v>0</v>
      </c>
      <c r="SAY3002" s="1" t="n">
        <v>0</v>
      </c>
      <c r="SAZ3002" s="1" t="n">
        <v>0</v>
      </c>
      <c r="SBA3002" s="1" t="n">
        <v>0</v>
      </c>
      <c r="SBB3002" s="1" t="n">
        <v>0</v>
      </c>
      <c r="SBC3002" s="1" t="n">
        <v>0</v>
      </c>
      <c r="SBD3002" s="1" t="n">
        <v>0</v>
      </c>
      <c r="SBE3002" s="1" t="n">
        <v>0</v>
      </c>
      <c r="SBF3002" s="1" t="n">
        <v>0</v>
      </c>
      <c r="SBG3002" s="1" t="n">
        <v>0</v>
      </c>
      <c r="SBH3002" s="1" t="n">
        <v>0</v>
      </c>
      <c r="SBI3002" s="1" t="n">
        <v>0</v>
      </c>
      <c r="SBJ3002" s="1" t="n">
        <v>0</v>
      </c>
      <c r="SBK3002" s="1" t="n">
        <v>0</v>
      </c>
      <c r="SBL3002" s="1" t="n">
        <v>0</v>
      </c>
      <c r="SBM3002" s="1" t="n">
        <v>0</v>
      </c>
      <c r="SBN3002" s="1" t="n">
        <v>0</v>
      </c>
      <c r="SBO3002" s="1" t="n">
        <v>0</v>
      </c>
      <c r="SBP3002" s="1" t="n">
        <v>0</v>
      </c>
      <c r="SBQ3002" s="1" t="n">
        <v>0</v>
      </c>
      <c r="SBR3002" s="1" t="n">
        <v>0</v>
      </c>
      <c r="SBS3002" s="1" t="n">
        <v>0</v>
      </c>
      <c r="SBT3002" s="1" t="n">
        <v>0</v>
      </c>
      <c r="SBU3002" s="1" t="n">
        <v>0</v>
      </c>
      <c r="SBV3002" s="1" t="n">
        <v>0</v>
      </c>
      <c r="SBW3002" s="1" t="n">
        <v>0</v>
      </c>
      <c r="SBX3002" s="1" t="n">
        <v>0</v>
      </c>
      <c r="SBY3002" s="1" t="n">
        <v>0</v>
      </c>
      <c r="SBZ3002" s="1" t="n">
        <v>0</v>
      </c>
      <c r="SCA3002" s="1" t="n">
        <v>0</v>
      </c>
      <c r="SCB3002" s="1" t="n">
        <v>0</v>
      </c>
      <c r="SCC3002" s="1" t="n">
        <v>0</v>
      </c>
      <c r="SCD3002" s="1" t="n">
        <v>0</v>
      </c>
      <c r="SCE3002" s="1" t="n">
        <v>0</v>
      </c>
      <c r="SCF3002" s="1" t="n">
        <v>0</v>
      </c>
      <c r="SCG3002" s="1" t="n">
        <v>0</v>
      </c>
      <c r="SCH3002" s="1" t="n">
        <v>0</v>
      </c>
      <c r="SCI3002" s="1" t="n">
        <v>0</v>
      </c>
      <c r="SCJ3002" s="1" t="n">
        <v>0</v>
      </c>
      <c r="SCK3002" s="1" t="n">
        <v>0</v>
      </c>
      <c r="SCL3002" s="1" t="n">
        <v>0</v>
      </c>
      <c r="SCM3002" s="1" t="n">
        <v>0</v>
      </c>
      <c r="SCN3002" s="1" t="n">
        <v>0</v>
      </c>
      <c r="SCO3002" s="1" t="n">
        <v>0</v>
      </c>
      <c r="SCP3002" s="1" t="n">
        <v>0</v>
      </c>
      <c r="SCQ3002" s="1" t="n">
        <v>0</v>
      </c>
      <c r="SCR3002" s="1" t="n">
        <v>0</v>
      </c>
      <c r="SCS3002" s="1" t="n">
        <v>0</v>
      </c>
      <c r="SCT3002" s="1" t="n">
        <v>0</v>
      </c>
      <c r="SCU3002" s="1" t="n">
        <v>0</v>
      </c>
      <c r="SCV3002" s="1" t="n">
        <v>0</v>
      </c>
      <c r="SCW3002" s="1" t="n">
        <v>0</v>
      </c>
      <c r="SCX3002" s="1" t="n">
        <v>0</v>
      </c>
      <c r="SCY3002" s="1" t="n">
        <v>0</v>
      </c>
      <c r="SCZ3002" s="1" t="n">
        <v>0</v>
      </c>
      <c r="SDA3002" s="1" t="n">
        <v>0</v>
      </c>
      <c r="SDB3002" s="1" t="n">
        <v>0</v>
      </c>
      <c r="SDC3002" s="1" t="n">
        <v>0</v>
      </c>
      <c r="SDD3002" s="1" t="n">
        <v>0</v>
      </c>
      <c r="SDE3002" s="1" t="n">
        <v>0</v>
      </c>
      <c r="SDF3002" s="1" t="n">
        <v>0</v>
      </c>
      <c r="SDG3002" s="1" t="n">
        <v>0</v>
      </c>
      <c r="SDH3002" s="1" t="n">
        <v>0</v>
      </c>
      <c r="SDI3002" s="1" t="n">
        <v>0</v>
      </c>
      <c r="SDJ3002" s="1" t="n">
        <v>0</v>
      </c>
      <c r="SDK3002" s="1" t="n">
        <v>0</v>
      </c>
      <c r="SDL3002" s="1" t="n">
        <v>0</v>
      </c>
      <c r="SDM3002" s="1" t="n">
        <v>0</v>
      </c>
      <c r="SDN3002" s="1" t="n">
        <v>0</v>
      </c>
      <c r="SDO3002" s="1" t="n">
        <v>0</v>
      </c>
      <c r="SDP3002" s="1" t="n">
        <v>0</v>
      </c>
      <c r="SDQ3002" s="1" t="n">
        <v>0</v>
      </c>
      <c r="SDR3002" s="1" t="n">
        <v>0</v>
      </c>
      <c r="SDS3002" s="1" t="n">
        <v>0</v>
      </c>
      <c r="SDT3002" s="1" t="n">
        <v>0</v>
      </c>
      <c r="SDU3002" s="1" t="n">
        <v>0</v>
      </c>
      <c r="SDV3002" s="1" t="n">
        <v>0</v>
      </c>
      <c r="SDW3002" s="1" t="n">
        <v>0</v>
      </c>
      <c r="SDX3002" s="1" t="n">
        <v>0</v>
      </c>
      <c r="SDY3002" s="1" t="n">
        <v>0</v>
      </c>
      <c r="SDZ3002" s="1" t="n">
        <v>0</v>
      </c>
      <c r="SEA3002" s="1" t="n">
        <v>0</v>
      </c>
      <c r="SEB3002" s="1" t="n">
        <v>0</v>
      </c>
      <c r="SEC3002" s="1" t="n">
        <v>0</v>
      </c>
      <c r="SED3002" s="1" t="n">
        <v>0</v>
      </c>
      <c r="SEE3002" s="1" t="n">
        <v>0</v>
      </c>
      <c r="SEF3002" s="1" t="n">
        <v>0</v>
      </c>
      <c r="SEG3002" s="1" t="n">
        <v>0</v>
      </c>
      <c r="SEH3002" s="1" t="n">
        <v>0</v>
      </c>
      <c r="SEI3002" s="1" t="n">
        <v>0</v>
      </c>
      <c r="SEJ3002" s="1" t="n">
        <v>0</v>
      </c>
      <c r="SEK3002" s="1" t="n">
        <v>0</v>
      </c>
      <c r="SEL3002" s="1" t="n">
        <v>0</v>
      </c>
      <c r="SEM3002" s="1" t="n">
        <v>0</v>
      </c>
      <c r="SEN3002" s="1" t="n">
        <v>0</v>
      </c>
      <c r="SEO3002" s="1" t="n">
        <v>0</v>
      </c>
      <c r="SEP3002" s="1" t="n">
        <v>0</v>
      </c>
      <c r="SEQ3002" s="1" t="n">
        <v>0</v>
      </c>
      <c r="SER3002" s="1" t="n">
        <v>0</v>
      </c>
      <c r="SES3002" s="1" t="n">
        <v>0</v>
      </c>
      <c r="SET3002" s="1" t="n">
        <v>0</v>
      </c>
      <c r="SEU3002" s="1" t="n">
        <v>0</v>
      </c>
      <c r="SEV3002" s="1" t="n">
        <v>0</v>
      </c>
      <c r="SEW3002" s="1" t="n">
        <v>0</v>
      </c>
      <c r="SEX3002" s="1" t="n">
        <v>0</v>
      </c>
      <c r="SEY3002" s="1" t="n">
        <v>0</v>
      </c>
      <c r="SEZ3002" s="1" t="n">
        <v>0</v>
      </c>
      <c r="SFA3002" s="1" t="n">
        <v>0</v>
      </c>
      <c r="SFB3002" s="1" t="n">
        <v>0</v>
      </c>
      <c r="SFC3002" s="1" t="n">
        <v>0</v>
      </c>
      <c r="SFD3002" s="1" t="n">
        <v>0</v>
      </c>
      <c r="SFE3002" s="1" t="n">
        <v>0</v>
      </c>
      <c r="SFF3002" s="1" t="n">
        <v>0</v>
      </c>
      <c r="SFG3002" s="1" t="n">
        <v>0</v>
      </c>
      <c r="SFH3002" s="1" t="n">
        <v>0</v>
      </c>
      <c r="SFI3002" s="1" t="n">
        <v>0</v>
      </c>
      <c r="SFJ3002" s="1" t="n">
        <v>0</v>
      </c>
      <c r="SFK3002" s="1" t="n">
        <v>0</v>
      </c>
      <c r="SFL3002" s="1" t="n">
        <v>0</v>
      </c>
      <c r="SFM3002" s="1" t="n">
        <v>0</v>
      </c>
      <c r="SFN3002" s="1" t="n">
        <v>0</v>
      </c>
      <c r="SFO3002" s="1" t="n">
        <v>0</v>
      </c>
      <c r="SFP3002" s="1" t="n">
        <v>0</v>
      </c>
      <c r="SFQ3002" s="1" t="n">
        <v>0</v>
      </c>
      <c r="SFR3002" s="1" t="n">
        <v>0</v>
      </c>
      <c r="SFS3002" s="1" t="n">
        <v>0</v>
      </c>
      <c r="SFT3002" s="1" t="n">
        <v>0</v>
      </c>
      <c r="SFU3002" s="1" t="n">
        <v>0</v>
      </c>
      <c r="SFV3002" s="1" t="n">
        <v>0</v>
      </c>
      <c r="SFW3002" s="1" t="n">
        <v>0</v>
      </c>
      <c r="SFX3002" s="1" t="n">
        <v>0</v>
      </c>
      <c r="SFY3002" s="1" t="n">
        <v>0</v>
      </c>
      <c r="SFZ3002" s="1" t="n">
        <v>0</v>
      </c>
      <c r="SGA3002" s="1" t="n">
        <v>0</v>
      </c>
      <c r="SGB3002" s="1" t="n">
        <v>0</v>
      </c>
      <c r="SGC3002" s="1" t="n">
        <v>0</v>
      </c>
      <c r="SGD3002" s="1" t="n">
        <v>0</v>
      </c>
      <c r="SGE3002" s="1" t="n">
        <v>0</v>
      </c>
      <c r="SGF3002" s="1" t="n">
        <v>0</v>
      </c>
      <c r="SGG3002" s="1" t="n">
        <v>0</v>
      </c>
      <c r="SGH3002" s="1" t="n">
        <v>0</v>
      </c>
      <c r="SGI3002" s="1" t="n">
        <v>0</v>
      </c>
      <c r="SGJ3002" s="1" t="n">
        <v>0</v>
      </c>
      <c r="SGK3002" s="1" t="n">
        <v>0</v>
      </c>
      <c r="SGL3002" s="1" t="n">
        <v>0</v>
      </c>
      <c r="SGM3002" s="1" t="n">
        <v>0</v>
      </c>
      <c r="SGN3002" s="1" t="n">
        <v>0</v>
      </c>
      <c r="SGO3002" s="1" t="n">
        <v>0</v>
      </c>
      <c r="SGP3002" s="1" t="n">
        <v>0</v>
      </c>
      <c r="SGQ3002" s="1" t="n">
        <v>0</v>
      </c>
      <c r="SGR3002" s="1" t="n">
        <v>0</v>
      </c>
      <c r="SGS3002" s="1" t="n">
        <v>0</v>
      </c>
      <c r="SGT3002" s="1" t="n">
        <v>0</v>
      </c>
      <c r="SGU3002" s="1" t="n">
        <v>0</v>
      </c>
      <c r="SGV3002" s="1" t="n">
        <v>0</v>
      </c>
      <c r="SGW3002" s="1" t="n">
        <v>0</v>
      </c>
      <c r="SGX3002" s="1" t="n">
        <v>0</v>
      </c>
      <c r="SGY3002" s="1" t="n">
        <v>0</v>
      </c>
      <c r="SGZ3002" s="1" t="n">
        <v>0</v>
      </c>
      <c r="SHA3002" s="1" t="n">
        <v>0</v>
      </c>
      <c r="SHB3002" s="1" t="n">
        <v>0</v>
      </c>
      <c r="SHC3002" s="1" t="n">
        <v>0</v>
      </c>
      <c r="SHD3002" s="1" t="n">
        <v>0</v>
      </c>
      <c r="SHE3002" s="1" t="n">
        <v>0</v>
      </c>
      <c r="SHF3002" s="1" t="n">
        <v>0</v>
      </c>
      <c r="SHG3002" s="1" t="n">
        <v>0</v>
      </c>
      <c r="SHH3002" s="1" t="n">
        <v>0</v>
      </c>
      <c r="SHI3002" s="1" t="n">
        <v>0</v>
      </c>
      <c r="SHJ3002" s="1" t="n">
        <v>0</v>
      </c>
      <c r="SHK3002" s="1" t="n">
        <v>0</v>
      </c>
      <c r="SHL3002" s="1" t="n">
        <v>0</v>
      </c>
      <c r="SHM3002" s="1" t="n">
        <v>0</v>
      </c>
      <c r="SHN3002" s="1" t="n">
        <v>0</v>
      </c>
      <c r="SHO3002" s="1" t="n">
        <v>0</v>
      </c>
      <c r="SHP3002" s="1" t="n">
        <v>0</v>
      </c>
      <c r="SHQ3002" s="1" t="n">
        <v>0</v>
      </c>
      <c r="SHR3002" s="1" t="n">
        <v>0</v>
      </c>
      <c r="SHS3002" s="1" t="n">
        <v>0</v>
      </c>
      <c r="SHT3002" s="1" t="n">
        <v>0</v>
      </c>
      <c r="SHU3002" s="1" t="n">
        <v>0</v>
      </c>
      <c r="SHV3002" s="1" t="n">
        <v>0</v>
      </c>
      <c r="SHW3002" s="1" t="n">
        <v>0</v>
      </c>
      <c r="SHX3002" s="1" t="n">
        <v>0</v>
      </c>
      <c r="SHY3002" s="1" t="n">
        <v>0</v>
      </c>
      <c r="SHZ3002" s="1" t="n">
        <v>0</v>
      </c>
      <c r="SIA3002" s="1" t="n">
        <v>0</v>
      </c>
      <c r="SIB3002" s="1" t="n">
        <v>0</v>
      </c>
      <c r="SIC3002" s="1" t="n">
        <v>0</v>
      </c>
      <c r="SID3002" s="1" t="n">
        <v>0</v>
      </c>
      <c r="SIE3002" s="1" t="n">
        <v>0</v>
      </c>
      <c r="SIF3002" s="1" t="n">
        <v>0</v>
      </c>
      <c r="SIG3002" s="1" t="n">
        <v>0</v>
      </c>
      <c r="SIH3002" s="1" t="n">
        <v>0</v>
      </c>
      <c r="SII3002" s="1" t="n">
        <v>0</v>
      </c>
      <c r="SIJ3002" s="1" t="n">
        <v>0</v>
      </c>
      <c r="SIK3002" s="1" t="n">
        <v>0</v>
      </c>
      <c r="SIL3002" s="1" t="n">
        <v>0</v>
      </c>
      <c r="SIM3002" s="1" t="n">
        <v>0</v>
      </c>
      <c r="SIN3002" s="1" t="n">
        <v>0</v>
      </c>
      <c r="SIO3002" s="1" t="n">
        <v>0</v>
      </c>
      <c r="SIP3002" s="1" t="n">
        <v>0</v>
      </c>
      <c r="SIQ3002" s="1" t="n">
        <v>0</v>
      </c>
      <c r="SIR3002" s="1" t="n">
        <v>0</v>
      </c>
      <c r="SIS3002" s="1" t="n">
        <v>0</v>
      </c>
      <c r="SIT3002" s="1" t="n">
        <v>0</v>
      </c>
      <c r="SIU3002" s="1" t="n">
        <v>0</v>
      </c>
      <c r="SIV3002" s="1" t="n">
        <v>0</v>
      </c>
      <c r="SIW3002" s="1" t="n">
        <v>0</v>
      </c>
      <c r="SIX3002" s="1" t="n">
        <v>0</v>
      </c>
      <c r="SIY3002" s="1" t="n">
        <v>0</v>
      </c>
      <c r="SIZ3002" s="1" t="n">
        <v>0</v>
      </c>
      <c r="SJA3002" s="1" t="n">
        <v>0</v>
      </c>
      <c r="SJB3002" s="1" t="n">
        <v>0</v>
      </c>
      <c r="SJC3002" s="1" t="n">
        <v>0</v>
      </c>
      <c r="SJD3002" s="1" t="n">
        <v>0</v>
      </c>
      <c r="SJE3002" s="1" t="n">
        <v>0</v>
      </c>
      <c r="SJF3002" s="1" t="n">
        <v>0</v>
      </c>
      <c r="SJG3002" s="1" t="n">
        <v>0</v>
      </c>
      <c r="SJH3002" s="1" t="n">
        <v>0</v>
      </c>
      <c r="SJI3002" s="1" t="n">
        <v>0</v>
      </c>
      <c r="SJJ3002" s="1" t="n">
        <v>0</v>
      </c>
      <c r="SJK3002" s="1" t="n">
        <v>0</v>
      </c>
      <c r="SJL3002" s="1" t="n">
        <v>0</v>
      </c>
      <c r="SJM3002" s="1" t="n">
        <v>0</v>
      </c>
      <c r="SJN3002" s="1" t="n">
        <v>0</v>
      </c>
      <c r="SJO3002" s="1" t="n">
        <v>0</v>
      </c>
      <c r="SJP3002" s="1" t="n">
        <v>0</v>
      </c>
      <c r="SJQ3002" s="1" t="n">
        <v>0</v>
      </c>
      <c r="SJR3002" s="1" t="n">
        <v>0</v>
      </c>
      <c r="SJS3002" s="1" t="n">
        <v>0</v>
      </c>
      <c r="SJT3002" s="1" t="n">
        <v>0</v>
      </c>
      <c r="SJU3002" s="1" t="n">
        <v>0</v>
      </c>
      <c r="SJV3002" s="1" t="n">
        <v>0</v>
      </c>
      <c r="SJW3002" s="1" t="n">
        <v>0</v>
      </c>
      <c r="SJX3002" s="1" t="n">
        <v>0</v>
      </c>
      <c r="SJY3002" s="1" t="n">
        <v>0</v>
      </c>
      <c r="SJZ3002" s="1" t="n">
        <v>0</v>
      </c>
      <c r="SKA3002" s="1" t="n">
        <v>0</v>
      </c>
      <c r="SKB3002" s="1" t="n">
        <v>0</v>
      </c>
      <c r="SKC3002" s="1" t="n">
        <v>0</v>
      </c>
      <c r="SKD3002" s="1" t="n">
        <v>0</v>
      </c>
      <c r="SKE3002" s="1" t="n">
        <v>0</v>
      </c>
      <c r="SKF3002" s="1" t="n">
        <v>0</v>
      </c>
      <c r="SKG3002" s="1" t="n">
        <v>0</v>
      </c>
      <c r="SKH3002" s="1" t="n">
        <v>0</v>
      </c>
      <c r="SKI3002" s="1" t="n">
        <v>0</v>
      </c>
      <c r="SKJ3002" s="1" t="n">
        <v>0</v>
      </c>
      <c r="SKK3002" s="1" t="n">
        <v>0</v>
      </c>
      <c r="SKL3002" s="1" t="n">
        <v>0</v>
      </c>
      <c r="SKM3002" s="1" t="n">
        <v>0</v>
      </c>
      <c r="SKN3002" s="1" t="n">
        <v>0</v>
      </c>
      <c r="SKO3002" s="1" t="n">
        <v>0</v>
      </c>
      <c r="SKP3002" s="1" t="n">
        <v>0</v>
      </c>
      <c r="SKQ3002" s="1" t="n">
        <v>0</v>
      </c>
      <c r="SKR3002" s="1" t="n">
        <v>0</v>
      </c>
      <c r="SKS3002" s="1" t="n">
        <v>0</v>
      </c>
      <c r="SKT3002" s="1" t="n">
        <v>0</v>
      </c>
      <c r="SKU3002" s="1" t="n">
        <v>0</v>
      </c>
      <c r="SKV3002" s="1" t="n">
        <v>0</v>
      </c>
      <c r="SKW3002" s="1" t="n">
        <v>0</v>
      </c>
      <c r="SKX3002" s="1" t="n">
        <v>0</v>
      </c>
      <c r="SKY3002" s="1" t="n">
        <v>0</v>
      </c>
      <c r="SKZ3002" s="1" t="n">
        <v>0</v>
      </c>
      <c r="SLA3002" s="1" t="n">
        <v>0</v>
      </c>
      <c r="SLB3002" s="1" t="n">
        <v>0</v>
      </c>
      <c r="SLC3002" s="1" t="n">
        <v>0</v>
      </c>
      <c r="SLD3002" s="1" t="n">
        <v>0</v>
      </c>
      <c r="SLE3002" s="1" t="n">
        <v>0</v>
      </c>
      <c r="SLF3002" s="1" t="n">
        <v>0</v>
      </c>
      <c r="SLG3002" s="1" t="n">
        <v>0</v>
      </c>
      <c r="SLH3002" s="1" t="n">
        <v>0</v>
      </c>
      <c r="SLI3002" s="1" t="n">
        <v>0</v>
      </c>
      <c r="SLJ3002" s="1" t="n">
        <v>0</v>
      </c>
      <c r="SLK3002" s="1" t="n">
        <v>0</v>
      </c>
      <c r="SLL3002" s="1" t="n">
        <v>0</v>
      </c>
      <c r="SLM3002" s="1" t="n">
        <v>0</v>
      </c>
      <c r="SLN3002" s="1" t="n">
        <v>0</v>
      </c>
      <c r="SLO3002" s="1" t="n">
        <v>0</v>
      </c>
      <c r="SLP3002" s="1" t="n">
        <v>0</v>
      </c>
      <c r="SLQ3002" s="1" t="n">
        <v>0</v>
      </c>
      <c r="SLR3002" s="1" t="n">
        <v>0</v>
      </c>
      <c r="SLS3002" s="1" t="n">
        <v>0</v>
      </c>
      <c r="SLT3002" s="1" t="n">
        <v>0</v>
      </c>
      <c r="SLU3002" s="1" t="n">
        <v>0</v>
      </c>
      <c r="SLV3002" s="1" t="n">
        <v>0</v>
      </c>
      <c r="SLW3002" s="1" t="n">
        <v>0</v>
      </c>
      <c r="SLX3002" s="1" t="n">
        <v>0</v>
      </c>
      <c r="SLY3002" s="1" t="n">
        <v>0</v>
      </c>
      <c r="SLZ3002" s="1" t="n">
        <v>0</v>
      </c>
      <c r="SMA3002" s="1" t="n">
        <v>0</v>
      </c>
      <c r="SMB3002" s="1" t="n">
        <v>0</v>
      </c>
      <c r="SMC3002" s="1" t="n">
        <v>0</v>
      </c>
      <c r="SMD3002" s="1" t="n">
        <v>0</v>
      </c>
      <c r="SME3002" s="1" t="n">
        <v>0</v>
      </c>
      <c r="SMF3002" s="1" t="n">
        <v>0</v>
      </c>
      <c r="SMG3002" s="1" t="n">
        <v>0</v>
      </c>
      <c r="SMH3002" s="1" t="n">
        <v>0</v>
      </c>
      <c r="SMI3002" s="1" t="n">
        <v>0</v>
      </c>
      <c r="SMJ3002" s="1" t="n">
        <v>0</v>
      </c>
      <c r="SMK3002" s="1" t="n">
        <v>0</v>
      </c>
      <c r="SML3002" s="1" t="n">
        <v>0</v>
      </c>
      <c r="SMM3002" s="1" t="n">
        <v>0</v>
      </c>
      <c r="SMN3002" s="1" t="n">
        <v>0</v>
      </c>
      <c r="SMO3002" s="1" t="n">
        <v>0</v>
      </c>
      <c r="SMP3002" s="1" t="n">
        <v>0</v>
      </c>
      <c r="SMQ3002" s="1" t="n">
        <v>0</v>
      </c>
      <c r="SMR3002" s="1" t="n">
        <v>0</v>
      </c>
      <c r="SMS3002" s="1" t="n">
        <v>0</v>
      </c>
      <c r="SMT3002" s="1" t="n">
        <v>0</v>
      </c>
      <c r="SMU3002" s="1" t="n">
        <v>0</v>
      </c>
      <c r="SMV3002" s="1" t="n">
        <v>0</v>
      </c>
      <c r="SMW3002" s="1" t="n">
        <v>0</v>
      </c>
      <c r="SMX3002" s="1" t="n">
        <v>0</v>
      </c>
      <c r="SMY3002" s="1" t="n">
        <v>0</v>
      </c>
      <c r="SMZ3002" s="1" t="n">
        <v>0</v>
      </c>
      <c r="SNA3002" s="1" t="n">
        <v>0</v>
      </c>
      <c r="SNB3002" s="1" t="n">
        <v>0</v>
      </c>
      <c r="SNC3002" s="1" t="n">
        <v>0</v>
      </c>
      <c r="SND3002" s="1" t="n">
        <v>0</v>
      </c>
      <c r="SNE3002" s="1" t="n">
        <v>0</v>
      </c>
      <c r="SNF3002" s="1" t="n">
        <v>0</v>
      </c>
      <c r="SNG3002" s="1" t="n">
        <v>0</v>
      </c>
      <c r="SNH3002" s="1" t="n">
        <v>0</v>
      </c>
      <c r="SNI3002" s="1" t="n">
        <v>0</v>
      </c>
      <c r="SNJ3002" s="1" t="n">
        <v>0</v>
      </c>
      <c r="SNK3002" s="1" t="n">
        <v>0</v>
      </c>
      <c r="SNL3002" s="1" t="n">
        <v>0</v>
      </c>
      <c r="SNM3002" s="1" t="n">
        <v>0</v>
      </c>
      <c r="SNN3002" s="1" t="n">
        <v>0</v>
      </c>
      <c r="SNO3002" s="1" t="n">
        <v>0</v>
      </c>
      <c r="SNP3002" s="1" t="n">
        <v>0</v>
      </c>
      <c r="SNQ3002" s="1" t="n">
        <v>0</v>
      </c>
      <c r="SNR3002" s="1" t="n">
        <v>0</v>
      </c>
      <c r="SNS3002" s="1" t="n">
        <v>0</v>
      </c>
      <c r="SNT3002" s="1" t="n">
        <v>0</v>
      </c>
      <c r="SNU3002" s="1" t="n">
        <v>0</v>
      </c>
      <c r="SNV3002" s="1" t="n">
        <v>0</v>
      </c>
      <c r="SNW3002" s="1" t="n">
        <v>0</v>
      </c>
      <c r="SNX3002" s="1" t="n">
        <v>0</v>
      </c>
      <c r="SNY3002" s="1" t="n">
        <v>0</v>
      </c>
      <c r="SNZ3002" s="1" t="n">
        <v>0</v>
      </c>
      <c r="SOA3002" s="1" t="n">
        <v>0</v>
      </c>
      <c r="SOB3002" s="1" t="n">
        <v>0</v>
      </c>
      <c r="SOC3002" s="1" t="n">
        <v>0</v>
      </c>
      <c r="SOD3002" s="1" t="n">
        <v>0</v>
      </c>
      <c r="SOE3002" s="1" t="n">
        <v>0</v>
      </c>
      <c r="SOF3002" s="1" t="n">
        <v>0</v>
      </c>
      <c r="SOG3002" s="1" t="n">
        <v>0</v>
      </c>
      <c r="SOH3002" s="1" t="n">
        <v>0</v>
      </c>
      <c r="SOI3002" s="1" t="n">
        <v>0</v>
      </c>
      <c r="SOJ3002" s="1" t="n">
        <v>0</v>
      </c>
      <c r="SOK3002" s="1" t="n">
        <v>0</v>
      </c>
      <c r="SOL3002" s="1" t="n">
        <v>0</v>
      </c>
      <c r="SOM3002" s="1" t="n">
        <v>0</v>
      </c>
      <c r="SON3002" s="1" t="n">
        <v>0</v>
      </c>
      <c r="SOO3002" s="1" t="n">
        <v>0</v>
      </c>
      <c r="SOP3002" s="1" t="n">
        <v>0</v>
      </c>
      <c r="SOQ3002" s="1" t="n">
        <v>0</v>
      </c>
      <c r="SOR3002" s="1" t="n">
        <v>0</v>
      </c>
      <c r="SOS3002" s="1" t="n">
        <v>0</v>
      </c>
      <c r="SOT3002" s="1" t="n">
        <v>0</v>
      </c>
      <c r="SOU3002" s="1" t="n">
        <v>0</v>
      </c>
      <c r="SOV3002" s="1" t="n">
        <v>0</v>
      </c>
      <c r="SOW3002" s="1" t="n">
        <v>0</v>
      </c>
      <c r="SOX3002" s="1" t="n">
        <v>0</v>
      </c>
      <c r="SOY3002" s="1" t="n">
        <v>0</v>
      </c>
      <c r="SOZ3002" s="1" t="n">
        <v>0</v>
      </c>
      <c r="SPA3002" s="1" t="n">
        <v>0</v>
      </c>
      <c r="SPB3002" s="1" t="n">
        <v>0</v>
      </c>
      <c r="SPC3002" s="1" t="n">
        <v>0</v>
      </c>
      <c r="SPD3002" s="1" t="n">
        <v>0</v>
      </c>
      <c r="SPE3002" s="1" t="n">
        <v>0</v>
      </c>
      <c r="SPF3002" s="1" t="n">
        <v>0</v>
      </c>
      <c r="SPG3002" s="1" t="n">
        <v>0</v>
      </c>
      <c r="SPH3002" s="1" t="n">
        <v>0</v>
      </c>
      <c r="SPI3002" s="1" t="n">
        <v>0</v>
      </c>
      <c r="SPJ3002" s="1" t="n">
        <v>0</v>
      </c>
      <c r="SPK3002" s="1" t="n">
        <v>0</v>
      </c>
      <c r="SPL3002" s="1" t="n">
        <v>0</v>
      </c>
      <c r="SPM3002" s="1" t="n">
        <v>0</v>
      </c>
      <c r="SPN3002" s="1" t="n">
        <v>0</v>
      </c>
      <c r="SPO3002" s="1" t="n">
        <v>0</v>
      </c>
      <c r="SPP3002" s="1" t="n">
        <v>0</v>
      </c>
      <c r="SPQ3002" s="1" t="n">
        <v>0</v>
      </c>
      <c r="SPR3002" s="1" t="n">
        <v>0</v>
      </c>
      <c r="SPS3002" s="1" t="n">
        <v>0</v>
      </c>
      <c r="SPT3002" s="1" t="n">
        <v>0</v>
      </c>
      <c r="SPU3002" s="1" t="n">
        <v>0</v>
      </c>
      <c r="SPV3002" s="1" t="n">
        <v>0</v>
      </c>
      <c r="SPW3002" s="1" t="n">
        <v>0</v>
      </c>
      <c r="SPX3002" s="1" t="n">
        <v>0</v>
      </c>
      <c r="SPY3002" s="1" t="n">
        <v>0</v>
      </c>
      <c r="SPZ3002" s="1" t="n">
        <v>0</v>
      </c>
      <c r="SQA3002" s="1" t="n">
        <v>0</v>
      </c>
      <c r="SQB3002" s="1" t="n">
        <v>0</v>
      </c>
      <c r="SQC3002" s="1" t="n">
        <v>0</v>
      </c>
      <c r="SQD3002" s="1" t="n">
        <v>0</v>
      </c>
      <c r="SQE3002" s="1" t="n">
        <v>0</v>
      </c>
      <c r="SQF3002" s="1" t="n">
        <v>0</v>
      </c>
      <c r="SQG3002" s="1" t="n">
        <v>0</v>
      </c>
      <c r="SQH3002" s="1" t="n">
        <v>0</v>
      </c>
      <c r="SQI3002" s="1" t="n">
        <v>0</v>
      </c>
      <c r="SQJ3002" s="1" t="n">
        <v>0</v>
      </c>
      <c r="SQK3002" s="1" t="n">
        <v>0</v>
      </c>
      <c r="SQL3002" s="1" t="n">
        <v>0</v>
      </c>
      <c r="SQM3002" s="1" t="n">
        <v>0</v>
      </c>
      <c r="SQN3002" s="1" t="n">
        <v>0</v>
      </c>
      <c r="SQO3002" s="1" t="n">
        <v>0</v>
      </c>
      <c r="SQP3002" s="1" t="n">
        <v>0</v>
      </c>
      <c r="SQQ3002" s="1" t="n">
        <v>0</v>
      </c>
      <c r="SQR3002" s="1" t="n">
        <v>0</v>
      </c>
      <c r="SQS3002" s="1" t="n">
        <v>0</v>
      </c>
      <c r="SQT3002" s="1" t="n">
        <v>0</v>
      </c>
      <c r="SQU3002" s="1" t="n">
        <v>0</v>
      </c>
      <c r="SQV3002" s="1" t="n">
        <v>0</v>
      </c>
      <c r="SQW3002" s="1" t="n">
        <v>0</v>
      </c>
      <c r="SQX3002" s="1" t="n">
        <v>0</v>
      </c>
      <c r="SQY3002" s="1" t="n">
        <v>0</v>
      </c>
      <c r="SQZ3002" s="1" t="n">
        <v>0</v>
      </c>
      <c r="SRA3002" s="1" t="n">
        <v>0</v>
      </c>
      <c r="SRB3002" s="1" t="n">
        <v>0</v>
      </c>
      <c r="SRC3002" s="1" t="n">
        <v>0</v>
      </c>
      <c r="SRD3002" s="1" t="n">
        <v>0</v>
      </c>
      <c r="SRE3002" s="1" t="n">
        <v>0</v>
      </c>
      <c r="SRF3002" s="1" t="n">
        <v>0</v>
      </c>
      <c r="SRG3002" s="1" t="n">
        <v>0</v>
      </c>
      <c r="SRH3002" s="1" t="n">
        <v>0</v>
      </c>
      <c r="SRI3002" s="1" t="n">
        <v>0</v>
      </c>
      <c r="SRJ3002" s="1" t="n">
        <v>0</v>
      </c>
      <c r="SRK3002" s="1" t="n">
        <v>0</v>
      </c>
      <c r="SRL3002" s="1" t="n">
        <v>0</v>
      </c>
      <c r="SRM3002" s="1" t="n">
        <v>0</v>
      </c>
      <c r="SRN3002" s="1" t="n">
        <v>0</v>
      </c>
      <c r="SRO3002" s="1" t="n">
        <v>0</v>
      </c>
      <c r="SRP3002" s="1" t="n">
        <v>0</v>
      </c>
      <c r="SRQ3002" s="1" t="n">
        <v>0</v>
      </c>
      <c r="SRR3002" s="1" t="n">
        <v>0</v>
      </c>
      <c r="SRS3002" s="1" t="n">
        <v>0</v>
      </c>
      <c r="SRT3002" s="1" t="n">
        <v>0</v>
      </c>
      <c r="SRU3002" s="1" t="n">
        <v>0</v>
      </c>
      <c r="SRV3002" s="1" t="n">
        <v>0</v>
      </c>
      <c r="SRW3002" s="1" t="n">
        <v>0</v>
      </c>
      <c r="SRX3002" s="1" t="n">
        <v>0</v>
      </c>
      <c r="SRY3002" s="1" t="n">
        <v>0</v>
      </c>
      <c r="SRZ3002" s="1" t="n">
        <v>0</v>
      </c>
      <c r="SSA3002" s="1" t="n">
        <v>0</v>
      </c>
      <c r="SSB3002" s="1" t="n">
        <v>0</v>
      </c>
      <c r="SSC3002" s="1" t="n">
        <v>0</v>
      </c>
      <c r="SSD3002" s="1" t="n">
        <v>0</v>
      </c>
      <c r="SSE3002" s="1" t="n">
        <v>0</v>
      </c>
      <c r="SSF3002" s="1" t="n">
        <v>0</v>
      </c>
      <c r="SSG3002" s="1" t="n">
        <v>0</v>
      </c>
      <c r="SSH3002" s="1" t="n">
        <v>0</v>
      </c>
      <c r="SSI3002" s="1" t="n">
        <v>0</v>
      </c>
      <c r="SSJ3002" s="1" t="n">
        <v>0</v>
      </c>
      <c r="SSK3002" s="1" t="n">
        <v>0</v>
      </c>
      <c r="SSL3002" s="1" t="n">
        <v>0</v>
      </c>
      <c r="SSM3002" s="1" t="n">
        <v>0</v>
      </c>
      <c r="SSN3002" s="1" t="n">
        <v>0</v>
      </c>
      <c r="SSO3002" s="1" t="n">
        <v>0</v>
      </c>
      <c r="SSP3002" s="1" t="n">
        <v>0</v>
      </c>
      <c r="SSQ3002" s="1" t="n">
        <v>0</v>
      </c>
      <c r="SSR3002" s="1" t="n">
        <v>0</v>
      </c>
      <c r="SSS3002" s="1" t="n">
        <v>0</v>
      </c>
      <c r="SST3002" s="1" t="n">
        <v>0</v>
      </c>
      <c r="SSU3002" s="1" t="n">
        <v>0</v>
      </c>
      <c r="SSV3002" s="1" t="n">
        <v>0</v>
      </c>
      <c r="SSW3002" s="1" t="n">
        <v>0</v>
      </c>
      <c r="SSX3002" s="1" t="n">
        <v>0</v>
      </c>
      <c r="SSY3002" s="1" t="n">
        <v>0</v>
      </c>
      <c r="SSZ3002" s="1" t="n">
        <v>0</v>
      </c>
      <c r="STA3002" s="1" t="n">
        <v>0</v>
      </c>
      <c r="STB3002" s="1" t="n">
        <v>0</v>
      </c>
      <c r="STC3002" s="1" t="n">
        <v>0</v>
      </c>
      <c r="STD3002" s="1" t="n">
        <v>0</v>
      </c>
      <c r="STE3002" s="1" t="n">
        <v>0</v>
      </c>
      <c r="STF3002" s="1" t="n">
        <v>0</v>
      </c>
      <c r="STG3002" s="1" t="n">
        <v>0</v>
      </c>
      <c r="STH3002" s="1" t="n">
        <v>0</v>
      </c>
      <c r="STI3002" s="1" t="n">
        <v>0</v>
      </c>
      <c r="STJ3002" s="1" t="n">
        <v>0</v>
      </c>
      <c r="STK3002" s="1" t="n">
        <v>0</v>
      </c>
      <c r="STL3002" s="1" t="n">
        <v>0</v>
      </c>
      <c r="STM3002" s="1" t="n">
        <v>0</v>
      </c>
      <c r="STN3002" s="1" t="n">
        <v>0</v>
      </c>
      <c r="STO3002" s="1" t="n">
        <v>0</v>
      </c>
      <c r="STP3002" s="1" t="n">
        <v>0</v>
      </c>
      <c r="STQ3002" s="1" t="n">
        <v>0</v>
      </c>
      <c r="STR3002" s="1" t="n">
        <v>0</v>
      </c>
      <c r="STS3002" s="1" t="n">
        <v>0</v>
      </c>
      <c r="STT3002" s="1" t="n">
        <v>0</v>
      </c>
      <c r="STU3002" s="1" t="n">
        <v>0</v>
      </c>
      <c r="STV3002" s="1" t="n">
        <v>0</v>
      </c>
      <c r="STW3002" s="1" t="n">
        <v>0</v>
      </c>
      <c r="STX3002" s="1" t="n">
        <v>0</v>
      </c>
      <c r="STY3002" s="1" t="n">
        <v>0</v>
      </c>
      <c r="STZ3002" s="1" t="n">
        <v>0</v>
      </c>
      <c r="SUA3002" s="1" t="n">
        <v>0</v>
      </c>
      <c r="SUB3002" s="1" t="n">
        <v>0</v>
      </c>
      <c r="SUC3002" s="1" t="n">
        <v>0</v>
      </c>
      <c r="SUD3002" s="1" t="n">
        <v>0</v>
      </c>
      <c r="SUE3002" s="1" t="n">
        <v>0</v>
      </c>
      <c r="SUF3002" s="1" t="n">
        <v>0</v>
      </c>
      <c r="SUG3002" s="1" t="n">
        <v>0</v>
      </c>
      <c r="SUH3002" s="1" t="n">
        <v>0</v>
      </c>
      <c r="SUI3002" s="1" t="n">
        <v>0</v>
      </c>
      <c r="SUJ3002" s="1" t="n">
        <v>0</v>
      </c>
      <c r="SUK3002" s="1" t="n">
        <v>0</v>
      </c>
      <c r="SUL3002" s="1" t="n">
        <v>0</v>
      </c>
      <c r="SUM3002" s="1" t="n">
        <v>0</v>
      </c>
      <c r="SUN3002" s="1" t="n">
        <v>0</v>
      </c>
      <c r="SUO3002" s="1" t="n">
        <v>0</v>
      </c>
      <c r="SUP3002" s="1" t="n">
        <v>0</v>
      </c>
      <c r="SUQ3002" s="1" t="n">
        <v>0</v>
      </c>
      <c r="SUR3002" s="1" t="n">
        <v>0</v>
      </c>
      <c r="SUS3002" s="1" t="n">
        <v>0</v>
      </c>
      <c r="SUT3002" s="1" t="n">
        <v>0</v>
      </c>
      <c r="SUU3002" s="1" t="n">
        <v>0</v>
      </c>
      <c r="SUV3002" s="1" t="n">
        <v>0</v>
      </c>
      <c r="SUW3002" s="1" t="n">
        <v>0</v>
      </c>
      <c r="SUX3002" s="1" t="n">
        <v>0</v>
      </c>
      <c r="SUY3002" s="1" t="n">
        <v>0</v>
      </c>
      <c r="SUZ3002" s="1" t="n">
        <v>0</v>
      </c>
      <c r="SVA3002" s="1" t="n">
        <v>0</v>
      </c>
      <c r="SVB3002" s="1" t="n">
        <v>0</v>
      </c>
      <c r="SVC3002" s="1" t="n">
        <v>0</v>
      </c>
      <c r="SVD3002" s="1" t="n">
        <v>0</v>
      </c>
      <c r="SVE3002" s="1" t="n">
        <v>0</v>
      </c>
      <c r="SVF3002" s="1" t="n">
        <v>0</v>
      </c>
      <c r="SVG3002" s="1" t="n">
        <v>0</v>
      </c>
      <c r="SVH3002" s="1" t="n">
        <v>0</v>
      </c>
      <c r="SVI3002" s="1" t="n">
        <v>0</v>
      </c>
      <c r="SVJ3002" s="1" t="n">
        <v>0</v>
      </c>
      <c r="SVK3002" s="1" t="n">
        <v>0</v>
      </c>
      <c r="SVL3002" s="1" t="n">
        <v>0</v>
      </c>
      <c r="SVM3002" s="1" t="n">
        <v>0</v>
      </c>
      <c r="SVN3002" s="1" t="n">
        <v>0</v>
      </c>
      <c r="SVO3002" s="1" t="n">
        <v>0</v>
      </c>
      <c r="SVP3002" s="1" t="n">
        <v>0</v>
      </c>
      <c r="SVQ3002" s="1" t="n">
        <v>0</v>
      </c>
      <c r="SVR3002" s="1" t="n">
        <v>0</v>
      </c>
      <c r="SVS3002" s="1" t="n">
        <v>0</v>
      </c>
      <c r="SVT3002" s="1" t="n">
        <v>0</v>
      </c>
      <c r="SVU3002" s="1" t="n">
        <v>0</v>
      </c>
      <c r="SVV3002" s="1" t="n">
        <v>0</v>
      </c>
      <c r="SVW3002" s="1" t="n">
        <v>0</v>
      </c>
      <c r="SVX3002" s="1" t="n">
        <v>0</v>
      </c>
      <c r="SVY3002" s="1" t="n">
        <v>0</v>
      </c>
      <c r="SVZ3002" s="1" t="n">
        <v>0</v>
      </c>
      <c r="SWA3002" s="1" t="n">
        <v>0</v>
      </c>
      <c r="SWB3002" s="1" t="n">
        <v>0</v>
      </c>
      <c r="SWC3002" s="1" t="n">
        <v>0</v>
      </c>
      <c r="SWD3002" s="1" t="n">
        <v>0</v>
      </c>
      <c r="SWE3002" s="1" t="n">
        <v>0</v>
      </c>
      <c r="SWF3002" s="1" t="n">
        <v>0</v>
      </c>
      <c r="SWG3002" s="1" t="n">
        <v>0</v>
      </c>
      <c r="SWH3002" s="1" t="n">
        <v>0</v>
      </c>
      <c r="SWI3002" s="1" t="n">
        <v>0</v>
      </c>
      <c r="SWJ3002" s="1" t="n">
        <v>0</v>
      </c>
      <c r="SWK3002" s="1" t="n">
        <v>0</v>
      </c>
      <c r="SWL3002" s="1" t="n">
        <v>0</v>
      </c>
      <c r="SWM3002" s="1" t="n">
        <v>0</v>
      </c>
      <c r="SWN3002" s="1" t="n">
        <v>0</v>
      </c>
      <c r="SWO3002" s="1" t="n">
        <v>0</v>
      </c>
      <c r="SWP3002" s="1" t="n">
        <v>0</v>
      </c>
      <c r="SWQ3002" s="1" t="n">
        <v>0</v>
      </c>
      <c r="SWR3002" s="1" t="n">
        <v>0</v>
      </c>
      <c r="SWS3002" s="1" t="n">
        <v>0</v>
      </c>
      <c r="SWT3002" s="1" t="n">
        <v>0</v>
      </c>
      <c r="SWU3002" s="1" t="n">
        <v>0</v>
      </c>
      <c r="SWV3002" s="1" t="n">
        <v>0</v>
      </c>
      <c r="SWW3002" s="1" t="n">
        <v>0</v>
      </c>
      <c r="SWX3002" s="1" t="n">
        <v>0</v>
      </c>
      <c r="SWY3002" s="1" t="n">
        <v>0</v>
      </c>
      <c r="SWZ3002" s="1" t="n">
        <v>0</v>
      </c>
      <c r="SXA3002" s="1" t="n">
        <v>0</v>
      </c>
      <c r="SXB3002" s="1" t="n">
        <v>0</v>
      </c>
      <c r="SXC3002" s="1" t="n">
        <v>0</v>
      </c>
      <c r="SXD3002" s="1" t="n">
        <v>0</v>
      </c>
      <c r="SXE3002" s="1" t="n">
        <v>0</v>
      </c>
      <c r="SXF3002" s="1" t="n">
        <v>0</v>
      </c>
      <c r="SXG3002" s="1" t="n">
        <v>0</v>
      </c>
      <c r="SXH3002" s="1" t="n">
        <v>0</v>
      </c>
      <c r="SXI3002" s="1" t="n">
        <v>0</v>
      </c>
      <c r="SXJ3002" s="1" t="n">
        <v>0</v>
      </c>
      <c r="SXK3002" s="1" t="n">
        <v>0</v>
      </c>
      <c r="SXL3002" s="1" t="n">
        <v>0</v>
      </c>
      <c r="SXM3002" s="1" t="n">
        <v>0</v>
      </c>
      <c r="SXN3002" s="1" t="n">
        <v>0</v>
      </c>
      <c r="SXO3002" s="1" t="n">
        <v>0</v>
      </c>
      <c r="SXP3002" s="1" t="n">
        <v>0</v>
      </c>
      <c r="SXQ3002" s="1" t="n">
        <v>0</v>
      </c>
      <c r="SXR3002" s="1" t="n">
        <v>0</v>
      </c>
      <c r="SXS3002" s="1" t="n">
        <v>0</v>
      </c>
      <c r="SXT3002" s="1" t="n">
        <v>0</v>
      </c>
      <c r="SXU3002" s="1" t="n">
        <v>0</v>
      </c>
      <c r="SXV3002" s="1" t="n">
        <v>0</v>
      </c>
      <c r="SXW3002" s="1" t="n">
        <v>0</v>
      </c>
      <c r="SXX3002" s="1" t="n">
        <v>0</v>
      </c>
      <c r="SXY3002" s="1" t="n">
        <v>0</v>
      </c>
      <c r="SXZ3002" s="1" t="n">
        <v>0</v>
      </c>
      <c r="SYA3002" s="1" t="n">
        <v>0</v>
      </c>
      <c r="SYB3002" s="1" t="n">
        <v>0</v>
      </c>
      <c r="SYC3002" s="1" t="n">
        <v>0</v>
      </c>
      <c r="SYD3002" s="1" t="n">
        <v>0</v>
      </c>
      <c r="SYE3002" s="1" t="n">
        <v>0</v>
      </c>
      <c r="SYF3002" s="1" t="n">
        <v>0</v>
      </c>
      <c r="SYG3002" s="1" t="n">
        <v>0</v>
      </c>
      <c r="SYH3002" s="1" t="n">
        <v>0</v>
      </c>
      <c r="SYI3002" s="1" t="n">
        <v>0</v>
      </c>
      <c r="SYJ3002" s="1" t="n">
        <v>0</v>
      </c>
      <c r="SYK3002" s="1" t="n">
        <v>0</v>
      </c>
      <c r="SYL3002" s="1" t="n">
        <v>0</v>
      </c>
      <c r="SYM3002" s="1" t="n">
        <v>0</v>
      </c>
      <c r="SYN3002" s="1" t="n">
        <v>0</v>
      </c>
      <c r="SYO3002" s="1" t="n">
        <v>0</v>
      </c>
      <c r="SYP3002" s="1" t="n">
        <v>0</v>
      </c>
      <c r="SYQ3002" s="1" t="n">
        <v>0</v>
      </c>
      <c r="SYR3002" s="1" t="n">
        <v>0</v>
      </c>
      <c r="SYS3002" s="1" t="n">
        <v>0</v>
      </c>
      <c r="SYT3002" s="1" t="n">
        <v>0</v>
      </c>
      <c r="SYU3002" s="1" t="n">
        <v>0</v>
      </c>
      <c r="SYV3002" s="1" t="n">
        <v>0</v>
      </c>
      <c r="SYW3002" s="1" t="n">
        <v>0</v>
      </c>
      <c r="SYX3002" s="1" t="n">
        <v>0</v>
      </c>
      <c r="SYY3002" s="1" t="n">
        <v>0</v>
      </c>
      <c r="SYZ3002" s="1" t="n">
        <v>0</v>
      </c>
      <c r="SZA3002" s="1" t="n">
        <v>0</v>
      </c>
      <c r="SZB3002" s="1" t="n">
        <v>0</v>
      </c>
      <c r="SZC3002" s="1" t="n">
        <v>0</v>
      </c>
      <c r="SZD3002" s="1" t="n">
        <v>0</v>
      </c>
      <c r="SZE3002" s="1" t="n">
        <v>0</v>
      </c>
      <c r="SZF3002" s="1" t="n">
        <v>0</v>
      </c>
      <c r="SZG3002" s="1" t="n">
        <v>0</v>
      </c>
      <c r="SZH3002" s="1" t="n">
        <v>0</v>
      </c>
      <c r="SZI3002" s="1" t="n">
        <v>0</v>
      </c>
      <c r="SZJ3002" s="1" t="n">
        <v>0</v>
      </c>
      <c r="SZK3002" s="1" t="n">
        <v>0</v>
      </c>
      <c r="SZL3002" s="1" t="n">
        <v>0</v>
      </c>
      <c r="SZM3002" s="1" t="n">
        <v>0</v>
      </c>
      <c r="SZN3002" s="1" t="n">
        <v>0</v>
      </c>
      <c r="SZO3002" s="1" t="n">
        <v>0</v>
      </c>
      <c r="SZP3002" s="1" t="n">
        <v>0</v>
      </c>
      <c r="SZQ3002" s="1" t="n">
        <v>0</v>
      </c>
      <c r="SZR3002" s="1" t="n">
        <v>0</v>
      </c>
      <c r="SZS3002" s="1" t="n">
        <v>0</v>
      </c>
      <c r="SZT3002" s="1" t="n">
        <v>0</v>
      </c>
      <c r="SZU3002" s="1" t="n">
        <v>0</v>
      </c>
      <c r="SZV3002" s="1" t="n">
        <v>0</v>
      </c>
      <c r="SZW3002" s="1" t="n">
        <v>0</v>
      </c>
      <c r="SZX3002" s="1" t="n">
        <v>0</v>
      </c>
      <c r="SZY3002" s="1" t="n">
        <v>0</v>
      </c>
      <c r="SZZ3002" s="1" t="n">
        <v>0</v>
      </c>
      <c r="TAA3002" s="1" t="n">
        <v>0</v>
      </c>
      <c r="TAB3002" s="1" t="n">
        <v>0</v>
      </c>
      <c r="TAC3002" s="1" t="n">
        <v>0</v>
      </c>
      <c r="TAD3002" s="1" t="n">
        <v>0</v>
      </c>
      <c r="TAE3002" s="1" t="n">
        <v>0</v>
      </c>
      <c r="TAF3002" s="1" t="n">
        <v>0</v>
      </c>
      <c r="TAG3002" s="1" t="n">
        <v>0</v>
      </c>
      <c r="TAH3002" s="1" t="n">
        <v>0</v>
      </c>
      <c r="TAI3002" s="1" t="n">
        <v>0</v>
      </c>
      <c r="TAJ3002" s="1" t="n">
        <v>0</v>
      </c>
      <c r="TAK3002" s="1" t="n">
        <v>0</v>
      </c>
      <c r="TAL3002" s="1" t="n">
        <v>0</v>
      </c>
      <c r="TAM3002" s="1" t="n">
        <v>0</v>
      </c>
      <c r="TAN3002" s="1" t="n">
        <v>0</v>
      </c>
      <c r="TAO3002" s="1" t="n">
        <v>0</v>
      </c>
      <c r="TAP3002" s="1" t="n">
        <v>0</v>
      </c>
      <c r="TAQ3002" s="1" t="n">
        <v>0</v>
      </c>
      <c r="TAR3002" s="1" t="n">
        <v>0</v>
      </c>
      <c r="TAS3002" s="1" t="n">
        <v>0</v>
      </c>
      <c r="TAT3002" s="1" t="n">
        <v>0</v>
      </c>
      <c r="TAU3002" s="1" t="n">
        <v>0</v>
      </c>
      <c r="TAV3002" s="1" t="n">
        <v>0</v>
      </c>
      <c r="TAW3002" s="1" t="n">
        <v>0</v>
      </c>
      <c r="TAX3002" s="1" t="n">
        <v>0</v>
      </c>
      <c r="TAY3002" s="1" t="n">
        <v>0</v>
      </c>
      <c r="TAZ3002" s="1" t="n">
        <v>0</v>
      </c>
      <c r="TBA3002" s="1" t="n">
        <v>0</v>
      </c>
      <c r="TBB3002" s="1" t="n">
        <v>0</v>
      </c>
      <c r="TBC3002" s="1" t="n">
        <v>0</v>
      </c>
      <c r="TBD3002" s="1" t="n">
        <v>0</v>
      </c>
      <c r="TBE3002" s="1" t="n">
        <v>0</v>
      </c>
      <c r="TBF3002" s="1" t="n">
        <v>0</v>
      </c>
      <c r="TBG3002" s="1" t="n">
        <v>0</v>
      </c>
      <c r="TBH3002" s="1" t="n">
        <v>0</v>
      </c>
      <c r="TBI3002" s="1" t="n">
        <v>0</v>
      </c>
      <c r="TBJ3002" s="1" t="n">
        <v>0</v>
      </c>
      <c r="TBK3002" s="1" t="n">
        <v>0</v>
      </c>
      <c r="TBL3002" s="1" t="n">
        <v>0</v>
      </c>
      <c r="TBM3002" s="1" t="n">
        <v>0</v>
      </c>
      <c r="TBN3002" s="1" t="n">
        <v>0</v>
      </c>
      <c r="TBO3002" s="1" t="n">
        <v>0</v>
      </c>
      <c r="TBP3002" s="1" t="n">
        <v>0</v>
      </c>
      <c r="TBQ3002" s="1" t="n">
        <v>0</v>
      </c>
      <c r="TBR3002" s="1" t="n">
        <v>0</v>
      </c>
      <c r="TBS3002" s="1" t="n">
        <v>0</v>
      </c>
      <c r="TBT3002" s="1" t="n">
        <v>0</v>
      </c>
      <c r="TBU3002" s="1" t="n">
        <v>0</v>
      </c>
      <c r="TBV3002" s="1" t="n">
        <v>0</v>
      </c>
      <c r="TBW3002" s="1" t="n">
        <v>0</v>
      </c>
      <c r="TBX3002" s="1" t="n">
        <v>0</v>
      </c>
      <c r="TBY3002" s="1" t="n">
        <v>0</v>
      </c>
      <c r="TBZ3002" s="1" t="n">
        <v>0</v>
      </c>
      <c r="TCA3002" s="1" t="n">
        <v>0</v>
      </c>
      <c r="TCB3002" s="1" t="n">
        <v>0</v>
      </c>
      <c r="TCC3002" s="1" t="n">
        <v>0</v>
      </c>
      <c r="TCD3002" s="1" t="n">
        <v>0</v>
      </c>
      <c r="TCE3002" s="1" t="n">
        <v>0</v>
      </c>
      <c r="TCF3002" s="1" t="n">
        <v>0</v>
      </c>
      <c r="TCG3002" s="1" t="n">
        <v>0</v>
      </c>
      <c r="TCH3002" s="1" t="n">
        <v>0</v>
      </c>
      <c r="TCI3002" s="1" t="n">
        <v>0</v>
      </c>
      <c r="TCJ3002" s="1" t="n">
        <v>0</v>
      </c>
      <c r="TCK3002" s="1" t="n">
        <v>0</v>
      </c>
      <c r="TCL3002" s="1" t="n">
        <v>0</v>
      </c>
      <c r="TCM3002" s="1" t="n">
        <v>0</v>
      </c>
      <c r="TCN3002" s="1" t="n">
        <v>0</v>
      </c>
      <c r="TCO3002" s="1" t="n">
        <v>0</v>
      </c>
      <c r="TCP3002" s="1" t="n">
        <v>0</v>
      </c>
      <c r="TCQ3002" s="1" t="n">
        <v>0</v>
      </c>
      <c r="TCR3002" s="1" t="n">
        <v>0</v>
      </c>
      <c r="TCS3002" s="1" t="n">
        <v>0</v>
      </c>
      <c r="TCT3002" s="1" t="n">
        <v>0</v>
      </c>
      <c r="TCU3002" s="1" t="n">
        <v>0</v>
      </c>
      <c r="TCV3002" s="1" t="n">
        <v>0</v>
      </c>
      <c r="TCW3002" s="1" t="n">
        <v>0</v>
      </c>
      <c r="TCX3002" s="1" t="n">
        <v>0</v>
      </c>
      <c r="TCY3002" s="1" t="n">
        <v>0</v>
      </c>
      <c r="TCZ3002" s="1" t="n">
        <v>0</v>
      </c>
      <c r="TDA3002" s="1" t="n">
        <v>0</v>
      </c>
      <c r="TDB3002" s="1" t="n">
        <v>0</v>
      </c>
      <c r="TDC3002" s="1" t="n">
        <v>0</v>
      </c>
      <c r="TDD3002" s="1" t="n">
        <v>0</v>
      </c>
      <c r="TDE3002" s="1" t="n">
        <v>0</v>
      </c>
      <c r="TDF3002" s="1" t="n">
        <v>0</v>
      </c>
      <c r="TDG3002" s="1" t="n">
        <v>0</v>
      </c>
      <c r="TDH3002" s="1" t="n">
        <v>0</v>
      </c>
      <c r="TDI3002" s="1" t="n">
        <v>0</v>
      </c>
      <c r="TDJ3002" s="1" t="n">
        <v>0</v>
      </c>
      <c r="TDK3002" s="1" t="n">
        <v>0</v>
      </c>
      <c r="TDL3002" s="1" t="n">
        <v>0</v>
      </c>
      <c r="TDM3002" s="1" t="n">
        <v>0</v>
      </c>
      <c r="TDN3002" s="1" t="n">
        <v>0</v>
      </c>
      <c r="TDO3002" s="1" t="n">
        <v>0</v>
      </c>
      <c r="TDP3002" s="1" t="n">
        <v>0</v>
      </c>
      <c r="TDQ3002" s="1" t="n">
        <v>0</v>
      </c>
      <c r="TDR3002" s="1" t="n">
        <v>0</v>
      </c>
      <c r="TDS3002" s="1" t="n">
        <v>0</v>
      </c>
      <c r="TDT3002" s="1" t="n">
        <v>0</v>
      </c>
      <c r="TDU3002" s="1" t="n">
        <v>0</v>
      </c>
      <c r="TDV3002" s="1" t="n">
        <v>0</v>
      </c>
      <c r="TDW3002" s="1" t="n">
        <v>0</v>
      </c>
      <c r="TDX3002" s="1" t="n">
        <v>0</v>
      </c>
      <c r="TDY3002" s="1" t="n">
        <v>0</v>
      </c>
      <c r="TDZ3002" s="1" t="n">
        <v>0</v>
      </c>
      <c r="TEA3002" s="1" t="n">
        <v>0</v>
      </c>
      <c r="TEB3002" s="1" t="n">
        <v>0</v>
      </c>
      <c r="TEC3002" s="1" t="n">
        <v>0</v>
      </c>
      <c r="TED3002" s="1" t="n">
        <v>0</v>
      </c>
      <c r="TEE3002" s="1" t="n">
        <v>0</v>
      </c>
      <c r="TEF3002" s="1" t="n">
        <v>0</v>
      </c>
      <c r="TEG3002" s="1" t="n">
        <v>0</v>
      </c>
      <c r="TEH3002" s="1" t="n">
        <v>0</v>
      </c>
      <c r="TEI3002" s="1" t="n">
        <v>0</v>
      </c>
      <c r="TEJ3002" s="1" t="n">
        <v>0</v>
      </c>
      <c r="TEK3002" s="1" t="n">
        <v>0</v>
      </c>
      <c r="TEL3002" s="1" t="n">
        <v>0</v>
      </c>
      <c r="TEM3002" s="1" t="n">
        <v>0</v>
      </c>
      <c r="TEN3002" s="1" t="n">
        <v>0</v>
      </c>
      <c r="TEO3002" s="1" t="n">
        <v>0</v>
      </c>
      <c r="TEP3002" s="1" t="n">
        <v>0</v>
      </c>
      <c r="TEQ3002" s="1" t="n">
        <v>0</v>
      </c>
      <c r="TER3002" s="1" t="n">
        <v>0</v>
      </c>
      <c r="TES3002" s="1" t="n">
        <v>0</v>
      </c>
      <c r="TET3002" s="1" t="n">
        <v>0</v>
      </c>
      <c r="TEU3002" s="1" t="n">
        <v>0</v>
      </c>
      <c r="TEV3002" s="1" t="n">
        <v>0</v>
      </c>
      <c r="TEW3002" s="1" t="n">
        <v>0</v>
      </c>
      <c r="TEX3002" s="1" t="n">
        <v>0</v>
      </c>
      <c r="TEY3002" s="1" t="n">
        <v>0</v>
      </c>
      <c r="TEZ3002" s="1" t="n">
        <v>0</v>
      </c>
      <c r="TFA3002" s="1" t="n">
        <v>0</v>
      </c>
      <c r="TFB3002" s="1" t="n">
        <v>0</v>
      </c>
      <c r="TFC3002" s="1" t="n">
        <v>0</v>
      </c>
      <c r="TFD3002" s="1" t="n">
        <v>0</v>
      </c>
      <c r="TFE3002" s="1" t="n">
        <v>0</v>
      </c>
      <c r="TFF3002" s="1" t="n">
        <v>0</v>
      </c>
      <c r="TFG3002" s="1" t="n">
        <v>0</v>
      </c>
      <c r="TFH3002" s="1" t="n">
        <v>0</v>
      </c>
      <c r="TFI3002" s="1" t="n">
        <v>0</v>
      </c>
      <c r="TFJ3002" s="1" t="n">
        <v>0</v>
      </c>
      <c r="TFK3002" s="1" t="n">
        <v>0</v>
      </c>
      <c r="TFL3002" s="1" t="n">
        <v>0</v>
      </c>
      <c r="TFM3002" s="1" t="n">
        <v>0</v>
      </c>
      <c r="TFN3002" s="1" t="n">
        <v>0</v>
      </c>
      <c r="TFO3002" s="1" t="n">
        <v>0</v>
      </c>
      <c r="TFP3002" s="1" t="n">
        <v>0</v>
      </c>
      <c r="TFQ3002" s="1" t="n">
        <v>0</v>
      </c>
      <c r="TFR3002" s="1" t="n">
        <v>0</v>
      </c>
      <c r="TFS3002" s="1" t="n">
        <v>0</v>
      </c>
      <c r="TFT3002" s="1" t="n">
        <v>0</v>
      </c>
      <c r="TFU3002" s="1" t="n">
        <v>0</v>
      </c>
      <c r="TFV3002" s="1" t="n">
        <v>0</v>
      </c>
      <c r="TFW3002" s="1" t="n">
        <v>0</v>
      </c>
      <c r="TFX3002" s="1" t="n">
        <v>0</v>
      </c>
      <c r="TFY3002" s="1" t="n">
        <v>0</v>
      </c>
      <c r="TFZ3002" s="1" t="n">
        <v>0</v>
      </c>
      <c r="TGA3002" s="1" t="n">
        <v>0</v>
      </c>
      <c r="TGB3002" s="1" t="n">
        <v>0</v>
      </c>
      <c r="TGC3002" s="1" t="n">
        <v>0</v>
      </c>
      <c r="TGD3002" s="1" t="n">
        <v>0</v>
      </c>
      <c r="TGE3002" s="1" t="n">
        <v>0</v>
      </c>
      <c r="TGF3002" s="1" t="n">
        <v>0</v>
      </c>
      <c r="TGG3002" s="1" t="n">
        <v>0</v>
      </c>
      <c r="TGH3002" s="1" t="n">
        <v>0</v>
      </c>
      <c r="TGI3002" s="1" t="n">
        <v>0</v>
      </c>
      <c r="TGJ3002" s="1" t="n">
        <v>0</v>
      </c>
      <c r="TGK3002" s="1" t="n">
        <v>0</v>
      </c>
      <c r="TGL3002" s="1" t="n">
        <v>0</v>
      </c>
      <c r="TGM3002" s="1" t="n">
        <v>0</v>
      </c>
      <c r="TGN3002" s="1" t="n">
        <v>0</v>
      </c>
      <c r="TGO3002" s="1" t="n">
        <v>0</v>
      </c>
      <c r="TGP3002" s="1" t="n">
        <v>0</v>
      </c>
      <c r="TGQ3002" s="1" t="n">
        <v>0</v>
      </c>
      <c r="TGR3002" s="1" t="n">
        <v>0</v>
      </c>
      <c r="TGS3002" s="1" t="n">
        <v>0</v>
      </c>
      <c r="TGT3002" s="1" t="n">
        <v>0</v>
      </c>
      <c r="TGU3002" s="1" t="n">
        <v>0</v>
      </c>
      <c r="TGV3002" s="1" t="n">
        <v>0</v>
      </c>
      <c r="TGW3002" s="1" t="n">
        <v>0</v>
      </c>
      <c r="TGX3002" s="1" t="n">
        <v>0</v>
      </c>
      <c r="TGY3002" s="1" t="n">
        <v>0</v>
      </c>
      <c r="TGZ3002" s="1" t="n">
        <v>0</v>
      </c>
      <c r="THA3002" s="1" t="n">
        <v>0</v>
      </c>
      <c r="THB3002" s="1" t="n">
        <v>0</v>
      </c>
      <c r="THC3002" s="1" t="n">
        <v>0</v>
      </c>
      <c r="THD3002" s="1" t="n">
        <v>0</v>
      </c>
      <c r="THE3002" s="1" t="n">
        <v>0</v>
      </c>
      <c r="THF3002" s="1" t="n">
        <v>0</v>
      </c>
      <c r="THG3002" s="1" t="n">
        <v>0</v>
      </c>
      <c r="THH3002" s="1" t="n">
        <v>0</v>
      </c>
      <c r="THI3002" s="1" t="n">
        <v>0</v>
      </c>
      <c r="THJ3002" s="1" t="n">
        <v>0</v>
      </c>
      <c r="THK3002" s="1" t="n">
        <v>0</v>
      </c>
      <c r="THL3002" s="1" t="n">
        <v>0</v>
      </c>
      <c r="THM3002" s="1" t="n">
        <v>0</v>
      </c>
      <c r="THN3002" s="1" t="n">
        <v>0</v>
      </c>
      <c r="THO3002" s="1" t="n">
        <v>0</v>
      </c>
      <c r="THP3002" s="1" t="n">
        <v>0</v>
      </c>
      <c r="THQ3002" s="1" t="n">
        <v>0</v>
      </c>
      <c r="THR3002" s="1" t="n">
        <v>0</v>
      </c>
      <c r="THS3002" s="1" t="n">
        <v>0</v>
      </c>
      <c r="THT3002" s="1" t="n">
        <v>0</v>
      </c>
      <c r="THU3002" s="1" t="n">
        <v>0</v>
      </c>
      <c r="THV3002" s="1" t="n">
        <v>0</v>
      </c>
      <c r="THW3002" s="1" t="n">
        <v>0</v>
      </c>
      <c r="THX3002" s="1" t="n">
        <v>0</v>
      </c>
      <c r="THY3002" s="1" t="n">
        <v>0</v>
      </c>
      <c r="THZ3002" s="1" t="n">
        <v>0</v>
      </c>
      <c r="TIA3002" s="1" t="n">
        <v>0</v>
      </c>
      <c r="TIB3002" s="1" t="n">
        <v>0</v>
      </c>
      <c r="TIC3002" s="1" t="n">
        <v>0</v>
      </c>
      <c r="TID3002" s="1" t="n">
        <v>0</v>
      </c>
      <c r="TIE3002" s="1" t="n">
        <v>0</v>
      </c>
      <c r="TIF3002" s="1" t="n">
        <v>0</v>
      </c>
      <c r="TIG3002" s="1" t="n">
        <v>0</v>
      </c>
      <c r="TIH3002" s="1" t="n">
        <v>0</v>
      </c>
      <c r="TII3002" s="1" t="n">
        <v>0</v>
      </c>
      <c r="TIJ3002" s="1" t="n">
        <v>0</v>
      </c>
      <c r="TIK3002" s="1" t="n">
        <v>0</v>
      </c>
      <c r="TIL3002" s="1" t="n">
        <v>0</v>
      </c>
      <c r="TIM3002" s="1" t="n">
        <v>0</v>
      </c>
      <c r="TIN3002" s="1" t="n">
        <v>0</v>
      </c>
      <c r="TIO3002" s="1" t="n">
        <v>0</v>
      </c>
      <c r="TIP3002" s="1" t="n">
        <v>0</v>
      </c>
      <c r="TIQ3002" s="1" t="n">
        <v>0</v>
      </c>
      <c r="TIR3002" s="1" t="n">
        <v>0</v>
      </c>
      <c r="TIS3002" s="1" t="n">
        <v>0</v>
      </c>
      <c r="TIT3002" s="1" t="n">
        <v>0</v>
      </c>
      <c r="TIU3002" s="1" t="n">
        <v>0</v>
      </c>
      <c r="TIV3002" s="1" t="n">
        <v>0</v>
      </c>
      <c r="TIW3002" s="1" t="n">
        <v>0</v>
      </c>
      <c r="TIX3002" s="1" t="n">
        <v>0</v>
      </c>
      <c r="TIY3002" s="1" t="n">
        <v>0</v>
      </c>
      <c r="TIZ3002" s="1" t="n">
        <v>0</v>
      </c>
      <c r="TJA3002" s="1" t="n">
        <v>0</v>
      </c>
      <c r="TJB3002" s="1" t="n">
        <v>0</v>
      </c>
      <c r="TJC3002" s="1" t="n">
        <v>0</v>
      </c>
      <c r="TJD3002" s="1" t="n">
        <v>0</v>
      </c>
      <c r="TJE3002" s="1" t="n">
        <v>0</v>
      </c>
      <c r="TJF3002" s="1" t="n">
        <v>0</v>
      </c>
      <c r="TJG3002" s="1" t="n">
        <v>0</v>
      </c>
      <c r="TJH3002" s="1" t="n">
        <v>0</v>
      </c>
      <c r="TJI3002" s="1" t="n">
        <v>0</v>
      </c>
      <c r="TJJ3002" s="1" t="n">
        <v>0</v>
      </c>
      <c r="TJK3002" s="1" t="n">
        <v>0</v>
      </c>
      <c r="TJL3002" s="1" t="n">
        <v>0</v>
      </c>
      <c r="TJM3002" s="1" t="n">
        <v>0</v>
      </c>
      <c r="TJN3002" s="1" t="n">
        <v>0</v>
      </c>
      <c r="TJO3002" s="1" t="n">
        <v>0</v>
      </c>
      <c r="TJP3002" s="1" t="n">
        <v>0</v>
      </c>
      <c r="TJQ3002" s="1" t="n">
        <v>0</v>
      </c>
      <c r="TJR3002" s="1" t="n">
        <v>0</v>
      </c>
      <c r="TJS3002" s="1" t="n">
        <v>0</v>
      </c>
      <c r="TJT3002" s="1" t="n">
        <v>0</v>
      </c>
      <c r="TJU3002" s="1" t="n">
        <v>0</v>
      </c>
      <c r="TJV3002" s="1" t="n">
        <v>0</v>
      </c>
      <c r="TJW3002" s="1" t="n">
        <v>0</v>
      </c>
      <c r="TJX3002" s="1" t="n">
        <v>0</v>
      </c>
      <c r="TJY3002" s="1" t="n">
        <v>0</v>
      </c>
      <c r="TJZ3002" s="1" t="n">
        <v>0</v>
      </c>
      <c r="TKA3002" s="1" t="n">
        <v>0</v>
      </c>
      <c r="TKB3002" s="1" t="n">
        <v>0</v>
      </c>
      <c r="TKC3002" s="1" t="n">
        <v>0</v>
      </c>
      <c r="TKD3002" s="1" t="n">
        <v>0</v>
      </c>
      <c r="TKE3002" s="1" t="n">
        <v>0</v>
      </c>
      <c r="TKF3002" s="1" t="n">
        <v>0</v>
      </c>
      <c r="TKG3002" s="1" t="n">
        <v>0</v>
      </c>
      <c r="TKH3002" s="1" t="n">
        <v>0</v>
      </c>
      <c r="TKI3002" s="1" t="n">
        <v>0</v>
      </c>
      <c r="TKJ3002" s="1" t="n">
        <v>0</v>
      </c>
      <c r="TKK3002" s="1" t="n">
        <v>0</v>
      </c>
      <c r="TKL3002" s="1" t="n">
        <v>0</v>
      </c>
      <c r="TKM3002" s="1" t="n">
        <v>0</v>
      </c>
      <c r="TKN3002" s="1" t="n">
        <v>0</v>
      </c>
      <c r="TKO3002" s="1" t="n">
        <v>0</v>
      </c>
      <c r="TKP3002" s="1" t="n">
        <v>0</v>
      </c>
      <c r="TKQ3002" s="1" t="n">
        <v>0</v>
      </c>
      <c r="TKR3002" s="1" t="n">
        <v>0</v>
      </c>
      <c r="TKS3002" s="1" t="n">
        <v>0</v>
      </c>
      <c r="TKT3002" s="1" t="n">
        <v>0</v>
      </c>
      <c r="TKU3002" s="1" t="n">
        <v>0</v>
      </c>
      <c r="TKV3002" s="1" t="n">
        <v>0</v>
      </c>
      <c r="TKW3002" s="1" t="n">
        <v>0</v>
      </c>
      <c r="TKX3002" s="1" t="n">
        <v>0</v>
      </c>
      <c r="TKY3002" s="1" t="n">
        <v>0</v>
      </c>
      <c r="TKZ3002" s="1" t="n">
        <v>0</v>
      </c>
      <c r="TLA3002" s="1" t="n">
        <v>0</v>
      </c>
      <c r="TLB3002" s="1" t="n">
        <v>0</v>
      </c>
      <c r="TLC3002" s="1" t="n">
        <v>0</v>
      </c>
      <c r="TLD3002" s="1" t="n">
        <v>0</v>
      </c>
      <c r="TLE3002" s="1" t="n">
        <v>0</v>
      </c>
      <c r="TLF3002" s="1" t="n">
        <v>0</v>
      </c>
      <c r="TLG3002" s="1" t="n">
        <v>0</v>
      </c>
      <c r="TLH3002" s="1" t="n">
        <v>0</v>
      </c>
      <c r="TLI3002" s="1" t="n">
        <v>0</v>
      </c>
      <c r="TLJ3002" s="1" t="n">
        <v>0</v>
      </c>
      <c r="TLK3002" s="1" t="n">
        <v>0</v>
      </c>
      <c r="TLL3002" s="1" t="n">
        <v>0</v>
      </c>
      <c r="TLM3002" s="1" t="n">
        <v>0</v>
      </c>
      <c r="TLN3002" s="1" t="n">
        <v>0</v>
      </c>
      <c r="TLO3002" s="1" t="n">
        <v>0</v>
      </c>
      <c r="TLP3002" s="1" t="n">
        <v>0</v>
      </c>
      <c r="TLQ3002" s="1" t="n">
        <v>0</v>
      </c>
      <c r="TLR3002" s="1" t="n">
        <v>0</v>
      </c>
      <c r="TLS3002" s="1" t="n">
        <v>0</v>
      </c>
      <c r="TLT3002" s="1" t="n">
        <v>0</v>
      </c>
      <c r="TLU3002" s="1" t="n">
        <v>0</v>
      </c>
      <c r="TLV3002" s="1" t="n">
        <v>0</v>
      </c>
      <c r="TLW3002" s="1" t="n">
        <v>0</v>
      </c>
      <c r="TLX3002" s="1" t="n">
        <v>0</v>
      </c>
      <c r="TLY3002" s="1" t="n">
        <v>0</v>
      </c>
      <c r="TLZ3002" s="1" t="n">
        <v>0</v>
      </c>
      <c r="TMA3002" s="1" t="n">
        <v>0</v>
      </c>
      <c r="TMB3002" s="1" t="n">
        <v>0</v>
      </c>
      <c r="TMC3002" s="1" t="n">
        <v>0</v>
      </c>
      <c r="TMD3002" s="1" t="n">
        <v>0</v>
      </c>
      <c r="TME3002" s="1" t="n">
        <v>0</v>
      </c>
      <c r="TMF3002" s="1" t="n">
        <v>0</v>
      </c>
      <c r="TMG3002" s="1" t="n">
        <v>0</v>
      </c>
      <c r="TMH3002" s="1" t="n">
        <v>0</v>
      </c>
      <c r="TMI3002" s="1" t="n">
        <v>0</v>
      </c>
      <c r="TMJ3002" s="1" t="n">
        <v>0</v>
      </c>
      <c r="TMK3002" s="1" t="n">
        <v>0</v>
      </c>
      <c r="TML3002" s="1" t="n">
        <v>0</v>
      </c>
      <c r="TMM3002" s="1" t="n">
        <v>0</v>
      </c>
      <c r="TMN3002" s="1" t="n">
        <v>0</v>
      </c>
      <c r="TMO3002" s="1" t="n">
        <v>0</v>
      </c>
      <c r="TMP3002" s="1" t="n">
        <v>0</v>
      </c>
      <c r="TMQ3002" s="1" t="n">
        <v>0</v>
      </c>
      <c r="TMR3002" s="1" t="n">
        <v>0</v>
      </c>
      <c r="TMS3002" s="1" t="n">
        <v>0</v>
      </c>
      <c r="TMT3002" s="1" t="n">
        <v>0</v>
      </c>
      <c r="TMU3002" s="1" t="n">
        <v>0</v>
      </c>
      <c r="TMV3002" s="1" t="n">
        <v>0</v>
      </c>
      <c r="TMW3002" s="1" t="n">
        <v>0</v>
      </c>
      <c r="TMX3002" s="1" t="n">
        <v>0</v>
      </c>
      <c r="TMY3002" s="1" t="n">
        <v>0</v>
      </c>
      <c r="TMZ3002" s="1" t="n">
        <v>0</v>
      </c>
      <c r="TNA3002" s="1" t="n">
        <v>0</v>
      </c>
      <c r="TNB3002" s="1" t="n">
        <v>0</v>
      </c>
      <c r="TNC3002" s="1" t="n">
        <v>0</v>
      </c>
      <c r="TND3002" s="1" t="n">
        <v>0</v>
      </c>
      <c r="TNE3002" s="1" t="n">
        <v>0</v>
      </c>
      <c r="TNF3002" s="1" t="n">
        <v>0</v>
      </c>
      <c r="TNG3002" s="1" t="n">
        <v>0</v>
      </c>
      <c r="TNH3002" s="1" t="n">
        <v>0</v>
      </c>
      <c r="TNI3002" s="1" t="n">
        <v>0</v>
      </c>
      <c r="TNJ3002" s="1" t="n">
        <v>0</v>
      </c>
      <c r="TNK3002" s="1" t="n">
        <v>0</v>
      </c>
      <c r="TNL3002" s="1" t="n">
        <v>0</v>
      </c>
      <c r="TNM3002" s="1" t="n">
        <v>0</v>
      </c>
      <c r="TNN3002" s="1" t="n">
        <v>0</v>
      </c>
      <c r="TNO3002" s="1" t="n">
        <v>0</v>
      </c>
      <c r="TNP3002" s="1" t="n">
        <v>0</v>
      </c>
      <c r="TNQ3002" s="1" t="n">
        <v>0</v>
      </c>
      <c r="TNR3002" s="1" t="n">
        <v>0</v>
      </c>
      <c r="TNS3002" s="1" t="n">
        <v>0</v>
      </c>
      <c r="TNT3002" s="1" t="n">
        <v>0</v>
      </c>
      <c r="TNU3002" s="1" t="n">
        <v>0</v>
      </c>
      <c r="TNV3002" s="1" t="n">
        <v>0</v>
      </c>
      <c r="TNW3002" s="1" t="n">
        <v>0</v>
      </c>
      <c r="TNX3002" s="1" t="n">
        <v>0</v>
      </c>
      <c r="TNY3002" s="1" t="n">
        <v>0</v>
      </c>
      <c r="TNZ3002" s="1" t="n">
        <v>0</v>
      </c>
      <c r="TOA3002" s="1" t="n">
        <v>0</v>
      </c>
      <c r="TOB3002" s="1" t="n">
        <v>0</v>
      </c>
      <c r="TOC3002" s="1" t="n">
        <v>0</v>
      </c>
      <c r="TOD3002" s="1" t="n">
        <v>0</v>
      </c>
      <c r="TOE3002" s="1" t="n">
        <v>0</v>
      </c>
      <c r="TOF3002" s="1" t="n">
        <v>0</v>
      </c>
      <c r="TOG3002" s="1" t="n">
        <v>0</v>
      </c>
      <c r="TOH3002" s="1" t="n">
        <v>0</v>
      </c>
      <c r="TOI3002" s="1" t="n">
        <v>0</v>
      </c>
      <c r="TOJ3002" s="1" t="n">
        <v>0</v>
      </c>
      <c r="TOK3002" s="1" t="n">
        <v>0</v>
      </c>
      <c r="TOL3002" s="1" t="n">
        <v>0</v>
      </c>
      <c r="TOM3002" s="1" t="n">
        <v>0</v>
      </c>
      <c r="TON3002" s="1" t="n">
        <v>0</v>
      </c>
      <c r="TOO3002" s="1" t="n">
        <v>0</v>
      </c>
      <c r="TOP3002" s="1" t="n">
        <v>0</v>
      </c>
      <c r="TOQ3002" s="1" t="n">
        <v>0</v>
      </c>
      <c r="TOR3002" s="1" t="n">
        <v>0</v>
      </c>
      <c r="TOS3002" s="1" t="n">
        <v>0</v>
      </c>
      <c r="TOT3002" s="1" t="n">
        <v>0</v>
      </c>
      <c r="TOU3002" s="1" t="n">
        <v>0</v>
      </c>
      <c r="TOV3002" s="1" t="n">
        <v>0</v>
      </c>
      <c r="TOW3002" s="1" t="n">
        <v>0</v>
      </c>
      <c r="TOX3002" s="1" t="n">
        <v>0</v>
      </c>
      <c r="TOY3002" s="1" t="n">
        <v>0</v>
      </c>
      <c r="TOZ3002" s="1" t="n">
        <v>0</v>
      </c>
      <c r="TPA3002" s="1" t="n">
        <v>0</v>
      </c>
      <c r="TPB3002" s="1" t="n">
        <v>0</v>
      </c>
      <c r="TPC3002" s="1" t="n">
        <v>0</v>
      </c>
      <c r="TPD3002" s="1" t="n">
        <v>0</v>
      </c>
      <c r="TPE3002" s="1" t="n">
        <v>0</v>
      </c>
      <c r="TPF3002" s="1" t="n">
        <v>0</v>
      </c>
      <c r="TPG3002" s="1" t="n">
        <v>0</v>
      </c>
      <c r="TPH3002" s="1" t="n">
        <v>0</v>
      </c>
      <c r="TPI3002" s="1" t="n">
        <v>0</v>
      </c>
      <c r="TPJ3002" s="1" t="n">
        <v>0</v>
      </c>
      <c r="TPK3002" s="1" t="n">
        <v>0</v>
      </c>
      <c r="TPL3002" s="1" t="n">
        <v>0</v>
      </c>
      <c r="TPM3002" s="1" t="n">
        <v>0</v>
      </c>
      <c r="TPN3002" s="1" t="n">
        <v>0</v>
      </c>
      <c r="TPO3002" s="1" t="n">
        <v>0</v>
      </c>
      <c r="TPP3002" s="1" t="n">
        <v>0</v>
      </c>
      <c r="TPQ3002" s="1" t="n">
        <v>0</v>
      </c>
      <c r="TPR3002" s="1" t="n">
        <v>0</v>
      </c>
      <c r="TPS3002" s="1" t="n">
        <v>0</v>
      </c>
      <c r="TPT3002" s="1" t="n">
        <v>0</v>
      </c>
      <c r="TPU3002" s="1" t="n">
        <v>0</v>
      </c>
      <c r="TPV3002" s="1" t="n">
        <v>0</v>
      </c>
      <c r="TPW3002" s="1" t="n">
        <v>0</v>
      </c>
      <c r="TPX3002" s="1" t="n">
        <v>0</v>
      </c>
      <c r="TPY3002" s="1" t="n">
        <v>0</v>
      </c>
      <c r="TPZ3002" s="1" t="n">
        <v>0</v>
      </c>
      <c r="TQA3002" s="1" t="n">
        <v>0</v>
      </c>
      <c r="TQB3002" s="1" t="n">
        <v>0</v>
      </c>
      <c r="TQC3002" s="1" t="n">
        <v>0</v>
      </c>
      <c r="TQD3002" s="1" t="n">
        <v>0</v>
      </c>
      <c r="TQE3002" s="1" t="n">
        <v>0</v>
      </c>
      <c r="TQF3002" s="1" t="n">
        <v>0</v>
      </c>
      <c r="TQG3002" s="1" t="n">
        <v>0</v>
      </c>
      <c r="TQH3002" s="1" t="n">
        <v>0</v>
      </c>
      <c r="TQI3002" s="1" t="n">
        <v>0</v>
      </c>
      <c r="TQJ3002" s="1" t="n">
        <v>0</v>
      </c>
      <c r="TQK3002" s="1" t="n">
        <v>0</v>
      </c>
      <c r="TQL3002" s="1" t="n">
        <v>0</v>
      </c>
      <c r="TQM3002" s="1" t="n">
        <v>0</v>
      </c>
      <c r="TQN3002" s="1" t="n">
        <v>0</v>
      </c>
      <c r="TQO3002" s="1" t="n">
        <v>0</v>
      </c>
      <c r="TQP3002" s="1" t="n">
        <v>0</v>
      </c>
      <c r="TQQ3002" s="1" t="n">
        <v>0</v>
      </c>
      <c r="TQR3002" s="1" t="n">
        <v>0</v>
      </c>
      <c r="TQS3002" s="1" t="n">
        <v>0</v>
      </c>
      <c r="TQT3002" s="1" t="n">
        <v>0</v>
      </c>
      <c r="TQU3002" s="1" t="n">
        <v>0</v>
      </c>
      <c r="TQV3002" s="1" t="n">
        <v>0</v>
      </c>
      <c r="TQW3002" s="1" t="n">
        <v>0</v>
      </c>
      <c r="TQX3002" s="1" t="n">
        <v>0</v>
      </c>
      <c r="TQY3002" s="1" t="n">
        <v>0</v>
      </c>
      <c r="TQZ3002" s="1" t="n">
        <v>0</v>
      </c>
      <c r="TRA3002" s="1" t="n">
        <v>0</v>
      </c>
      <c r="TRB3002" s="1" t="n">
        <v>0</v>
      </c>
      <c r="TRC3002" s="1" t="n">
        <v>0</v>
      </c>
      <c r="TRD3002" s="1" t="n">
        <v>0</v>
      </c>
      <c r="TRE3002" s="1" t="n">
        <v>0</v>
      </c>
      <c r="TRF3002" s="1" t="n">
        <v>0</v>
      </c>
      <c r="TRG3002" s="1" t="n">
        <v>0</v>
      </c>
      <c r="TRH3002" s="1" t="n">
        <v>0</v>
      </c>
      <c r="TRI3002" s="1" t="n">
        <v>0</v>
      </c>
      <c r="TRJ3002" s="1" t="n">
        <v>0</v>
      </c>
      <c r="TRK3002" s="1" t="n">
        <v>0</v>
      </c>
      <c r="TRL3002" s="1" t="n">
        <v>0</v>
      </c>
      <c r="TRM3002" s="1" t="n">
        <v>0</v>
      </c>
      <c r="TRN3002" s="1" t="n">
        <v>0</v>
      </c>
      <c r="TRO3002" s="1" t="n">
        <v>0</v>
      </c>
      <c r="TRP3002" s="1" t="n">
        <v>0</v>
      </c>
      <c r="TRQ3002" s="1" t="n">
        <v>0</v>
      </c>
      <c r="TRR3002" s="1" t="n">
        <v>0</v>
      </c>
      <c r="TRS3002" s="1" t="n">
        <v>0</v>
      </c>
      <c r="TRT3002" s="1" t="n">
        <v>0</v>
      </c>
      <c r="TRU3002" s="1" t="n">
        <v>0</v>
      </c>
      <c r="TRV3002" s="1" t="n">
        <v>0</v>
      </c>
      <c r="TRW3002" s="1" t="n">
        <v>0</v>
      </c>
      <c r="TRX3002" s="1" t="n">
        <v>0</v>
      </c>
      <c r="TRY3002" s="1" t="n">
        <v>0</v>
      </c>
      <c r="TRZ3002" s="1" t="n">
        <v>0</v>
      </c>
      <c r="TSA3002" s="1" t="n">
        <v>0</v>
      </c>
      <c r="TSB3002" s="1" t="n">
        <v>0</v>
      </c>
      <c r="TSC3002" s="1" t="n">
        <v>0</v>
      </c>
      <c r="TSD3002" s="1" t="n">
        <v>0</v>
      </c>
      <c r="TSE3002" s="1" t="n">
        <v>0</v>
      </c>
      <c r="TSF3002" s="1" t="n">
        <v>0</v>
      </c>
      <c r="TSG3002" s="1" t="n">
        <v>0</v>
      </c>
      <c r="TSH3002" s="1" t="n">
        <v>0</v>
      </c>
      <c r="TSI3002" s="1" t="n">
        <v>0</v>
      </c>
      <c r="TSJ3002" s="1" t="n">
        <v>0</v>
      </c>
      <c r="TSK3002" s="1" t="n">
        <v>0</v>
      </c>
      <c r="TSL3002" s="1" t="n">
        <v>0</v>
      </c>
      <c r="TSM3002" s="1" t="n">
        <v>0</v>
      </c>
      <c r="TSN3002" s="1" t="n">
        <v>0</v>
      </c>
      <c r="TSO3002" s="1" t="n">
        <v>0</v>
      </c>
      <c r="TSP3002" s="1" t="n">
        <v>0</v>
      </c>
      <c r="TSQ3002" s="1" t="n">
        <v>0</v>
      </c>
      <c r="TSR3002" s="1" t="n">
        <v>0</v>
      </c>
      <c r="TSS3002" s="1" t="n">
        <v>0</v>
      </c>
      <c r="TST3002" s="1" t="n">
        <v>0</v>
      </c>
      <c r="TSU3002" s="1" t="n">
        <v>0</v>
      </c>
      <c r="TSV3002" s="1" t="n">
        <v>0</v>
      </c>
      <c r="TSW3002" s="1" t="n">
        <v>0</v>
      </c>
      <c r="TSX3002" s="1" t="n">
        <v>0</v>
      </c>
      <c r="TSY3002" s="1" t="n">
        <v>0</v>
      </c>
      <c r="TSZ3002" s="1" t="n">
        <v>0</v>
      </c>
      <c r="TTA3002" s="1" t="n">
        <v>0</v>
      </c>
      <c r="TTB3002" s="1" t="n">
        <v>0</v>
      </c>
      <c r="TTC3002" s="1" t="n">
        <v>0</v>
      </c>
      <c r="TTD3002" s="1" t="n">
        <v>0</v>
      </c>
      <c r="TTE3002" s="1" t="n">
        <v>0</v>
      </c>
      <c r="TTF3002" s="1" t="n">
        <v>0</v>
      </c>
      <c r="TTG3002" s="1" t="n">
        <v>0</v>
      </c>
      <c r="TTH3002" s="1" t="n">
        <v>0</v>
      </c>
      <c r="TTI3002" s="1" t="n">
        <v>0</v>
      </c>
      <c r="TTJ3002" s="1" t="n">
        <v>0</v>
      </c>
      <c r="TTK3002" s="1" t="n">
        <v>0</v>
      </c>
      <c r="TTL3002" s="1" t="n">
        <v>0</v>
      </c>
      <c r="TTM3002" s="1" t="n">
        <v>0</v>
      </c>
      <c r="TTN3002" s="1" t="n">
        <v>0</v>
      </c>
      <c r="TTO3002" s="1" t="n">
        <v>0</v>
      </c>
      <c r="TTP3002" s="1" t="n">
        <v>0</v>
      </c>
      <c r="TTQ3002" s="1" t="n">
        <v>0</v>
      </c>
      <c r="TTR3002" s="1" t="n">
        <v>0</v>
      </c>
      <c r="TTS3002" s="1" t="n">
        <v>0</v>
      </c>
      <c r="TTT3002" s="1" t="n">
        <v>0</v>
      </c>
      <c r="TTU3002" s="1" t="n">
        <v>0</v>
      </c>
      <c r="TTV3002" s="1" t="n">
        <v>0</v>
      </c>
      <c r="TTW3002" s="1" t="n">
        <v>0</v>
      </c>
      <c r="TTX3002" s="1" t="n">
        <v>0</v>
      </c>
      <c r="TTY3002" s="1" t="n">
        <v>0</v>
      </c>
      <c r="TTZ3002" s="1" t="n">
        <v>0</v>
      </c>
      <c r="TUA3002" s="1" t="n">
        <v>0</v>
      </c>
      <c r="TUB3002" s="1" t="n">
        <v>0</v>
      </c>
      <c r="TUC3002" s="1" t="n">
        <v>0</v>
      </c>
      <c r="TUD3002" s="1" t="n">
        <v>0</v>
      </c>
      <c r="TUE3002" s="1" t="n">
        <v>0</v>
      </c>
      <c r="TUF3002" s="1" t="n">
        <v>0</v>
      </c>
      <c r="TUG3002" s="1" t="n">
        <v>0</v>
      </c>
      <c r="TUH3002" s="1" t="n">
        <v>0</v>
      </c>
      <c r="TUI3002" s="1" t="n">
        <v>0</v>
      </c>
      <c r="TUJ3002" s="1" t="n">
        <v>0</v>
      </c>
      <c r="TUK3002" s="1" t="n">
        <v>0</v>
      </c>
      <c r="TUL3002" s="1" t="n">
        <v>0</v>
      </c>
      <c r="TUM3002" s="1" t="n">
        <v>0</v>
      </c>
      <c r="TUN3002" s="1" t="n">
        <v>0</v>
      </c>
      <c r="TUO3002" s="1" t="n">
        <v>0</v>
      </c>
      <c r="TUP3002" s="1" t="n">
        <v>0</v>
      </c>
      <c r="TUQ3002" s="1" t="n">
        <v>0</v>
      </c>
      <c r="TUR3002" s="1" t="n">
        <v>0</v>
      </c>
      <c r="TUS3002" s="1" t="n">
        <v>0</v>
      </c>
      <c r="TUT3002" s="1" t="n">
        <v>0</v>
      </c>
      <c r="TUU3002" s="1" t="n">
        <v>0</v>
      </c>
      <c r="TUV3002" s="1" t="n">
        <v>0</v>
      </c>
      <c r="TUW3002" s="1" t="n">
        <v>0</v>
      </c>
      <c r="TUX3002" s="1" t="n">
        <v>0</v>
      </c>
      <c r="TUY3002" s="1" t="n">
        <v>0</v>
      </c>
      <c r="TUZ3002" s="1" t="n">
        <v>0</v>
      </c>
      <c r="TVA3002" s="1" t="n">
        <v>0</v>
      </c>
      <c r="TVB3002" s="1" t="n">
        <v>0</v>
      </c>
      <c r="TVC3002" s="1" t="n">
        <v>0</v>
      </c>
      <c r="TVD3002" s="1" t="n">
        <v>0</v>
      </c>
      <c r="TVE3002" s="1" t="n">
        <v>0</v>
      </c>
      <c r="TVF3002" s="1" t="n">
        <v>0</v>
      </c>
      <c r="TVG3002" s="1" t="n">
        <v>0</v>
      </c>
      <c r="TVH3002" s="1" t="n">
        <v>0</v>
      </c>
      <c r="TVI3002" s="1" t="n">
        <v>0</v>
      </c>
      <c r="TVJ3002" s="1" t="n">
        <v>0</v>
      </c>
      <c r="TVK3002" s="1" t="n">
        <v>0</v>
      </c>
      <c r="TVL3002" s="1" t="n">
        <v>0</v>
      </c>
      <c r="TVM3002" s="1" t="n">
        <v>0</v>
      </c>
      <c r="TVN3002" s="1" t="n">
        <v>0</v>
      </c>
      <c r="TVO3002" s="1" t="n">
        <v>0</v>
      </c>
      <c r="TVP3002" s="1" t="n">
        <v>0</v>
      </c>
      <c r="TVQ3002" s="1" t="n">
        <v>0</v>
      </c>
      <c r="TVR3002" s="1" t="n">
        <v>0</v>
      </c>
      <c r="TVS3002" s="1" t="n">
        <v>0</v>
      </c>
      <c r="TVT3002" s="1" t="n">
        <v>0</v>
      </c>
      <c r="TVU3002" s="1" t="n">
        <v>0</v>
      </c>
      <c r="TVV3002" s="1" t="n">
        <v>0</v>
      </c>
      <c r="TVW3002" s="1" t="n">
        <v>0</v>
      </c>
      <c r="TVX3002" s="1" t="n">
        <v>0</v>
      </c>
      <c r="TVY3002" s="1" t="n">
        <v>0</v>
      </c>
      <c r="TVZ3002" s="1" t="n">
        <v>0</v>
      </c>
      <c r="TWA3002" s="1" t="n">
        <v>0</v>
      </c>
      <c r="TWB3002" s="1" t="n">
        <v>0</v>
      </c>
      <c r="TWC3002" s="1" t="n">
        <v>0</v>
      </c>
      <c r="TWD3002" s="1" t="n">
        <v>0</v>
      </c>
      <c r="TWE3002" s="1" t="n">
        <v>0</v>
      </c>
      <c r="TWF3002" s="1" t="n">
        <v>0</v>
      </c>
      <c r="TWG3002" s="1" t="n">
        <v>0</v>
      </c>
      <c r="TWH3002" s="1" t="n">
        <v>0</v>
      </c>
      <c r="TWI3002" s="1" t="n">
        <v>0</v>
      </c>
      <c r="TWJ3002" s="1" t="n">
        <v>0</v>
      </c>
      <c r="TWK3002" s="1" t="n">
        <v>0</v>
      </c>
      <c r="TWL3002" s="1" t="n">
        <v>0</v>
      </c>
      <c r="TWM3002" s="1" t="n">
        <v>0</v>
      </c>
      <c r="TWN3002" s="1" t="n">
        <v>0</v>
      </c>
      <c r="TWO3002" s="1" t="n">
        <v>0</v>
      </c>
      <c r="TWP3002" s="1" t="n">
        <v>0</v>
      </c>
      <c r="TWQ3002" s="1" t="n">
        <v>0</v>
      </c>
      <c r="TWR3002" s="1" t="n">
        <v>0</v>
      </c>
      <c r="TWS3002" s="1" t="n">
        <v>0</v>
      </c>
      <c r="TWT3002" s="1" t="n">
        <v>0</v>
      </c>
      <c r="TWU3002" s="1" t="n">
        <v>0</v>
      </c>
      <c r="TWV3002" s="1" t="n">
        <v>0</v>
      </c>
      <c r="TWW3002" s="1" t="n">
        <v>0</v>
      </c>
      <c r="TWX3002" s="1" t="n">
        <v>0</v>
      </c>
      <c r="TWY3002" s="1" t="n">
        <v>0</v>
      </c>
      <c r="TWZ3002" s="1" t="n">
        <v>0</v>
      </c>
      <c r="TXA3002" s="1" t="n">
        <v>0</v>
      </c>
      <c r="TXB3002" s="1" t="n">
        <v>0</v>
      </c>
      <c r="TXC3002" s="1" t="n">
        <v>0</v>
      </c>
      <c r="TXD3002" s="1" t="n">
        <v>0</v>
      </c>
      <c r="TXE3002" s="1" t="n">
        <v>0</v>
      </c>
      <c r="TXF3002" s="1" t="n">
        <v>0</v>
      </c>
      <c r="TXG3002" s="1" t="n">
        <v>0</v>
      </c>
      <c r="TXH3002" s="1" t="n">
        <v>0</v>
      </c>
      <c r="TXI3002" s="1" t="n">
        <v>0</v>
      </c>
      <c r="TXJ3002" s="1" t="n">
        <v>0</v>
      </c>
      <c r="TXK3002" s="1" t="n">
        <v>0</v>
      </c>
      <c r="TXL3002" s="1" t="n">
        <v>0</v>
      </c>
      <c r="TXM3002" s="1" t="n">
        <v>0</v>
      </c>
      <c r="TXN3002" s="1" t="n">
        <v>0</v>
      </c>
      <c r="TXO3002" s="1" t="n">
        <v>0</v>
      </c>
      <c r="TXP3002" s="1" t="n">
        <v>0</v>
      </c>
      <c r="TXQ3002" s="1" t="n">
        <v>0</v>
      </c>
      <c r="TXR3002" s="1" t="n">
        <v>0</v>
      </c>
      <c r="TXS3002" s="1" t="n">
        <v>0</v>
      </c>
      <c r="TXT3002" s="1" t="n">
        <v>0</v>
      </c>
      <c r="TXU3002" s="1" t="n">
        <v>0</v>
      </c>
      <c r="TXV3002" s="1" t="n">
        <v>0</v>
      </c>
      <c r="TXW3002" s="1" t="n">
        <v>0</v>
      </c>
      <c r="TXX3002" s="1" t="n">
        <v>0</v>
      </c>
      <c r="TXY3002" s="1" t="n">
        <v>0</v>
      </c>
      <c r="TXZ3002" s="1" t="n">
        <v>0</v>
      </c>
      <c r="TYA3002" s="1" t="n">
        <v>0</v>
      </c>
      <c r="TYB3002" s="1" t="n">
        <v>0</v>
      </c>
      <c r="TYC3002" s="1" t="n">
        <v>0</v>
      </c>
      <c r="TYD3002" s="1" t="n">
        <v>0</v>
      </c>
      <c r="TYE3002" s="1" t="n">
        <v>0</v>
      </c>
      <c r="TYF3002" s="1" t="n">
        <v>0</v>
      </c>
      <c r="TYG3002" s="1" t="n">
        <v>0</v>
      </c>
      <c r="TYH3002" s="1" t="n">
        <v>0</v>
      </c>
      <c r="TYI3002" s="1" t="n">
        <v>0</v>
      </c>
      <c r="TYJ3002" s="1" t="n">
        <v>0</v>
      </c>
      <c r="TYK3002" s="1" t="n">
        <v>0</v>
      </c>
      <c r="TYL3002" s="1" t="n">
        <v>0</v>
      </c>
      <c r="TYM3002" s="1" t="n">
        <v>0</v>
      </c>
      <c r="TYN3002" s="1" t="n">
        <v>0</v>
      </c>
      <c r="TYO3002" s="1" t="n">
        <v>0</v>
      </c>
      <c r="TYP3002" s="1" t="n">
        <v>0</v>
      </c>
      <c r="TYQ3002" s="1" t="n">
        <v>0</v>
      </c>
      <c r="TYR3002" s="1" t="n">
        <v>0</v>
      </c>
      <c r="TYS3002" s="1" t="n">
        <v>0</v>
      </c>
      <c r="TYT3002" s="1" t="n">
        <v>0</v>
      </c>
      <c r="TYU3002" s="1" t="n">
        <v>0</v>
      </c>
      <c r="TYV3002" s="1" t="n">
        <v>0</v>
      </c>
      <c r="TYW3002" s="1" t="n">
        <v>0</v>
      </c>
      <c r="TYX3002" s="1" t="n">
        <v>0</v>
      </c>
      <c r="TYY3002" s="1" t="n">
        <v>0</v>
      </c>
      <c r="TYZ3002" s="1" t="n">
        <v>0</v>
      </c>
      <c r="TZA3002" s="1" t="n">
        <v>0</v>
      </c>
      <c r="TZB3002" s="1" t="n">
        <v>0</v>
      </c>
      <c r="TZC3002" s="1" t="n">
        <v>0</v>
      </c>
      <c r="TZD3002" s="1" t="n">
        <v>0</v>
      </c>
      <c r="TZE3002" s="1" t="n">
        <v>0</v>
      </c>
      <c r="TZF3002" s="1" t="n">
        <v>0</v>
      </c>
      <c r="TZG3002" s="1" t="n">
        <v>0</v>
      </c>
      <c r="TZH3002" s="1" t="n">
        <v>0</v>
      </c>
      <c r="TZI3002" s="1" t="n">
        <v>0</v>
      </c>
      <c r="TZJ3002" s="1" t="n">
        <v>0</v>
      </c>
      <c r="TZK3002" s="1" t="n">
        <v>0</v>
      </c>
      <c r="TZL3002" s="1" t="n">
        <v>0</v>
      </c>
      <c r="TZM3002" s="1" t="n">
        <v>0</v>
      </c>
      <c r="TZN3002" s="1" t="n">
        <v>0</v>
      </c>
      <c r="TZO3002" s="1" t="n">
        <v>0</v>
      </c>
      <c r="TZP3002" s="1" t="n">
        <v>0</v>
      </c>
      <c r="TZQ3002" s="1" t="n">
        <v>0</v>
      </c>
      <c r="TZR3002" s="1" t="n">
        <v>0</v>
      </c>
      <c r="TZS3002" s="1" t="n">
        <v>0</v>
      </c>
      <c r="TZT3002" s="1" t="n">
        <v>0</v>
      </c>
      <c r="TZU3002" s="1" t="n">
        <v>0</v>
      </c>
      <c r="TZV3002" s="1" t="n">
        <v>0</v>
      </c>
      <c r="TZW3002" s="1" t="n">
        <v>0</v>
      </c>
      <c r="TZX3002" s="1" t="n">
        <v>0</v>
      </c>
      <c r="TZY3002" s="1" t="n">
        <v>0</v>
      </c>
      <c r="TZZ3002" s="1" t="n">
        <v>0</v>
      </c>
      <c r="UAA3002" s="1" t="n">
        <v>0</v>
      </c>
      <c r="UAB3002" s="1" t="n">
        <v>0</v>
      </c>
      <c r="UAC3002" s="1" t="n">
        <v>0</v>
      </c>
      <c r="UAD3002" s="1" t="n">
        <v>0</v>
      </c>
      <c r="UAE3002" s="1" t="n">
        <v>0</v>
      </c>
      <c r="UAF3002" s="1" t="n">
        <v>0</v>
      </c>
      <c r="UAG3002" s="1" t="n">
        <v>0</v>
      </c>
      <c r="UAH3002" s="1" t="n">
        <v>0</v>
      </c>
      <c r="UAI3002" s="1" t="n">
        <v>0</v>
      </c>
      <c r="UAJ3002" s="1" t="n">
        <v>0</v>
      </c>
      <c r="UAK3002" s="1" t="n">
        <v>0</v>
      </c>
      <c r="UAL3002" s="1" t="n">
        <v>0</v>
      </c>
      <c r="UAM3002" s="1" t="n">
        <v>0</v>
      </c>
      <c r="UAN3002" s="1" t="n">
        <v>0</v>
      </c>
      <c r="UAO3002" s="1" t="n">
        <v>0</v>
      </c>
      <c r="UAP3002" s="1" t="n">
        <v>0</v>
      </c>
      <c r="UAQ3002" s="1" t="n">
        <v>0</v>
      </c>
      <c r="UAR3002" s="1" t="n">
        <v>0</v>
      </c>
      <c r="UAS3002" s="1" t="n">
        <v>0</v>
      </c>
      <c r="UAT3002" s="1" t="n">
        <v>0</v>
      </c>
      <c r="UAU3002" s="1" t="n">
        <v>0</v>
      </c>
      <c r="UAV3002" s="1" t="n">
        <v>0</v>
      </c>
      <c r="UAW3002" s="1" t="n">
        <v>0</v>
      </c>
      <c r="UAX3002" s="1" t="n">
        <v>0</v>
      </c>
      <c r="UAY3002" s="1" t="n">
        <v>0</v>
      </c>
      <c r="UAZ3002" s="1" t="n">
        <v>0</v>
      </c>
      <c r="UBA3002" s="1" t="n">
        <v>0</v>
      </c>
      <c r="UBB3002" s="1" t="n">
        <v>0</v>
      </c>
      <c r="UBC3002" s="1" t="n">
        <v>0</v>
      </c>
      <c r="UBD3002" s="1" t="n">
        <v>0</v>
      </c>
      <c r="UBE3002" s="1" t="n">
        <v>0</v>
      </c>
      <c r="UBF3002" s="1" t="n">
        <v>0</v>
      </c>
      <c r="UBG3002" s="1" t="n">
        <v>0</v>
      </c>
      <c r="UBH3002" s="1" t="n">
        <v>0</v>
      </c>
      <c r="UBI3002" s="1" t="n">
        <v>0</v>
      </c>
      <c r="UBJ3002" s="1" t="n">
        <v>0</v>
      </c>
      <c r="UBK3002" s="1" t="n">
        <v>0</v>
      </c>
      <c r="UBL3002" s="1" t="n">
        <v>0</v>
      </c>
      <c r="UBM3002" s="1" t="n">
        <v>0</v>
      </c>
      <c r="UBN3002" s="1" t="n">
        <v>0</v>
      </c>
      <c r="UBO3002" s="1" t="n">
        <v>0</v>
      </c>
      <c r="UBP3002" s="1" t="n">
        <v>0</v>
      </c>
      <c r="UBQ3002" s="1" t="n">
        <v>0</v>
      </c>
      <c r="UBR3002" s="1" t="n">
        <v>0</v>
      </c>
      <c r="UBS3002" s="1" t="n">
        <v>0</v>
      </c>
      <c r="UBT3002" s="1" t="n">
        <v>0</v>
      </c>
      <c r="UBU3002" s="1" t="n">
        <v>0</v>
      </c>
      <c r="UBV3002" s="1" t="n">
        <v>0</v>
      </c>
      <c r="UBW3002" s="1" t="n">
        <v>0</v>
      </c>
      <c r="UBX3002" s="1" t="n">
        <v>0</v>
      </c>
      <c r="UBY3002" s="1" t="n">
        <v>0</v>
      </c>
      <c r="UBZ3002" s="1" t="n">
        <v>0</v>
      </c>
      <c r="UCA3002" s="1" t="n">
        <v>0</v>
      </c>
      <c r="UCB3002" s="1" t="n">
        <v>0</v>
      </c>
      <c r="UCC3002" s="1" t="n">
        <v>0</v>
      </c>
      <c r="UCD3002" s="1" t="n">
        <v>0</v>
      </c>
      <c r="UCE3002" s="1" t="n">
        <v>0</v>
      </c>
      <c r="UCF3002" s="1" t="n">
        <v>0</v>
      </c>
      <c r="UCG3002" s="1" t="n">
        <v>0</v>
      </c>
      <c r="UCH3002" s="1" t="n">
        <v>0</v>
      </c>
      <c r="UCI3002" s="1" t="n">
        <v>0</v>
      </c>
      <c r="UCJ3002" s="1" t="n">
        <v>0</v>
      </c>
      <c r="UCK3002" s="1" t="n">
        <v>0</v>
      </c>
      <c r="UCL3002" s="1" t="n">
        <v>0</v>
      </c>
      <c r="UCM3002" s="1" t="n">
        <v>0</v>
      </c>
      <c r="UCN3002" s="1" t="n">
        <v>0</v>
      </c>
      <c r="UCO3002" s="1" t="n">
        <v>0</v>
      </c>
      <c r="UCP3002" s="1" t="n">
        <v>0</v>
      </c>
      <c r="UCQ3002" s="1" t="n">
        <v>0</v>
      </c>
      <c r="UCR3002" s="1" t="n">
        <v>0</v>
      </c>
      <c r="UCS3002" s="1" t="n">
        <v>0</v>
      </c>
      <c r="UCT3002" s="1" t="n">
        <v>0</v>
      </c>
      <c r="UCU3002" s="1" t="n">
        <v>0</v>
      </c>
      <c r="UCV3002" s="1" t="n">
        <v>0</v>
      </c>
      <c r="UCW3002" s="1" t="n">
        <v>0</v>
      </c>
      <c r="UCX3002" s="1" t="n">
        <v>0</v>
      </c>
      <c r="UCY3002" s="1" t="n">
        <v>0</v>
      </c>
      <c r="UCZ3002" s="1" t="n">
        <v>0</v>
      </c>
      <c r="UDA3002" s="1" t="n">
        <v>0</v>
      </c>
      <c r="UDB3002" s="1" t="n">
        <v>0</v>
      </c>
      <c r="UDC3002" s="1" t="n">
        <v>0</v>
      </c>
      <c r="UDD3002" s="1" t="n">
        <v>0</v>
      </c>
      <c r="UDE3002" s="1" t="n">
        <v>0</v>
      </c>
      <c r="UDF3002" s="1" t="n">
        <v>0</v>
      </c>
      <c r="UDG3002" s="1" t="n">
        <v>0</v>
      </c>
      <c r="UDH3002" s="1" t="n">
        <v>0</v>
      </c>
      <c r="UDI3002" s="1" t="n">
        <v>0</v>
      </c>
      <c r="UDJ3002" s="1" t="n">
        <v>0</v>
      </c>
      <c r="UDK3002" s="1" t="n">
        <v>0</v>
      </c>
      <c r="UDL3002" s="1" t="n">
        <v>0</v>
      </c>
      <c r="UDM3002" s="1" t="n">
        <v>0</v>
      </c>
      <c r="UDN3002" s="1" t="n">
        <v>0</v>
      </c>
      <c r="UDO3002" s="1" t="n">
        <v>0</v>
      </c>
      <c r="UDP3002" s="1" t="n">
        <v>0</v>
      </c>
      <c r="UDQ3002" s="1" t="n">
        <v>0</v>
      </c>
      <c r="UDR3002" s="1" t="n">
        <v>0</v>
      </c>
      <c r="UDS3002" s="1" t="n">
        <v>0</v>
      </c>
      <c r="UDT3002" s="1" t="n">
        <v>0</v>
      </c>
      <c r="UDU3002" s="1" t="n">
        <v>0</v>
      </c>
      <c r="UDV3002" s="1" t="n">
        <v>0</v>
      </c>
      <c r="UDW3002" s="1" t="n">
        <v>0</v>
      </c>
      <c r="UDX3002" s="1" t="n">
        <v>0</v>
      </c>
      <c r="UDY3002" s="1" t="n">
        <v>0</v>
      </c>
      <c r="UDZ3002" s="1" t="n">
        <v>0</v>
      </c>
      <c r="UEA3002" s="1" t="n">
        <v>0</v>
      </c>
      <c r="UEB3002" s="1" t="n">
        <v>0</v>
      </c>
      <c r="UEC3002" s="1" t="n">
        <v>0</v>
      </c>
      <c r="UED3002" s="1" t="n">
        <v>0</v>
      </c>
      <c r="UEE3002" s="1" t="n">
        <v>0</v>
      </c>
      <c r="UEF3002" s="1" t="n">
        <v>0</v>
      </c>
      <c r="UEG3002" s="1" t="n">
        <v>0</v>
      </c>
      <c r="UEH3002" s="1" t="n">
        <v>0</v>
      </c>
      <c r="UEI3002" s="1" t="n">
        <v>0</v>
      </c>
      <c r="UEJ3002" s="1" t="n">
        <v>0</v>
      </c>
      <c r="UEK3002" s="1" t="n">
        <v>0</v>
      </c>
      <c r="UEL3002" s="1" t="n">
        <v>0</v>
      </c>
      <c r="UEM3002" s="1" t="n">
        <v>0</v>
      </c>
      <c r="UEN3002" s="1" t="n">
        <v>0</v>
      </c>
      <c r="UEO3002" s="1" t="n">
        <v>0</v>
      </c>
      <c r="UEP3002" s="1" t="n">
        <v>0</v>
      </c>
      <c r="UEQ3002" s="1" t="n">
        <v>0</v>
      </c>
      <c r="UER3002" s="1" t="n">
        <v>0</v>
      </c>
      <c r="UES3002" s="1" t="n">
        <v>0</v>
      </c>
      <c r="UET3002" s="1" t="n">
        <v>0</v>
      </c>
      <c r="UEU3002" s="1" t="n">
        <v>0</v>
      </c>
      <c r="UEV3002" s="1" t="n">
        <v>0</v>
      </c>
      <c r="UEW3002" s="1" t="n">
        <v>0</v>
      </c>
      <c r="UEX3002" s="1" t="n">
        <v>0</v>
      </c>
      <c r="UEY3002" s="1" t="n">
        <v>0</v>
      </c>
      <c r="UEZ3002" s="1" t="n">
        <v>0</v>
      </c>
      <c r="UFA3002" s="1" t="n">
        <v>0</v>
      </c>
      <c r="UFB3002" s="1" t="n">
        <v>0</v>
      </c>
      <c r="UFC3002" s="1" t="n">
        <v>0</v>
      </c>
      <c r="UFD3002" s="1" t="n">
        <v>0</v>
      </c>
      <c r="UFE3002" s="1" t="n">
        <v>0</v>
      </c>
      <c r="UFF3002" s="1" t="n">
        <v>0</v>
      </c>
      <c r="UFG3002" s="1" t="n">
        <v>0</v>
      </c>
      <c r="UFH3002" s="1" t="n">
        <v>0</v>
      </c>
      <c r="UFI3002" s="1" t="n">
        <v>0</v>
      </c>
      <c r="UFJ3002" s="1" t="n">
        <v>0</v>
      </c>
      <c r="UFK3002" s="1" t="n">
        <v>0</v>
      </c>
      <c r="UFL3002" s="1" t="n">
        <v>0</v>
      </c>
      <c r="UFM3002" s="1" t="n">
        <v>0</v>
      </c>
      <c r="UFN3002" s="1" t="n">
        <v>0</v>
      </c>
      <c r="UFO3002" s="1" t="n">
        <v>0</v>
      </c>
      <c r="UFP3002" s="1" t="n">
        <v>0</v>
      </c>
      <c r="UFQ3002" s="1" t="n">
        <v>0</v>
      </c>
      <c r="UFR3002" s="1" t="n">
        <v>0</v>
      </c>
      <c r="UFS3002" s="1" t="n">
        <v>0</v>
      </c>
      <c r="UFT3002" s="1" t="n">
        <v>0</v>
      </c>
      <c r="UFU3002" s="1" t="n">
        <v>0</v>
      </c>
      <c r="UFV3002" s="1" t="n">
        <v>0</v>
      </c>
      <c r="UFW3002" s="1" t="n">
        <v>0</v>
      </c>
      <c r="UFX3002" s="1" t="n">
        <v>0</v>
      </c>
      <c r="UFY3002" s="1" t="n">
        <v>0</v>
      </c>
      <c r="UFZ3002" s="1" t="n">
        <v>0</v>
      </c>
      <c r="UGA3002" s="1" t="n">
        <v>0</v>
      </c>
      <c r="UGB3002" s="1" t="n">
        <v>0</v>
      </c>
      <c r="UGC3002" s="1" t="n">
        <v>0</v>
      </c>
      <c r="UGD3002" s="1" t="n">
        <v>0</v>
      </c>
      <c r="UGE3002" s="1" t="n">
        <v>0</v>
      </c>
      <c r="UGF3002" s="1" t="n">
        <v>0</v>
      </c>
      <c r="UGG3002" s="1" t="n">
        <v>0</v>
      </c>
      <c r="UGH3002" s="1" t="n">
        <v>0</v>
      </c>
      <c r="UGI3002" s="1" t="n">
        <v>0</v>
      </c>
      <c r="UGJ3002" s="1" t="n">
        <v>0</v>
      </c>
      <c r="UGK3002" s="1" t="n">
        <v>0</v>
      </c>
      <c r="UGL3002" s="1" t="n">
        <v>0</v>
      </c>
      <c r="UGM3002" s="1" t="n">
        <v>0</v>
      </c>
      <c r="UGN3002" s="1" t="n">
        <v>0</v>
      </c>
      <c r="UGO3002" s="1" t="n">
        <v>0</v>
      </c>
      <c r="UGP3002" s="1" t="n">
        <v>0</v>
      </c>
      <c r="UGQ3002" s="1" t="n">
        <v>0</v>
      </c>
      <c r="UGR3002" s="1" t="n">
        <v>0</v>
      </c>
      <c r="UGS3002" s="1" t="n">
        <v>0</v>
      </c>
      <c r="UGT3002" s="1" t="n">
        <v>0</v>
      </c>
      <c r="UGU3002" s="1" t="n">
        <v>0</v>
      </c>
      <c r="UGV3002" s="1" t="n">
        <v>0</v>
      </c>
      <c r="UGW3002" s="1" t="n">
        <v>0</v>
      </c>
      <c r="UGX3002" s="1" t="n">
        <v>0</v>
      </c>
      <c r="UGY3002" s="1" t="n">
        <v>0</v>
      </c>
      <c r="UGZ3002" s="1" t="n">
        <v>0</v>
      </c>
      <c r="UHA3002" s="1" t="n">
        <v>0</v>
      </c>
      <c r="UHB3002" s="1" t="n">
        <v>0</v>
      </c>
      <c r="UHC3002" s="1" t="n">
        <v>0</v>
      </c>
      <c r="UHD3002" s="1" t="n">
        <v>0</v>
      </c>
      <c r="UHE3002" s="1" t="n">
        <v>0</v>
      </c>
      <c r="UHF3002" s="1" t="n">
        <v>0</v>
      </c>
      <c r="UHG3002" s="1" t="n">
        <v>0</v>
      </c>
      <c r="UHH3002" s="1" t="n">
        <v>0</v>
      </c>
      <c r="UHI3002" s="1" t="n">
        <v>0</v>
      </c>
      <c r="UHJ3002" s="1" t="n">
        <v>0</v>
      </c>
      <c r="UHK3002" s="1" t="n">
        <v>0</v>
      </c>
      <c r="UHL3002" s="1" t="n">
        <v>0</v>
      </c>
      <c r="UHM3002" s="1" t="n">
        <v>0</v>
      </c>
      <c r="UHN3002" s="1" t="n">
        <v>0</v>
      </c>
      <c r="UHO3002" s="1" t="n">
        <v>0</v>
      </c>
      <c r="UHP3002" s="1" t="n">
        <v>0</v>
      </c>
      <c r="UHQ3002" s="1" t="n">
        <v>0</v>
      </c>
      <c r="UHR3002" s="1" t="n">
        <v>0</v>
      </c>
      <c r="UHS3002" s="1" t="n">
        <v>0</v>
      </c>
      <c r="UHT3002" s="1" t="n">
        <v>0</v>
      </c>
      <c r="UHU3002" s="1" t="n">
        <v>0</v>
      </c>
      <c r="UHV3002" s="1" t="n">
        <v>0</v>
      </c>
      <c r="UHW3002" s="1" t="n">
        <v>0</v>
      </c>
      <c r="UHX3002" s="1" t="n">
        <v>0</v>
      </c>
      <c r="UHY3002" s="1" t="n">
        <v>0</v>
      </c>
      <c r="UHZ3002" s="1" t="n">
        <v>0</v>
      </c>
      <c r="UIA3002" s="1" t="n">
        <v>0</v>
      </c>
      <c r="UIB3002" s="1" t="n">
        <v>0</v>
      </c>
      <c r="UIC3002" s="1" t="n">
        <v>0</v>
      </c>
      <c r="UID3002" s="1" t="n">
        <v>0</v>
      </c>
      <c r="UIE3002" s="1" t="n">
        <v>0</v>
      </c>
      <c r="UIF3002" s="1" t="n">
        <v>0</v>
      </c>
      <c r="UIG3002" s="1" t="n">
        <v>0</v>
      </c>
      <c r="UIH3002" s="1" t="n">
        <v>0</v>
      </c>
      <c r="UII3002" s="1" t="n">
        <v>0</v>
      </c>
      <c r="UIJ3002" s="1" t="n">
        <v>0</v>
      </c>
      <c r="UIK3002" s="1" t="n">
        <v>0</v>
      </c>
      <c r="UIL3002" s="1" t="n">
        <v>0</v>
      </c>
      <c r="UIM3002" s="1" t="n">
        <v>0</v>
      </c>
      <c r="UIN3002" s="1" t="n">
        <v>0</v>
      </c>
      <c r="UIO3002" s="1" t="n">
        <v>0</v>
      </c>
      <c r="UIP3002" s="1" t="n">
        <v>0</v>
      </c>
      <c r="UIQ3002" s="1" t="n">
        <v>0</v>
      </c>
      <c r="UIR3002" s="1" t="n">
        <v>0</v>
      </c>
      <c r="UIS3002" s="1" t="n">
        <v>0</v>
      </c>
      <c r="UIT3002" s="1" t="n">
        <v>0</v>
      </c>
      <c r="UIU3002" s="1" t="n">
        <v>0</v>
      </c>
      <c r="UIV3002" s="1" t="n">
        <v>0</v>
      </c>
      <c r="UIW3002" s="1" t="n">
        <v>0</v>
      </c>
      <c r="UIX3002" s="1" t="n">
        <v>0</v>
      </c>
      <c r="UIY3002" s="1" t="n">
        <v>0</v>
      </c>
      <c r="UIZ3002" s="1" t="n">
        <v>0</v>
      </c>
      <c r="UJA3002" s="1" t="n">
        <v>0</v>
      </c>
      <c r="UJB3002" s="1" t="n">
        <v>0</v>
      </c>
      <c r="UJC3002" s="1" t="n">
        <v>0</v>
      </c>
      <c r="UJD3002" s="1" t="n">
        <v>0</v>
      </c>
      <c r="UJE3002" s="1" t="n">
        <v>0</v>
      </c>
      <c r="UJF3002" s="1" t="n">
        <v>0</v>
      </c>
      <c r="UJG3002" s="1" t="n">
        <v>0</v>
      </c>
      <c r="UJH3002" s="1" t="n">
        <v>0</v>
      </c>
      <c r="UJI3002" s="1" t="n">
        <v>0</v>
      </c>
      <c r="UJJ3002" s="1" t="n">
        <v>0</v>
      </c>
      <c r="UJK3002" s="1" t="n">
        <v>0</v>
      </c>
      <c r="UJL3002" s="1" t="n">
        <v>0</v>
      </c>
      <c r="UJM3002" s="1" t="n">
        <v>0</v>
      </c>
      <c r="UJN3002" s="1" t="n">
        <v>0</v>
      </c>
      <c r="UJO3002" s="1" t="n">
        <v>0</v>
      </c>
      <c r="UJP3002" s="1" t="n">
        <v>0</v>
      </c>
      <c r="UJQ3002" s="1" t="n">
        <v>0</v>
      </c>
      <c r="UJR3002" s="1" t="n">
        <v>0</v>
      </c>
      <c r="UJS3002" s="1" t="n">
        <v>0</v>
      </c>
      <c r="UJT3002" s="1" t="n">
        <v>0</v>
      </c>
      <c r="UJU3002" s="1" t="n">
        <v>0</v>
      </c>
      <c r="UJV3002" s="1" t="n">
        <v>0</v>
      </c>
      <c r="UJW3002" s="1" t="n">
        <v>0</v>
      </c>
      <c r="UJX3002" s="1" t="n">
        <v>0</v>
      </c>
      <c r="UJY3002" s="1" t="n">
        <v>0</v>
      </c>
      <c r="UJZ3002" s="1" t="n">
        <v>0</v>
      </c>
      <c r="UKA3002" s="1" t="n">
        <v>0</v>
      </c>
      <c r="UKB3002" s="1" t="n">
        <v>0</v>
      </c>
      <c r="UKC3002" s="1" t="n">
        <v>0</v>
      </c>
      <c r="UKD3002" s="1" t="n">
        <v>0</v>
      </c>
      <c r="UKE3002" s="1" t="n">
        <v>0</v>
      </c>
      <c r="UKF3002" s="1" t="n">
        <v>0</v>
      </c>
      <c r="UKG3002" s="1" t="n">
        <v>0</v>
      </c>
      <c r="UKH3002" s="1" t="n">
        <v>0</v>
      </c>
      <c r="UKI3002" s="1" t="n">
        <v>0</v>
      </c>
      <c r="UKJ3002" s="1" t="n">
        <v>0</v>
      </c>
      <c r="UKK3002" s="1" t="n">
        <v>0</v>
      </c>
      <c r="UKL3002" s="1" t="n">
        <v>0</v>
      </c>
      <c r="UKM3002" s="1" t="n">
        <v>0</v>
      </c>
      <c r="UKN3002" s="1" t="n">
        <v>0</v>
      </c>
      <c r="UKO3002" s="1" t="n">
        <v>0</v>
      </c>
      <c r="UKP3002" s="1" t="n">
        <v>0</v>
      </c>
      <c r="UKQ3002" s="1" t="n">
        <v>0</v>
      </c>
      <c r="UKR3002" s="1" t="n">
        <v>0</v>
      </c>
      <c r="UKS3002" s="1" t="n">
        <v>0</v>
      </c>
      <c r="UKT3002" s="1" t="n">
        <v>0</v>
      </c>
      <c r="UKU3002" s="1" t="n">
        <v>0</v>
      </c>
      <c r="UKV3002" s="1" t="n">
        <v>0</v>
      </c>
      <c r="UKW3002" s="1" t="n">
        <v>0</v>
      </c>
      <c r="UKX3002" s="1" t="n">
        <v>0</v>
      </c>
      <c r="UKY3002" s="1" t="n">
        <v>0</v>
      </c>
      <c r="UKZ3002" s="1" t="n">
        <v>0</v>
      </c>
      <c r="ULA3002" s="1" t="n">
        <v>0</v>
      </c>
      <c r="ULB3002" s="1" t="n">
        <v>0</v>
      </c>
      <c r="ULC3002" s="1" t="n">
        <v>0</v>
      </c>
      <c r="ULD3002" s="1" t="n">
        <v>0</v>
      </c>
      <c r="ULE3002" s="1" t="n">
        <v>0</v>
      </c>
      <c r="ULF3002" s="1" t="n">
        <v>0</v>
      </c>
      <c r="ULG3002" s="1" t="n">
        <v>0</v>
      </c>
      <c r="ULH3002" s="1" t="n">
        <v>0</v>
      </c>
      <c r="ULI3002" s="1" t="n">
        <v>0</v>
      </c>
      <c r="ULJ3002" s="1" t="n">
        <v>0</v>
      </c>
      <c r="ULK3002" s="1" t="n">
        <v>0</v>
      </c>
      <c r="ULL3002" s="1" t="n">
        <v>0</v>
      </c>
      <c r="ULM3002" s="1" t="n">
        <v>0</v>
      </c>
      <c r="ULN3002" s="1" t="n">
        <v>0</v>
      </c>
      <c r="ULO3002" s="1" t="n">
        <v>0</v>
      </c>
      <c r="ULP3002" s="1" t="n">
        <v>0</v>
      </c>
      <c r="ULQ3002" s="1" t="n">
        <v>0</v>
      </c>
      <c r="ULR3002" s="1" t="n">
        <v>0</v>
      </c>
      <c r="ULS3002" s="1" t="n">
        <v>0</v>
      </c>
      <c r="ULT3002" s="1" t="n">
        <v>0</v>
      </c>
      <c r="ULU3002" s="1" t="n">
        <v>0</v>
      </c>
      <c r="ULV3002" s="1" t="n">
        <v>0</v>
      </c>
      <c r="ULW3002" s="1" t="n">
        <v>0</v>
      </c>
      <c r="ULX3002" s="1" t="n">
        <v>0</v>
      </c>
      <c r="ULY3002" s="1" t="n">
        <v>0</v>
      </c>
      <c r="ULZ3002" s="1" t="n">
        <v>0</v>
      </c>
      <c r="UMA3002" s="1" t="n">
        <v>0</v>
      </c>
      <c r="UMB3002" s="1" t="n">
        <v>0</v>
      </c>
      <c r="UMC3002" s="1" t="n">
        <v>0</v>
      </c>
      <c r="UMD3002" s="1" t="n">
        <v>0</v>
      </c>
      <c r="UME3002" s="1" t="n">
        <v>0</v>
      </c>
      <c r="UMF3002" s="1" t="n">
        <v>0</v>
      </c>
      <c r="UMG3002" s="1" t="n">
        <v>0</v>
      </c>
      <c r="UMH3002" s="1" t="n">
        <v>0</v>
      </c>
      <c r="UMI3002" s="1" t="n">
        <v>0</v>
      </c>
      <c r="UMJ3002" s="1" t="n">
        <v>0</v>
      </c>
      <c r="UMK3002" s="1" t="n">
        <v>0</v>
      </c>
      <c r="UML3002" s="1" t="n">
        <v>0</v>
      </c>
      <c r="UMM3002" s="1" t="n">
        <v>0</v>
      </c>
      <c r="UMN3002" s="1" t="n">
        <v>0</v>
      </c>
      <c r="UMO3002" s="1" t="n">
        <v>0</v>
      </c>
      <c r="UMP3002" s="1" t="n">
        <v>0</v>
      </c>
      <c r="UMQ3002" s="1" t="n">
        <v>0</v>
      </c>
      <c r="UMR3002" s="1" t="n">
        <v>0</v>
      </c>
      <c r="UMS3002" s="1" t="n">
        <v>0</v>
      </c>
      <c r="UMT3002" s="1" t="n">
        <v>0</v>
      </c>
      <c r="UMU3002" s="1" t="n">
        <v>0</v>
      </c>
      <c r="UMV3002" s="1" t="n">
        <v>0</v>
      </c>
      <c r="UMW3002" s="1" t="n">
        <v>0</v>
      </c>
      <c r="UMX3002" s="1" t="n">
        <v>0</v>
      </c>
      <c r="UMY3002" s="1" t="n">
        <v>0</v>
      </c>
      <c r="UMZ3002" s="1" t="n">
        <v>0</v>
      </c>
      <c r="UNA3002" s="1" t="n">
        <v>0</v>
      </c>
      <c r="UNB3002" s="1" t="n">
        <v>0</v>
      </c>
      <c r="UNC3002" s="1" t="n">
        <v>0</v>
      </c>
      <c r="UND3002" s="1" t="n">
        <v>0</v>
      </c>
      <c r="UNE3002" s="1" t="n">
        <v>0</v>
      </c>
      <c r="UNF3002" s="1" t="n">
        <v>0</v>
      </c>
      <c r="UNG3002" s="1" t="n">
        <v>0</v>
      </c>
      <c r="UNH3002" s="1" t="n">
        <v>0</v>
      </c>
      <c r="UNI3002" s="1" t="n">
        <v>0</v>
      </c>
      <c r="UNJ3002" s="1" t="n">
        <v>0</v>
      </c>
      <c r="UNK3002" s="1" t="n">
        <v>0</v>
      </c>
      <c r="UNL3002" s="1" t="n">
        <v>0</v>
      </c>
      <c r="UNM3002" s="1" t="n">
        <v>0</v>
      </c>
      <c r="UNN3002" s="1" t="n">
        <v>0</v>
      </c>
      <c r="UNO3002" s="1" t="n">
        <v>0</v>
      </c>
      <c r="UNP3002" s="1" t="n">
        <v>0</v>
      </c>
      <c r="UNQ3002" s="1" t="n">
        <v>0</v>
      </c>
      <c r="UNR3002" s="1" t="n">
        <v>0</v>
      </c>
      <c r="UNS3002" s="1" t="n">
        <v>0</v>
      </c>
      <c r="UNT3002" s="1" t="n">
        <v>0</v>
      </c>
      <c r="UNU3002" s="1" t="n">
        <v>0</v>
      </c>
      <c r="UNV3002" s="1" t="n">
        <v>0</v>
      </c>
      <c r="UNW3002" s="1" t="n">
        <v>0</v>
      </c>
      <c r="UNX3002" s="1" t="n">
        <v>0</v>
      </c>
      <c r="UNY3002" s="1" t="n">
        <v>0</v>
      </c>
      <c r="UNZ3002" s="1" t="n">
        <v>0</v>
      </c>
      <c r="UOA3002" s="1" t="n">
        <v>0</v>
      </c>
      <c r="UOB3002" s="1" t="n">
        <v>0</v>
      </c>
      <c r="UOC3002" s="1" t="n">
        <v>0</v>
      </c>
      <c r="UOD3002" s="1" t="n">
        <v>0</v>
      </c>
      <c r="UOE3002" s="1" t="n">
        <v>0</v>
      </c>
      <c r="UOF3002" s="1" t="n">
        <v>0</v>
      </c>
      <c r="UOG3002" s="1" t="n">
        <v>0</v>
      </c>
      <c r="UOH3002" s="1" t="n">
        <v>0</v>
      </c>
      <c r="UOI3002" s="1" t="n">
        <v>0</v>
      </c>
      <c r="UOJ3002" s="1" t="n">
        <v>0</v>
      </c>
      <c r="UOK3002" s="1" t="n">
        <v>0</v>
      </c>
      <c r="UOL3002" s="1" t="n">
        <v>0</v>
      </c>
      <c r="UOM3002" s="1" t="n">
        <v>0</v>
      </c>
      <c r="UON3002" s="1" t="n">
        <v>0</v>
      </c>
      <c r="UOO3002" s="1" t="n">
        <v>0</v>
      </c>
      <c r="UOP3002" s="1" t="n">
        <v>0</v>
      </c>
      <c r="UOQ3002" s="1" t="n">
        <v>0</v>
      </c>
      <c r="UOR3002" s="1" t="n">
        <v>0</v>
      </c>
      <c r="UOS3002" s="1" t="n">
        <v>0</v>
      </c>
      <c r="UOT3002" s="1" t="n">
        <v>0</v>
      </c>
      <c r="UOU3002" s="1" t="n">
        <v>0</v>
      </c>
      <c r="UOV3002" s="1" t="n">
        <v>0</v>
      </c>
      <c r="UOW3002" s="1" t="n">
        <v>0</v>
      </c>
      <c r="UOX3002" s="1" t="n">
        <v>0</v>
      </c>
      <c r="UOY3002" s="1" t="n">
        <v>0</v>
      </c>
      <c r="UOZ3002" s="1" t="n">
        <v>0</v>
      </c>
      <c r="UPA3002" s="1" t="n">
        <v>0</v>
      </c>
      <c r="UPB3002" s="1" t="n">
        <v>0</v>
      </c>
      <c r="UPC3002" s="1" t="n">
        <v>0</v>
      </c>
      <c r="UPD3002" s="1" t="n">
        <v>0</v>
      </c>
      <c r="UPE3002" s="1" t="n">
        <v>0</v>
      </c>
      <c r="UPF3002" s="1" t="n">
        <v>0</v>
      </c>
      <c r="UPG3002" s="1" t="n">
        <v>0</v>
      </c>
      <c r="UPH3002" s="1" t="n">
        <v>0</v>
      </c>
      <c r="UPI3002" s="1" t="n">
        <v>0</v>
      </c>
      <c r="UPJ3002" s="1" t="n">
        <v>0</v>
      </c>
      <c r="UPK3002" s="1" t="n">
        <v>0</v>
      </c>
      <c r="UPL3002" s="1" t="n">
        <v>0</v>
      </c>
      <c r="UPM3002" s="1" t="n">
        <v>0</v>
      </c>
      <c r="UPN3002" s="1" t="n">
        <v>0</v>
      </c>
      <c r="UPO3002" s="1" t="n">
        <v>0</v>
      </c>
      <c r="UPP3002" s="1" t="n">
        <v>0</v>
      </c>
      <c r="UPQ3002" s="1" t="n">
        <v>0</v>
      </c>
      <c r="UPR3002" s="1" t="n">
        <v>0</v>
      </c>
      <c r="UPS3002" s="1" t="n">
        <v>0</v>
      </c>
      <c r="UPT3002" s="1" t="n">
        <v>0</v>
      </c>
      <c r="UPU3002" s="1" t="n">
        <v>0</v>
      </c>
      <c r="UPV3002" s="1" t="n">
        <v>0</v>
      </c>
      <c r="UPW3002" s="1" t="n">
        <v>0</v>
      </c>
      <c r="UPX3002" s="1" t="n">
        <v>0</v>
      </c>
      <c r="UPY3002" s="1" t="n">
        <v>0</v>
      </c>
      <c r="UPZ3002" s="1" t="n">
        <v>0</v>
      </c>
      <c r="UQA3002" s="1" t="n">
        <v>0</v>
      </c>
      <c r="UQB3002" s="1" t="n">
        <v>0</v>
      </c>
      <c r="UQC3002" s="1" t="n">
        <v>0</v>
      </c>
      <c r="UQD3002" s="1" t="n">
        <v>0</v>
      </c>
      <c r="UQE3002" s="1" t="n">
        <v>0</v>
      </c>
      <c r="UQF3002" s="1" t="n">
        <v>0</v>
      </c>
      <c r="UQG3002" s="1" t="n">
        <v>0</v>
      </c>
      <c r="UQH3002" s="1" t="n">
        <v>0</v>
      </c>
      <c r="UQI3002" s="1" t="n">
        <v>0</v>
      </c>
      <c r="UQJ3002" s="1" t="n">
        <v>0</v>
      </c>
      <c r="UQK3002" s="1" t="n">
        <v>0</v>
      </c>
      <c r="UQL3002" s="1" t="n">
        <v>0</v>
      </c>
      <c r="UQM3002" s="1" t="n">
        <v>0</v>
      </c>
      <c r="UQN3002" s="1" t="n">
        <v>0</v>
      </c>
      <c r="UQO3002" s="1" t="n">
        <v>0</v>
      </c>
      <c r="UQP3002" s="1" t="n">
        <v>0</v>
      </c>
      <c r="UQQ3002" s="1" t="n">
        <v>0</v>
      </c>
      <c r="UQR3002" s="1" t="n">
        <v>0</v>
      </c>
      <c r="UQS3002" s="1" t="n">
        <v>0</v>
      </c>
      <c r="UQT3002" s="1" t="n">
        <v>0</v>
      </c>
      <c r="UQU3002" s="1" t="n">
        <v>0</v>
      </c>
      <c r="UQV3002" s="1" t="n">
        <v>0</v>
      </c>
      <c r="UQW3002" s="1" t="n">
        <v>0</v>
      </c>
      <c r="UQX3002" s="1" t="n">
        <v>0</v>
      </c>
      <c r="UQY3002" s="1" t="n">
        <v>0</v>
      </c>
      <c r="UQZ3002" s="1" t="n">
        <v>0</v>
      </c>
      <c r="URA3002" s="1" t="n">
        <v>0</v>
      </c>
      <c r="URB3002" s="1" t="n">
        <v>0</v>
      </c>
      <c r="URC3002" s="1" t="n">
        <v>0</v>
      </c>
      <c r="URD3002" s="1" t="n">
        <v>0</v>
      </c>
      <c r="URE3002" s="1" t="n">
        <v>0</v>
      </c>
      <c r="URF3002" s="1" t="n">
        <v>0</v>
      </c>
      <c r="URG3002" s="1" t="n">
        <v>0</v>
      </c>
      <c r="URH3002" s="1" t="n">
        <v>0</v>
      </c>
      <c r="URI3002" s="1" t="n">
        <v>0</v>
      </c>
      <c r="URJ3002" s="1" t="n">
        <v>0</v>
      </c>
      <c r="URK3002" s="1" t="n">
        <v>0</v>
      </c>
      <c r="URL3002" s="1" t="n">
        <v>0</v>
      </c>
      <c r="URM3002" s="1" t="n">
        <v>0</v>
      </c>
      <c r="URN3002" s="1" t="n">
        <v>0</v>
      </c>
      <c r="URO3002" s="1" t="n">
        <v>0</v>
      </c>
      <c r="URP3002" s="1" t="n">
        <v>0</v>
      </c>
      <c r="URQ3002" s="1" t="n">
        <v>0</v>
      </c>
      <c r="URR3002" s="1" t="n">
        <v>0</v>
      </c>
      <c r="URS3002" s="1" t="n">
        <v>0</v>
      </c>
      <c r="URT3002" s="1" t="n">
        <v>0</v>
      </c>
      <c r="URU3002" s="1" t="n">
        <v>0</v>
      </c>
      <c r="URV3002" s="1" t="n">
        <v>0</v>
      </c>
      <c r="URW3002" s="1" t="n">
        <v>0</v>
      </c>
      <c r="URX3002" s="1" t="n">
        <v>0</v>
      </c>
      <c r="URY3002" s="1" t="n">
        <v>0</v>
      </c>
      <c r="URZ3002" s="1" t="n">
        <v>0</v>
      </c>
      <c r="USA3002" s="1" t="n">
        <v>0</v>
      </c>
      <c r="USB3002" s="1" t="n">
        <v>0</v>
      </c>
      <c r="USC3002" s="1" t="n">
        <v>0</v>
      </c>
      <c r="USD3002" s="1" t="n">
        <v>0</v>
      </c>
      <c r="USE3002" s="1" t="n">
        <v>0</v>
      </c>
      <c r="USF3002" s="1" t="n">
        <v>0</v>
      </c>
      <c r="USG3002" s="1" t="n">
        <v>0</v>
      </c>
      <c r="USH3002" s="1" t="n">
        <v>0</v>
      </c>
      <c r="USI3002" s="1" t="n">
        <v>0</v>
      </c>
      <c r="USJ3002" s="1" t="n">
        <v>0</v>
      </c>
      <c r="USK3002" s="1" t="n">
        <v>0</v>
      </c>
      <c r="USL3002" s="1" t="n">
        <v>0</v>
      </c>
      <c r="USM3002" s="1" t="n">
        <v>0</v>
      </c>
      <c r="USN3002" s="1" t="n">
        <v>0</v>
      </c>
      <c r="USO3002" s="1" t="n">
        <v>0</v>
      </c>
      <c r="USP3002" s="1" t="n">
        <v>0</v>
      </c>
      <c r="USQ3002" s="1" t="n">
        <v>0</v>
      </c>
      <c r="USR3002" s="1" t="n">
        <v>0</v>
      </c>
      <c r="USS3002" s="1" t="n">
        <v>0</v>
      </c>
      <c r="UST3002" s="1" t="n">
        <v>0</v>
      </c>
      <c r="USU3002" s="1" t="n">
        <v>0</v>
      </c>
      <c r="USV3002" s="1" t="n">
        <v>0</v>
      </c>
      <c r="USW3002" s="1" t="n">
        <v>0</v>
      </c>
      <c r="USX3002" s="1" t="n">
        <v>0</v>
      </c>
      <c r="USY3002" s="1" t="n">
        <v>0</v>
      </c>
      <c r="USZ3002" s="1" t="n">
        <v>0</v>
      </c>
      <c r="UTA3002" s="1" t="n">
        <v>0</v>
      </c>
      <c r="UTB3002" s="1" t="n">
        <v>0</v>
      </c>
      <c r="UTC3002" s="1" t="n">
        <v>0</v>
      </c>
      <c r="UTD3002" s="1" t="n">
        <v>0</v>
      </c>
      <c r="UTE3002" s="1" t="n">
        <v>0</v>
      </c>
      <c r="UTF3002" s="1" t="n">
        <v>0</v>
      </c>
      <c r="UTG3002" s="1" t="n">
        <v>0</v>
      </c>
      <c r="UTH3002" s="1" t="n">
        <v>0</v>
      </c>
      <c r="UTI3002" s="1" t="n">
        <v>0</v>
      </c>
      <c r="UTJ3002" s="1" t="n">
        <v>0</v>
      </c>
      <c r="UTK3002" s="1" t="n">
        <v>0</v>
      </c>
      <c r="UTL3002" s="1" t="n">
        <v>0</v>
      </c>
      <c r="UTM3002" s="1" t="n">
        <v>0</v>
      </c>
      <c r="UTN3002" s="1" t="n">
        <v>0</v>
      </c>
      <c r="UTO3002" s="1" t="n">
        <v>0</v>
      </c>
      <c r="UTP3002" s="1" t="n">
        <v>0</v>
      </c>
      <c r="UTQ3002" s="1" t="n">
        <v>0</v>
      </c>
      <c r="UTR3002" s="1" t="n">
        <v>0</v>
      </c>
      <c r="UTS3002" s="1" t="n">
        <v>0</v>
      </c>
      <c r="UTT3002" s="1" t="n">
        <v>0</v>
      </c>
      <c r="UTU3002" s="1" t="n">
        <v>0</v>
      </c>
      <c r="UTV3002" s="1" t="n">
        <v>0</v>
      </c>
      <c r="UTW3002" s="1" t="n">
        <v>0</v>
      </c>
      <c r="UTX3002" s="1" t="n">
        <v>0</v>
      </c>
      <c r="UTY3002" s="1" t="n">
        <v>0</v>
      </c>
      <c r="UTZ3002" s="1" t="n">
        <v>0</v>
      </c>
      <c r="UUA3002" s="1" t="n">
        <v>0</v>
      </c>
      <c r="UUB3002" s="1" t="n">
        <v>0</v>
      </c>
      <c r="UUC3002" s="1" t="n">
        <v>0</v>
      </c>
      <c r="UUD3002" s="1" t="n">
        <v>0</v>
      </c>
      <c r="UUE3002" s="1" t="n">
        <v>0</v>
      </c>
      <c r="UUF3002" s="1" t="n">
        <v>0</v>
      </c>
      <c r="UUG3002" s="1" t="n">
        <v>0</v>
      </c>
      <c r="UUH3002" s="1" t="n">
        <v>0</v>
      </c>
      <c r="UUI3002" s="1" t="n">
        <v>0</v>
      </c>
      <c r="UUJ3002" s="1" t="n">
        <v>0</v>
      </c>
      <c r="UUK3002" s="1" t="n">
        <v>0</v>
      </c>
      <c r="UUL3002" s="1" t="n">
        <v>0</v>
      </c>
      <c r="UUM3002" s="1" t="n">
        <v>0</v>
      </c>
      <c r="UUN3002" s="1" t="n">
        <v>0</v>
      </c>
      <c r="UUO3002" s="1" t="n">
        <v>0</v>
      </c>
      <c r="UUP3002" s="1" t="n">
        <v>0</v>
      </c>
      <c r="UUQ3002" s="1" t="n">
        <v>0</v>
      </c>
      <c r="UUR3002" s="1" t="n">
        <v>0</v>
      </c>
      <c r="UUS3002" s="1" t="n">
        <v>0</v>
      </c>
      <c r="UUT3002" s="1" t="n">
        <v>0</v>
      </c>
      <c r="UUU3002" s="1" t="n">
        <v>0</v>
      </c>
      <c r="UUV3002" s="1" t="n">
        <v>0</v>
      </c>
      <c r="UUW3002" s="1" t="n">
        <v>0</v>
      </c>
      <c r="UUX3002" s="1" t="n">
        <v>0</v>
      </c>
      <c r="UUY3002" s="1" t="n">
        <v>0</v>
      </c>
      <c r="UUZ3002" s="1" t="n">
        <v>0</v>
      </c>
      <c r="UVA3002" s="1" t="n">
        <v>0</v>
      </c>
      <c r="UVB3002" s="1" t="n">
        <v>0</v>
      </c>
      <c r="UVC3002" s="1" t="n">
        <v>0</v>
      </c>
      <c r="UVD3002" s="1" t="n">
        <v>0</v>
      </c>
      <c r="UVE3002" s="1" t="n">
        <v>0</v>
      </c>
      <c r="UVF3002" s="1" t="n">
        <v>0</v>
      </c>
      <c r="UVG3002" s="1" t="n">
        <v>0</v>
      </c>
      <c r="UVH3002" s="1" t="n">
        <v>0</v>
      </c>
      <c r="UVI3002" s="1" t="n">
        <v>0</v>
      </c>
      <c r="UVJ3002" s="1" t="n">
        <v>0</v>
      </c>
      <c r="UVK3002" s="1" t="n">
        <v>0</v>
      </c>
      <c r="UVL3002" s="1" t="n">
        <v>0</v>
      </c>
      <c r="UVM3002" s="1" t="n">
        <v>0</v>
      </c>
      <c r="UVN3002" s="1" t="n">
        <v>0</v>
      </c>
      <c r="UVO3002" s="1" t="n">
        <v>0</v>
      </c>
      <c r="UVP3002" s="1" t="n">
        <v>0</v>
      </c>
      <c r="UVQ3002" s="1" t="n">
        <v>0</v>
      </c>
      <c r="UVR3002" s="1" t="n">
        <v>0</v>
      </c>
      <c r="UVS3002" s="1" t="n">
        <v>0</v>
      </c>
      <c r="UVT3002" s="1" t="n">
        <v>0</v>
      </c>
      <c r="UVU3002" s="1" t="n">
        <v>0</v>
      </c>
      <c r="UVV3002" s="1" t="n">
        <v>0</v>
      </c>
      <c r="UVW3002" s="1" t="n">
        <v>0</v>
      </c>
      <c r="UVX3002" s="1" t="n">
        <v>0</v>
      </c>
      <c r="UVY3002" s="1" t="n">
        <v>0</v>
      </c>
      <c r="UVZ3002" s="1" t="n">
        <v>0</v>
      </c>
      <c r="UWA3002" s="1" t="n">
        <v>0</v>
      </c>
      <c r="UWB3002" s="1" t="n">
        <v>0</v>
      </c>
      <c r="UWC3002" s="1" t="n">
        <v>0</v>
      </c>
      <c r="UWD3002" s="1" t="n">
        <v>0</v>
      </c>
      <c r="UWE3002" s="1" t="n">
        <v>0</v>
      </c>
      <c r="UWF3002" s="1" t="n">
        <v>0</v>
      </c>
      <c r="UWG3002" s="1" t="n">
        <v>0</v>
      </c>
      <c r="UWH3002" s="1" t="n">
        <v>0</v>
      </c>
      <c r="UWI3002" s="1" t="n">
        <v>0</v>
      </c>
      <c r="UWJ3002" s="1" t="n">
        <v>0</v>
      </c>
      <c r="UWK3002" s="1" t="n">
        <v>0</v>
      </c>
      <c r="UWL3002" s="1" t="n">
        <v>0</v>
      </c>
      <c r="UWM3002" s="1" t="n">
        <v>0</v>
      </c>
      <c r="UWN3002" s="1" t="n">
        <v>0</v>
      </c>
      <c r="UWO3002" s="1" t="n">
        <v>0</v>
      </c>
      <c r="UWP3002" s="1" t="n">
        <v>0</v>
      </c>
      <c r="UWQ3002" s="1" t="n">
        <v>0</v>
      </c>
      <c r="UWR3002" s="1" t="n">
        <v>0</v>
      </c>
      <c r="UWS3002" s="1" t="n">
        <v>0</v>
      </c>
      <c r="UWT3002" s="1" t="n">
        <v>0</v>
      </c>
      <c r="UWU3002" s="1" t="n">
        <v>0</v>
      </c>
      <c r="UWV3002" s="1" t="n">
        <v>0</v>
      </c>
      <c r="UWW3002" s="1" t="n">
        <v>0</v>
      </c>
      <c r="UWX3002" s="1" t="n">
        <v>0</v>
      </c>
      <c r="UWY3002" s="1" t="n">
        <v>0</v>
      </c>
      <c r="UWZ3002" s="1" t="n">
        <v>0</v>
      </c>
      <c r="UXA3002" s="1" t="n">
        <v>0</v>
      </c>
      <c r="UXB3002" s="1" t="n">
        <v>0</v>
      </c>
      <c r="UXC3002" s="1" t="n">
        <v>0</v>
      </c>
      <c r="UXD3002" s="1" t="n">
        <v>0</v>
      </c>
      <c r="UXE3002" s="1" t="n">
        <v>0</v>
      </c>
      <c r="UXF3002" s="1" t="n">
        <v>0</v>
      </c>
      <c r="UXG3002" s="1" t="n">
        <v>0</v>
      </c>
      <c r="UXH3002" s="1" t="n">
        <v>0</v>
      </c>
      <c r="UXI3002" s="1" t="n">
        <v>0</v>
      </c>
      <c r="UXJ3002" s="1" t="n">
        <v>0</v>
      </c>
      <c r="UXK3002" s="1" t="n">
        <v>0</v>
      </c>
      <c r="UXL3002" s="1" t="n">
        <v>0</v>
      </c>
      <c r="UXM3002" s="1" t="n">
        <v>0</v>
      </c>
      <c r="UXN3002" s="1" t="n">
        <v>0</v>
      </c>
      <c r="UXO3002" s="1" t="n">
        <v>0</v>
      </c>
      <c r="UXP3002" s="1" t="n">
        <v>0</v>
      </c>
      <c r="UXQ3002" s="1" t="n">
        <v>0</v>
      </c>
      <c r="UXR3002" s="1" t="n">
        <v>0</v>
      </c>
      <c r="UXS3002" s="1" t="n">
        <v>0</v>
      </c>
      <c r="UXT3002" s="1" t="n">
        <v>0</v>
      </c>
      <c r="UXU3002" s="1" t="n">
        <v>0</v>
      </c>
      <c r="UXV3002" s="1" t="n">
        <v>0</v>
      </c>
      <c r="UXW3002" s="1" t="n">
        <v>0</v>
      </c>
      <c r="UXX3002" s="1" t="n">
        <v>0</v>
      </c>
      <c r="UXY3002" s="1" t="n">
        <v>0</v>
      </c>
      <c r="UXZ3002" s="1" t="n">
        <v>0</v>
      </c>
      <c r="UYA3002" s="1" t="n">
        <v>0</v>
      </c>
      <c r="UYB3002" s="1" t="n">
        <v>0</v>
      </c>
      <c r="UYC3002" s="1" t="n">
        <v>0</v>
      </c>
      <c r="UYD3002" s="1" t="n">
        <v>0</v>
      </c>
      <c r="UYE3002" s="1" t="n">
        <v>0</v>
      </c>
      <c r="UYF3002" s="1" t="n">
        <v>0</v>
      </c>
      <c r="UYG3002" s="1" t="n">
        <v>0</v>
      </c>
      <c r="UYH3002" s="1" t="n">
        <v>0</v>
      </c>
      <c r="UYI3002" s="1" t="n">
        <v>0</v>
      </c>
      <c r="UYJ3002" s="1" t="n">
        <v>0</v>
      </c>
      <c r="UYK3002" s="1" t="n">
        <v>0</v>
      </c>
      <c r="UYL3002" s="1" t="n">
        <v>0</v>
      </c>
      <c r="UYM3002" s="1" t="n">
        <v>0</v>
      </c>
      <c r="UYN3002" s="1" t="n">
        <v>0</v>
      </c>
      <c r="UYO3002" s="1" t="n">
        <v>0</v>
      </c>
      <c r="UYP3002" s="1" t="n">
        <v>0</v>
      </c>
      <c r="UYQ3002" s="1" t="n">
        <v>0</v>
      </c>
      <c r="UYR3002" s="1" t="n">
        <v>0</v>
      </c>
      <c r="UYS3002" s="1" t="n">
        <v>0</v>
      </c>
      <c r="UYT3002" s="1" t="n">
        <v>0</v>
      </c>
      <c r="UYU3002" s="1" t="n">
        <v>0</v>
      </c>
      <c r="UYV3002" s="1" t="n">
        <v>0</v>
      </c>
      <c r="UYW3002" s="1" t="n">
        <v>0</v>
      </c>
      <c r="UYX3002" s="1" t="n">
        <v>0</v>
      </c>
      <c r="UYY3002" s="1" t="n">
        <v>0</v>
      </c>
      <c r="UYZ3002" s="1" t="n">
        <v>0</v>
      </c>
      <c r="UZA3002" s="1" t="n">
        <v>0</v>
      </c>
      <c r="UZB3002" s="1" t="n">
        <v>0</v>
      </c>
      <c r="UZC3002" s="1" t="n">
        <v>0</v>
      </c>
      <c r="UZD3002" s="1" t="n">
        <v>0</v>
      </c>
      <c r="UZE3002" s="1" t="n">
        <v>0</v>
      </c>
      <c r="UZF3002" s="1" t="n">
        <v>0</v>
      </c>
      <c r="UZG3002" s="1" t="n">
        <v>0</v>
      </c>
      <c r="UZH3002" s="1" t="n">
        <v>0</v>
      </c>
      <c r="UZI3002" s="1" t="n">
        <v>0</v>
      </c>
      <c r="UZJ3002" s="1" t="n">
        <v>0</v>
      </c>
      <c r="UZK3002" s="1" t="n">
        <v>0</v>
      </c>
      <c r="UZL3002" s="1" t="n">
        <v>0</v>
      </c>
      <c r="UZM3002" s="1" t="n">
        <v>0</v>
      </c>
      <c r="UZN3002" s="1" t="n">
        <v>0</v>
      </c>
      <c r="UZO3002" s="1" t="n">
        <v>0</v>
      </c>
      <c r="UZP3002" s="1" t="n">
        <v>0</v>
      </c>
      <c r="UZQ3002" s="1" t="n">
        <v>0</v>
      </c>
      <c r="UZR3002" s="1" t="n">
        <v>0</v>
      </c>
      <c r="UZS3002" s="1" t="n">
        <v>0</v>
      </c>
      <c r="UZT3002" s="1" t="n">
        <v>0</v>
      </c>
      <c r="UZU3002" s="1" t="n">
        <v>0</v>
      </c>
      <c r="UZV3002" s="1" t="n">
        <v>0</v>
      </c>
      <c r="UZW3002" s="1" t="n">
        <v>0</v>
      </c>
      <c r="UZX3002" s="1" t="n">
        <v>0</v>
      </c>
      <c r="UZY3002" s="1" t="n">
        <v>0</v>
      </c>
      <c r="UZZ3002" s="1" t="n">
        <v>0</v>
      </c>
      <c r="VAA3002" s="1" t="n">
        <v>0</v>
      </c>
      <c r="VAB3002" s="1" t="n">
        <v>0</v>
      </c>
      <c r="VAC3002" s="1" t="n">
        <v>0</v>
      </c>
      <c r="VAD3002" s="1" t="n">
        <v>0</v>
      </c>
      <c r="VAE3002" s="1" t="n">
        <v>0</v>
      </c>
      <c r="VAF3002" s="1" t="n">
        <v>0</v>
      </c>
      <c r="VAG3002" s="1" t="n">
        <v>0</v>
      </c>
      <c r="VAH3002" s="1" t="n">
        <v>0</v>
      </c>
      <c r="VAI3002" s="1" t="n">
        <v>0</v>
      </c>
      <c r="VAJ3002" s="1" t="n">
        <v>0</v>
      </c>
      <c r="VAK3002" s="1" t="n">
        <v>0</v>
      </c>
      <c r="VAL3002" s="1" t="n">
        <v>0</v>
      </c>
      <c r="VAM3002" s="1" t="n">
        <v>0</v>
      </c>
      <c r="VAN3002" s="1" t="n">
        <v>0</v>
      </c>
      <c r="VAO3002" s="1" t="n">
        <v>0</v>
      </c>
      <c r="VAP3002" s="1" t="n">
        <v>0</v>
      </c>
      <c r="VAQ3002" s="1" t="n">
        <v>0</v>
      </c>
      <c r="VAR3002" s="1" t="n">
        <v>0</v>
      </c>
      <c r="VAS3002" s="1" t="n">
        <v>0</v>
      </c>
      <c r="VAT3002" s="1" t="n">
        <v>0</v>
      </c>
      <c r="VAU3002" s="1" t="n">
        <v>0</v>
      </c>
      <c r="VAV3002" s="1" t="n">
        <v>0</v>
      </c>
      <c r="VAW3002" s="1" t="n">
        <v>0</v>
      </c>
      <c r="VAX3002" s="1" t="n">
        <v>0</v>
      </c>
      <c r="VAY3002" s="1" t="n">
        <v>0</v>
      </c>
      <c r="VAZ3002" s="1" t="n">
        <v>0</v>
      </c>
      <c r="VBA3002" s="1" t="n">
        <v>0</v>
      </c>
      <c r="VBB3002" s="1" t="n">
        <v>0</v>
      </c>
      <c r="VBC3002" s="1" t="n">
        <v>0</v>
      </c>
      <c r="VBD3002" s="1" t="n">
        <v>0</v>
      </c>
      <c r="VBE3002" s="1" t="n">
        <v>0</v>
      </c>
      <c r="VBF3002" s="1" t="n">
        <v>0</v>
      </c>
      <c r="VBG3002" s="1" t="n">
        <v>0</v>
      </c>
      <c r="VBH3002" s="1" t="n">
        <v>0</v>
      </c>
      <c r="VBI3002" s="1" t="n">
        <v>0</v>
      </c>
      <c r="VBJ3002" s="1" t="n">
        <v>0</v>
      </c>
      <c r="VBK3002" s="1" t="n">
        <v>0</v>
      </c>
      <c r="VBL3002" s="1" t="n">
        <v>0</v>
      </c>
      <c r="VBM3002" s="1" t="n">
        <v>0</v>
      </c>
      <c r="VBN3002" s="1" t="n">
        <v>0</v>
      </c>
      <c r="VBO3002" s="1" t="n">
        <v>0</v>
      </c>
      <c r="VBP3002" s="1" t="n">
        <v>0</v>
      </c>
      <c r="VBQ3002" s="1" t="n">
        <v>0</v>
      </c>
      <c r="VBR3002" s="1" t="n">
        <v>0</v>
      </c>
      <c r="VBS3002" s="1" t="n">
        <v>0</v>
      </c>
      <c r="VBT3002" s="1" t="n">
        <v>0</v>
      </c>
      <c r="VBU3002" s="1" t="n">
        <v>0</v>
      </c>
      <c r="VBV3002" s="1" t="n">
        <v>0</v>
      </c>
      <c r="VBW3002" s="1" t="n">
        <v>0</v>
      </c>
      <c r="VBX3002" s="1" t="n">
        <v>0</v>
      </c>
      <c r="VBY3002" s="1" t="n">
        <v>0</v>
      </c>
      <c r="VBZ3002" s="1" t="n">
        <v>0</v>
      </c>
      <c r="VCA3002" s="1" t="n">
        <v>0</v>
      </c>
      <c r="VCB3002" s="1" t="n">
        <v>0</v>
      </c>
      <c r="VCC3002" s="1" t="n">
        <v>0</v>
      </c>
      <c r="VCD3002" s="1" t="n">
        <v>0</v>
      </c>
      <c r="VCE3002" s="1" t="n">
        <v>0</v>
      </c>
      <c r="VCF3002" s="1" t="n">
        <v>0</v>
      </c>
      <c r="VCG3002" s="1" t="n">
        <v>0</v>
      </c>
      <c r="VCH3002" s="1" t="n">
        <v>0</v>
      </c>
      <c r="VCI3002" s="1" t="n">
        <v>0</v>
      </c>
      <c r="VCJ3002" s="1" t="n">
        <v>0</v>
      </c>
      <c r="VCK3002" s="1" t="n">
        <v>0</v>
      </c>
      <c r="VCL3002" s="1" t="n">
        <v>0</v>
      </c>
      <c r="VCM3002" s="1" t="n">
        <v>0</v>
      </c>
      <c r="VCN3002" s="1" t="n">
        <v>0</v>
      </c>
      <c r="VCO3002" s="1" t="n">
        <v>0</v>
      </c>
      <c r="VCP3002" s="1" t="n">
        <v>0</v>
      </c>
      <c r="VCQ3002" s="1" t="n">
        <v>0</v>
      </c>
      <c r="VCR3002" s="1" t="n">
        <v>0</v>
      </c>
      <c r="VCS3002" s="1" t="n">
        <v>0</v>
      </c>
      <c r="VCT3002" s="1" t="n">
        <v>0</v>
      </c>
      <c r="VCU3002" s="1" t="n">
        <v>0</v>
      </c>
      <c r="VCV3002" s="1" t="n">
        <v>0</v>
      </c>
      <c r="VCW3002" s="1" t="n">
        <v>0</v>
      </c>
      <c r="VCX3002" s="1" t="n">
        <v>0</v>
      </c>
      <c r="VCY3002" s="1" t="n">
        <v>0</v>
      </c>
      <c r="VCZ3002" s="1" t="n">
        <v>0</v>
      </c>
      <c r="VDA3002" s="1" t="n">
        <v>0</v>
      </c>
      <c r="VDB3002" s="1" t="n">
        <v>0</v>
      </c>
      <c r="VDC3002" s="1" t="n">
        <v>0</v>
      </c>
      <c r="VDD3002" s="1" t="n">
        <v>0</v>
      </c>
      <c r="VDE3002" s="1" t="n">
        <v>0</v>
      </c>
      <c r="VDF3002" s="1" t="n">
        <v>0</v>
      </c>
      <c r="VDG3002" s="1" t="n">
        <v>0</v>
      </c>
      <c r="VDH3002" s="1" t="n">
        <v>0</v>
      </c>
      <c r="VDI3002" s="1" t="n">
        <v>0</v>
      </c>
      <c r="VDJ3002" s="1" t="n">
        <v>0</v>
      </c>
      <c r="VDK3002" s="1" t="n">
        <v>0</v>
      </c>
      <c r="VDL3002" s="1" t="n">
        <v>0</v>
      </c>
      <c r="VDM3002" s="1" t="n">
        <v>0</v>
      </c>
      <c r="VDN3002" s="1" t="n">
        <v>0</v>
      </c>
      <c r="VDO3002" s="1" t="n">
        <v>0</v>
      </c>
      <c r="VDP3002" s="1" t="n">
        <v>0</v>
      </c>
      <c r="VDQ3002" s="1" t="n">
        <v>0</v>
      </c>
      <c r="VDR3002" s="1" t="n">
        <v>0</v>
      </c>
      <c r="VDS3002" s="1" t="n">
        <v>0</v>
      </c>
      <c r="VDT3002" s="1" t="n">
        <v>0</v>
      </c>
      <c r="VDU3002" s="1" t="n">
        <v>0</v>
      </c>
      <c r="VDV3002" s="1" t="n">
        <v>0</v>
      </c>
      <c r="VDW3002" s="1" t="n">
        <v>0</v>
      </c>
      <c r="VDX3002" s="1" t="n">
        <v>0</v>
      </c>
      <c r="VDY3002" s="1" t="n">
        <v>0</v>
      </c>
      <c r="VDZ3002" s="1" t="n">
        <v>0</v>
      </c>
      <c r="VEA3002" s="1" t="n">
        <v>0</v>
      </c>
      <c r="VEB3002" s="1" t="n">
        <v>0</v>
      </c>
      <c r="VEC3002" s="1" t="n">
        <v>0</v>
      </c>
      <c r="VED3002" s="1" t="n">
        <v>0</v>
      </c>
      <c r="VEE3002" s="1" t="n">
        <v>0</v>
      </c>
      <c r="VEF3002" s="1" t="n">
        <v>0</v>
      </c>
      <c r="VEG3002" s="1" t="n">
        <v>0</v>
      </c>
      <c r="VEH3002" s="1" t="n">
        <v>0</v>
      </c>
      <c r="VEI3002" s="1" t="n">
        <v>0</v>
      </c>
      <c r="VEJ3002" s="1" t="n">
        <v>0</v>
      </c>
      <c r="VEK3002" s="1" t="n">
        <v>0</v>
      </c>
      <c r="VEL3002" s="1" t="n">
        <v>0</v>
      </c>
      <c r="VEM3002" s="1" t="n">
        <v>0</v>
      </c>
      <c r="VEN3002" s="1" t="n">
        <v>0</v>
      </c>
      <c r="VEO3002" s="1" t="n">
        <v>0</v>
      </c>
      <c r="VEP3002" s="1" t="n">
        <v>0</v>
      </c>
      <c r="VEQ3002" s="1" t="n">
        <v>0</v>
      </c>
      <c r="VER3002" s="1" t="n">
        <v>0</v>
      </c>
      <c r="VES3002" s="1" t="n">
        <v>0</v>
      </c>
      <c r="VET3002" s="1" t="n">
        <v>0</v>
      </c>
      <c r="VEU3002" s="1" t="n">
        <v>0</v>
      </c>
      <c r="VEV3002" s="1" t="n">
        <v>0</v>
      </c>
      <c r="VEW3002" s="1" t="n">
        <v>0</v>
      </c>
      <c r="VEX3002" s="1" t="n">
        <v>0</v>
      </c>
      <c r="VEY3002" s="1" t="n">
        <v>0</v>
      </c>
      <c r="VEZ3002" s="1" t="n">
        <v>0</v>
      </c>
      <c r="VFA3002" s="1" t="n">
        <v>0</v>
      </c>
      <c r="VFB3002" s="1" t="n">
        <v>0</v>
      </c>
      <c r="VFC3002" s="1" t="n">
        <v>0</v>
      </c>
      <c r="VFD3002" s="1" t="n">
        <v>0</v>
      </c>
      <c r="VFE3002" s="1" t="n">
        <v>0</v>
      </c>
      <c r="VFF3002" s="1" t="n">
        <v>0</v>
      </c>
      <c r="VFG3002" s="1" t="n">
        <v>0</v>
      </c>
      <c r="VFH3002" s="1" t="n">
        <v>0</v>
      </c>
      <c r="VFI3002" s="1" t="n">
        <v>0</v>
      </c>
      <c r="VFJ3002" s="1" t="n">
        <v>0</v>
      </c>
      <c r="VFK3002" s="1" t="n">
        <v>0</v>
      </c>
      <c r="VFL3002" s="1" t="n">
        <v>0</v>
      </c>
      <c r="VFM3002" s="1" t="n">
        <v>0</v>
      </c>
      <c r="VFN3002" s="1" t="n">
        <v>0</v>
      </c>
      <c r="VFO3002" s="1" t="n">
        <v>0</v>
      </c>
      <c r="VFP3002" s="1" t="n">
        <v>0</v>
      </c>
      <c r="VFQ3002" s="1" t="n">
        <v>0</v>
      </c>
      <c r="VFR3002" s="1" t="n">
        <v>0</v>
      </c>
      <c r="VFS3002" s="1" t="n">
        <v>0</v>
      </c>
      <c r="VFT3002" s="1" t="n">
        <v>0</v>
      </c>
      <c r="VFU3002" s="1" t="n">
        <v>0</v>
      </c>
      <c r="VFV3002" s="1" t="n">
        <v>0</v>
      </c>
      <c r="VFW3002" s="1" t="n">
        <v>0</v>
      </c>
      <c r="VFX3002" s="1" t="n">
        <v>0</v>
      </c>
      <c r="VFY3002" s="1" t="n">
        <v>0</v>
      </c>
      <c r="VFZ3002" s="1" t="n">
        <v>0</v>
      </c>
      <c r="VGA3002" s="1" t="n">
        <v>0</v>
      </c>
      <c r="VGB3002" s="1" t="n">
        <v>0</v>
      </c>
      <c r="VGC3002" s="1" t="n">
        <v>0</v>
      </c>
      <c r="VGD3002" s="1" t="n">
        <v>0</v>
      </c>
      <c r="VGE3002" s="1" t="n">
        <v>0</v>
      </c>
      <c r="VGF3002" s="1" t="n">
        <v>0</v>
      </c>
      <c r="VGG3002" s="1" t="n">
        <v>0</v>
      </c>
      <c r="VGH3002" s="1" t="n">
        <v>0</v>
      </c>
      <c r="VGI3002" s="1" t="n">
        <v>0</v>
      </c>
      <c r="VGJ3002" s="1" t="n">
        <v>0</v>
      </c>
      <c r="VGK3002" s="1" t="n">
        <v>0</v>
      </c>
      <c r="VGL3002" s="1" t="n">
        <v>0</v>
      </c>
      <c r="VGM3002" s="1" t="n">
        <v>0</v>
      </c>
      <c r="VGN3002" s="1" t="n">
        <v>0</v>
      </c>
      <c r="VGO3002" s="1" t="n">
        <v>0</v>
      </c>
      <c r="VGP3002" s="1" t="n">
        <v>0</v>
      </c>
      <c r="VGQ3002" s="1" t="n">
        <v>0</v>
      </c>
      <c r="VGR3002" s="1" t="n">
        <v>0</v>
      </c>
      <c r="VGS3002" s="1" t="n">
        <v>0</v>
      </c>
      <c r="VGT3002" s="1" t="n">
        <v>0</v>
      </c>
      <c r="VGU3002" s="1" t="n">
        <v>0</v>
      </c>
      <c r="VGV3002" s="1" t="n">
        <v>0</v>
      </c>
      <c r="VGW3002" s="1" t="n">
        <v>0</v>
      </c>
      <c r="VGX3002" s="1" t="n">
        <v>0</v>
      </c>
      <c r="VGY3002" s="1" t="n">
        <v>0</v>
      </c>
      <c r="VGZ3002" s="1" t="n">
        <v>0</v>
      </c>
      <c r="VHA3002" s="1" t="n">
        <v>0</v>
      </c>
      <c r="VHB3002" s="1" t="n">
        <v>0</v>
      </c>
      <c r="VHC3002" s="1" t="n">
        <v>0</v>
      </c>
      <c r="VHD3002" s="1" t="n">
        <v>0</v>
      </c>
      <c r="VHE3002" s="1" t="n">
        <v>0</v>
      </c>
      <c r="VHF3002" s="1" t="n">
        <v>0</v>
      </c>
      <c r="VHG3002" s="1" t="n">
        <v>0</v>
      </c>
      <c r="VHH3002" s="1" t="n">
        <v>0</v>
      </c>
      <c r="VHI3002" s="1" t="n">
        <v>0</v>
      </c>
      <c r="VHJ3002" s="1" t="n">
        <v>0</v>
      </c>
      <c r="VHK3002" s="1" t="n">
        <v>0</v>
      </c>
      <c r="VHL3002" s="1" t="n">
        <v>0</v>
      </c>
      <c r="VHM3002" s="1" t="n">
        <v>0</v>
      </c>
      <c r="VHN3002" s="1" t="n">
        <v>0</v>
      </c>
      <c r="VHO3002" s="1" t="n">
        <v>0</v>
      </c>
      <c r="VHP3002" s="1" t="n">
        <v>0</v>
      </c>
      <c r="VHQ3002" s="1" t="n">
        <v>0</v>
      </c>
      <c r="VHR3002" s="1" t="n">
        <v>0</v>
      </c>
      <c r="VHS3002" s="1" t="n">
        <v>0</v>
      </c>
      <c r="VHT3002" s="1" t="n">
        <v>0</v>
      </c>
      <c r="VHU3002" s="1" t="n">
        <v>0</v>
      </c>
      <c r="VHV3002" s="1" t="n">
        <v>0</v>
      </c>
      <c r="VHW3002" s="1" t="n">
        <v>0</v>
      </c>
      <c r="VHX3002" s="1" t="n">
        <v>0</v>
      </c>
      <c r="VHY3002" s="1" t="n">
        <v>0</v>
      </c>
      <c r="VHZ3002" s="1" t="n">
        <v>0</v>
      </c>
      <c r="VIA3002" s="1" t="n">
        <v>0</v>
      </c>
      <c r="VIB3002" s="1" t="n">
        <v>0</v>
      </c>
      <c r="VIC3002" s="1" t="n">
        <v>0</v>
      </c>
      <c r="VID3002" s="1" t="n">
        <v>0</v>
      </c>
      <c r="VIE3002" s="1" t="n">
        <v>0</v>
      </c>
      <c r="VIF3002" s="1" t="n">
        <v>0</v>
      </c>
      <c r="VIG3002" s="1" t="n">
        <v>0</v>
      </c>
      <c r="VIH3002" s="1" t="n">
        <v>0</v>
      </c>
      <c r="VII3002" s="1" t="n">
        <v>0</v>
      </c>
      <c r="VIJ3002" s="1" t="n">
        <v>0</v>
      </c>
      <c r="VIK3002" s="1" t="n">
        <v>0</v>
      </c>
      <c r="VIL3002" s="1" t="n">
        <v>0</v>
      </c>
      <c r="VIM3002" s="1" t="n">
        <v>0</v>
      </c>
      <c r="VIN3002" s="1" t="n">
        <v>0</v>
      </c>
      <c r="VIO3002" s="1" t="n">
        <v>0</v>
      </c>
      <c r="VIP3002" s="1" t="n">
        <v>0</v>
      </c>
      <c r="VIQ3002" s="1" t="n">
        <v>0</v>
      </c>
      <c r="VIR3002" s="1" t="n">
        <v>0</v>
      </c>
      <c r="VIS3002" s="1" t="n">
        <v>0</v>
      </c>
      <c r="VIT3002" s="1" t="n">
        <v>0</v>
      </c>
      <c r="VIU3002" s="1" t="n">
        <v>0</v>
      </c>
      <c r="VIV3002" s="1" t="n">
        <v>0</v>
      </c>
      <c r="VIW3002" s="1" t="n">
        <v>0</v>
      </c>
      <c r="VIX3002" s="1" t="n">
        <v>0</v>
      </c>
      <c r="VIY3002" s="1" t="n">
        <v>0</v>
      </c>
      <c r="VIZ3002" s="1" t="n">
        <v>0</v>
      </c>
      <c r="VJA3002" s="1" t="n">
        <v>0</v>
      </c>
      <c r="VJB3002" s="1" t="n">
        <v>0</v>
      </c>
      <c r="VJC3002" s="1" t="n">
        <v>0</v>
      </c>
      <c r="VJD3002" s="1" t="n">
        <v>0</v>
      </c>
      <c r="VJE3002" s="1" t="n">
        <v>0</v>
      </c>
      <c r="VJF3002" s="1" t="n">
        <v>0</v>
      </c>
      <c r="VJG3002" s="1" t="n">
        <v>0</v>
      </c>
      <c r="VJH3002" s="1" t="n">
        <v>0</v>
      </c>
      <c r="VJI3002" s="1" t="n">
        <v>0</v>
      </c>
      <c r="VJJ3002" s="1" t="n">
        <v>0</v>
      </c>
      <c r="VJK3002" s="1" t="n">
        <v>0</v>
      </c>
      <c r="VJL3002" s="1" t="n">
        <v>0</v>
      </c>
      <c r="VJM3002" s="1" t="n">
        <v>0</v>
      </c>
      <c r="VJN3002" s="1" t="n">
        <v>0</v>
      </c>
      <c r="VJO3002" s="1" t="n">
        <v>0</v>
      </c>
      <c r="VJP3002" s="1" t="n">
        <v>0</v>
      </c>
      <c r="VJQ3002" s="1" t="n">
        <v>0</v>
      </c>
      <c r="VJR3002" s="1" t="n">
        <v>0</v>
      </c>
      <c r="VJS3002" s="1" t="n">
        <v>0</v>
      </c>
      <c r="VJT3002" s="1" t="n">
        <v>0</v>
      </c>
      <c r="VJU3002" s="1" t="n">
        <v>0</v>
      </c>
      <c r="VJV3002" s="1" t="n">
        <v>0</v>
      </c>
      <c r="VJW3002" s="1" t="n">
        <v>0</v>
      </c>
      <c r="VJX3002" s="1" t="n">
        <v>0</v>
      </c>
      <c r="VJY3002" s="1" t="n">
        <v>0</v>
      </c>
      <c r="VJZ3002" s="1" t="n">
        <v>0</v>
      </c>
      <c r="VKA3002" s="1" t="n">
        <v>0</v>
      </c>
      <c r="VKB3002" s="1" t="n">
        <v>0</v>
      </c>
      <c r="VKC3002" s="1" t="n">
        <v>0</v>
      </c>
      <c r="VKD3002" s="1" t="n">
        <v>0</v>
      </c>
      <c r="VKE3002" s="1" t="n">
        <v>0</v>
      </c>
      <c r="VKF3002" s="1" t="n">
        <v>0</v>
      </c>
      <c r="VKG3002" s="1" t="n">
        <v>0</v>
      </c>
      <c r="VKH3002" s="1" t="n">
        <v>0</v>
      </c>
      <c r="VKI3002" s="1" t="n">
        <v>0</v>
      </c>
      <c r="VKJ3002" s="1" t="n">
        <v>0</v>
      </c>
      <c r="VKK3002" s="1" t="n">
        <v>0</v>
      </c>
      <c r="VKL3002" s="1" t="n">
        <v>0</v>
      </c>
      <c r="VKM3002" s="1" t="n">
        <v>0</v>
      </c>
      <c r="VKN3002" s="1" t="n">
        <v>0</v>
      </c>
      <c r="VKO3002" s="1" t="n">
        <v>0</v>
      </c>
      <c r="VKP3002" s="1" t="n">
        <v>0</v>
      </c>
      <c r="VKQ3002" s="1" t="n">
        <v>0</v>
      </c>
      <c r="VKR3002" s="1" t="n">
        <v>0</v>
      </c>
      <c r="VKS3002" s="1" t="n">
        <v>0</v>
      </c>
      <c r="VKT3002" s="1" t="n">
        <v>0</v>
      </c>
      <c r="VKU3002" s="1" t="n">
        <v>0</v>
      </c>
      <c r="VKV3002" s="1" t="n">
        <v>0</v>
      </c>
      <c r="VKW3002" s="1" t="n">
        <v>0</v>
      </c>
      <c r="VKX3002" s="1" t="n">
        <v>0</v>
      </c>
      <c r="VKY3002" s="1" t="n">
        <v>0</v>
      </c>
      <c r="VKZ3002" s="1" t="n">
        <v>0</v>
      </c>
      <c r="VLA3002" s="1" t="n">
        <v>0</v>
      </c>
      <c r="VLB3002" s="1" t="n">
        <v>0</v>
      </c>
      <c r="VLC3002" s="1" t="n">
        <v>0</v>
      </c>
      <c r="VLD3002" s="1" t="n">
        <v>0</v>
      </c>
      <c r="VLE3002" s="1" t="n">
        <v>0</v>
      </c>
      <c r="VLF3002" s="1" t="n">
        <v>0</v>
      </c>
      <c r="VLG3002" s="1" t="n">
        <v>0</v>
      </c>
      <c r="VLH3002" s="1" t="n">
        <v>0</v>
      </c>
      <c r="VLI3002" s="1" t="n">
        <v>0</v>
      </c>
      <c r="VLJ3002" s="1" t="n">
        <v>0</v>
      </c>
      <c r="VLK3002" s="1" t="n">
        <v>0</v>
      </c>
      <c r="VLL3002" s="1" t="n">
        <v>0</v>
      </c>
      <c r="VLM3002" s="1" t="n">
        <v>0</v>
      </c>
      <c r="VLN3002" s="1" t="n">
        <v>0</v>
      </c>
      <c r="VLO3002" s="1" t="n">
        <v>0</v>
      </c>
      <c r="VLP3002" s="1" t="n">
        <v>0</v>
      </c>
      <c r="VLQ3002" s="1" t="n">
        <v>0</v>
      </c>
      <c r="VLR3002" s="1" t="n">
        <v>0</v>
      </c>
      <c r="VLS3002" s="1" t="n">
        <v>0</v>
      </c>
      <c r="VLT3002" s="1" t="n">
        <v>0</v>
      </c>
      <c r="VLU3002" s="1" t="n">
        <v>0</v>
      </c>
      <c r="VLV3002" s="1" t="n">
        <v>0</v>
      </c>
      <c r="VLW3002" s="1" t="n">
        <v>0</v>
      </c>
      <c r="VLX3002" s="1" t="n">
        <v>0</v>
      </c>
      <c r="VLY3002" s="1" t="n">
        <v>0</v>
      </c>
      <c r="VLZ3002" s="1" t="n">
        <v>0</v>
      </c>
      <c r="VMA3002" s="1" t="n">
        <v>0</v>
      </c>
      <c r="VMB3002" s="1" t="n">
        <v>0</v>
      </c>
      <c r="VMC3002" s="1" t="n">
        <v>0</v>
      </c>
      <c r="VMD3002" s="1" t="n">
        <v>0</v>
      </c>
      <c r="VME3002" s="1" t="n">
        <v>0</v>
      </c>
      <c r="VMF3002" s="1" t="n">
        <v>0</v>
      </c>
      <c r="VMG3002" s="1" t="n">
        <v>0</v>
      </c>
      <c r="VMH3002" s="1" t="n">
        <v>0</v>
      </c>
      <c r="VMI3002" s="1" t="n">
        <v>0</v>
      </c>
      <c r="VMJ3002" s="1" t="n">
        <v>0</v>
      </c>
      <c r="VMK3002" s="1" t="n">
        <v>0</v>
      </c>
      <c r="VML3002" s="1" t="n">
        <v>0</v>
      </c>
      <c r="VMM3002" s="1" t="n">
        <v>0</v>
      </c>
      <c r="VMN3002" s="1" t="n">
        <v>0</v>
      </c>
      <c r="VMO3002" s="1" t="n">
        <v>0</v>
      </c>
      <c r="VMP3002" s="1" t="n">
        <v>0</v>
      </c>
      <c r="VMQ3002" s="1" t="n">
        <v>0</v>
      </c>
      <c r="VMR3002" s="1" t="n">
        <v>0</v>
      </c>
      <c r="VMS3002" s="1" t="n">
        <v>0</v>
      </c>
      <c r="VMT3002" s="1" t="n">
        <v>0</v>
      </c>
      <c r="VMU3002" s="1" t="n">
        <v>0</v>
      </c>
      <c r="VMV3002" s="1" t="n">
        <v>0</v>
      </c>
      <c r="VMW3002" s="1" t="n">
        <v>0</v>
      </c>
      <c r="VMX3002" s="1" t="n">
        <v>0</v>
      </c>
      <c r="VMY3002" s="1" t="n">
        <v>0</v>
      </c>
      <c r="VMZ3002" s="1" t="n">
        <v>0</v>
      </c>
      <c r="VNA3002" s="1" t="n">
        <v>0</v>
      </c>
      <c r="VNB3002" s="1" t="n">
        <v>0</v>
      </c>
      <c r="VNC3002" s="1" t="n">
        <v>0</v>
      </c>
      <c r="VND3002" s="1" t="n">
        <v>0</v>
      </c>
      <c r="VNE3002" s="1" t="n">
        <v>0</v>
      </c>
      <c r="VNF3002" s="1" t="n">
        <v>0</v>
      </c>
      <c r="VNG3002" s="1" t="n">
        <v>0</v>
      </c>
      <c r="VNH3002" s="1" t="n">
        <v>0</v>
      </c>
      <c r="VNI3002" s="1" t="n">
        <v>0</v>
      </c>
      <c r="VNJ3002" s="1" t="n">
        <v>0</v>
      </c>
      <c r="VNK3002" s="1" t="n">
        <v>0</v>
      </c>
      <c r="VNL3002" s="1" t="n">
        <v>0</v>
      </c>
      <c r="VNM3002" s="1" t="n">
        <v>0</v>
      </c>
      <c r="VNN3002" s="1" t="n">
        <v>0</v>
      </c>
      <c r="VNO3002" s="1" t="n">
        <v>0</v>
      </c>
      <c r="VNP3002" s="1" t="n">
        <v>0</v>
      </c>
      <c r="VNQ3002" s="1" t="n">
        <v>0</v>
      </c>
      <c r="VNR3002" s="1" t="n">
        <v>0</v>
      </c>
      <c r="VNS3002" s="1" t="n">
        <v>0</v>
      </c>
      <c r="VNT3002" s="1" t="n">
        <v>0</v>
      </c>
      <c r="VNU3002" s="1" t="n">
        <v>0</v>
      </c>
      <c r="VNV3002" s="1" t="n">
        <v>0</v>
      </c>
      <c r="VNW3002" s="1" t="n">
        <v>0</v>
      </c>
      <c r="VNX3002" s="1" t="n">
        <v>0</v>
      </c>
      <c r="VNY3002" s="1" t="n">
        <v>0</v>
      </c>
      <c r="VNZ3002" s="1" t="n">
        <v>0</v>
      </c>
      <c r="VOA3002" s="1" t="n">
        <v>0</v>
      </c>
      <c r="VOB3002" s="1" t="n">
        <v>0</v>
      </c>
      <c r="VOC3002" s="1" t="n">
        <v>0</v>
      </c>
      <c r="VOD3002" s="1" t="n">
        <v>0</v>
      </c>
      <c r="VOE3002" s="1" t="n">
        <v>0</v>
      </c>
      <c r="VOF3002" s="1" t="n">
        <v>0</v>
      </c>
      <c r="VOG3002" s="1" t="n">
        <v>0</v>
      </c>
      <c r="VOH3002" s="1" t="n">
        <v>0</v>
      </c>
      <c r="VOI3002" s="1" t="n">
        <v>0</v>
      </c>
      <c r="VOJ3002" s="1" t="n">
        <v>0</v>
      </c>
      <c r="VOK3002" s="1" t="n">
        <v>0</v>
      </c>
      <c r="VOL3002" s="1" t="n">
        <v>0</v>
      </c>
      <c r="VOM3002" s="1" t="n">
        <v>0</v>
      </c>
      <c r="VON3002" s="1" t="n">
        <v>0</v>
      </c>
      <c r="VOO3002" s="1" t="n">
        <v>0</v>
      </c>
      <c r="VOP3002" s="1" t="n">
        <v>0</v>
      </c>
      <c r="VOQ3002" s="1" t="n">
        <v>0</v>
      </c>
      <c r="VOR3002" s="1" t="n">
        <v>0</v>
      </c>
      <c r="VOS3002" s="1" t="n">
        <v>0</v>
      </c>
      <c r="VOT3002" s="1" t="n">
        <v>0</v>
      </c>
      <c r="VOU3002" s="1" t="n">
        <v>0</v>
      </c>
      <c r="VOV3002" s="1" t="n">
        <v>0</v>
      </c>
      <c r="VOW3002" s="1" t="n">
        <v>0</v>
      </c>
      <c r="VOX3002" s="1" t="n">
        <v>0</v>
      </c>
      <c r="VOY3002" s="1" t="n">
        <v>0</v>
      </c>
      <c r="VOZ3002" s="1" t="n">
        <v>0</v>
      </c>
      <c r="VPA3002" s="1" t="n">
        <v>0</v>
      </c>
      <c r="VPB3002" s="1" t="n">
        <v>0</v>
      </c>
      <c r="VPC3002" s="1" t="n">
        <v>0</v>
      </c>
      <c r="VPD3002" s="1" t="n">
        <v>0</v>
      </c>
      <c r="VPE3002" s="1" t="n">
        <v>0</v>
      </c>
      <c r="VPF3002" s="1" t="n">
        <v>0</v>
      </c>
      <c r="VPG3002" s="1" t="n">
        <v>0</v>
      </c>
      <c r="VPH3002" s="1" t="n">
        <v>0</v>
      </c>
      <c r="VPI3002" s="1" t="n">
        <v>0</v>
      </c>
      <c r="VPJ3002" s="1" t="n">
        <v>0</v>
      </c>
      <c r="VPK3002" s="1" t="n">
        <v>0</v>
      </c>
      <c r="VPL3002" s="1" t="n">
        <v>0</v>
      </c>
      <c r="VPM3002" s="1" t="n">
        <v>0</v>
      </c>
      <c r="VPN3002" s="1" t="n">
        <v>0</v>
      </c>
      <c r="VPO3002" s="1" t="n">
        <v>0</v>
      </c>
      <c r="VPP3002" s="1" t="n">
        <v>0</v>
      </c>
      <c r="VPQ3002" s="1" t="n">
        <v>0</v>
      </c>
      <c r="VPR3002" s="1" t="n">
        <v>0</v>
      </c>
      <c r="VPS3002" s="1" t="n">
        <v>0</v>
      </c>
      <c r="VPT3002" s="1" t="n">
        <v>0</v>
      </c>
      <c r="VPU3002" s="1" t="n">
        <v>0</v>
      </c>
      <c r="VPV3002" s="1" t="n">
        <v>0</v>
      </c>
      <c r="VPW3002" s="1" t="n">
        <v>0</v>
      </c>
      <c r="VPX3002" s="1" t="n">
        <v>0</v>
      </c>
      <c r="VPY3002" s="1" t="n">
        <v>0</v>
      </c>
      <c r="VPZ3002" s="1" t="n">
        <v>0</v>
      </c>
      <c r="VQA3002" s="1" t="n">
        <v>0</v>
      </c>
      <c r="VQB3002" s="1" t="n">
        <v>0</v>
      </c>
      <c r="VQC3002" s="1" t="n">
        <v>0</v>
      </c>
      <c r="VQD3002" s="1" t="n">
        <v>0</v>
      </c>
      <c r="VQE3002" s="1" t="n">
        <v>0</v>
      </c>
      <c r="VQF3002" s="1" t="n">
        <v>0</v>
      </c>
      <c r="VQG3002" s="1" t="n">
        <v>0</v>
      </c>
      <c r="VQH3002" s="1" t="n">
        <v>0</v>
      </c>
      <c r="VQI3002" s="1" t="n">
        <v>0</v>
      </c>
      <c r="VQJ3002" s="1" t="n">
        <v>0</v>
      </c>
      <c r="VQK3002" s="1" t="n">
        <v>0</v>
      </c>
      <c r="VQL3002" s="1" t="n">
        <v>0</v>
      </c>
      <c r="VQM3002" s="1" t="n">
        <v>0</v>
      </c>
      <c r="VQN3002" s="1" t="n">
        <v>0</v>
      </c>
      <c r="VQO3002" s="1" t="n">
        <v>0</v>
      </c>
      <c r="VQP3002" s="1" t="n">
        <v>0</v>
      </c>
      <c r="VQQ3002" s="1" t="n">
        <v>0</v>
      </c>
      <c r="VQR3002" s="1" t="n">
        <v>0</v>
      </c>
      <c r="VQS3002" s="1" t="n">
        <v>0</v>
      </c>
      <c r="VQT3002" s="1" t="n">
        <v>0</v>
      </c>
      <c r="VQU3002" s="1" t="n">
        <v>0</v>
      </c>
      <c r="VQV3002" s="1" t="n">
        <v>0</v>
      </c>
      <c r="VQW3002" s="1" t="n">
        <v>0</v>
      </c>
      <c r="VQX3002" s="1" t="n">
        <v>0</v>
      </c>
      <c r="VQY3002" s="1" t="n">
        <v>0</v>
      </c>
      <c r="VQZ3002" s="1" t="n">
        <v>0</v>
      </c>
      <c r="VRA3002" s="1" t="n">
        <v>0</v>
      </c>
      <c r="VRB3002" s="1" t="n">
        <v>0</v>
      </c>
      <c r="VRC3002" s="1" t="n">
        <v>0</v>
      </c>
      <c r="VRD3002" s="1" t="n">
        <v>0</v>
      </c>
      <c r="VRE3002" s="1" t="n">
        <v>0</v>
      </c>
      <c r="VRF3002" s="1" t="n">
        <v>0</v>
      </c>
      <c r="VRG3002" s="1" t="n">
        <v>0</v>
      </c>
      <c r="VRH3002" s="1" t="n">
        <v>0</v>
      </c>
      <c r="VRI3002" s="1" t="n">
        <v>0</v>
      </c>
      <c r="VRJ3002" s="1" t="n">
        <v>0</v>
      </c>
      <c r="VRK3002" s="1" t="n">
        <v>0</v>
      </c>
      <c r="VRL3002" s="1" t="n">
        <v>0</v>
      </c>
      <c r="VRM3002" s="1" t="n">
        <v>0</v>
      </c>
      <c r="VRN3002" s="1" t="n">
        <v>0</v>
      </c>
      <c r="VRO3002" s="1" t="n">
        <v>0</v>
      </c>
      <c r="VRP3002" s="1" t="n">
        <v>0</v>
      </c>
      <c r="VRQ3002" s="1" t="n">
        <v>0</v>
      </c>
      <c r="VRR3002" s="1" t="n">
        <v>0</v>
      </c>
      <c r="VRS3002" s="1" t="n">
        <v>0</v>
      </c>
      <c r="VRT3002" s="1" t="n">
        <v>0</v>
      </c>
      <c r="VRU3002" s="1" t="n">
        <v>0</v>
      </c>
      <c r="VRV3002" s="1" t="n">
        <v>0</v>
      </c>
      <c r="VRW3002" s="1" t="n">
        <v>0</v>
      </c>
      <c r="VRX3002" s="1" t="n">
        <v>0</v>
      </c>
      <c r="VRY3002" s="1" t="n">
        <v>0</v>
      </c>
      <c r="VRZ3002" s="1" t="n">
        <v>0</v>
      </c>
      <c r="VSA3002" s="1" t="n">
        <v>0</v>
      </c>
      <c r="VSB3002" s="1" t="n">
        <v>0</v>
      </c>
      <c r="VSC3002" s="1" t="n">
        <v>0</v>
      </c>
      <c r="VSD3002" s="1" t="n">
        <v>0</v>
      </c>
      <c r="VSE3002" s="1" t="n">
        <v>0</v>
      </c>
      <c r="VSF3002" s="1" t="n">
        <v>0</v>
      </c>
      <c r="VSG3002" s="1" t="n">
        <v>0</v>
      </c>
      <c r="VSH3002" s="1" t="n">
        <v>0</v>
      </c>
      <c r="VSI3002" s="1" t="n">
        <v>0</v>
      </c>
      <c r="VSJ3002" s="1" t="n">
        <v>0</v>
      </c>
      <c r="VSK3002" s="1" t="n">
        <v>0</v>
      </c>
      <c r="VSL3002" s="1" t="n">
        <v>0</v>
      </c>
      <c r="VSM3002" s="1" t="n">
        <v>0</v>
      </c>
      <c r="VSN3002" s="1" t="n">
        <v>0</v>
      </c>
      <c r="VSO3002" s="1" t="n">
        <v>0</v>
      </c>
      <c r="VSP3002" s="1" t="n">
        <v>0</v>
      </c>
      <c r="VSQ3002" s="1" t="n">
        <v>0</v>
      </c>
      <c r="VSR3002" s="1" t="n">
        <v>0</v>
      </c>
      <c r="VSS3002" s="1" t="n">
        <v>0</v>
      </c>
      <c r="VST3002" s="1" t="n">
        <v>0</v>
      </c>
      <c r="VSU3002" s="1" t="n">
        <v>0</v>
      </c>
      <c r="VSV3002" s="1" t="n">
        <v>0</v>
      </c>
      <c r="VSW3002" s="1" t="n">
        <v>0</v>
      </c>
      <c r="VSX3002" s="1" t="n">
        <v>0</v>
      </c>
      <c r="VSY3002" s="1" t="n">
        <v>0</v>
      </c>
      <c r="VSZ3002" s="1" t="n">
        <v>0</v>
      </c>
      <c r="VTA3002" s="1" t="n">
        <v>0</v>
      </c>
      <c r="VTB3002" s="1" t="n">
        <v>0</v>
      </c>
      <c r="VTC3002" s="1" t="n">
        <v>0</v>
      </c>
      <c r="VTD3002" s="1" t="n">
        <v>0</v>
      </c>
      <c r="VTE3002" s="1" t="n">
        <v>0</v>
      </c>
      <c r="VTF3002" s="1" t="n">
        <v>0</v>
      </c>
      <c r="VTG3002" s="1" t="n">
        <v>0</v>
      </c>
      <c r="VTH3002" s="1" t="n">
        <v>0</v>
      </c>
      <c r="VTI3002" s="1" t="n">
        <v>0</v>
      </c>
      <c r="VTJ3002" s="1" t="n">
        <v>0</v>
      </c>
      <c r="VTK3002" s="1" t="n">
        <v>0</v>
      </c>
      <c r="VTL3002" s="1" t="n">
        <v>0</v>
      </c>
      <c r="VTM3002" s="1" t="n">
        <v>0</v>
      </c>
      <c r="VTN3002" s="1" t="n">
        <v>0</v>
      </c>
      <c r="VTO3002" s="1" t="n">
        <v>0</v>
      </c>
      <c r="VTP3002" s="1" t="n">
        <v>0</v>
      </c>
      <c r="VTQ3002" s="1" t="n">
        <v>0</v>
      </c>
      <c r="VTR3002" s="1" t="n">
        <v>0</v>
      </c>
      <c r="VTS3002" s="1" t="n">
        <v>0</v>
      </c>
      <c r="VTT3002" s="1" t="n">
        <v>0</v>
      </c>
      <c r="VTU3002" s="1" t="n">
        <v>0</v>
      </c>
      <c r="VTV3002" s="1" t="n">
        <v>0</v>
      </c>
      <c r="VTW3002" s="1" t="n">
        <v>0</v>
      </c>
      <c r="VTX3002" s="1" t="n">
        <v>0</v>
      </c>
      <c r="VTY3002" s="1" t="n">
        <v>0</v>
      </c>
      <c r="VTZ3002" s="1" t="n">
        <v>0</v>
      </c>
      <c r="VUA3002" s="1" t="n">
        <v>0</v>
      </c>
      <c r="VUB3002" s="1" t="n">
        <v>0</v>
      </c>
      <c r="VUC3002" s="1" t="n">
        <v>0</v>
      </c>
      <c r="VUD3002" s="1" t="n">
        <v>0</v>
      </c>
      <c r="VUE3002" s="1" t="n">
        <v>0</v>
      </c>
      <c r="VUF3002" s="1" t="n">
        <v>0</v>
      </c>
      <c r="VUG3002" s="1" t="n">
        <v>0</v>
      </c>
      <c r="VUH3002" s="1" t="n">
        <v>0</v>
      </c>
      <c r="VUI3002" s="1" t="n">
        <v>0</v>
      </c>
      <c r="VUJ3002" s="1" t="n">
        <v>0</v>
      </c>
      <c r="VUK3002" s="1" t="n">
        <v>0</v>
      </c>
      <c r="VUL3002" s="1" t="n">
        <v>0</v>
      </c>
      <c r="VUM3002" s="1" t="n">
        <v>0</v>
      </c>
      <c r="VUN3002" s="1" t="n">
        <v>0</v>
      </c>
      <c r="VUO3002" s="1" t="n">
        <v>0</v>
      </c>
      <c r="VUP3002" s="1" t="n">
        <v>0</v>
      </c>
      <c r="VUQ3002" s="1" t="n">
        <v>0</v>
      </c>
      <c r="VUR3002" s="1" t="n">
        <v>0</v>
      </c>
      <c r="VUS3002" s="1" t="n">
        <v>0</v>
      </c>
      <c r="VUT3002" s="1" t="n">
        <v>0</v>
      </c>
      <c r="VUU3002" s="1" t="n">
        <v>0</v>
      </c>
      <c r="VUV3002" s="1" t="n">
        <v>0</v>
      </c>
      <c r="VUW3002" s="1" t="n">
        <v>0</v>
      </c>
      <c r="VUX3002" s="1" t="n">
        <v>0</v>
      </c>
      <c r="VUY3002" s="1" t="n">
        <v>0</v>
      </c>
      <c r="VUZ3002" s="1" t="n">
        <v>0</v>
      </c>
      <c r="VVA3002" s="1" t="n">
        <v>0</v>
      </c>
      <c r="VVB3002" s="1" t="n">
        <v>0</v>
      </c>
      <c r="VVC3002" s="1" t="n">
        <v>0</v>
      </c>
      <c r="VVD3002" s="1" t="n">
        <v>0</v>
      </c>
      <c r="VVE3002" s="1" t="n">
        <v>0</v>
      </c>
      <c r="VVF3002" s="1" t="n">
        <v>0</v>
      </c>
      <c r="VVG3002" s="1" t="n">
        <v>0</v>
      </c>
      <c r="VVH3002" s="1" t="n">
        <v>0</v>
      </c>
      <c r="VVI3002" s="1" t="n">
        <v>0</v>
      </c>
      <c r="VVJ3002" s="1" t="n">
        <v>0</v>
      </c>
      <c r="VVK3002" s="1" t="n">
        <v>0</v>
      </c>
      <c r="VVL3002" s="1" t="n">
        <v>0</v>
      </c>
      <c r="VVM3002" s="1" t="n">
        <v>0</v>
      </c>
      <c r="VVN3002" s="1" t="n">
        <v>0</v>
      </c>
      <c r="VVO3002" s="1" t="n">
        <v>0</v>
      </c>
      <c r="VVP3002" s="1" t="n">
        <v>0</v>
      </c>
      <c r="VVQ3002" s="1" t="n">
        <v>0</v>
      </c>
      <c r="VVR3002" s="1" t="n">
        <v>0</v>
      </c>
      <c r="VVS3002" s="1" t="n">
        <v>0</v>
      </c>
      <c r="VVT3002" s="1" t="n">
        <v>0</v>
      </c>
      <c r="VVU3002" s="1" t="n">
        <v>0</v>
      </c>
      <c r="VVV3002" s="1" t="n">
        <v>0</v>
      </c>
      <c r="VVW3002" s="1" t="n">
        <v>0</v>
      </c>
      <c r="VVX3002" s="1" t="n">
        <v>0</v>
      </c>
      <c r="VVY3002" s="1" t="n">
        <v>0</v>
      </c>
      <c r="VVZ3002" s="1" t="n">
        <v>0</v>
      </c>
      <c r="VWA3002" s="1" t="n">
        <v>0</v>
      </c>
      <c r="VWB3002" s="1" t="n">
        <v>0</v>
      </c>
      <c r="VWC3002" s="1" t="n">
        <v>0</v>
      </c>
      <c r="VWD3002" s="1" t="n">
        <v>0</v>
      </c>
      <c r="VWE3002" s="1" t="n">
        <v>0</v>
      </c>
      <c r="VWF3002" s="1" t="n">
        <v>0</v>
      </c>
      <c r="VWG3002" s="1" t="n">
        <v>0</v>
      </c>
      <c r="VWH3002" s="1" t="n">
        <v>0</v>
      </c>
      <c r="VWI3002" s="1" t="n">
        <v>0</v>
      </c>
      <c r="VWJ3002" s="1" t="n">
        <v>0</v>
      </c>
      <c r="VWK3002" s="1" t="n">
        <v>0</v>
      </c>
      <c r="VWL3002" s="1" t="n">
        <v>0</v>
      </c>
      <c r="VWM3002" s="1" t="n">
        <v>0</v>
      </c>
      <c r="VWN3002" s="1" t="n">
        <v>0</v>
      </c>
      <c r="VWO3002" s="1" t="n">
        <v>0</v>
      </c>
      <c r="VWP3002" s="1" t="n">
        <v>0</v>
      </c>
      <c r="VWQ3002" s="1" t="n">
        <v>0</v>
      </c>
      <c r="VWR3002" s="1" t="n">
        <v>0</v>
      </c>
      <c r="VWS3002" s="1" t="n">
        <v>0</v>
      </c>
      <c r="VWT3002" s="1" t="n">
        <v>0</v>
      </c>
      <c r="VWU3002" s="1" t="n">
        <v>0</v>
      </c>
      <c r="VWV3002" s="1" t="n">
        <v>0</v>
      </c>
      <c r="VWW3002" s="1" t="n">
        <v>0</v>
      </c>
      <c r="VWX3002" s="1" t="n">
        <v>0</v>
      </c>
      <c r="VWY3002" s="1" t="n">
        <v>0</v>
      </c>
      <c r="VWZ3002" s="1" t="n">
        <v>0</v>
      </c>
      <c r="VXA3002" s="1" t="n">
        <v>0</v>
      </c>
      <c r="VXB3002" s="1" t="n">
        <v>0</v>
      </c>
      <c r="VXC3002" s="1" t="n">
        <v>0</v>
      </c>
      <c r="VXD3002" s="1" t="n">
        <v>0</v>
      </c>
      <c r="VXE3002" s="1" t="n">
        <v>0</v>
      </c>
      <c r="VXF3002" s="1" t="n">
        <v>0</v>
      </c>
      <c r="VXG3002" s="1" t="n">
        <v>0</v>
      </c>
      <c r="VXH3002" s="1" t="n">
        <v>0</v>
      </c>
      <c r="VXI3002" s="1" t="n">
        <v>0</v>
      </c>
      <c r="VXJ3002" s="1" t="n">
        <v>0</v>
      </c>
      <c r="VXK3002" s="1" t="n">
        <v>0</v>
      </c>
      <c r="VXL3002" s="1" t="n">
        <v>0</v>
      </c>
      <c r="VXM3002" s="1" t="n">
        <v>0</v>
      </c>
      <c r="VXN3002" s="1" t="n">
        <v>0</v>
      </c>
      <c r="VXO3002" s="1" t="n">
        <v>0</v>
      </c>
      <c r="VXP3002" s="1" t="n">
        <v>0</v>
      </c>
      <c r="VXQ3002" s="1" t="n">
        <v>0</v>
      </c>
      <c r="VXR3002" s="1" t="n">
        <v>0</v>
      </c>
      <c r="VXS3002" s="1" t="n">
        <v>0</v>
      </c>
      <c r="VXT3002" s="1" t="n">
        <v>0</v>
      </c>
      <c r="VXU3002" s="1" t="n">
        <v>0</v>
      </c>
      <c r="VXV3002" s="1" t="n">
        <v>0</v>
      </c>
      <c r="VXW3002" s="1" t="n">
        <v>0</v>
      </c>
      <c r="VXX3002" s="1" t="n">
        <v>0</v>
      </c>
      <c r="VXY3002" s="1" t="n">
        <v>0</v>
      </c>
      <c r="VXZ3002" s="1" t="n">
        <v>0</v>
      </c>
      <c r="VYA3002" s="1" t="n">
        <v>0</v>
      </c>
      <c r="VYB3002" s="1" t="n">
        <v>0</v>
      </c>
      <c r="VYC3002" s="1" t="n">
        <v>0</v>
      </c>
      <c r="VYD3002" s="1" t="n">
        <v>0</v>
      </c>
      <c r="VYE3002" s="1" t="n">
        <v>0</v>
      </c>
      <c r="VYF3002" s="1" t="n">
        <v>0</v>
      </c>
      <c r="VYG3002" s="1" t="n">
        <v>0</v>
      </c>
      <c r="VYH3002" s="1" t="n">
        <v>0</v>
      </c>
      <c r="VYI3002" s="1" t="n">
        <v>0</v>
      </c>
      <c r="VYJ3002" s="1" t="n">
        <v>0</v>
      </c>
      <c r="VYK3002" s="1" t="n">
        <v>0</v>
      </c>
      <c r="VYL3002" s="1" t="n">
        <v>0</v>
      </c>
      <c r="VYM3002" s="1" t="n">
        <v>0</v>
      </c>
      <c r="VYN3002" s="1" t="n">
        <v>0</v>
      </c>
      <c r="VYO3002" s="1" t="n">
        <v>0</v>
      </c>
      <c r="VYP3002" s="1" t="n">
        <v>0</v>
      </c>
      <c r="VYQ3002" s="1" t="n">
        <v>0</v>
      </c>
      <c r="VYR3002" s="1" t="n">
        <v>0</v>
      </c>
      <c r="VYS3002" s="1" t="n">
        <v>0</v>
      </c>
      <c r="VYT3002" s="1" t="n">
        <v>0</v>
      </c>
      <c r="VYU3002" s="1" t="n">
        <v>0</v>
      </c>
      <c r="VYV3002" s="1" t="n">
        <v>0</v>
      </c>
      <c r="VYW3002" s="1" t="n">
        <v>0</v>
      </c>
      <c r="VYX3002" s="1" t="n">
        <v>0</v>
      </c>
      <c r="VYY3002" s="1" t="n">
        <v>0</v>
      </c>
      <c r="VYZ3002" s="1" t="n">
        <v>0</v>
      </c>
      <c r="VZA3002" s="1" t="n">
        <v>0</v>
      </c>
      <c r="VZB3002" s="1" t="n">
        <v>0</v>
      </c>
      <c r="VZC3002" s="1" t="n">
        <v>0</v>
      </c>
      <c r="VZD3002" s="1" t="n">
        <v>0</v>
      </c>
      <c r="VZE3002" s="1" t="n">
        <v>0</v>
      </c>
      <c r="VZF3002" s="1" t="n">
        <v>0</v>
      </c>
      <c r="VZG3002" s="1" t="n">
        <v>0</v>
      </c>
      <c r="VZH3002" s="1" t="n">
        <v>0</v>
      </c>
      <c r="VZI3002" s="1" t="n">
        <v>0</v>
      </c>
      <c r="VZJ3002" s="1" t="n">
        <v>0</v>
      </c>
      <c r="VZK3002" s="1" t="n">
        <v>0</v>
      </c>
      <c r="VZL3002" s="1" t="n">
        <v>0</v>
      </c>
      <c r="VZM3002" s="1" t="n">
        <v>0</v>
      </c>
      <c r="VZN3002" s="1" t="n">
        <v>0</v>
      </c>
      <c r="VZO3002" s="1" t="n">
        <v>0</v>
      </c>
      <c r="VZP3002" s="1" t="n">
        <v>0</v>
      </c>
      <c r="VZQ3002" s="1" t="n">
        <v>0</v>
      </c>
      <c r="VZR3002" s="1" t="n">
        <v>0</v>
      </c>
      <c r="VZS3002" s="1" t="n">
        <v>0</v>
      </c>
      <c r="VZT3002" s="1" t="n">
        <v>0</v>
      </c>
      <c r="VZU3002" s="1" t="n">
        <v>0</v>
      </c>
      <c r="VZV3002" s="1" t="n">
        <v>0</v>
      </c>
      <c r="VZW3002" s="1" t="n">
        <v>0</v>
      </c>
      <c r="VZX3002" s="1" t="n">
        <v>0</v>
      </c>
      <c r="VZY3002" s="1" t="n">
        <v>0</v>
      </c>
      <c r="VZZ3002" s="1" t="n">
        <v>0</v>
      </c>
      <c r="WAA3002" s="1" t="n">
        <v>0</v>
      </c>
      <c r="WAB3002" s="1" t="n">
        <v>0</v>
      </c>
      <c r="WAC3002" s="1" t="n">
        <v>0</v>
      </c>
      <c r="WAD3002" s="1" t="n">
        <v>0</v>
      </c>
      <c r="WAE3002" s="1" t="n">
        <v>0</v>
      </c>
      <c r="WAF3002" s="1" t="n">
        <v>0</v>
      </c>
      <c r="WAG3002" s="1" t="n">
        <v>0</v>
      </c>
      <c r="WAH3002" s="1" t="n">
        <v>0</v>
      </c>
      <c r="WAI3002" s="1" t="n">
        <v>0</v>
      </c>
      <c r="WAJ3002" s="1" t="n">
        <v>0</v>
      </c>
      <c r="WAK3002" s="1" t="n">
        <v>0</v>
      </c>
      <c r="WAL3002" s="1" t="n">
        <v>0</v>
      </c>
      <c r="WAM3002" s="1" t="n">
        <v>0</v>
      </c>
      <c r="WAN3002" s="1" t="n">
        <v>0</v>
      </c>
      <c r="WAO3002" s="1" t="n">
        <v>0</v>
      </c>
      <c r="WAP3002" s="1" t="n">
        <v>0</v>
      </c>
      <c r="WAQ3002" s="1" t="n">
        <v>0</v>
      </c>
      <c r="WAR3002" s="1" t="n">
        <v>0</v>
      </c>
      <c r="WAS3002" s="1" t="n">
        <v>0</v>
      </c>
      <c r="WAT3002" s="1" t="n">
        <v>0</v>
      </c>
      <c r="WAU3002" s="1" t="n">
        <v>0</v>
      </c>
      <c r="WAV3002" s="1" t="n">
        <v>0</v>
      </c>
      <c r="WAW3002" s="1" t="n">
        <v>0</v>
      </c>
      <c r="WAX3002" s="1" t="n">
        <v>0</v>
      </c>
      <c r="WAY3002" s="1" t="n">
        <v>0</v>
      </c>
      <c r="WAZ3002" s="1" t="n">
        <v>0</v>
      </c>
      <c r="WBA3002" s="1" t="n">
        <v>0</v>
      </c>
      <c r="WBB3002" s="1" t="n">
        <v>0</v>
      </c>
      <c r="WBC3002" s="1" t="n">
        <v>0</v>
      </c>
      <c r="WBD3002" s="1" t="n">
        <v>0</v>
      </c>
      <c r="WBE3002" s="1" t="n">
        <v>0</v>
      </c>
      <c r="WBF3002" s="1" t="n">
        <v>0</v>
      </c>
      <c r="WBG3002" s="1" t="n">
        <v>0</v>
      </c>
      <c r="WBH3002" s="1" t="n">
        <v>0</v>
      </c>
      <c r="WBI3002" s="1" t="n">
        <v>0</v>
      </c>
      <c r="WBJ3002" s="1" t="n">
        <v>0</v>
      </c>
      <c r="WBK3002" s="1" t="n">
        <v>0</v>
      </c>
      <c r="WBL3002" s="1" t="n">
        <v>0</v>
      </c>
      <c r="WBM3002" s="1" t="n">
        <v>0</v>
      </c>
      <c r="WBN3002" s="1" t="n">
        <v>0</v>
      </c>
      <c r="WBO3002" s="1" t="n">
        <v>0</v>
      </c>
      <c r="WBP3002" s="1" t="n">
        <v>0</v>
      </c>
      <c r="WBQ3002" s="1" t="n">
        <v>0</v>
      </c>
      <c r="WBR3002" s="1" t="n">
        <v>0</v>
      </c>
      <c r="WBS3002" s="1" t="n">
        <v>0</v>
      </c>
      <c r="WBT3002" s="1" t="n">
        <v>0</v>
      </c>
      <c r="WBU3002" s="1" t="n">
        <v>0</v>
      </c>
      <c r="WBV3002" s="1" t="n">
        <v>0</v>
      </c>
      <c r="WBW3002" s="1" t="n">
        <v>0</v>
      </c>
      <c r="WBX3002" s="1" t="n">
        <v>0</v>
      </c>
      <c r="WBY3002" s="1" t="n">
        <v>0</v>
      </c>
      <c r="WBZ3002" s="1" t="n">
        <v>0</v>
      </c>
      <c r="WCA3002" s="1" t="n">
        <v>0</v>
      </c>
      <c r="WCB3002" s="1" t="n">
        <v>0</v>
      </c>
      <c r="WCC3002" s="1" t="n">
        <v>0</v>
      </c>
      <c r="WCD3002" s="1" t="n">
        <v>0</v>
      </c>
      <c r="WCE3002" s="1" t="n">
        <v>0</v>
      </c>
      <c r="WCF3002" s="1" t="n">
        <v>0</v>
      </c>
      <c r="WCG3002" s="1" t="n">
        <v>0</v>
      </c>
      <c r="WCH3002" s="1" t="n">
        <v>0</v>
      </c>
      <c r="WCI3002" s="1" t="n">
        <v>0</v>
      </c>
      <c r="WCJ3002" s="1" t="n">
        <v>0</v>
      </c>
      <c r="WCK3002" s="1" t="n">
        <v>0</v>
      </c>
      <c r="WCL3002" s="1" t="n">
        <v>0</v>
      </c>
      <c r="WCM3002" s="1" t="n">
        <v>0</v>
      </c>
      <c r="WCN3002" s="1" t="n">
        <v>0</v>
      </c>
      <c r="WCO3002" s="1" t="n">
        <v>0</v>
      </c>
      <c r="WCP3002" s="1" t="n">
        <v>0</v>
      </c>
      <c r="WCQ3002" s="1" t="n">
        <v>0</v>
      </c>
      <c r="WCR3002" s="1" t="n">
        <v>0</v>
      </c>
      <c r="WCS3002" s="1" t="n">
        <v>0</v>
      </c>
      <c r="WCT3002" s="1" t="n">
        <v>0</v>
      </c>
      <c r="WCU3002" s="1" t="n">
        <v>0</v>
      </c>
      <c r="WCV3002" s="1" t="n">
        <v>0</v>
      </c>
      <c r="WCW3002" s="1" t="n">
        <v>0</v>
      </c>
      <c r="WCX3002" s="1" t="n">
        <v>0</v>
      </c>
      <c r="WCY3002" s="1" t="n">
        <v>0</v>
      </c>
      <c r="WCZ3002" s="1" t="n">
        <v>0</v>
      </c>
      <c r="WDA3002" s="1" t="n">
        <v>0</v>
      </c>
      <c r="WDB3002" s="1" t="n">
        <v>0</v>
      </c>
      <c r="WDC3002" s="1" t="n">
        <v>0</v>
      </c>
      <c r="WDD3002" s="1" t="n">
        <v>0</v>
      </c>
      <c r="WDE3002" s="1" t="n">
        <v>0</v>
      </c>
      <c r="WDF3002" s="1" t="n">
        <v>0</v>
      </c>
      <c r="WDG3002" s="1" t="n">
        <v>0</v>
      </c>
      <c r="WDH3002" s="1" t="n">
        <v>0</v>
      </c>
      <c r="WDI3002" s="1" t="n">
        <v>0</v>
      </c>
      <c r="WDJ3002" s="1" t="n">
        <v>0</v>
      </c>
      <c r="WDK3002" s="1" t="n">
        <v>0</v>
      </c>
      <c r="WDL3002" s="1" t="n">
        <v>0</v>
      </c>
      <c r="WDM3002" s="1" t="n">
        <v>0</v>
      </c>
      <c r="WDN3002" s="1" t="n">
        <v>0</v>
      </c>
      <c r="WDO3002" s="1" t="n">
        <v>0</v>
      </c>
      <c r="WDP3002" s="1" t="n">
        <v>0</v>
      </c>
      <c r="WDQ3002" s="1" t="n">
        <v>0</v>
      </c>
      <c r="WDR3002" s="1" t="n">
        <v>0</v>
      </c>
      <c r="WDS3002" s="1" t="n">
        <v>0</v>
      </c>
      <c r="WDT3002" s="1" t="n">
        <v>0</v>
      </c>
      <c r="WDU3002" s="1" t="n">
        <v>0</v>
      </c>
      <c r="WDV3002" s="1" t="n">
        <v>0</v>
      </c>
      <c r="WDW3002" s="1" t="n">
        <v>0</v>
      </c>
      <c r="WDX3002" s="1" t="n">
        <v>0</v>
      </c>
      <c r="WDY3002" s="1" t="n">
        <v>0</v>
      </c>
      <c r="WDZ3002" s="1" t="n">
        <v>0</v>
      </c>
      <c r="WEA3002" s="1" t="n">
        <v>0</v>
      </c>
      <c r="WEB3002" s="1" t="n">
        <v>0</v>
      </c>
      <c r="WEC3002" s="1" t="n">
        <v>0</v>
      </c>
      <c r="WED3002" s="1" t="n">
        <v>0</v>
      </c>
      <c r="WEE3002" s="1" t="n">
        <v>0</v>
      </c>
      <c r="WEF3002" s="1" t="n">
        <v>0</v>
      </c>
      <c r="WEG3002" s="1" t="n">
        <v>0</v>
      </c>
      <c r="WEH3002" s="1" t="n">
        <v>0</v>
      </c>
      <c r="WEI3002" s="1" t="n">
        <v>0</v>
      </c>
      <c r="WEJ3002" s="1" t="n">
        <v>0</v>
      </c>
      <c r="WEK3002" s="1" t="n">
        <v>0</v>
      </c>
      <c r="WEL3002" s="1" t="n">
        <v>0</v>
      </c>
      <c r="WEM3002" s="1" t="n">
        <v>0</v>
      </c>
      <c r="WEN3002" s="1" t="n">
        <v>0</v>
      </c>
      <c r="WEO3002" s="1" t="n">
        <v>0</v>
      </c>
      <c r="WEP3002" s="1" t="n">
        <v>0</v>
      </c>
      <c r="WEQ3002" s="1" t="n">
        <v>0</v>
      </c>
      <c r="WER3002" s="1" t="n">
        <v>0</v>
      </c>
      <c r="WES3002" s="1" t="n">
        <v>0</v>
      </c>
      <c r="WET3002" s="1" t="n">
        <v>0</v>
      </c>
      <c r="WEU3002" s="1" t="n">
        <v>0</v>
      </c>
      <c r="WEV3002" s="1" t="n">
        <v>0</v>
      </c>
      <c r="WEW3002" s="1" t="n">
        <v>0</v>
      </c>
      <c r="WEX3002" s="1" t="n">
        <v>0</v>
      </c>
      <c r="WEY3002" s="1" t="n">
        <v>0</v>
      </c>
      <c r="WEZ3002" s="1" t="n">
        <v>0</v>
      </c>
      <c r="WFA3002" s="1" t="n">
        <v>0</v>
      </c>
      <c r="WFB3002" s="1" t="n">
        <v>0</v>
      </c>
      <c r="WFC3002" s="1" t="n">
        <v>0</v>
      </c>
      <c r="WFD3002" s="1" t="n">
        <v>0</v>
      </c>
      <c r="WFE3002" s="1" t="n">
        <v>0</v>
      </c>
      <c r="WFF3002" s="1" t="n">
        <v>0</v>
      </c>
      <c r="WFG3002" s="1" t="n">
        <v>0</v>
      </c>
      <c r="WFH3002" s="1" t="n">
        <v>0</v>
      </c>
      <c r="WFI3002" s="1" t="n">
        <v>0</v>
      </c>
      <c r="WFJ3002" s="1" t="n">
        <v>0</v>
      </c>
      <c r="WFK3002" s="1" t="n">
        <v>0</v>
      </c>
      <c r="WFL3002" s="1" t="n">
        <v>0</v>
      </c>
      <c r="WFM3002" s="1" t="n">
        <v>0</v>
      </c>
      <c r="WFN3002" s="1" t="n">
        <v>0</v>
      </c>
      <c r="WFO3002" s="1" t="n">
        <v>0</v>
      </c>
      <c r="WFP3002" s="1" t="n">
        <v>0</v>
      </c>
      <c r="WFQ3002" s="1" t="n">
        <v>0</v>
      </c>
      <c r="WFR3002" s="1" t="n">
        <v>0</v>
      </c>
      <c r="WFS3002" s="1" t="n">
        <v>0</v>
      </c>
      <c r="WFT3002" s="1" t="n">
        <v>0</v>
      </c>
      <c r="WFU3002" s="1" t="n">
        <v>0</v>
      </c>
      <c r="WFV3002" s="1" t="n">
        <v>0</v>
      </c>
      <c r="WFW3002" s="1" t="n">
        <v>0</v>
      </c>
      <c r="WFX3002" s="1" t="n">
        <v>0</v>
      </c>
      <c r="WFY3002" s="1" t="n">
        <v>0</v>
      </c>
      <c r="WFZ3002" s="1" t="n">
        <v>0</v>
      </c>
      <c r="WGA3002" s="1" t="n">
        <v>0</v>
      </c>
      <c r="WGB3002" s="1" t="n">
        <v>0</v>
      </c>
      <c r="WGC3002" s="1" t="n">
        <v>0</v>
      </c>
      <c r="WGD3002" s="1" t="n">
        <v>0</v>
      </c>
      <c r="WGE3002" s="1" t="n">
        <v>0</v>
      </c>
      <c r="WGF3002" s="1" t="n">
        <v>0</v>
      </c>
      <c r="WGG3002" s="1" t="n">
        <v>0</v>
      </c>
      <c r="WGH3002" s="1" t="n">
        <v>0</v>
      </c>
      <c r="WGI3002" s="1" t="n">
        <v>0</v>
      </c>
      <c r="WGJ3002" s="1" t="n">
        <v>0</v>
      </c>
      <c r="WGK3002" s="1" t="n">
        <v>0</v>
      </c>
      <c r="WGL3002" s="1" t="n">
        <v>0</v>
      </c>
      <c r="WGM3002" s="1" t="n">
        <v>0</v>
      </c>
      <c r="WGN3002" s="1" t="n">
        <v>0</v>
      </c>
      <c r="WGO3002" s="1" t="n">
        <v>0</v>
      </c>
      <c r="WGP3002" s="1" t="n">
        <v>0</v>
      </c>
      <c r="WGQ3002" s="1" t="n">
        <v>0</v>
      </c>
      <c r="WGR3002" s="1" t="n">
        <v>0</v>
      </c>
      <c r="WGS3002" s="1" t="n">
        <v>0</v>
      </c>
      <c r="WGT3002" s="1" t="n">
        <v>0</v>
      </c>
      <c r="WGU3002" s="1" t="n">
        <v>0</v>
      </c>
      <c r="WGV3002" s="1" t="n">
        <v>0</v>
      </c>
      <c r="WGW3002" s="1" t="n">
        <v>0</v>
      </c>
      <c r="WGX3002" s="1" t="n">
        <v>0</v>
      </c>
      <c r="WGY3002" s="1" t="n">
        <v>0</v>
      </c>
      <c r="WGZ3002" s="1" t="n">
        <v>0</v>
      </c>
      <c r="WHA3002" s="1" t="n">
        <v>0</v>
      </c>
      <c r="WHB3002" s="1" t="n">
        <v>0</v>
      </c>
      <c r="WHC3002" s="1" t="n">
        <v>0</v>
      </c>
      <c r="WHD3002" s="1" t="n">
        <v>0</v>
      </c>
      <c r="WHE3002" s="1" t="n">
        <v>0</v>
      </c>
      <c r="WHF3002" s="1" t="n">
        <v>0</v>
      </c>
      <c r="WHG3002" s="1" t="n">
        <v>0</v>
      </c>
      <c r="WHH3002" s="1" t="n">
        <v>0</v>
      </c>
      <c r="WHI3002" s="1" t="n">
        <v>0</v>
      </c>
      <c r="WHJ3002" s="1" t="n">
        <v>0</v>
      </c>
      <c r="WHK3002" s="1" t="n">
        <v>0</v>
      </c>
      <c r="WHL3002" s="1" t="n">
        <v>0</v>
      </c>
      <c r="WHM3002" s="1" t="n">
        <v>0</v>
      </c>
      <c r="WHN3002" s="1" t="n">
        <v>0</v>
      </c>
      <c r="WHO3002" s="1" t="n">
        <v>0</v>
      </c>
      <c r="WHP3002" s="1" t="n">
        <v>0</v>
      </c>
      <c r="WHQ3002" s="1" t="n">
        <v>0</v>
      </c>
      <c r="WHR3002" s="1" t="n">
        <v>0</v>
      </c>
      <c r="WHS3002" s="1" t="n">
        <v>0</v>
      </c>
      <c r="WHT3002" s="1" t="n">
        <v>0</v>
      </c>
      <c r="WHU3002" s="1" t="n">
        <v>0</v>
      </c>
      <c r="WHV3002" s="1" t="n">
        <v>0</v>
      </c>
      <c r="WHW3002" s="1" t="n">
        <v>0</v>
      </c>
      <c r="WHX3002" s="1" t="n">
        <v>0</v>
      </c>
      <c r="WHY3002" s="1" t="n">
        <v>0</v>
      </c>
      <c r="WHZ3002" s="1" t="n">
        <v>0</v>
      </c>
      <c r="WIA3002" s="1" t="n">
        <v>0</v>
      </c>
      <c r="WIB3002" s="1" t="n">
        <v>0</v>
      </c>
      <c r="WIC3002" s="1" t="n">
        <v>0</v>
      </c>
      <c r="WID3002" s="1" t="n">
        <v>0</v>
      </c>
      <c r="WIE3002" s="1" t="n">
        <v>0</v>
      </c>
      <c r="WIF3002" s="1" t="n">
        <v>0</v>
      </c>
      <c r="WIG3002" s="1" t="n">
        <v>0</v>
      </c>
      <c r="WIH3002" s="1" t="n">
        <v>0</v>
      </c>
      <c r="WII3002" s="1" t="n">
        <v>0</v>
      </c>
      <c r="WIJ3002" s="1" t="n">
        <v>0</v>
      </c>
      <c r="WIK3002" s="1" t="n">
        <v>0</v>
      </c>
      <c r="WIL3002" s="1" t="n">
        <v>0</v>
      </c>
      <c r="WIM3002" s="1" t="n">
        <v>0</v>
      </c>
      <c r="WIN3002" s="1" t="n">
        <v>0</v>
      </c>
      <c r="WIO3002" s="1" t="n">
        <v>0</v>
      </c>
      <c r="WIP3002" s="1" t="n">
        <v>0</v>
      </c>
      <c r="WIQ3002" s="1" t="n">
        <v>0</v>
      </c>
      <c r="WIR3002" s="1" t="n">
        <v>0</v>
      </c>
      <c r="WIS3002" s="1" t="n">
        <v>0</v>
      </c>
      <c r="WIT3002" s="1" t="n">
        <v>0</v>
      </c>
      <c r="WIU3002" s="1" t="n">
        <v>0</v>
      </c>
      <c r="WIV3002" s="1" t="n">
        <v>0</v>
      </c>
      <c r="WIW3002" s="1" t="n">
        <v>0</v>
      </c>
      <c r="WIX3002" s="1" t="n">
        <v>0</v>
      </c>
      <c r="WIY3002" s="1" t="n">
        <v>0</v>
      </c>
      <c r="WIZ3002" s="1" t="n">
        <v>0</v>
      </c>
      <c r="WJA3002" s="1" t="n">
        <v>0</v>
      </c>
      <c r="WJB3002" s="1" t="n">
        <v>0</v>
      </c>
      <c r="WJC3002" s="1" t="n">
        <v>0</v>
      </c>
      <c r="WJD3002" s="1" t="n">
        <v>0</v>
      </c>
      <c r="WJE3002" s="1" t="n">
        <v>0</v>
      </c>
      <c r="WJF3002" s="1" t="n">
        <v>0</v>
      </c>
      <c r="WJG3002" s="1" t="n">
        <v>0</v>
      </c>
      <c r="WJH3002" s="1" t="n">
        <v>0</v>
      </c>
      <c r="WJI3002" s="1" t="n">
        <v>0</v>
      </c>
      <c r="WJJ3002" s="1" t="n">
        <v>0</v>
      </c>
      <c r="WJK3002" s="1" t="n">
        <v>0</v>
      </c>
      <c r="WJL3002" s="1" t="n">
        <v>0</v>
      </c>
      <c r="WJM3002" s="1" t="n">
        <v>0</v>
      </c>
      <c r="WJN3002" s="1" t="n">
        <v>0</v>
      </c>
      <c r="WJO3002" s="1" t="n">
        <v>0</v>
      </c>
      <c r="WJP3002" s="1" t="n">
        <v>0</v>
      </c>
      <c r="WJQ3002" s="1" t="n">
        <v>0</v>
      </c>
      <c r="WJR3002" s="1" t="n">
        <v>0</v>
      </c>
      <c r="WJS3002" s="1" t="n">
        <v>0</v>
      </c>
      <c r="WJT3002" s="1" t="n">
        <v>0</v>
      </c>
      <c r="WJU3002" s="1" t="n">
        <v>0</v>
      </c>
      <c r="WJV3002" s="1" t="n">
        <v>0</v>
      </c>
      <c r="WJW3002" s="1" t="n">
        <v>0</v>
      </c>
      <c r="WJX3002" s="1" t="n">
        <v>0</v>
      </c>
      <c r="WJY3002" s="1" t="n">
        <v>0</v>
      </c>
      <c r="WJZ3002" s="1" t="n">
        <v>0</v>
      </c>
      <c r="WKA3002" s="1" t="n">
        <v>0</v>
      </c>
      <c r="WKB3002" s="1" t="n">
        <v>0</v>
      </c>
      <c r="WKC3002" s="1" t="n">
        <v>0</v>
      </c>
      <c r="WKD3002" s="1" t="n">
        <v>0</v>
      </c>
      <c r="WKE3002" s="1" t="n">
        <v>0</v>
      </c>
      <c r="WKF3002" s="1" t="n">
        <v>0</v>
      </c>
      <c r="WKG3002" s="1" t="n">
        <v>0</v>
      </c>
      <c r="WKH3002" s="1" t="n">
        <v>0</v>
      </c>
      <c r="WKI3002" s="1" t="n">
        <v>0</v>
      </c>
      <c r="WKJ3002" s="1" t="n">
        <v>0</v>
      </c>
      <c r="WKK3002" s="1" t="n">
        <v>0</v>
      </c>
      <c r="WKL3002" s="1" t="n">
        <v>0</v>
      </c>
      <c r="WKM3002" s="1" t="n">
        <v>0</v>
      </c>
      <c r="WKN3002" s="1" t="n">
        <v>0</v>
      </c>
      <c r="WKO3002" s="1" t="n">
        <v>0</v>
      </c>
      <c r="WKP3002" s="1" t="n">
        <v>0</v>
      </c>
      <c r="WKQ3002" s="1" t="n">
        <v>0</v>
      </c>
      <c r="WKR3002" s="1" t="n">
        <v>0</v>
      </c>
      <c r="WKS3002" s="1" t="n">
        <v>0</v>
      </c>
      <c r="WKT3002" s="1" t="n">
        <v>0</v>
      </c>
      <c r="WKU3002" s="1" t="n">
        <v>0</v>
      </c>
      <c r="WKV3002" s="1" t="n">
        <v>0</v>
      </c>
      <c r="WKW3002" s="1" t="n">
        <v>0</v>
      </c>
      <c r="WKX3002" s="1" t="n">
        <v>0</v>
      </c>
      <c r="WKY3002" s="1" t="n">
        <v>0</v>
      </c>
      <c r="WKZ3002" s="1" t="n">
        <v>0</v>
      </c>
      <c r="WLA3002" s="1" t="n">
        <v>0</v>
      </c>
      <c r="WLB3002" s="1" t="n">
        <v>0</v>
      </c>
      <c r="WLC3002" s="1" t="n">
        <v>0</v>
      </c>
      <c r="WLD3002" s="1" t="n">
        <v>0</v>
      </c>
      <c r="WLE3002" s="1" t="n">
        <v>0</v>
      </c>
      <c r="WLF3002" s="1" t="n">
        <v>0</v>
      </c>
      <c r="WLG3002" s="1" t="n">
        <v>0</v>
      </c>
      <c r="WLH3002" s="1" t="n">
        <v>0</v>
      </c>
      <c r="WLI3002" s="1" t="n">
        <v>0</v>
      </c>
      <c r="WLJ3002" s="1" t="n">
        <v>0</v>
      </c>
      <c r="WLK3002" s="1" t="n">
        <v>0</v>
      </c>
      <c r="WLL3002" s="1" t="n">
        <v>0</v>
      </c>
      <c r="WLM3002" s="1" t="n">
        <v>0</v>
      </c>
      <c r="WLN3002" s="1" t="n">
        <v>0</v>
      </c>
      <c r="WLO3002" s="1" t="n">
        <v>0</v>
      </c>
      <c r="WLP3002" s="1" t="n">
        <v>0</v>
      </c>
      <c r="WLQ3002" s="1" t="n">
        <v>0</v>
      </c>
      <c r="WLR3002" s="1" t="n">
        <v>0</v>
      </c>
      <c r="WLS3002" s="1" t="n">
        <v>0</v>
      </c>
      <c r="WLT3002" s="1" t="n">
        <v>0</v>
      </c>
      <c r="WLU3002" s="1" t="n">
        <v>0</v>
      </c>
      <c r="WLV3002" s="1" t="n">
        <v>0</v>
      </c>
      <c r="WLW3002" s="1" t="n">
        <v>0</v>
      </c>
      <c r="WLX3002" s="1" t="n">
        <v>0</v>
      </c>
      <c r="WLY3002" s="1" t="n">
        <v>0</v>
      </c>
      <c r="WLZ3002" s="1" t="n">
        <v>0</v>
      </c>
      <c r="WMA3002" s="1" t="n">
        <v>0</v>
      </c>
      <c r="WMB3002" s="1" t="n">
        <v>0</v>
      </c>
      <c r="WMC3002" s="1" t="n">
        <v>0</v>
      </c>
      <c r="WMD3002" s="1" t="n">
        <v>0</v>
      </c>
      <c r="WME3002" s="1" t="n">
        <v>0</v>
      </c>
      <c r="WMF3002" s="1" t="n">
        <v>0</v>
      </c>
      <c r="WMG3002" s="1" t="n">
        <v>0</v>
      </c>
      <c r="WMH3002" s="1" t="n">
        <v>0</v>
      </c>
      <c r="WMI3002" s="1" t="n">
        <v>0</v>
      </c>
      <c r="WMJ3002" s="1" t="n">
        <v>0</v>
      </c>
      <c r="WMK3002" s="1" t="n">
        <v>0</v>
      </c>
      <c r="WML3002" s="1" t="n">
        <v>0</v>
      </c>
      <c r="WMM3002" s="1" t="n">
        <v>0</v>
      </c>
      <c r="WMN3002" s="1" t="n">
        <v>0</v>
      </c>
      <c r="WMO3002" s="1" t="n">
        <v>0</v>
      </c>
      <c r="WMP3002" s="1" t="n">
        <v>0</v>
      </c>
      <c r="WMQ3002" s="1" t="n">
        <v>0</v>
      </c>
      <c r="WMR3002" s="1" t="n">
        <v>0</v>
      </c>
      <c r="WMS3002" s="1" t="n">
        <v>0</v>
      </c>
      <c r="WMT3002" s="1" t="n">
        <v>0</v>
      </c>
      <c r="WMU3002" s="1" t="n">
        <v>0</v>
      </c>
      <c r="WMV3002" s="1" t="n">
        <v>0</v>
      </c>
      <c r="WMW3002" s="1" t="n">
        <v>0</v>
      </c>
      <c r="WMX3002" s="1" t="n">
        <v>0</v>
      </c>
      <c r="WMY3002" s="1" t="n">
        <v>0</v>
      </c>
      <c r="WMZ3002" s="1" t="n">
        <v>0</v>
      </c>
      <c r="WNA3002" s="1" t="n">
        <v>0</v>
      </c>
      <c r="WNB3002" s="1" t="n">
        <v>0</v>
      </c>
      <c r="WNC3002" s="1" t="n">
        <v>0</v>
      </c>
      <c r="WND3002" s="1" t="n">
        <v>0</v>
      </c>
      <c r="WNE3002" s="1" t="n">
        <v>0</v>
      </c>
      <c r="WNF3002" s="1" t="n">
        <v>0</v>
      </c>
      <c r="WNG3002" s="1" t="n">
        <v>0</v>
      </c>
      <c r="WNH3002" s="1" t="n">
        <v>0</v>
      </c>
      <c r="WNI3002" s="1" t="n">
        <v>0</v>
      </c>
      <c r="WNJ3002" s="1" t="n">
        <v>0</v>
      </c>
      <c r="WNK3002" s="1" t="n">
        <v>0</v>
      </c>
      <c r="WNL3002" s="1" t="n">
        <v>0</v>
      </c>
      <c r="WNM3002" s="1" t="n">
        <v>0</v>
      </c>
      <c r="WNN3002" s="1" t="n">
        <v>0</v>
      </c>
      <c r="WNO3002" s="1" t="n">
        <v>0</v>
      </c>
      <c r="WNP3002" s="1" t="n">
        <v>0</v>
      </c>
      <c r="WNQ3002" s="1" t="n">
        <v>0</v>
      </c>
      <c r="WNR3002" s="1" t="n">
        <v>0</v>
      </c>
      <c r="WNS3002" s="1" t="n">
        <v>0</v>
      </c>
      <c r="WNT3002" s="1" t="n">
        <v>0</v>
      </c>
      <c r="WNU3002" s="1" t="n">
        <v>0</v>
      </c>
      <c r="WNV3002" s="1" t="n">
        <v>0</v>
      </c>
      <c r="WNW3002" s="1" t="n">
        <v>0</v>
      </c>
      <c r="WNX3002" s="1" t="n">
        <v>0</v>
      </c>
      <c r="WNY3002" s="1" t="n">
        <v>0</v>
      </c>
      <c r="WNZ3002" s="1" t="n">
        <v>0</v>
      </c>
      <c r="WOA3002" s="1" t="n">
        <v>0</v>
      </c>
      <c r="WOB3002" s="1" t="n">
        <v>0</v>
      </c>
      <c r="WOC3002" s="1" t="n">
        <v>0</v>
      </c>
      <c r="WOD3002" s="1" t="n">
        <v>0</v>
      </c>
      <c r="WOE3002" s="1" t="n">
        <v>0</v>
      </c>
      <c r="WOF3002" s="1" t="n">
        <v>0</v>
      </c>
      <c r="WOG3002" s="1" t="n">
        <v>0</v>
      </c>
      <c r="WOH3002" s="1" t="n">
        <v>0</v>
      </c>
      <c r="WOI3002" s="1" t="n">
        <v>0</v>
      </c>
      <c r="WOJ3002" s="1" t="n">
        <v>0</v>
      </c>
      <c r="WOK3002" s="1" t="n">
        <v>0</v>
      </c>
      <c r="WOL3002" s="1" t="n">
        <v>0</v>
      </c>
      <c r="WOM3002" s="1" t="n">
        <v>0</v>
      </c>
      <c r="WON3002" s="1" t="n">
        <v>0</v>
      </c>
      <c r="WOO3002" s="1" t="n">
        <v>0</v>
      </c>
      <c r="WOP3002" s="1" t="n">
        <v>0</v>
      </c>
      <c r="WOQ3002" s="1" t="n">
        <v>0</v>
      </c>
      <c r="WOR3002" s="1" t="n">
        <v>0</v>
      </c>
      <c r="WOS3002" s="1" t="n">
        <v>0</v>
      </c>
      <c r="WOT3002" s="1" t="n">
        <v>0</v>
      </c>
      <c r="WOU3002" s="1" t="n">
        <v>0</v>
      </c>
      <c r="WOV3002" s="1" t="n">
        <v>0</v>
      </c>
      <c r="WOW3002" s="1" t="n">
        <v>0</v>
      </c>
      <c r="WOX3002" s="1" t="n">
        <v>0</v>
      </c>
      <c r="WOY3002" s="1" t="n">
        <v>0</v>
      </c>
      <c r="WOZ3002" s="1" t="n">
        <v>0</v>
      </c>
      <c r="WPA3002" s="1" t="n">
        <v>0</v>
      </c>
      <c r="WPB3002" s="1" t="n">
        <v>0</v>
      </c>
      <c r="WPC3002" s="1" t="n">
        <v>0</v>
      </c>
      <c r="WPD3002" s="1" t="n">
        <v>0</v>
      </c>
      <c r="WPE3002" s="1" t="n">
        <v>0</v>
      </c>
      <c r="WPF3002" s="1" t="n">
        <v>0</v>
      </c>
      <c r="WPG3002" s="1" t="n">
        <v>0</v>
      </c>
      <c r="WPH3002" s="1" t="n">
        <v>0</v>
      </c>
      <c r="WPI3002" s="1" t="n">
        <v>0</v>
      </c>
      <c r="WPJ3002" s="1" t="n">
        <v>0</v>
      </c>
      <c r="WPK3002" s="1" t="n">
        <v>0</v>
      </c>
      <c r="WPL3002" s="1" t="n">
        <v>0</v>
      </c>
      <c r="WPM3002" s="1" t="n">
        <v>0</v>
      </c>
      <c r="WPN3002" s="1" t="n">
        <v>0</v>
      </c>
      <c r="WPO3002" s="1" t="n">
        <v>0</v>
      </c>
      <c r="WPP3002" s="1" t="n">
        <v>0</v>
      </c>
      <c r="WPQ3002" s="1" t="n">
        <v>0</v>
      </c>
      <c r="WPR3002" s="1" t="n">
        <v>0</v>
      </c>
      <c r="WPS3002" s="1" t="n">
        <v>0</v>
      </c>
      <c r="WPT3002" s="1" t="n">
        <v>0</v>
      </c>
      <c r="WPU3002" s="1" t="n">
        <v>0</v>
      </c>
      <c r="WPV3002" s="1" t="n">
        <v>0</v>
      </c>
      <c r="WPW3002" s="1" t="n">
        <v>0</v>
      </c>
      <c r="WPX3002" s="1" t="n">
        <v>0</v>
      </c>
      <c r="WPY3002" s="1" t="n">
        <v>0</v>
      </c>
      <c r="WPZ3002" s="1" t="n">
        <v>0</v>
      </c>
      <c r="WQA3002" s="1" t="n">
        <v>0</v>
      </c>
      <c r="WQB3002" s="1" t="n">
        <v>0</v>
      </c>
      <c r="WQC3002" s="1" t="n">
        <v>0</v>
      </c>
      <c r="WQD3002" s="1" t="n">
        <v>0</v>
      </c>
      <c r="WQE3002" s="1" t="n">
        <v>0</v>
      </c>
      <c r="WQF3002" s="1" t="n">
        <v>0</v>
      </c>
      <c r="WQG3002" s="1" t="n">
        <v>0</v>
      </c>
      <c r="WQH3002" s="1" t="n">
        <v>0</v>
      </c>
      <c r="WQI3002" s="1" t="n">
        <v>0</v>
      </c>
      <c r="WQJ3002" s="1" t="n">
        <v>0</v>
      </c>
      <c r="WQK3002" s="1" t="n">
        <v>0</v>
      </c>
      <c r="WQL3002" s="1" t="n">
        <v>0</v>
      </c>
      <c r="WQM3002" s="1" t="n">
        <v>0</v>
      </c>
      <c r="WQN3002" s="1" t="n">
        <v>0</v>
      </c>
      <c r="WQO3002" s="1" t="n">
        <v>0</v>
      </c>
      <c r="WQP3002" s="1" t="n">
        <v>0</v>
      </c>
      <c r="WQQ3002" s="1" t="n">
        <v>0</v>
      </c>
      <c r="WQR3002" s="1" t="n">
        <v>0</v>
      </c>
      <c r="WQS3002" s="1" t="n">
        <v>0</v>
      </c>
      <c r="WQT3002" s="1" t="n">
        <v>0</v>
      </c>
      <c r="WQU3002" s="1" t="n">
        <v>0</v>
      </c>
      <c r="WQV3002" s="1" t="n">
        <v>0</v>
      </c>
      <c r="WQW3002" s="1" t="n">
        <v>0</v>
      </c>
      <c r="WQX3002" s="1" t="n">
        <v>0</v>
      </c>
      <c r="WQY3002" s="1" t="n">
        <v>0</v>
      </c>
      <c r="WQZ3002" s="1" t="n">
        <v>0</v>
      </c>
      <c r="WRA3002" s="1" t="n">
        <v>0</v>
      </c>
      <c r="WRB3002" s="1" t="n">
        <v>0</v>
      </c>
      <c r="WRC3002" s="1" t="n">
        <v>0</v>
      </c>
      <c r="WRD3002" s="1" t="n">
        <v>0</v>
      </c>
      <c r="WRE3002" s="1" t="n">
        <v>0</v>
      </c>
      <c r="WRF3002" s="1" t="n">
        <v>0</v>
      </c>
      <c r="WRG3002" s="1" t="n">
        <v>0</v>
      </c>
      <c r="WRH3002" s="1" t="n">
        <v>0</v>
      </c>
      <c r="WRI3002" s="1" t="n">
        <v>0</v>
      </c>
      <c r="WRJ3002" s="1" t="n">
        <v>0</v>
      </c>
      <c r="WRK3002" s="1" t="n">
        <v>0</v>
      </c>
      <c r="WRL3002" s="1" t="n">
        <v>0</v>
      </c>
      <c r="WRM3002" s="1" t="n">
        <v>0</v>
      </c>
      <c r="WRN3002" s="1" t="n">
        <v>0</v>
      </c>
      <c r="WRO3002" s="1" t="n">
        <v>0</v>
      </c>
      <c r="WRP3002" s="1" t="n">
        <v>0</v>
      </c>
      <c r="WRQ3002" s="1" t="n">
        <v>0</v>
      </c>
      <c r="WRR3002" s="1" t="n">
        <v>0</v>
      </c>
      <c r="WRS3002" s="1" t="n">
        <v>0</v>
      </c>
      <c r="WRT3002" s="1" t="n">
        <v>0</v>
      </c>
      <c r="WRU3002" s="1" t="n">
        <v>0</v>
      </c>
      <c r="WRV3002" s="1" t="n">
        <v>0</v>
      </c>
      <c r="WRW3002" s="1" t="n">
        <v>0</v>
      </c>
      <c r="WRX3002" s="1" t="n">
        <v>0</v>
      </c>
      <c r="WRY3002" s="1" t="n">
        <v>0</v>
      </c>
      <c r="WRZ3002" s="1" t="n">
        <v>0</v>
      </c>
      <c r="WSA3002" s="1" t="n">
        <v>0</v>
      </c>
      <c r="WSB3002" s="1" t="n">
        <v>0</v>
      </c>
      <c r="WSC3002" s="1" t="n">
        <v>0</v>
      </c>
      <c r="WSD3002" s="1" t="n">
        <v>0</v>
      </c>
      <c r="WSE3002" s="1" t="n">
        <v>0</v>
      </c>
      <c r="WSF3002" s="1" t="n">
        <v>0</v>
      </c>
      <c r="WSG3002" s="1" t="n">
        <v>0</v>
      </c>
      <c r="WSH3002" s="1" t="n">
        <v>0</v>
      </c>
      <c r="WSI3002" s="1" t="n">
        <v>0</v>
      </c>
      <c r="WSJ3002" s="1" t="n">
        <v>0</v>
      </c>
      <c r="WSK3002" s="1" t="n">
        <v>0</v>
      </c>
      <c r="WSL3002" s="1" t="n">
        <v>0</v>
      </c>
      <c r="WSM3002" s="1" t="n">
        <v>0</v>
      </c>
      <c r="WSN3002" s="1" t="n">
        <v>0</v>
      </c>
      <c r="WSO3002" s="1" t="n">
        <v>0</v>
      </c>
      <c r="WSP3002" s="1" t="n">
        <v>0</v>
      </c>
      <c r="WSQ3002" s="1" t="n">
        <v>0</v>
      </c>
      <c r="WSR3002" s="1" t="n">
        <v>0</v>
      </c>
      <c r="WSS3002" s="1" t="n">
        <v>0</v>
      </c>
      <c r="WST3002" s="1" t="n">
        <v>0</v>
      </c>
      <c r="WSU3002" s="1" t="n">
        <v>0</v>
      </c>
      <c r="WSV3002" s="1" t="n">
        <v>0</v>
      </c>
      <c r="WSW3002" s="1" t="n">
        <v>0</v>
      </c>
      <c r="WSX3002" s="1" t="n">
        <v>0</v>
      </c>
      <c r="WSY3002" s="1" t="n">
        <v>0</v>
      </c>
      <c r="WSZ3002" s="1" t="n">
        <v>0</v>
      </c>
      <c r="WTA3002" s="1" t="n">
        <v>0</v>
      </c>
      <c r="WTB3002" s="1" t="n">
        <v>0</v>
      </c>
      <c r="WTC3002" s="1" t="n">
        <v>0</v>
      </c>
      <c r="WTD3002" s="1" t="n">
        <v>0</v>
      </c>
      <c r="WTE3002" s="1" t="n">
        <v>0</v>
      </c>
      <c r="WTF3002" s="1" t="n">
        <v>0</v>
      </c>
      <c r="WTG3002" s="1" t="n">
        <v>0</v>
      </c>
      <c r="WTH3002" s="1" t="n">
        <v>0</v>
      </c>
      <c r="WTI3002" s="1" t="n">
        <v>0</v>
      </c>
      <c r="WTJ3002" s="1" t="n">
        <v>0</v>
      </c>
      <c r="WTK3002" s="1" t="n">
        <v>0</v>
      </c>
      <c r="WTL3002" s="1" t="n">
        <v>0</v>
      </c>
      <c r="WTM3002" s="1" t="n">
        <v>0</v>
      </c>
      <c r="WTN3002" s="1" t="n">
        <v>0</v>
      </c>
      <c r="WTO3002" s="1" t="n">
        <v>0</v>
      </c>
      <c r="WTP3002" s="1" t="n">
        <v>0</v>
      </c>
      <c r="WTQ3002" s="1" t="n">
        <v>0</v>
      </c>
      <c r="WTR3002" s="1" t="n">
        <v>0</v>
      </c>
      <c r="WTS3002" s="1" t="n">
        <v>0</v>
      </c>
      <c r="WTT3002" s="1" t="n">
        <v>0</v>
      </c>
      <c r="WTU3002" s="1" t="n">
        <v>0</v>
      </c>
      <c r="WTV3002" s="1" t="n">
        <v>0</v>
      </c>
      <c r="WTW3002" s="1" t="n">
        <v>0</v>
      </c>
      <c r="WTX3002" s="1" t="n">
        <v>0</v>
      </c>
      <c r="WTY3002" s="1" t="n">
        <v>0</v>
      </c>
      <c r="WTZ3002" s="1" t="n">
        <v>0</v>
      </c>
      <c r="WUA3002" s="1" t="n">
        <v>0</v>
      </c>
      <c r="WUB3002" s="1" t="n">
        <v>0</v>
      </c>
      <c r="WUC3002" s="1" t="n">
        <v>0</v>
      </c>
      <c r="WUD3002" s="1" t="n">
        <v>0</v>
      </c>
      <c r="WUE3002" s="1" t="n">
        <v>0</v>
      </c>
      <c r="WUF3002" s="1" t="n">
        <v>0</v>
      </c>
      <c r="WUG3002" s="1" t="n">
        <v>0</v>
      </c>
      <c r="WUH3002" s="1" t="n">
        <v>0</v>
      </c>
      <c r="WUI3002" s="1" t="n">
        <v>0</v>
      </c>
      <c r="WUJ3002" s="1" t="n">
        <v>0</v>
      </c>
      <c r="WUK3002" s="1" t="n">
        <v>0</v>
      </c>
      <c r="WUL3002" s="1" t="n">
        <v>0</v>
      </c>
      <c r="WUM3002" s="1" t="n">
        <v>0</v>
      </c>
      <c r="WUN3002" s="1" t="n">
        <v>0</v>
      </c>
      <c r="WUO3002" s="1" t="n">
        <v>0</v>
      </c>
      <c r="WUP3002" s="1" t="n">
        <v>0</v>
      </c>
      <c r="WUQ3002" s="1" t="n">
        <v>0</v>
      </c>
      <c r="WUR3002" s="1" t="n">
        <v>0</v>
      </c>
      <c r="WUS3002" s="1" t="n">
        <v>0</v>
      </c>
      <c r="WUT3002" s="1" t="n">
        <v>0</v>
      </c>
      <c r="WUU3002" s="1" t="n">
        <v>0</v>
      </c>
      <c r="WUV3002" s="1" t="n">
        <v>0</v>
      </c>
      <c r="WUW3002" s="1" t="n">
        <v>0</v>
      </c>
      <c r="WUX3002" s="1" t="n">
        <v>0</v>
      </c>
      <c r="WUY3002" s="1" t="n">
        <v>0</v>
      </c>
      <c r="WUZ3002" s="1" t="n">
        <v>0</v>
      </c>
      <c r="WVA3002" s="1" t="n">
        <v>0</v>
      </c>
      <c r="WVB3002" s="1" t="n">
        <v>0</v>
      </c>
      <c r="WVC3002" s="1" t="n">
        <v>0</v>
      </c>
      <c r="WVD3002" s="1" t="n">
        <v>0</v>
      </c>
      <c r="WVE3002" s="1" t="n">
        <v>0</v>
      </c>
      <c r="WVF3002" s="1" t="n">
        <v>0</v>
      </c>
      <c r="WVG3002" s="1" t="n">
        <v>0</v>
      </c>
      <c r="WVH3002" s="1" t="n">
        <v>0</v>
      </c>
      <c r="WVI3002" s="1" t="n">
        <v>0</v>
      </c>
      <c r="WVJ3002" s="1" t="n">
        <v>0</v>
      </c>
      <c r="WVK3002" s="1" t="n">
        <v>0</v>
      </c>
      <c r="WVL3002" s="1" t="n">
        <v>0</v>
      </c>
      <c r="WVM3002" s="1" t="n">
        <v>0</v>
      </c>
      <c r="WVN3002" s="1" t="n">
        <v>0</v>
      </c>
      <c r="WVO3002" s="1" t="n">
        <v>0</v>
      </c>
      <c r="WVP3002" s="1" t="n">
        <v>0</v>
      </c>
      <c r="WVQ3002" s="1" t="n">
        <v>0</v>
      </c>
      <c r="WVR3002" s="1" t="n">
        <v>0</v>
      </c>
      <c r="WVS3002" s="1" t="n">
        <v>0</v>
      </c>
      <c r="WVT3002" s="1" t="n">
        <v>0</v>
      </c>
      <c r="WVU3002" s="1" t="n">
        <v>0</v>
      </c>
      <c r="WVV3002" s="1" t="n">
        <v>0</v>
      </c>
      <c r="WVW3002" s="1" t="n">
        <v>0</v>
      </c>
      <c r="WVX3002" s="1" t="n">
        <v>0</v>
      </c>
      <c r="WVY3002" s="1" t="n">
        <v>0</v>
      </c>
      <c r="WVZ3002" s="1" t="n">
        <v>0</v>
      </c>
      <c r="WWA3002" s="1" t="n">
        <v>0</v>
      </c>
      <c r="WWB3002" s="1" t="n">
        <v>0</v>
      </c>
      <c r="WWC3002" s="1" t="n">
        <v>0</v>
      </c>
      <c r="WWD3002" s="1" t="n">
        <v>0</v>
      </c>
      <c r="WWE3002" s="1" t="n">
        <v>0</v>
      </c>
      <c r="WWF3002" s="1" t="n">
        <v>0</v>
      </c>
      <c r="WWG3002" s="1" t="n">
        <v>0</v>
      </c>
      <c r="WWH3002" s="1" t="n">
        <v>0</v>
      </c>
      <c r="WWI3002" s="1" t="n">
        <v>0</v>
      </c>
      <c r="WWJ3002" s="1" t="n">
        <v>0</v>
      </c>
      <c r="WWK3002" s="1" t="n">
        <v>0</v>
      </c>
      <c r="WWL3002" s="1" t="n">
        <v>0</v>
      </c>
      <c r="WWM3002" s="1" t="n">
        <v>0</v>
      </c>
      <c r="WWN3002" s="1" t="n">
        <v>0</v>
      </c>
      <c r="WWO3002" s="1" t="n">
        <v>0</v>
      </c>
      <c r="WWP3002" s="1" t="n">
        <v>0</v>
      </c>
      <c r="WWQ3002" s="1" t="n">
        <v>0</v>
      </c>
      <c r="WWR3002" s="1" t="n">
        <v>0</v>
      </c>
      <c r="WWS3002" s="1" t="n">
        <v>0</v>
      </c>
      <c r="WWT3002" s="1" t="n">
        <v>0</v>
      </c>
      <c r="WWU3002" s="1" t="n">
        <v>0</v>
      </c>
      <c r="WWV3002" s="1" t="n">
        <v>0</v>
      </c>
      <c r="WWW3002" s="1" t="n">
        <v>0</v>
      </c>
      <c r="WWX3002" s="1" t="n">
        <v>0</v>
      </c>
      <c r="WWY3002" s="1" t="n">
        <v>0</v>
      </c>
      <c r="WWZ3002" s="1" t="n">
        <v>0</v>
      </c>
      <c r="WXA3002" s="1" t="n">
        <v>0</v>
      </c>
      <c r="WXB3002" s="1" t="n">
        <v>0</v>
      </c>
      <c r="WXC3002" s="1" t="n">
        <v>0</v>
      </c>
      <c r="WXD3002" s="1" t="n">
        <v>0</v>
      </c>
      <c r="WXE3002" s="1" t="n">
        <v>0</v>
      </c>
      <c r="WXF3002" s="1" t="n">
        <v>0</v>
      </c>
      <c r="WXG3002" s="1" t="n">
        <v>0</v>
      </c>
      <c r="WXH3002" s="1" t="n">
        <v>0</v>
      </c>
      <c r="WXI3002" s="1" t="n">
        <v>0</v>
      </c>
      <c r="WXJ3002" s="1" t="n">
        <v>0</v>
      </c>
      <c r="WXK3002" s="1" t="n">
        <v>0</v>
      </c>
      <c r="WXL3002" s="1" t="n">
        <v>0</v>
      </c>
      <c r="WXM3002" s="1" t="n">
        <v>0</v>
      </c>
      <c r="WXN3002" s="1" t="n">
        <v>0</v>
      </c>
      <c r="WXO3002" s="1" t="n">
        <v>0</v>
      </c>
      <c r="WXP3002" s="1" t="n">
        <v>0</v>
      </c>
      <c r="WXQ3002" s="1" t="n">
        <v>0</v>
      </c>
      <c r="WXR3002" s="1" t="n">
        <v>0</v>
      </c>
      <c r="WXS3002" s="1" t="n">
        <v>0</v>
      </c>
      <c r="WXT3002" s="1" t="n">
        <v>0</v>
      </c>
      <c r="WXU3002" s="1" t="n">
        <v>0</v>
      </c>
      <c r="WXV3002" s="1" t="n">
        <v>0</v>
      </c>
      <c r="WXW3002" s="1" t="n">
        <v>0</v>
      </c>
      <c r="WXX3002" s="1" t="n">
        <v>0</v>
      </c>
      <c r="WXY3002" s="1" t="n">
        <v>0</v>
      </c>
      <c r="WXZ3002" s="1" t="n">
        <v>0</v>
      </c>
      <c r="WYA3002" s="1" t="n">
        <v>0</v>
      </c>
      <c r="WYB3002" s="1" t="n">
        <v>0</v>
      </c>
      <c r="WYC3002" s="1" t="n">
        <v>0</v>
      </c>
      <c r="WYD3002" s="1" t="n">
        <v>0</v>
      </c>
      <c r="WYE3002" s="1" t="n">
        <v>0</v>
      </c>
      <c r="WYF3002" s="1" t="n">
        <v>0</v>
      </c>
      <c r="WYG3002" s="1" t="n">
        <v>0</v>
      </c>
      <c r="WYH3002" s="1" t="n">
        <v>0</v>
      </c>
      <c r="WYI3002" s="1" t="n">
        <v>0</v>
      </c>
      <c r="WYJ3002" s="1" t="n">
        <v>0</v>
      </c>
      <c r="WYK3002" s="1" t="n">
        <v>0</v>
      </c>
      <c r="WYL3002" s="1" t="n">
        <v>0</v>
      </c>
      <c r="WYM3002" s="1" t="n">
        <v>0</v>
      </c>
      <c r="WYN3002" s="1" t="n">
        <v>0</v>
      </c>
      <c r="WYO3002" s="1" t="n">
        <v>0</v>
      </c>
      <c r="WYP3002" s="1" t="n">
        <v>0</v>
      </c>
      <c r="WYQ3002" s="1" t="n">
        <v>0</v>
      </c>
      <c r="WYR3002" s="1" t="n">
        <v>0</v>
      </c>
      <c r="WYS3002" s="1" t="n">
        <v>0</v>
      </c>
      <c r="WYT3002" s="1" t="n">
        <v>0</v>
      </c>
      <c r="WYU3002" s="1" t="n">
        <v>0</v>
      </c>
      <c r="WYV3002" s="1" t="n">
        <v>0</v>
      </c>
      <c r="WYW3002" s="1" t="n">
        <v>0</v>
      </c>
      <c r="WYX3002" s="1" t="n">
        <v>0</v>
      </c>
      <c r="WYY3002" s="1" t="n">
        <v>0</v>
      </c>
      <c r="WYZ3002" s="1" t="n">
        <v>0</v>
      </c>
      <c r="WZA3002" s="1" t="n">
        <v>0</v>
      </c>
      <c r="WZB3002" s="1" t="n">
        <v>0</v>
      </c>
      <c r="WZC3002" s="1" t="n">
        <v>0</v>
      </c>
      <c r="WZD3002" s="1" t="n">
        <v>0</v>
      </c>
      <c r="WZE3002" s="1" t="n">
        <v>0</v>
      </c>
      <c r="WZF3002" s="1" t="n">
        <v>0</v>
      </c>
      <c r="WZG3002" s="1" t="n">
        <v>0</v>
      </c>
      <c r="WZH3002" s="1" t="n">
        <v>0</v>
      </c>
      <c r="WZI3002" s="1" t="n">
        <v>0</v>
      </c>
      <c r="WZJ3002" s="1" t="n">
        <v>0</v>
      </c>
      <c r="WZK3002" s="1" t="n">
        <v>0</v>
      </c>
      <c r="WZL3002" s="1" t="n">
        <v>0</v>
      </c>
      <c r="WZM3002" s="1" t="n">
        <v>0</v>
      </c>
      <c r="WZN3002" s="1" t="n">
        <v>0</v>
      </c>
      <c r="WZO3002" s="1" t="n">
        <v>0</v>
      </c>
      <c r="WZP3002" s="1" t="n">
        <v>0</v>
      </c>
      <c r="WZQ3002" s="1" t="n">
        <v>0</v>
      </c>
      <c r="WZR3002" s="1" t="n">
        <v>0</v>
      </c>
      <c r="WZS3002" s="1" t="n">
        <v>0</v>
      </c>
      <c r="WZT3002" s="1" t="n">
        <v>0</v>
      </c>
      <c r="WZU3002" s="1" t="n">
        <v>0</v>
      </c>
      <c r="WZV3002" s="1" t="n">
        <v>0</v>
      </c>
      <c r="WZW3002" s="1" t="n">
        <v>0</v>
      </c>
      <c r="WZX3002" s="1" t="n">
        <v>0</v>
      </c>
      <c r="WZY3002" s="1" t="n">
        <v>0</v>
      </c>
      <c r="WZZ3002" s="1" t="n">
        <v>0</v>
      </c>
      <c r="XAA3002" s="1" t="n">
        <v>0</v>
      </c>
      <c r="XAB3002" s="1" t="n">
        <v>0</v>
      </c>
      <c r="XAC3002" s="1" t="n">
        <v>0</v>
      </c>
      <c r="XAD3002" s="1" t="n">
        <v>0</v>
      </c>
      <c r="XAE3002" s="1" t="n">
        <v>0</v>
      </c>
      <c r="XAF3002" s="1" t="n">
        <v>0</v>
      </c>
      <c r="XAG3002" s="1" t="n">
        <v>0</v>
      </c>
      <c r="XAH3002" s="1" t="n">
        <v>0</v>
      </c>
      <c r="XAI3002" s="1" t="n">
        <v>0</v>
      </c>
      <c r="XAJ3002" s="1" t="n">
        <v>0</v>
      </c>
      <c r="XAK3002" s="1" t="n">
        <v>0</v>
      </c>
      <c r="XAL3002" s="1" t="n">
        <v>0</v>
      </c>
      <c r="XAM3002" s="1" t="n">
        <v>0</v>
      </c>
      <c r="XAN3002" s="1" t="n">
        <v>0</v>
      </c>
      <c r="XAO3002" s="1" t="n">
        <v>0</v>
      </c>
      <c r="XAP3002" s="1" t="n">
        <v>0</v>
      </c>
      <c r="XAQ3002" s="1" t="n">
        <v>0</v>
      </c>
      <c r="XAR3002" s="1" t="n">
        <v>0</v>
      </c>
      <c r="XAS3002" s="1" t="n">
        <v>0</v>
      </c>
      <c r="XAT3002" s="1" t="n">
        <v>0</v>
      </c>
      <c r="XAU3002" s="1" t="n">
        <v>0</v>
      </c>
      <c r="XAV3002" s="1" t="n">
        <v>0</v>
      </c>
      <c r="XAW3002" s="1" t="n">
        <v>0</v>
      </c>
      <c r="XAX3002" s="1" t="n">
        <v>0</v>
      </c>
      <c r="XAY3002" s="1" t="n">
        <v>0</v>
      </c>
      <c r="XAZ3002" s="1" t="n">
        <v>0</v>
      </c>
      <c r="XBA3002" s="1" t="n">
        <v>0</v>
      </c>
      <c r="XBB3002" s="1" t="n">
        <v>0</v>
      </c>
      <c r="XBC3002" s="1" t="n">
        <v>0</v>
      </c>
      <c r="XBD3002" s="1" t="n">
        <v>0</v>
      </c>
      <c r="XBE3002" s="1" t="n">
        <v>0</v>
      </c>
      <c r="XBF3002" s="1" t="n">
        <v>0</v>
      </c>
      <c r="XBG3002" s="1" t="n">
        <v>0</v>
      </c>
      <c r="XBH3002" s="1" t="n">
        <v>0</v>
      </c>
      <c r="XBI3002" s="1" t="n">
        <v>0</v>
      </c>
      <c r="XBJ3002" s="1" t="n">
        <v>0</v>
      </c>
      <c r="XBK3002" s="1" t="n">
        <v>0</v>
      </c>
      <c r="XBL3002" s="1" t="n">
        <v>0</v>
      </c>
      <c r="XBM3002" s="1" t="n">
        <v>0</v>
      </c>
      <c r="XBN3002" s="1" t="n">
        <v>0</v>
      </c>
      <c r="XBO3002" s="1" t="n">
        <v>0</v>
      </c>
      <c r="XBP3002" s="1" t="n">
        <v>0</v>
      </c>
      <c r="XBQ3002" s="1" t="n">
        <v>0</v>
      </c>
      <c r="XBR3002" s="1" t="n">
        <v>0</v>
      </c>
      <c r="XBS3002" s="1" t="n">
        <v>0</v>
      </c>
      <c r="XBT3002" s="1" t="n">
        <v>0</v>
      </c>
      <c r="XBU3002" s="1" t="n">
        <v>0</v>
      </c>
      <c r="XBV3002" s="1" t="n">
        <v>0</v>
      </c>
      <c r="XBW3002" s="1" t="n">
        <v>0</v>
      </c>
      <c r="XBX3002" s="1" t="n">
        <v>0</v>
      </c>
      <c r="XBY3002" s="1" t="n">
        <v>0</v>
      </c>
      <c r="XBZ3002" s="1" t="n">
        <v>0</v>
      </c>
      <c r="XCA3002" s="1" t="n">
        <v>0</v>
      </c>
      <c r="XCB3002" s="1" t="n">
        <v>0</v>
      </c>
      <c r="XCC3002" s="1" t="n">
        <v>0</v>
      </c>
      <c r="XCD3002" s="1" t="n">
        <v>0</v>
      </c>
      <c r="XCE3002" s="1" t="n">
        <v>0</v>
      </c>
      <c r="XCF3002" s="1" t="n">
        <v>0</v>
      </c>
      <c r="XCG3002" s="1" t="n">
        <v>0</v>
      </c>
      <c r="XCH3002" s="1" t="n">
        <v>0</v>
      </c>
      <c r="XCI3002" s="1" t="n">
        <v>0</v>
      </c>
      <c r="XCJ3002" s="1" t="n">
        <v>0</v>
      </c>
      <c r="XCK3002" s="1" t="n">
        <v>0</v>
      </c>
      <c r="XCL3002" s="1" t="n">
        <v>0</v>
      </c>
      <c r="XCM3002" s="1" t="n">
        <v>0</v>
      </c>
      <c r="XCN3002" s="1" t="n">
        <v>0</v>
      </c>
      <c r="XCO3002" s="1" t="n">
        <v>0</v>
      </c>
      <c r="XCP3002" s="1" t="n">
        <v>0</v>
      </c>
      <c r="XCQ3002" s="1" t="n">
        <v>0</v>
      </c>
      <c r="XCR3002" s="1" t="n">
        <v>0</v>
      </c>
      <c r="XCS3002" s="1" t="n">
        <v>0</v>
      </c>
      <c r="XCT3002" s="1" t="n">
        <v>0</v>
      </c>
      <c r="XCU3002" s="1" t="n">
        <v>0</v>
      </c>
      <c r="XCV3002" s="1" t="n">
        <v>0</v>
      </c>
      <c r="XCW3002" s="1" t="n">
        <v>0</v>
      </c>
      <c r="XCX3002" s="1" t="n">
        <v>0</v>
      </c>
      <c r="XCY3002" s="1" t="n">
        <v>0</v>
      </c>
      <c r="XCZ3002" s="1" t="n">
        <v>0</v>
      </c>
      <c r="XDA3002" s="1" t="n">
        <v>0</v>
      </c>
      <c r="XDB3002" s="1" t="n">
        <v>0</v>
      </c>
      <c r="XDC3002" s="1" t="n">
        <v>0</v>
      </c>
      <c r="XDD3002" s="1" t="n">
        <v>0</v>
      </c>
      <c r="XDE3002" s="1" t="n">
        <v>0</v>
      </c>
      <c r="XDF3002" s="1" t="n">
        <v>0</v>
      </c>
      <c r="XDG3002" s="1" t="n">
        <v>0</v>
      </c>
      <c r="XDH3002" s="1" t="n">
        <v>0</v>
      </c>
      <c r="XDI3002" s="1" t="n">
        <v>0</v>
      </c>
      <c r="XDJ3002" s="1" t="n">
        <v>0</v>
      </c>
      <c r="XDK3002" s="1" t="n">
        <v>0</v>
      </c>
      <c r="XDL3002" s="1" t="n">
        <v>0</v>
      </c>
      <c r="XDM3002" s="1" t="n">
        <v>0</v>
      </c>
      <c r="XDN3002" s="1" t="n">
        <v>0</v>
      </c>
      <c r="XDO3002" s="1" t="n">
        <v>0</v>
      </c>
      <c r="XDP3002" s="1" t="n">
        <v>0</v>
      </c>
      <c r="XDQ3002" s="1" t="n">
        <v>0</v>
      </c>
      <c r="XDR3002" s="1" t="n">
        <v>0</v>
      </c>
      <c r="XDS3002" s="1" t="n">
        <v>0</v>
      </c>
      <c r="XDT3002" s="1" t="n">
        <v>0</v>
      </c>
      <c r="XDU3002" s="1" t="n">
        <v>0</v>
      </c>
      <c r="XDV3002" s="1" t="n">
        <v>0</v>
      </c>
      <c r="XDW3002" s="1" t="n">
        <v>0</v>
      </c>
      <c r="XDX3002" s="1" t="n">
        <v>0</v>
      </c>
      <c r="XDY3002" s="1" t="n">
        <v>0</v>
      </c>
      <c r="XDZ3002" s="1" t="n">
        <v>0</v>
      </c>
      <c r="XEA3002" s="1" t="n">
        <v>0</v>
      </c>
      <c r="XEB3002" s="1" t="n">
        <v>0</v>
      </c>
      <c r="XEC3002" s="1" t="n">
        <v>0</v>
      </c>
      <c r="XED3002" s="1" t="n">
        <v>0</v>
      </c>
      <c r="XEE3002" s="1" t="n">
        <v>0</v>
      </c>
      <c r="XEF3002" s="1" t="n">
        <v>0</v>
      </c>
      <c r="XEG3002" s="1" t="n">
        <v>0</v>
      </c>
      <c r="XEH3002" s="1" t="n">
        <v>0</v>
      </c>
      <c r="XEI3002" s="1" t="n">
        <v>0</v>
      </c>
      <c r="XEJ3002" s="1" t="n">
        <v>0</v>
      </c>
      <c r="XEK3002" s="1" t="n">
        <v>0</v>
      </c>
      <c r="XEL3002" s="1" t="n">
        <v>0</v>
      </c>
      <c r="XEM3002" s="1" t="n">
        <v>0</v>
      </c>
      <c r="XEN3002" s="1" t="n">
        <v>0</v>
      </c>
      <c r="XEO3002" s="1" t="n">
        <v>0</v>
      </c>
      <c r="XEP3002" s="1" t="n">
        <v>0</v>
      </c>
      <c r="XEQ3002" s="1" t="n">
        <v>0</v>
      </c>
      <c r="XER3002" s="1" t="n">
        <v>0</v>
      </c>
      <c r="XES3002" s="1" t="n">
        <v>0</v>
      </c>
      <c r="XET3002" s="1" t="n">
        <v>0</v>
      </c>
      <c r="XEU3002" s="1" t="n">
        <v>0</v>
      </c>
      <c r="XEV3002" s="1" t="n">
        <v>0</v>
      </c>
      <c r="XEW3002" s="1" t="n">
        <v>0</v>
      </c>
      <c r="XEX3002" s="1" t="n">
        <v>0</v>
      </c>
      <c r="XEY3002" s="1" t="n">
        <v>0</v>
      </c>
      <c r="XEZ3002" s="1" t="n">
        <v>0</v>
      </c>
      <c r="XFA3002" s="1" t="n">
        <v>0</v>
      </c>
      <c r="XFB3002" s="1" t="n">
        <v>0</v>
      </c>
      <c r="XFC3002" s="1" t="n">
        <v>0</v>
      </c>
      <c r="XFD3002" s="1" t="n">
        <v>0</v>
      </c>
    </row>
  </sheetData>
  <dataValidations count="1">
    <dataValidation sqref="A2:A3001" showDropDown="0" showInputMessage="1" showErrorMessage="1" allowBlank="1" type="list">
      <formula1>"Listed Equity Shares, Unlisted Equity Shares"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2"/>
  <sheetViews>
    <sheetView showGridLines="0" workbookViewId="0">
      <selection activeCell="A3" sqref="A3"/>
    </sheetView>
  </sheetViews>
  <sheetFormatPr baseColWidth="8" defaultRowHeight="17.4"/>
  <cols>
    <col width="22.88671875" bestFit="1" customWidth="1" style="12" min="1" max="1"/>
    <col width="23.77734375" bestFit="1" customWidth="1" style="1" min="2" max="2"/>
    <col width="11.77734375" customWidth="1" style="1" min="3" max="3"/>
    <col width="21.33203125" customWidth="1" style="1" min="4" max="4"/>
    <col width="13.77734375" bestFit="1" customWidth="1" style="1" min="5" max="5"/>
    <col width="21.44140625" customWidth="1" style="1" min="6" max="6"/>
    <col width="20.6640625" bestFit="1" customWidth="1" style="1" min="7" max="7"/>
    <col width="19.44140625" customWidth="1" style="1" min="8" max="8"/>
    <col width="9.109375" bestFit="1" customWidth="1" style="1" min="9" max="9"/>
    <col width="13.5546875" bestFit="1" customWidth="1" style="1" min="10" max="10"/>
    <col width="8.6640625" bestFit="1" customWidth="1" style="1" min="11" max="11"/>
    <col width="18.88671875" customWidth="1" style="1" min="12" max="12"/>
    <col width="8.88671875" customWidth="1" style="1" min="13" max="16384"/>
  </cols>
  <sheetData>
    <row r="1" ht="52.2" customHeight="1">
      <c r="A1" s="10" t="inlineStr">
        <is>
          <t>Type of Mutual Fund (MF)</t>
        </is>
      </c>
      <c r="B1" s="10" t="inlineStr">
        <is>
          <t>Description of Mutual Fund sold</t>
        </is>
      </c>
      <c r="C1" s="10" t="inlineStr">
        <is>
          <t>Date of Purchase</t>
        </is>
      </c>
      <c r="D1" s="10" t="inlineStr">
        <is>
          <t>Purchase Value</t>
        </is>
      </c>
      <c r="E1" s="10" t="inlineStr">
        <is>
          <t>Date of Sale</t>
        </is>
      </c>
      <c r="F1" s="10" t="inlineStr">
        <is>
          <t>Sale Value</t>
        </is>
      </c>
      <c r="G1" s="10" t="inlineStr">
        <is>
          <t>Transfer Expenses
(Stamp duty, brokerage, etc)</t>
        </is>
      </c>
      <c r="H1" s="10" t="inlineStr">
        <is>
          <t>Net capital gain</t>
        </is>
      </c>
      <c r="I1" s="10" t="inlineStr">
        <is>
          <t>Holding Period</t>
        </is>
      </c>
      <c r="J1" s="10" t="inlineStr">
        <is>
          <t>Type of Capital Gain</t>
        </is>
      </c>
      <c r="K1" s="10" t="inlineStr">
        <is>
          <t>Rate of Tax</t>
        </is>
      </c>
      <c r="L1" s="10" t="inlineStr">
        <is>
          <t>Tax Value</t>
        </is>
      </c>
    </row>
    <row r="2">
      <c r="A2" s="11" t="n"/>
      <c r="B2" s="7" t="n"/>
      <c r="C2" s="8" t="n"/>
      <c r="D2" s="9" t="n"/>
      <c r="E2" s="8" t="n"/>
      <c r="F2" s="9" t="n"/>
      <c r="G2" s="9" t="n"/>
      <c r="H2" s="3">
        <f>IF(AND(D2&lt;&gt;"",F2&lt;&gt;""),F2-D2-G2,"")</f>
        <v/>
      </c>
      <c r="I2" s="14">
        <f>IF(AND(C2&lt;&gt;"", E2&lt;&gt;""), (E2-C2) &amp; " days", "")</f>
        <v/>
      </c>
      <c r="J2" s="2">
        <f>IF(OR(C2="", E2="", A2=""), "", IF(LEFT(A2,9)="MF (Equit", IF((E2-C2)&gt;365, "LTCG", "STCG"), IF(C2&gt;DATE(2023,4,1), "STCG (Fixed)", "STCG")))</f>
        <v/>
      </c>
      <c r="K2" s="5">
        <f>IF(J2="", "", IF(J2="LTCG", "12.5%", IF(LEFT(A2,9)="MF (Equit", "20.0%", "Slab Rate")))</f>
        <v/>
      </c>
      <c r="L2" s="3">
        <f>IF(OR(H2="", K2=""), "", IF(K2="Slab Rate", "As per Slab", IF(ISNUMBER(VALUE(LEFT(K2,LEN(K2)-1))), H2*VALUE(LEFT(K2,LEN(K2)-1))/100, "")))</f>
        <v/>
      </c>
    </row>
    <row r="3">
      <c r="A3" s="11" t="n"/>
      <c r="B3" s="7" t="n"/>
      <c r="C3" s="8" t="n"/>
      <c r="D3" s="9" t="n"/>
      <c r="E3" s="8" t="n"/>
      <c r="F3" s="9" t="n"/>
      <c r="G3" s="9" t="n"/>
      <c r="H3" s="3">
        <f>IF(AND(D3&lt;&gt;"",F3&lt;&gt;""),F3-D3-G3,"")</f>
        <v/>
      </c>
      <c r="I3" s="14">
        <f>IF(AND(C3&lt;&gt;"", E3&lt;&gt;""), (E3-C3) &amp; " days", "")</f>
        <v/>
      </c>
      <c r="J3" s="2">
        <f>IF(OR(C3="", E3="", A3=""), "", IF(LEFT(A3,9)="MF (Equit", IF((E3-C3)&gt;365, "LTCG", "STCG"), IF(C3&gt;DATE(2023,4,1), "STCG (Fixed)", "STCG")))</f>
        <v/>
      </c>
      <c r="K3" s="5">
        <f>IF(J3="", "", IF(J3="LTCG", "12.5%", IF(LEFT(A3,9)="MF (Equit", "20.0%", "Slab Rate")))</f>
        <v/>
      </c>
      <c r="L3" s="3">
        <f>IF(OR(H3="", K3=""), "", IF(K3="Slab Rate", "As per Slab", IF(ISNUMBER(VALUE(LEFT(K3,LEN(K3)-1))), H3*VALUE(LEFT(K3,LEN(K3)-1))/100, "")))</f>
        <v/>
      </c>
    </row>
    <row r="4">
      <c r="A4" s="11" t="n"/>
      <c r="B4" s="7" t="n"/>
      <c r="C4" s="8" t="n"/>
      <c r="D4" s="9" t="n"/>
      <c r="E4" s="8" t="n"/>
      <c r="F4" s="9" t="n"/>
      <c r="G4" s="9" t="n"/>
      <c r="H4" s="3">
        <f>IF(AND(D4&lt;&gt;"",F4&lt;&gt;""),F4-D4-G4,"")</f>
        <v/>
      </c>
      <c r="I4" s="14">
        <f>IF(AND(C4&lt;&gt;"", E4&lt;&gt;""), (E4-C4) &amp; " days", "")</f>
        <v/>
      </c>
      <c r="J4" s="2">
        <f>IF(OR(C4="", E4="", A4=""), "", IF(LEFT(A4,9)="MF (Equit", IF((E4-C4)&gt;365, "LTCG", "STCG"), IF(C4&gt;DATE(2023,4,1), "STCG (Fixed)", "STCG")))</f>
        <v/>
      </c>
      <c r="K4" s="5">
        <f>IF(J4="", "", IF(J4="LTCG", "12.5%", IF(LEFT(A4,9)="MF (Equit", "20.0%", "Slab Rate")))</f>
        <v/>
      </c>
      <c r="L4" s="3">
        <f>IF(OR(H4="", K4=""), "", IF(K4="Slab Rate", "As per Slab", IF(ISNUMBER(VALUE(LEFT(K4,LEN(K4)-1))), H4*VALUE(LEFT(K4,LEN(K4)-1))/100, "")))</f>
        <v/>
      </c>
    </row>
    <row r="5">
      <c r="A5" s="11" t="n"/>
      <c r="B5" s="7" t="n"/>
      <c r="C5" s="8" t="n"/>
      <c r="D5" s="9" t="n"/>
      <c r="E5" s="8" t="n"/>
      <c r="F5" s="9" t="n"/>
      <c r="G5" s="9" t="n"/>
      <c r="H5" s="3">
        <f>IF(AND(D5&lt;&gt;"",F5&lt;&gt;""),F5-D5-G5,"")</f>
        <v/>
      </c>
      <c r="I5" s="14">
        <f>IF(AND(C5&lt;&gt;"", E5&lt;&gt;""), (E5-C5) &amp; " days", "")</f>
        <v/>
      </c>
      <c r="J5" s="2">
        <f>IF(OR(C5="", E5="", A5=""), "", IF(LEFT(A5,9)="MF (Equit", IF((E5-C5)&gt;365, "LTCG", "STCG"), IF(C5&gt;DATE(2023,4,1), "STCG (Fixed)", "STCG")))</f>
        <v/>
      </c>
      <c r="K5" s="5">
        <f>IF(J5="", "", IF(J5="LTCG", "12.5%", IF(LEFT(A5,9)="MF (Equit", "20.0%", "Slab Rate")))</f>
        <v/>
      </c>
      <c r="L5" s="3">
        <f>IF(OR(H5="", K5=""), "", IF(K5="Slab Rate", "As per Slab", IF(ISNUMBER(VALUE(LEFT(K5,LEN(K5)-1))), H5*VALUE(LEFT(K5,LEN(K5)-1))/100, "")))</f>
        <v/>
      </c>
    </row>
    <row r="6">
      <c r="A6" s="11" t="n"/>
      <c r="B6" s="7" t="n"/>
      <c r="C6" s="8" t="n"/>
      <c r="D6" s="9" t="n"/>
      <c r="E6" s="8" t="n"/>
      <c r="F6" s="9" t="n"/>
      <c r="G6" s="9" t="n"/>
      <c r="H6" s="3">
        <f>IF(AND(D6&lt;&gt;"",F6&lt;&gt;""),F6-D6-G6,"")</f>
        <v/>
      </c>
      <c r="I6" s="14">
        <f>IF(AND(C6&lt;&gt;"", E6&lt;&gt;""), (E6-C6) &amp; " days", "")</f>
        <v/>
      </c>
      <c r="J6" s="2">
        <f>IF(OR(C6="", E6="", A6=""), "", IF(LEFT(A6,9)="MF (Equit", IF((E6-C6)&gt;365, "LTCG", "STCG"), IF(C6&gt;DATE(2023,4,1), "STCG (Fixed)", "STCG")))</f>
        <v/>
      </c>
      <c r="K6" s="5">
        <f>IF(J6="", "", IF(J6="LTCG", "12.5%", IF(LEFT(A6,9)="MF (Equit", "20.0%", "Slab Rate")))</f>
        <v/>
      </c>
      <c r="L6" s="3">
        <f>IF(OR(H6="", K6=""), "", IF(K6="Slab Rate", "As per Slab", IF(ISNUMBER(VALUE(LEFT(K6,LEN(K6)-1))), H6*VALUE(LEFT(K6,LEN(K6)-1))/100, "")))</f>
        <v/>
      </c>
    </row>
    <row r="7">
      <c r="A7" s="11" t="n"/>
      <c r="B7" s="7" t="n"/>
      <c r="C7" s="8" t="n"/>
      <c r="D7" s="9" t="n"/>
      <c r="E7" s="8" t="n"/>
      <c r="F7" s="9" t="n"/>
      <c r="G7" s="9" t="n"/>
      <c r="H7" s="3">
        <f>IF(AND(D7&lt;&gt;"",F7&lt;&gt;""),F7-D7-G7,"")</f>
        <v/>
      </c>
      <c r="I7" s="14">
        <f>IF(AND(C7&lt;&gt;"", E7&lt;&gt;""), (E7-C7) &amp; " days", "")</f>
        <v/>
      </c>
      <c r="J7" s="2">
        <f>IF(OR(C7="", E7="", A7=""), "", IF(LEFT(A7,9)="MF (Equit", IF((E7-C7)&gt;365, "LTCG", "STCG"), IF(C7&gt;DATE(2023,4,1), "STCG (Fixed)", "STCG")))</f>
        <v/>
      </c>
      <c r="K7" s="5">
        <f>IF(J7="", "", IF(J7="LTCG", "12.5%", IF(LEFT(A7,9)="MF (Equit", "20.0%", "Slab Rate")))</f>
        <v/>
      </c>
      <c r="L7" s="3">
        <f>IF(OR(H7="", K7=""), "", IF(K7="Slab Rate", "As per Slab", IF(ISNUMBER(VALUE(LEFT(K7,LEN(K7)-1))), H7*VALUE(LEFT(K7,LEN(K7)-1))/100, "")))</f>
        <v/>
      </c>
    </row>
    <row r="8">
      <c r="A8" s="11" t="n"/>
      <c r="B8" s="7" t="n"/>
      <c r="C8" s="8" t="n"/>
      <c r="D8" s="9" t="n"/>
      <c r="E8" s="8" t="n"/>
      <c r="F8" s="9" t="n"/>
      <c r="G8" s="9" t="n"/>
      <c r="H8" s="3">
        <f>IF(AND(D8&lt;&gt;"",F8&lt;&gt;""),F8-D8-G8,"")</f>
        <v/>
      </c>
      <c r="I8" s="14">
        <f>IF(AND(C8&lt;&gt;"", E8&lt;&gt;""), (E8-C8) &amp; " days", "")</f>
        <v/>
      </c>
      <c r="J8" s="2">
        <f>IF(OR(C8="", E8="", A8=""), "", IF(LEFT(A8,9)="MF (Equit", IF((E8-C8)&gt;365, "LTCG", "STCG"), IF(C8&gt;DATE(2023,4,1), "STCG (Fixed)", "STCG")))</f>
        <v/>
      </c>
      <c r="K8" s="5">
        <f>IF(J8="", "", IF(J8="LTCG", "12.5%", IF(LEFT(A8,9)="MF (Equit", "20.0%", "Slab Rate")))</f>
        <v/>
      </c>
      <c r="L8" s="3">
        <f>IF(OR(H8="", K8=""), "", IF(K8="Slab Rate", "As per Slab", IF(ISNUMBER(VALUE(LEFT(K8,LEN(K8)-1))), H8*VALUE(LEFT(K8,LEN(K8)-1))/100, "")))</f>
        <v/>
      </c>
    </row>
    <row r="9">
      <c r="A9" s="11" t="n"/>
      <c r="B9" s="7" t="n"/>
      <c r="C9" s="8" t="n"/>
      <c r="D9" s="9" t="n"/>
      <c r="E9" s="8" t="n"/>
      <c r="F9" s="9" t="n"/>
      <c r="G9" s="9" t="n"/>
      <c r="H9" s="3">
        <f>IF(AND(D9&lt;&gt;"",F9&lt;&gt;""),F9-D9-G9,"")</f>
        <v/>
      </c>
      <c r="I9" s="14">
        <f>IF(AND(C9&lt;&gt;"", E9&lt;&gt;""), (E9-C9) &amp; " days", "")</f>
        <v/>
      </c>
      <c r="J9" s="2">
        <f>IF(OR(C9="", E9="", A9=""), "", IF(LEFT(A9,9)="MF (Equit", IF((E9-C9)&gt;365, "LTCG", "STCG"), IF(C9&gt;DATE(2023,4,1), "STCG (Fixed)", "STCG")))</f>
        <v/>
      </c>
      <c r="K9" s="5">
        <f>IF(J9="", "", IF(J9="LTCG", "12.5%", IF(LEFT(A9,9)="MF (Equit", "20.0%", "Slab Rate")))</f>
        <v/>
      </c>
      <c r="L9" s="3">
        <f>IF(OR(H9="", K9=""), "", IF(K9="Slab Rate", "As per Slab", IF(ISNUMBER(VALUE(LEFT(K9,LEN(K9)-1))), H9*VALUE(LEFT(K9,LEN(K9)-1))/100, "")))</f>
        <v/>
      </c>
    </row>
    <row r="10">
      <c r="A10" s="11" t="n"/>
      <c r="B10" s="7" t="n"/>
      <c r="C10" s="8" t="n"/>
      <c r="D10" s="9" t="n"/>
      <c r="E10" s="8" t="n"/>
      <c r="F10" s="9" t="n"/>
      <c r="G10" s="9" t="n"/>
      <c r="H10" s="3">
        <f>IF(AND(D10&lt;&gt;"",F10&lt;&gt;""),F10-D10-G10,"")</f>
        <v/>
      </c>
      <c r="I10" s="14">
        <f>IF(AND(C10&lt;&gt;"", E10&lt;&gt;""), (E10-C10) &amp; " days", "")</f>
        <v/>
      </c>
      <c r="J10" s="2">
        <f>IF(OR(C10="", E10="", A10=""), "", IF(LEFT(A10,9)="MF (Equit", IF((E10-C10)&gt;365, "LTCG", "STCG"), IF(C10&gt;DATE(2023,4,1), "STCG (Fixed)", "STCG")))</f>
        <v/>
      </c>
      <c r="K10" s="5">
        <f>IF(J10="", "", IF(J10="LTCG", "12.5%", IF(LEFT(A10,9)="MF (Equit", "20.0%", "Slab Rate")))</f>
        <v/>
      </c>
      <c r="L10" s="3">
        <f>IF(OR(H10="", K10=""), "", IF(K10="Slab Rate", "As per Slab", IF(ISNUMBER(VALUE(LEFT(K10,LEN(K10)-1))), H10*VALUE(LEFT(K10,LEN(K10)-1))/100, "")))</f>
        <v/>
      </c>
    </row>
    <row r="11">
      <c r="A11" s="11" t="n"/>
      <c r="B11" s="7" t="n"/>
      <c r="C11" s="8" t="n"/>
      <c r="D11" s="9" t="n"/>
      <c r="E11" s="8" t="n"/>
      <c r="F11" s="9" t="n"/>
      <c r="G11" s="9" t="n"/>
      <c r="H11" s="3">
        <f>IF(AND(D11&lt;&gt;"",F11&lt;&gt;""),F11-D11-G11,"")</f>
        <v/>
      </c>
      <c r="I11" s="14">
        <f>IF(AND(C11&lt;&gt;"", E11&lt;&gt;""), (E11-C11) &amp; " days", "")</f>
        <v/>
      </c>
      <c r="J11" s="2">
        <f>IF(OR(C11="", E11="", A11=""), "", IF(LEFT(A11,9)="MF (Equit", IF((E11-C11)&gt;365, "LTCG", "STCG"), IF(C11&gt;DATE(2023,4,1), "STCG (Fixed)", "STCG")))</f>
        <v/>
      </c>
      <c r="K11" s="5">
        <f>IF(J11="", "", IF(J11="LTCG", "12.5%", IF(LEFT(A11,9)="MF (Equit", "20.0%", "Slab Rate")))</f>
        <v/>
      </c>
      <c r="L11" s="3">
        <f>IF(OR(H11="", K11=""), "", IF(K11="Slab Rate", "As per Slab", IF(ISNUMBER(VALUE(LEFT(K11,LEN(K11)-1))), H11*VALUE(LEFT(K11,LEN(K11)-1))/100, "")))</f>
        <v/>
      </c>
    </row>
    <row r="12">
      <c r="A12" s="11" t="n"/>
      <c r="B12" s="7" t="n"/>
      <c r="C12" s="8" t="n"/>
      <c r="D12" s="9" t="n"/>
      <c r="E12" s="8" t="n"/>
      <c r="F12" s="9" t="n"/>
      <c r="G12" s="9" t="n"/>
      <c r="H12" s="3">
        <f>IF(AND(D12&lt;&gt;"",F12&lt;&gt;""),F12-D12-G12,"")</f>
        <v/>
      </c>
      <c r="I12" s="14">
        <f>IF(AND(C12&lt;&gt;"", E12&lt;&gt;""), (E12-C12) &amp; " days", "")</f>
        <v/>
      </c>
      <c r="J12" s="2">
        <f>IF(OR(C12="", E12="", A12=""), "", IF(LEFT(A12,9)="MF (Equit", IF((E12-C12)&gt;365, "LTCG", "STCG"), IF(C12&gt;DATE(2023,4,1), "STCG (Fixed)", "STCG")))</f>
        <v/>
      </c>
      <c r="K12" s="5">
        <f>IF(J12="", "", IF(J12="LTCG", "12.5%", IF(LEFT(A12,9)="MF (Equit", "20.0%", "Slab Rate")))</f>
        <v/>
      </c>
      <c r="L12" s="3">
        <f>IF(OR(H12="", K12=""), "", IF(K12="Slab Rate", "As per Slab", IF(ISNUMBER(VALUE(LEFT(K12,LEN(K12)-1))), H12*VALUE(LEFT(K12,LEN(K12)-1))/100, "")))</f>
        <v/>
      </c>
    </row>
    <row r="13">
      <c r="A13" s="11" t="n"/>
      <c r="B13" s="7" t="n"/>
      <c r="C13" s="8" t="n"/>
      <c r="D13" s="9" t="n"/>
      <c r="E13" s="8" t="n"/>
      <c r="F13" s="9" t="n"/>
      <c r="G13" s="9" t="n"/>
      <c r="H13" s="3">
        <f>IF(AND(D13&lt;&gt;"",F13&lt;&gt;""),F13-D13-G13,"")</f>
        <v/>
      </c>
      <c r="I13" s="14">
        <f>IF(AND(C13&lt;&gt;"", E13&lt;&gt;""), (E13-C13) &amp; " days", "")</f>
        <v/>
      </c>
      <c r="J13" s="2">
        <f>IF(OR(C13="", E13="", A13=""), "", IF(LEFT(A13,9)="MF (Equit", IF((E13-C13)&gt;365, "LTCG", "STCG"), IF(C13&gt;DATE(2023,4,1), "STCG (Fixed)", "STCG")))</f>
        <v/>
      </c>
      <c r="K13" s="5">
        <f>IF(J13="", "", IF(J13="LTCG", "12.5%", IF(LEFT(A13,9)="MF (Equit", "20.0%", "Slab Rate")))</f>
        <v/>
      </c>
      <c r="L13" s="3">
        <f>IF(OR(H13="", K13=""), "", IF(K13="Slab Rate", "As per Slab", IF(ISNUMBER(VALUE(LEFT(K13,LEN(K13)-1))), H13*VALUE(LEFT(K13,LEN(K13)-1))/100, "")))</f>
        <v/>
      </c>
    </row>
    <row r="14">
      <c r="A14" s="11" t="n"/>
      <c r="B14" s="7" t="n"/>
      <c r="C14" s="8" t="n"/>
      <c r="D14" s="9" t="n"/>
      <c r="E14" s="8" t="n"/>
      <c r="F14" s="9" t="n"/>
      <c r="G14" s="9" t="n"/>
      <c r="H14" s="3">
        <f>IF(AND(D14&lt;&gt;"",F14&lt;&gt;""),F14-D14-G14,"")</f>
        <v/>
      </c>
      <c r="I14" s="14">
        <f>IF(AND(C14&lt;&gt;"", E14&lt;&gt;""), (E14-C14) &amp; " days", "")</f>
        <v/>
      </c>
      <c r="J14" s="2">
        <f>IF(OR(C14="", E14="", A14=""), "", IF(LEFT(A14,9)="MF (Equit", IF((E14-C14)&gt;365, "LTCG", "STCG"), IF(C14&gt;DATE(2023,4,1), "STCG (Fixed)", "STCG")))</f>
        <v/>
      </c>
      <c r="K14" s="5">
        <f>IF(J14="", "", IF(J14="LTCG", "12.5%", IF(LEFT(A14,9)="MF (Equit", "20.0%", "Slab Rate")))</f>
        <v/>
      </c>
      <c r="L14" s="3">
        <f>IF(OR(H14="", K14=""), "", IF(K14="Slab Rate", "As per Slab", IF(ISNUMBER(VALUE(LEFT(K14,LEN(K14)-1))), H14*VALUE(LEFT(K14,LEN(K14)-1))/100, "")))</f>
        <v/>
      </c>
    </row>
    <row r="15">
      <c r="A15" s="11" t="n"/>
      <c r="B15" s="7" t="n"/>
      <c r="C15" s="8" t="n"/>
      <c r="D15" s="9" t="n"/>
      <c r="E15" s="8" t="n"/>
      <c r="F15" s="9" t="n"/>
      <c r="G15" s="9" t="n"/>
      <c r="H15" s="3">
        <f>IF(AND(D15&lt;&gt;"",F15&lt;&gt;""),F15-D15-G15,"")</f>
        <v/>
      </c>
      <c r="I15" s="14">
        <f>IF(AND(C15&lt;&gt;"", E15&lt;&gt;""), (E15-C15) &amp; " days", "")</f>
        <v/>
      </c>
      <c r="J15" s="2">
        <f>IF(OR(C15="", E15="", A15=""), "", IF(LEFT(A15,9)="MF (Equit", IF((E15-C15)&gt;365, "LTCG", "STCG"), IF(C15&gt;DATE(2023,4,1), "STCG (Fixed)", "STCG")))</f>
        <v/>
      </c>
      <c r="K15" s="5">
        <f>IF(J15="", "", IF(J15="LTCG", "12.5%", IF(LEFT(A15,9)="MF (Equit", "20.0%", "Slab Rate")))</f>
        <v/>
      </c>
      <c r="L15" s="3">
        <f>IF(OR(H15="", K15=""), "", IF(K15="Slab Rate", "As per Slab", IF(ISNUMBER(VALUE(LEFT(K15,LEN(K15)-1))), H15*VALUE(LEFT(K15,LEN(K15)-1))/100, "")))</f>
        <v/>
      </c>
    </row>
    <row r="16">
      <c r="A16" s="11" t="n"/>
      <c r="B16" s="7" t="n"/>
      <c r="C16" s="8" t="n"/>
      <c r="D16" s="9" t="n"/>
      <c r="E16" s="8" t="n"/>
      <c r="F16" s="9" t="n"/>
      <c r="G16" s="9" t="n"/>
      <c r="H16" s="3">
        <f>IF(AND(D16&lt;&gt;"",F16&lt;&gt;""),F16-D16-G16,"")</f>
        <v/>
      </c>
      <c r="I16" s="14">
        <f>IF(AND(C16&lt;&gt;"", E16&lt;&gt;""), (E16-C16) &amp; " days", "")</f>
        <v/>
      </c>
      <c r="J16" s="2">
        <f>IF(OR(C16="", E16="", A16=""), "", IF(LEFT(A16,9)="MF (Equit", IF((E16-C16)&gt;365, "LTCG", "STCG"), IF(C16&gt;DATE(2023,4,1), "STCG (Fixed)", "STCG")))</f>
        <v/>
      </c>
      <c r="K16" s="5">
        <f>IF(J16="", "", IF(J16="LTCG", "12.5%", IF(LEFT(A16,9)="MF (Equit", "20.0%", "Slab Rate")))</f>
        <v/>
      </c>
      <c r="L16" s="3">
        <f>IF(OR(H16="", K16=""), "", IF(K16="Slab Rate", "As per Slab", IF(ISNUMBER(VALUE(LEFT(K16,LEN(K16)-1))), H16*VALUE(LEFT(K16,LEN(K16)-1))/100, "")))</f>
        <v/>
      </c>
    </row>
    <row r="17">
      <c r="A17" s="11" t="n"/>
      <c r="B17" s="7" t="n"/>
      <c r="C17" s="8" t="n"/>
      <c r="D17" s="9" t="n"/>
      <c r="E17" s="8" t="n"/>
      <c r="F17" s="9" t="n"/>
      <c r="G17" s="9" t="n"/>
      <c r="H17" s="3">
        <f>IF(AND(D17&lt;&gt;"",F17&lt;&gt;""),F17-D17-G17,"")</f>
        <v/>
      </c>
      <c r="I17" s="14">
        <f>IF(AND(C17&lt;&gt;"", E17&lt;&gt;""), (E17-C17) &amp; " days", "")</f>
        <v/>
      </c>
      <c r="J17" s="2">
        <f>IF(OR(C17="", E17="", A17=""), "", IF(LEFT(A17,9)="MF (Equit", IF((E17-C17)&gt;365, "LTCG", "STCG"), IF(C17&gt;DATE(2023,4,1), "STCG (Fixed)", "STCG")))</f>
        <v/>
      </c>
      <c r="K17" s="5">
        <f>IF(J17="", "", IF(J17="LTCG", "12.5%", IF(LEFT(A17,9)="MF (Equit", "20.0%", "Slab Rate")))</f>
        <v/>
      </c>
      <c r="L17" s="3">
        <f>IF(OR(H17="", K17=""), "", IF(K17="Slab Rate", "As per Slab", IF(ISNUMBER(VALUE(LEFT(K17,LEN(K17)-1))), H17*VALUE(LEFT(K17,LEN(K17)-1))/100, "")))</f>
        <v/>
      </c>
    </row>
    <row r="18">
      <c r="A18" s="11" t="n"/>
      <c r="B18" s="7" t="n"/>
      <c r="C18" s="8" t="n"/>
      <c r="D18" s="9" t="n"/>
      <c r="E18" s="8" t="n"/>
      <c r="F18" s="9" t="n"/>
      <c r="G18" s="9" t="n"/>
      <c r="H18" s="3">
        <f>IF(AND(D18&lt;&gt;"",F18&lt;&gt;""),F18-D18-G18,"")</f>
        <v/>
      </c>
      <c r="I18" s="14">
        <f>IF(AND(C18&lt;&gt;"", E18&lt;&gt;""), (E18-C18) &amp; " days", "")</f>
        <v/>
      </c>
      <c r="J18" s="2">
        <f>IF(OR(C18="", E18="", A18=""), "", IF(LEFT(A18,9)="MF (Equit", IF((E18-C18)&gt;365, "LTCG", "STCG"), IF(C18&gt;DATE(2023,4,1), "STCG (Fixed)", "STCG")))</f>
        <v/>
      </c>
      <c r="K18" s="5">
        <f>IF(J18="", "", IF(J18="LTCG", "12.5%", IF(LEFT(A18,9)="MF (Equit", "20.0%", "Slab Rate")))</f>
        <v/>
      </c>
      <c r="L18" s="3">
        <f>IF(OR(H18="", K18=""), "", IF(K18="Slab Rate", "As per Slab", IF(ISNUMBER(VALUE(LEFT(K18,LEN(K18)-1))), H18*VALUE(LEFT(K18,LEN(K18)-1))/100, "")))</f>
        <v/>
      </c>
    </row>
    <row r="19">
      <c r="A19" s="11" t="n"/>
      <c r="B19" s="7" t="n"/>
      <c r="C19" s="8" t="n"/>
      <c r="D19" s="9" t="n"/>
      <c r="E19" s="8" t="n"/>
      <c r="F19" s="9" t="n"/>
      <c r="G19" s="9" t="n"/>
      <c r="H19" s="3">
        <f>IF(AND(D19&lt;&gt;"",F19&lt;&gt;""),F19-D19-G19,"")</f>
        <v/>
      </c>
      <c r="I19" s="14">
        <f>IF(AND(C19&lt;&gt;"", E19&lt;&gt;""), (E19-C19) &amp; " days", "")</f>
        <v/>
      </c>
      <c r="J19" s="2">
        <f>IF(OR(C19="", E19="", A19=""), "", IF(LEFT(A19,9)="MF (Equit", IF((E19-C19)&gt;365, "LTCG", "STCG"), IF(C19&gt;DATE(2023,4,1), "STCG (Fixed)", "STCG")))</f>
        <v/>
      </c>
      <c r="K19" s="5">
        <f>IF(J19="", "", IF(J19="LTCG", "12.5%", IF(LEFT(A19,9)="MF (Equit", "20.0%", "Slab Rate")))</f>
        <v/>
      </c>
      <c r="L19" s="3">
        <f>IF(OR(H19="", K19=""), "", IF(K19="Slab Rate", "As per Slab", IF(ISNUMBER(VALUE(LEFT(K19,LEN(K19)-1))), H19*VALUE(LEFT(K19,LEN(K19)-1))/100, "")))</f>
        <v/>
      </c>
    </row>
    <row r="20">
      <c r="A20" s="11" t="n"/>
      <c r="B20" s="7" t="n"/>
      <c r="C20" s="8" t="n"/>
      <c r="D20" s="9" t="n"/>
      <c r="E20" s="8" t="n"/>
      <c r="F20" s="9" t="n"/>
      <c r="G20" s="9" t="n"/>
      <c r="H20" s="3">
        <f>IF(AND(D20&lt;&gt;"",F20&lt;&gt;""),F20-D20-G20,"")</f>
        <v/>
      </c>
      <c r="I20" s="14">
        <f>IF(AND(C20&lt;&gt;"", E20&lt;&gt;""), (E20-C20) &amp; " days", "")</f>
        <v/>
      </c>
      <c r="J20" s="2">
        <f>IF(OR(C20="", E20="", A20=""), "", IF(LEFT(A20,9)="MF (Equit", IF((E20-C20)&gt;365, "LTCG", "STCG"), IF(C20&gt;DATE(2023,4,1), "STCG (Fixed)", "STCG")))</f>
        <v/>
      </c>
      <c r="K20" s="5">
        <f>IF(J20="", "", IF(J20="LTCG", "12.5%", IF(LEFT(A20,9)="MF (Equit", "20.0%", "Slab Rate")))</f>
        <v/>
      </c>
      <c r="L20" s="3">
        <f>IF(OR(H20="", K20=""), "", IF(K20="Slab Rate", "As per Slab", IF(ISNUMBER(VALUE(LEFT(K20,LEN(K20)-1))), H20*VALUE(LEFT(K20,LEN(K20)-1))/100, "")))</f>
        <v/>
      </c>
    </row>
    <row r="21">
      <c r="A21" s="11" t="n"/>
      <c r="B21" s="7" t="n"/>
      <c r="C21" s="8" t="n"/>
      <c r="D21" s="9" t="n"/>
      <c r="E21" s="8" t="n"/>
      <c r="F21" s="9" t="n"/>
      <c r="G21" s="9" t="n"/>
      <c r="H21" s="3">
        <f>IF(AND(D21&lt;&gt;"",F21&lt;&gt;""),F21-D21-G21,"")</f>
        <v/>
      </c>
      <c r="I21" s="14">
        <f>IF(AND(C21&lt;&gt;"", E21&lt;&gt;""), (E21-C21) &amp; " days", "")</f>
        <v/>
      </c>
      <c r="J21" s="2">
        <f>IF(OR(C21="", E21="", A21=""), "", IF(LEFT(A21,9)="MF (Equit", IF((E21-C21)&gt;365, "LTCG", "STCG"), IF(C21&gt;DATE(2023,4,1), "STCG (Fixed)", "STCG")))</f>
        <v/>
      </c>
      <c r="K21" s="5">
        <f>IF(J21="", "", IF(J21="LTCG", "12.5%", IF(LEFT(A21,9)="MF (Equit", "20.0%", "Slab Rate")))</f>
        <v/>
      </c>
      <c r="L21" s="3">
        <f>IF(OR(H21="", K21=""), "", IF(K21="Slab Rate", "As per Slab", IF(ISNUMBER(VALUE(LEFT(K21,LEN(K21)-1))), H21*VALUE(LEFT(K21,LEN(K21)-1))/100, "")))</f>
        <v/>
      </c>
    </row>
    <row r="22">
      <c r="A22" s="11" t="n"/>
      <c r="B22" s="7" t="n"/>
      <c r="C22" s="8" t="n"/>
      <c r="D22" s="9" t="n"/>
      <c r="E22" s="8" t="n"/>
      <c r="F22" s="9" t="n"/>
      <c r="G22" s="9" t="n"/>
      <c r="H22" s="3">
        <f>IF(AND(D22&lt;&gt;"",F22&lt;&gt;""),F22-D22-G22,"")</f>
        <v/>
      </c>
      <c r="I22" s="14">
        <f>IF(AND(C22&lt;&gt;"", E22&lt;&gt;""), (E22-C22) &amp; " days", "")</f>
        <v/>
      </c>
      <c r="J22" s="2">
        <f>IF(OR(C22="", E22="", A22=""), "", IF(LEFT(A22,9)="MF (Equit", IF((E22-C22)&gt;365, "LTCG", "STCG"), IF(C22&gt;DATE(2023,4,1), "STCG (Fixed)", "STCG")))</f>
        <v/>
      </c>
      <c r="K22" s="5">
        <f>IF(J22="", "", IF(J22="LTCG", "12.5%", IF(LEFT(A22,9)="MF (Equit", "20.0%", "Slab Rate")))</f>
        <v/>
      </c>
      <c r="L22" s="3">
        <f>IF(OR(H22="", K22=""), "", IF(K22="Slab Rate", "As per Slab", IF(ISNUMBER(VALUE(LEFT(K22,LEN(K22)-1))), H22*VALUE(LEFT(K22,LEN(K22)-1))/100, "")))</f>
        <v/>
      </c>
    </row>
    <row r="23">
      <c r="A23" s="11" t="n"/>
      <c r="B23" s="7" t="n"/>
      <c r="C23" s="8" t="n"/>
      <c r="D23" s="9" t="n"/>
      <c r="E23" s="8" t="n"/>
      <c r="F23" s="9" t="n"/>
      <c r="G23" s="9" t="n"/>
      <c r="H23" s="3">
        <f>IF(AND(D23&lt;&gt;"",F23&lt;&gt;""),F23-D23-G23,"")</f>
        <v/>
      </c>
      <c r="I23" s="14">
        <f>IF(AND(C23&lt;&gt;"", E23&lt;&gt;""), (E23-C23) &amp; " days", "")</f>
        <v/>
      </c>
      <c r="J23" s="2">
        <f>IF(OR(C23="", E23="", A23=""), "", IF(LEFT(A23,9)="MF (Equit", IF((E23-C23)&gt;365, "LTCG", "STCG"), IF(C23&gt;DATE(2023,4,1), "STCG (Fixed)", "STCG")))</f>
        <v/>
      </c>
      <c r="K23" s="5">
        <f>IF(J23="", "", IF(J23="LTCG", "12.5%", IF(LEFT(A23,9)="MF (Equit", "20.0%", "Slab Rate")))</f>
        <v/>
      </c>
      <c r="L23" s="3">
        <f>IF(OR(H23="", K23=""), "", IF(K23="Slab Rate", "As per Slab", IF(ISNUMBER(VALUE(LEFT(K23,LEN(K23)-1))), H23*VALUE(LEFT(K23,LEN(K23)-1))/100, "")))</f>
        <v/>
      </c>
    </row>
    <row r="24">
      <c r="A24" s="11" t="n"/>
      <c r="B24" s="7" t="n"/>
      <c r="C24" s="8" t="n"/>
      <c r="D24" s="9" t="n"/>
      <c r="E24" s="8" t="n"/>
      <c r="F24" s="9" t="n"/>
      <c r="G24" s="9" t="n"/>
      <c r="H24" s="3">
        <f>IF(AND(D24&lt;&gt;"",F24&lt;&gt;""),F24-D24-G24,"")</f>
        <v/>
      </c>
      <c r="I24" s="14">
        <f>IF(AND(C24&lt;&gt;"", E24&lt;&gt;""), (E24-C24) &amp; " days", "")</f>
        <v/>
      </c>
      <c r="J24" s="2">
        <f>IF(OR(C24="", E24="", A24=""), "", IF(LEFT(A24,9)="MF (Equit", IF((E24-C24)&gt;365, "LTCG", "STCG"), IF(C24&gt;DATE(2023,4,1), "STCG (Fixed)", "STCG")))</f>
        <v/>
      </c>
      <c r="K24" s="5">
        <f>IF(J24="", "", IF(J24="LTCG", "12.5%", IF(LEFT(A24,9)="MF (Equit", "20.0%", "Slab Rate")))</f>
        <v/>
      </c>
      <c r="L24" s="3">
        <f>IF(OR(H24="", K24=""), "", IF(K24="Slab Rate", "As per Slab", IF(ISNUMBER(VALUE(LEFT(K24,LEN(K24)-1))), H24*VALUE(LEFT(K24,LEN(K24)-1))/100, "")))</f>
        <v/>
      </c>
    </row>
    <row r="25">
      <c r="A25" s="11" t="n"/>
      <c r="B25" s="7" t="n"/>
      <c r="C25" s="8" t="n"/>
      <c r="D25" s="9" t="n"/>
      <c r="E25" s="8" t="n"/>
      <c r="F25" s="9" t="n"/>
      <c r="G25" s="9" t="n"/>
      <c r="H25" s="3">
        <f>IF(AND(D25&lt;&gt;"",F25&lt;&gt;""),F25-D25-G25,"")</f>
        <v/>
      </c>
      <c r="I25" s="14">
        <f>IF(AND(C25&lt;&gt;"", E25&lt;&gt;""), (E25-C25) &amp; " days", "")</f>
        <v/>
      </c>
      <c r="J25" s="2">
        <f>IF(OR(C25="", E25="", A25=""), "", IF(LEFT(A25,9)="MF (Equit", IF((E25-C25)&gt;365, "LTCG", "STCG"), IF(C25&gt;DATE(2023,4,1), "STCG (Fixed)", "STCG")))</f>
        <v/>
      </c>
      <c r="K25" s="5">
        <f>IF(J25="", "", IF(J25="LTCG", "12.5%", IF(LEFT(A25,9)="MF (Equit", "20.0%", "Slab Rate")))</f>
        <v/>
      </c>
      <c r="L25" s="3">
        <f>IF(OR(H25="", K25=""), "", IF(K25="Slab Rate", "As per Slab", IF(ISNUMBER(VALUE(LEFT(K25,LEN(K25)-1))), H25*VALUE(LEFT(K25,LEN(K25)-1))/100, "")))</f>
        <v/>
      </c>
    </row>
    <row r="26">
      <c r="A26" s="11" t="n"/>
      <c r="B26" s="7" t="n"/>
      <c r="C26" s="8" t="n"/>
      <c r="D26" s="9" t="n"/>
      <c r="E26" s="8" t="n"/>
      <c r="F26" s="9" t="n"/>
      <c r="G26" s="9" t="n"/>
      <c r="H26" s="3">
        <f>IF(AND(D26&lt;&gt;"",F26&lt;&gt;""),F26-D26-G26,"")</f>
        <v/>
      </c>
      <c r="I26" s="14">
        <f>IF(AND(C26&lt;&gt;"", E26&lt;&gt;""), (E26-C26) &amp; " days", "")</f>
        <v/>
      </c>
      <c r="J26" s="2">
        <f>IF(OR(C26="", E26="", A26=""), "", IF(LEFT(A26,9)="MF (Equit", IF((E26-C26)&gt;365, "LTCG", "STCG"), IF(C26&gt;DATE(2023,4,1), "STCG (Fixed)", "STCG")))</f>
        <v/>
      </c>
      <c r="K26" s="5">
        <f>IF(J26="", "", IF(J26="LTCG", "12.5%", IF(LEFT(A26,9)="MF (Equit", "20.0%", "Slab Rate")))</f>
        <v/>
      </c>
      <c r="L26" s="3">
        <f>IF(OR(H26="", K26=""), "", IF(K26="Slab Rate", "As per Slab", IF(ISNUMBER(VALUE(LEFT(K26,LEN(K26)-1))), H26*VALUE(LEFT(K26,LEN(K26)-1))/100, "")))</f>
        <v/>
      </c>
    </row>
    <row r="27">
      <c r="A27" s="11" t="n"/>
      <c r="B27" s="7" t="n"/>
      <c r="C27" s="8" t="n"/>
      <c r="D27" s="9" t="n"/>
      <c r="E27" s="8" t="n"/>
      <c r="F27" s="9" t="n"/>
      <c r="G27" s="9" t="n"/>
      <c r="H27" s="3">
        <f>IF(AND(D27&lt;&gt;"",F27&lt;&gt;""),F27-D27-G27,"")</f>
        <v/>
      </c>
      <c r="I27" s="14">
        <f>IF(AND(C27&lt;&gt;"", E27&lt;&gt;""), (E27-C27) &amp; " days", "")</f>
        <v/>
      </c>
      <c r="J27" s="2">
        <f>IF(OR(C27="", E27="", A27=""), "", IF(LEFT(A27,9)="MF (Equit", IF((E27-C27)&gt;365, "LTCG", "STCG"), IF(C27&gt;DATE(2023,4,1), "STCG (Fixed)", "STCG")))</f>
        <v/>
      </c>
      <c r="K27" s="5">
        <f>IF(J27="", "", IF(J27="LTCG", "12.5%", IF(LEFT(A27,9)="MF (Equit", "20.0%", "Slab Rate")))</f>
        <v/>
      </c>
      <c r="L27" s="3">
        <f>IF(OR(H27="", K27=""), "", IF(K27="Slab Rate", "As per Slab", IF(ISNUMBER(VALUE(LEFT(K27,LEN(K27)-1))), H27*VALUE(LEFT(K27,LEN(K27)-1))/100, "")))</f>
        <v/>
      </c>
    </row>
    <row r="28">
      <c r="A28" s="11" t="n"/>
      <c r="B28" s="7" t="n"/>
      <c r="C28" s="8" t="n"/>
      <c r="D28" s="9" t="n"/>
      <c r="E28" s="8" t="n"/>
      <c r="F28" s="9" t="n"/>
      <c r="G28" s="9" t="n"/>
      <c r="H28" s="3">
        <f>IF(AND(D28&lt;&gt;"",F28&lt;&gt;""),F28-D28-G28,"")</f>
        <v/>
      </c>
      <c r="I28" s="14">
        <f>IF(AND(C28&lt;&gt;"", E28&lt;&gt;""), (E28-C28) &amp; " days", "")</f>
        <v/>
      </c>
      <c r="J28" s="2">
        <f>IF(OR(C28="", E28="", A28=""), "", IF(LEFT(A28,9)="MF (Equit", IF((E28-C28)&gt;365, "LTCG", "STCG"), IF(C28&gt;DATE(2023,4,1), "STCG (Fixed)", "STCG")))</f>
        <v/>
      </c>
      <c r="K28" s="5">
        <f>IF(J28="", "", IF(J28="LTCG", "12.5%", IF(LEFT(A28,9)="MF (Equit", "20.0%", "Slab Rate")))</f>
        <v/>
      </c>
      <c r="L28" s="3">
        <f>IF(OR(H28="", K28=""), "", IF(K28="Slab Rate", "As per Slab", IF(ISNUMBER(VALUE(LEFT(K28,LEN(K28)-1))), H28*VALUE(LEFT(K28,LEN(K28)-1))/100, "")))</f>
        <v/>
      </c>
    </row>
    <row r="29">
      <c r="A29" s="11" t="n"/>
      <c r="B29" s="7" t="n"/>
      <c r="C29" s="8" t="n"/>
      <c r="D29" s="9" t="n"/>
      <c r="E29" s="8" t="n"/>
      <c r="F29" s="9" t="n"/>
      <c r="G29" s="9" t="n"/>
      <c r="H29" s="3">
        <f>IF(AND(D29&lt;&gt;"",F29&lt;&gt;""),F29-D29-G29,"")</f>
        <v/>
      </c>
      <c r="I29" s="14">
        <f>IF(AND(C29&lt;&gt;"", E29&lt;&gt;""), (E29-C29) &amp; " days", "")</f>
        <v/>
      </c>
      <c r="J29" s="2">
        <f>IF(OR(C29="", E29="", A29=""), "", IF(LEFT(A29,9)="MF (Equit", IF((E29-C29)&gt;365, "LTCG", "STCG"), IF(C29&gt;DATE(2023,4,1), "STCG (Fixed)", "STCG")))</f>
        <v/>
      </c>
      <c r="K29" s="5">
        <f>IF(J29="", "", IF(J29="LTCG", "12.5%", IF(LEFT(A29,9)="MF (Equit", "20.0%", "Slab Rate")))</f>
        <v/>
      </c>
      <c r="L29" s="3">
        <f>IF(OR(H29="", K29=""), "", IF(K29="Slab Rate", "As per Slab", IF(ISNUMBER(VALUE(LEFT(K29,LEN(K29)-1))), H29*VALUE(LEFT(K29,LEN(K29)-1))/100, "")))</f>
        <v/>
      </c>
    </row>
    <row r="30">
      <c r="A30" s="11" t="n"/>
      <c r="B30" s="7" t="n"/>
      <c r="C30" s="8" t="n"/>
      <c r="D30" s="9" t="n"/>
      <c r="E30" s="8" t="n"/>
      <c r="F30" s="9" t="n"/>
      <c r="G30" s="9" t="n"/>
      <c r="H30" s="3">
        <f>IF(AND(D30&lt;&gt;"",F30&lt;&gt;""),F30-D30-G30,"")</f>
        <v/>
      </c>
      <c r="I30" s="14">
        <f>IF(AND(C30&lt;&gt;"", E30&lt;&gt;""), (E30-C30) &amp; " days", "")</f>
        <v/>
      </c>
      <c r="J30" s="2">
        <f>IF(OR(C30="", E30="", A30=""), "", IF(LEFT(A30,9)="MF (Equit", IF((E30-C30)&gt;365, "LTCG", "STCG"), IF(C30&gt;DATE(2023,4,1), "STCG (Fixed)", "STCG")))</f>
        <v/>
      </c>
      <c r="K30" s="5">
        <f>IF(J30="", "", IF(J30="LTCG", "12.5%", IF(LEFT(A30,9)="MF (Equit", "20.0%", "Slab Rate")))</f>
        <v/>
      </c>
      <c r="L30" s="3">
        <f>IF(OR(H30="", K30=""), "", IF(K30="Slab Rate", "As per Slab", IF(ISNUMBER(VALUE(LEFT(K30,LEN(K30)-1))), H30*VALUE(LEFT(K30,LEN(K30)-1))/100, "")))</f>
        <v/>
      </c>
    </row>
    <row r="31">
      <c r="A31" s="11" t="n"/>
      <c r="B31" s="7" t="n"/>
      <c r="C31" s="8" t="n"/>
      <c r="D31" s="9" t="n"/>
      <c r="E31" s="8" t="n"/>
      <c r="F31" s="9" t="n"/>
      <c r="G31" s="9" t="n"/>
      <c r="H31" s="3">
        <f>IF(AND(D31&lt;&gt;"",F31&lt;&gt;""),F31-D31-G31,"")</f>
        <v/>
      </c>
      <c r="I31" s="14">
        <f>IF(AND(C31&lt;&gt;"", E31&lt;&gt;""), (E31-C31) &amp; " days", "")</f>
        <v/>
      </c>
      <c r="J31" s="2">
        <f>IF(OR(C31="", E31="", A31=""), "", IF(LEFT(A31,9)="MF (Equit", IF((E31-C31)&gt;365, "LTCG", "STCG"), IF(C31&gt;DATE(2023,4,1), "STCG (Fixed)", "STCG")))</f>
        <v/>
      </c>
      <c r="K31" s="5">
        <f>IF(J31="", "", IF(J31="LTCG", "12.5%", IF(LEFT(A31,9)="MF (Equit", "20.0%", "Slab Rate")))</f>
        <v/>
      </c>
      <c r="L31" s="3">
        <f>IF(OR(H31="", K31=""), "", IF(K31="Slab Rate", "As per Slab", IF(ISNUMBER(VALUE(LEFT(K31,LEN(K31)-1))), H31*VALUE(LEFT(K31,LEN(K31)-1))/100, "")))</f>
        <v/>
      </c>
    </row>
    <row r="32">
      <c r="A32" s="11" t="n"/>
      <c r="B32" s="7" t="n"/>
      <c r="C32" s="8" t="n"/>
      <c r="D32" s="9" t="n"/>
      <c r="E32" s="8" t="n"/>
      <c r="F32" s="9" t="n"/>
      <c r="G32" s="9" t="n"/>
      <c r="H32" s="3">
        <f>IF(AND(D32&lt;&gt;"",F32&lt;&gt;""),F32-D32-G32,"")</f>
        <v/>
      </c>
      <c r="I32" s="14">
        <f>IF(AND(C32&lt;&gt;"", E32&lt;&gt;""), (E32-C32) &amp; " days", "")</f>
        <v/>
      </c>
      <c r="J32" s="2">
        <f>IF(OR(C32="", E32="", A32=""), "", IF(LEFT(A32,9)="MF (Equit", IF((E32-C32)&gt;365, "LTCG", "STCG"), IF(C32&gt;DATE(2023,4,1), "STCG (Fixed)", "STCG")))</f>
        <v/>
      </c>
      <c r="K32" s="5">
        <f>IF(J32="", "", IF(J32="LTCG", "12.5%", IF(LEFT(A32,9)="MF (Equit", "20.0%", "Slab Rate")))</f>
        <v/>
      </c>
      <c r="L32" s="3">
        <f>IF(OR(H32="", K32=""), "", IF(K32="Slab Rate", "As per Slab", IF(ISNUMBER(VALUE(LEFT(K32,LEN(K32)-1))), H32*VALUE(LEFT(K32,LEN(K32)-1))/100, "")))</f>
        <v/>
      </c>
    </row>
    <row r="33">
      <c r="A33" s="11" t="n"/>
      <c r="B33" s="7" t="n"/>
      <c r="C33" s="8" t="n"/>
      <c r="D33" s="9" t="n"/>
      <c r="E33" s="8" t="n"/>
      <c r="F33" s="9" t="n"/>
      <c r="G33" s="9" t="n"/>
      <c r="H33" s="3">
        <f>IF(AND(D33&lt;&gt;"",F33&lt;&gt;""),F33-D33-G33,"")</f>
        <v/>
      </c>
      <c r="I33" s="14">
        <f>IF(AND(C33&lt;&gt;"", E33&lt;&gt;""), (E33-C33) &amp; " days", "")</f>
        <v/>
      </c>
      <c r="J33" s="2">
        <f>IF(OR(C33="", E33="", A33=""), "", IF(LEFT(A33,9)="MF (Equit", IF((E33-C33)&gt;365, "LTCG", "STCG"), IF(C33&gt;DATE(2023,4,1), "STCG (Fixed)", "STCG")))</f>
        <v/>
      </c>
      <c r="K33" s="5">
        <f>IF(J33="", "", IF(J33="LTCG", "12.5%", IF(LEFT(A33,9)="MF (Equit", "20.0%", "Slab Rate")))</f>
        <v/>
      </c>
      <c r="L33" s="3">
        <f>IF(OR(H33="", K33=""), "", IF(K33="Slab Rate", "As per Slab", IF(ISNUMBER(VALUE(LEFT(K33,LEN(K33)-1))), H33*VALUE(LEFT(K33,LEN(K33)-1))/100, "")))</f>
        <v/>
      </c>
    </row>
    <row r="34">
      <c r="A34" s="11" t="n"/>
      <c r="B34" s="7" t="n"/>
      <c r="C34" s="8" t="n"/>
      <c r="D34" s="9" t="n"/>
      <c r="E34" s="8" t="n"/>
      <c r="F34" s="9" t="n"/>
      <c r="G34" s="9" t="n"/>
      <c r="H34" s="3">
        <f>IF(AND(D34&lt;&gt;"",F34&lt;&gt;""),F34-D34-G34,"")</f>
        <v/>
      </c>
      <c r="I34" s="14">
        <f>IF(AND(C34&lt;&gt;"", E34&lt;&gt;""), (E34-C34) &amp; " days", "")</f>
        <v/>
      </c>
      <c r="J34" s="2">
        <f>IF(OR(C34="", E34="", A34=""), "", IF(LEFT(A34,9)="MF (Equit", IF((E34-C34)&gt;365, "LTCG", "STCG"), IF(C34&gt;DATE(2023,4,1), "STCG (Fixed)", "STCG")))</f>
        <v/>
      </c>
      <c r="K34" s="5">
        <f>IF(J34="", "", IF(J34="LTCG", "12.5%", IF(LEFT(A34,9)="MF (Equit", "20.0%", "Slab Rate")))</f>
        <v/>
      </c>
      <c r="L34" s="3">
        <f>IF(OR(H34="", K34=""), "", IF(K34="Slab Rate", "As per Slab", IF(ISNUMBER(VALUE(LEFT(K34,LEN(K34)-1))), H34*VALUE(LEFT(K34,LEN(K34)-1))/100, "")))</f>
        <v/>
      </c>
    </row>
    <row r="35">
      <c r="A35" s="11" t="n"/>
      <c r="B35" s="7" t="n"/>
      <c r="C35" s="8" t="n"/>
      <c r="D35" s="9" t="n"/>
      <c r="E35" s="8" t="n"/>
      <c r="F35" s="9" t="n"/>
      <c r="G35" s="9" t="n"/>
      <c r="H35" s="3">
        <f>IF(AND(D35&lt;&gt;"",F35&lt;&gt;""),F35-D35-G35,"")</f>
        <v/>
      </c>
      <c r="I35" s="14">
        <f>IF(AND(C35&lt;&gt;"", E35&lt;&gt;""), (E35-C35) &amp; " days", "")</f>
        <v/>
      </c>
      <c r="J35" s="2">
        <f>IF(OR(C35="", E35="", A35=""), "", IF(LEFT(A35,9)="MF (Equit", IF((E35-C35)&gt;365, "LTCG", "STCG"), IF(C35&gt;DATE(2023,4,1), "STCG (Fixed)", "STCG")))</f>
        <v/>
      </c>
      <c r="K35" s="5">
        <f>IF(J35="", "", IF(J35="LTCG", "12.5%", IF(LEFT(A35,9)="MF (Equit", "20.0%", "Slab Rate")))</f>
        <v/>
      </c>
      <c r="L35" s="3">
        <f>IF(OR(H35="", K35=""), "", IF(K35="Slab Rate", "As per Slab", IF(ISNUMBER(VALUE(LEFT(K35,LEN(K35)-1))), H35*VALUE(LEFT(K35,LEN(K35)-1))/100, "")))</f>
        <v/>
      </c>
    </row>
    <row r="36">
      <c r="A36" s="11" t="n"/>
      <c r="B36" s="7" t="n"/>
      <c r="C36" s="8" t="n"/>
      <c r="D36" s="9" t="n"/>
      <c r="E36" s="8" t="n"/>
      <c r="F36" s="9" t="n"/>
      <c r="G36" s="9" t="n"/>
      <c r="H36" s="3">
        <f>IF(AND(D36&lt;&gt;"",F36&lt;&gt;""),F36-D36-G36,"")</f>
        <v/>
      </c>
      <c r="I36" s="14">
        <f>IF(AND(C36&lt;&gt;"", E36&lt;&gt;""), (E36-C36) &amp; " days", "")</f>
        <v/>
      </c>
      <c r="J36" s="2">
        <f>IF(OR(C36="", E36="", A36=""), "", IF(LEFT(A36,9)="MF (Equit", IF((E36-C36)&gt;365, "LTCG", "STCG"), IF(C36&gt;DATE(2023,4,1), "STCG (Fixed)", "STCG")))</f>
        <v/>
      </c>
      <c r="K36" s="5">
        <f>IF(J36="", "", IF(J36="LTCG", "12.5%", IF(LEFT(A36,9)="MF (Equit", "20.0%", "Slab Rate")))</f>
        <v/>
      </c>
      <c r="L36" s="3">
        <f>IF(OR(H36="", K36=""), "", IF(K36="Slab Rate", "As per Slab", IF(ISNUMBER(VALUE(LEFT(K36,LEN(K36)-1))), H36*VALUE(LEFT(K36,LEN(K36)-1))/100, "")))</f>
        <v/>
      </c>
    </row>
    <row r="37">
      <c r="A37" s="11" t="n"/>
      <c r="B37" s="7" t="n"/>
      <c r="C37" s="8" t="n"/>
      <c r="D37" s="9" t="n"/>
      <c r="E37" s="8" t="n"/>
      <c r="F37" s="9" t="n"/>
      <c r="G37" s="9" t="n"/>
      <c r="H37" s="3">
        <f>IF(AND(D37&lt;&gt;"",F37&lt;&gt;""),F37-D37-G37,"")</f>
        <v/>
      </c>
      <c r="I37" s="14">
        <f>IF(AND(C37&lt;&gt;"", E37&lt;&gt;""), (E37-C37) &amp; " days", "")</f>
        <v/>
      </c>
      <c r="J37" s="2">
        <f>IF(OR(C37="", E37="", A37=""), "", IF(LEFT(A37,9)="MF (Equit", IF((E37-C37)&gt;365, "LTCG", "STCG"), IF(C37&gt;DATE(2023,4,1), "STCG (Fixed)", "STCG")))</f>
        <v/>
      </c>
      <c r="K37" s="5">
        <f>IF(J37="", "", IF(J37="LTCG", "12.5%", IF(LEFT(A37,9)="MF (Equit", "20.0%", "Slab Rate")))</f>
        <v/>
      </c>
      <c r="L37" s="3">
        <f>IF(OR(H37="", K37=""), "", IF(K37="Slab Rate", "As per Slab", IF(ISNUMBER(VALUE(LEFT(K37,LEN(K37)-1))), H37*VALUE(LEFT(K37,LEN(K37)-1))/100, "")))</f>
        <v/>
      </c>
    </row>
    <row r="38">
      <c r="A38" s="11" t="n"/>
      <c r="B38" s="7" t="n"/>
      <c r="C38" s="8" t="n"/>
      <c r="D38" s="9" t="n"/>
      <c r="E38" s="8" t="n"/>
      <c r="F38" s="9" t="n"/>
      <c r="G38" s="9" t="n"/>
      <c r="H38" s="3">
        <f>IF(AND(D38&lt;&gt;"",F38&lt;&gt;""),F38-D38-G38,"")</f>
        <v/>
      </c>
      <c r="I38" s="14">
        <f>IF(AND(C38&lt;&gt;"", E38&lt;&gt;""), (E38-C38) &amp; " days", "")</f>
        <v/>
      </c>
      <c r="J38" s="2">
        <f>IF(OR(C38="", E38="", A38=""), "", IF(LEFT(A38,9)="MF (Equit", IF((E38-C38)&gt;365, "LTCG", "STCG"), IF(C38&gt;DATE(2023,4,1), "STCG (Fixed)", "STCG")))</f>
        <v/>
      </c>
      <c r="K38" s="5">
        <f>IF(J38="", "", IF(J38="LTCG", "12.5%", IF(LEFT(A38,9)="MF (Equit", "20.0%", "Slab Rate")))</f>
        <v/>
      </c>
      <c r="L38" s="3">
        <f>IF(OR(H38="", K38=""), "", IF(K38="Slab Rate", "As per Slab", IF(ISNUMBER(VALUE(LEFT(K38,LEN(K38)-1))), H38*VALUE(LEFT(K38,LEN(K38)-1))/100, "")))</f>
        <v/>
      </c>
    </row>
    <row r="39">
      <c r="A39" s="11" t="n"/>
      <c r="B39" s="7" t="n"/>
      <c r="C39" s="8" t="n"/>
      <c r="D39" s="9" t="n"/>
      <c r="E39" s="8" t="n"/>
      <c r="F39" s="9" t="n"/>
      <c r="G39" s="9" t="n"/>
      <c r="H39" s="3">
        <f>IF(AND(D39&lt;&gt;"",F39&lt;&gt;""),F39-D39-G39,"")</f>
        <v/>
      </c>
      <c r="I39" s="14">
        <f>IF(AND(C39&lt;&gt;"", E39&lt;&gt;""), (E39-C39) &amp; " days", "")</f>
        <v/>
      </c>
      <c r="J39" s="2">
        <f>IF(OR(C39="", E39="", A39=""), "", IF(LEFT(A39,9)="MF (Equit", IF((E39-C39)&gt;365, "LTCG", "STCG"), IF(C39&gt;DATE(2023,4,1), "STCG (Fixed)", "STCG")))</f>
        <v/>
      </c>
      <c r="K39" s="5">
        <f>IF(J39="", "", IF(J39="LTCG", "12.5%", IF(LEFT(A39,9)="MF (Equit", "20.0%", "Slab Rate")))</f>
        <v/>
      </c>
      <c r="L39" s="3">
        <f>IF(OR(H39="", K39=""), "", IF(K39="Slab Rate", "As per Slab", IF(ISNUMBER(VALUE(LEFT(K39,LEN(K39)-1))), H39*VALUE(LEFT(K39,LEN(K39)-1))/100, "")))</f>
        <v/>
      </c>
    </row>
    <row r="40">
      <c r="A40" s="11" t="n"/>
      <c r="B40" s="7" t="n"/>
      <c r="C40" s="8" t="n"/>
      <c r="D40" s="9" t="n"/>
      <c r="E40" s="8" t="n"/>
      <c r="F40" s="9" t="n"/>
      <c r="G40" s="9" t="n"/>
      <c r="H40" s="3">
        <f>IF(AND(D40&lt;&gt;"",F40&lt;&gt;""),F40-D40-G40,"")</f>
        <v/>
      </c>
      <c r="I40" s="14">
        <f>IF(AND(C40&lt;&gt;"", E40&lt;&gt;""), (E40-C40) &amp; " days", "")</f>
        <v/>
      </c>
      <c r="J40" s="2">
        <f>IF(OR(C40="", E40="", A40=""), "", IF(LEFT(A40,9)="MF (Equit", IF((E40-C40)&gt;365, "LTCG", "STCG"), IF(C40&gt;DATE(2023,4,1), "STCG (Fixed)", "STCG")))</f>
        <v/>
      </c>
      <c r="K40" s="5">
        <f>IF(J40="", "", IF(J40="LTCG", "12.5%", IF(LEFT(A40,9)="MF (Equit", "20.0%", "Slab Rate")))</f>
        <v/>
      </c>
      <c r="L40" s="3">
        <f>IF(OR(H40="", K40=""), "", IF(K40="Slab Rate", "As per Slab", IF(ISNUMBER(VALUE(LEFT(K40,LEN(K40)-1))), H40*VALUE(LEFT(K40,LEN(K40)-1))/100, "")))</f>
        <v/>
      </c>
    </row>
    <row r="41">
      <c r="A41" s="11" t="n"/>
      <c r="B41" s="7" t="n"/>
      <c r="C41" s="8" t="n"/>
      <c r="D41" s="9" t="n"/>
      <c r="E41" s="8" t="n"/>
      <c r="F41" s="9" t="n"/>
      <c r="G41" s="9" t="n"/>
      <c r="H41" s="3">
        <f>IF(AND(D41&lt;&gt;"",F41&lt;&gt;""),F41-D41-G41,"")</f>
        <v/>
      </c>
      <c r="I41" s="14">
        <f>IF(AND(C41&lt;&gt;"", E41&lt;&gt;""), (E41-C41) &amp; " days", "")</f>
        <v/>
      </c>
      <c r="J41" s="2">
        <f>IF(OR(C41="", E41="", A41=""), "", IF(LEFT(A41,9)="MF (Equit", IF((E41-C41)&gt;365, "LTCG", "STCG"), IF(C41&gt;DATE(2023,4,1), "STCG (Fixed)", "STCG")))</f>
        <v/>
      </c>
      <c r="K41" s="5">
        <f>IF(J41="", "", IF(J41="LTCG", "12.5%", IF(LEFT(A41,9)="MF (Equit", "20.0%", "Slab Rate")))</f>
        <v/>
      </c>
      <c r="L41" s="3">
        <f>IF(OR(H41="", K41=""), "", IF(K41="Slab Rate", "As per Slab", IF(ISNUMBER(VALUE(LEFT(K41,LEN(K41)-1))), H41*VALUE(LEFT(K41,LEN(K41)-1))/100, "")))</f>
        <v/>
      </c>
    </row>
    <row r="42">
      <c r="A42" s="11" t="n"/>
      <c r="B42" s="7" t="n"/>
      <c r="C42" s="8" t="n"/>
      <c r="D42" s="9" t="n"/>
      <c r="E42" s="8" t="n"/>
      <c r="F42" s="9" t="n"/>
      <c r="G42" s="9" t="n"/>
      <c r="H42" s="3">
        <f>IF(AND(D42&lt;&gt;"",F42&lt;&gt;""),F42-D42-G42,"")</f>
        <v/>
      </c>
      <c r="I42" s="14">
        <f>IF(AND(C42&lt;&gt;"", E42&lt;&gt;""), (E42-C42) &amp; " days", "")</f>
        <v/>
      </c>
      <c r="J42" s="2">
        <f>IF(OR(C42="", E42="", A42=""), "", IF(LEFT(A42,9)="MF (Equit", IF((E42-C42)&gt;365, "LTCG", "STCG"), IF(C42&gt;DATE(2023,4,1), "STCG (Fixed)", "STCG")))</f>
        <v/>
      </c>
      <c r="K42" s="5">
        <f>IF(J42="", "", IF(J42="LTCG", "12.5%", IF(LEFT(A42,9)="MF (Equit", "20.0%", "Slab Rate")))</f>
        <v/>
      </c>
      <c r="L42" s="3">
        <f>IF(OR(H42="", K42=""), "", IF(K42="Slab Rate", "As per Slab", IF(ISNUMBER(VALUE(LEFT(K42,LEN(K42)-1))), H42*VALUE(LEFT(K42,LEN(K42)-1))/100, "")))</f>
        <v/>
      </c>
    </row>
    <row r="43">
      <c r="A43" s="11" t="n"/>
      <c r="B43" s="7" t="n"/>
      <c r="C43" s="8" t="n"/>
      <c r="D43" s="9" t="n"/>
      <c r="E43" s="8" t="n"/>
      <c r="F43" s="9" t="n"/>
      <c r="G43" s="9" t="n"/>
      <c r="H43" s="3">
        <f>IF(AND(D43&lt;&gt;"",F43&lt;&gt;""),F43-D43-G43,"")</f>
        <v/>
      </c>
      <c r="I43" s="14">
        <f>IF(AND(C43&lt;&gt;"", E43&lt;&gt;""), (E43-C43) &amp; " days", "")</f>
        <v/>
      </c>
      <c r="J43" s="2">
        <f>IF(OR(C43="", E43="", A43=""), "", IF(LEFT(A43,9)="MF (Equit", IF((E43-C43)&gt;365, "LTCG", "STCG"), IF(C43&gt;DATE(2023,4,1), "STCG (Fixed)", "STCG")))</f>
        <v/>
      </c>
      <c r="K43" s="5">
        <f>IF(J43="", "", IF(J43="LTCG", "12.5%", IF(LEFT(A43,9)="MF (Equit", "20.0%", "Slab Rate")))</f>
        <v/>
      </c>
      <c r="L43" s="3">
        <f>IF(OR(H43="", K43=""), "", IF(K43="Slab Rate", "As per Slab", IF(ISNUMBER(VALUE(LEFT(K43,LEN(K43)-1))), H43*VALUE(LEFT(K43,LEN(K43)-1))/100, "")))</f>
        <v/>
      </c>
    </row>
    <row r="44">
      <c r="A44" s="11" t="n"/>
      <c r="B44" s="7" t="n"/>
      <c r="C44" s="8" t="n"/>
      <c r="D44" s="9" t="n"/>
      <c r="E44" s="8" t="n"/>
      <c r="F44" s="9" t="n"/>
      <c r="G44" s="9" t="n"/>
      <c r="H44" s="3">
        <f>IF(AND(D44&lt;&gt;"",F44&lt;&gt;""),F44-D44-G44,"")</f>
        <v/>
      </c>
      <c r="I44" s="14">
        <f>IF(AND(C44&lt;&gt;"", E44&lt;&gt;""), (E44-C44) &amp; " days", "")</f>
        <v/>
      </c>
      <c r="J44" s="2">
        <f>IF(OR(C44="", E44="", A44=""), "", IF(LEFT(A44,9)="MF (Equit", IF((E44-C44)&gt;365, "LTCG", "STCG"), IF(C44&gt;DATE(2023,4,1), "STCG (Fixed)", "STCG")))</f>
        <v/>
      </c>
      <c r="K44" s="5">
        <f>IF(J44="", "", IF(J44="LTCG", "12.5%", IF(LEFT(A44,9)="MF (Equit", "20.0%", "Slab Rate")))</f>
        <v/>
      </c>
      <c r="L44" s="3">
        <f>IF(OR(H44="", K44=""), "", IF(K44="Slab Rate", "As per Slab", IF(ISNUMBER(VALUE(LEFT(K44,LEN(K44)-1))), H44*VALUE(LEFT(K44,LEN(K44)-1))/100, "")))</f>
        <v/>
      </c>
    </row>
    <row r="45">
      <c r="A45" s="11" t="n"/>
      <c r="B45" s="7" t="n"/>
      <c r="C45" s="8" t="n"/>
      <c r="D45" s="9" t="n"/>
      <c r="E45" s="8" t="n"/>
      <c r="F45" s="9" t="n"/>
      <c r="G45" s="9" t="n"/>
      <c r="H45" s="3">
        <f>IF(AND(D45&lt;&gt;"",F45&lt;&gt;""),F45-D45-G45,"")</f>
        <v/>
      </c>
      <c r="I45" s="14">
        <f>IF(AND(C45&lt;&gt;"", E45&lt;&gt;""), (E45-C45) &amp; " days", "")</f>
        <v/>
      </c>
      <c r="J45" s="2">
        <f>IF(OR(C45="", E45="", A45=""), "", IF(LEFT(A45,9)="MF (Equit", IF((E45-C45)&gt;365, "LTCG", "STCG"), IF(C45&gt;DATE(2023,4,1), "STCG (Fixed)", "STCG")))</f>
        <v/>
      </c>
      <c r="K45" s="5">
        <f>IF(J45="", "", IF(J45="LTCG", "12.5%", IF(LEFT(A45,9)="MF (Equit", "20.0%", "Slab Rate")))</f>
        <v/>
      </c>
      <c r="L45" s="3">
        <f>IF(OR(H45="", K45=""), "", IF(K45="Slab Rate", "As per Slab", IF(ISNUMBER(VALUE(LEFT(K45,LEN(K45)-1))), H45*VALUE(LEFT(K45,LEN(K45)-1))/100, "")))</f>
        <v/>
      </c>
    </row>
    <row r="46">
      <c r="A46" s="11" t="n"/>
      <c r="B46" s="7" t="n"/>
      <c r="C46" s="8" t="n"/>
      <c r="D46" s="9" t="n"/>
      <c r="E46" s="8" t="n"/>
      <c r="F46" s="9" t="n"/>
      <c r="G46" s="9" t="n"/>
      <c r="H46" s="3">
        <f>IF(AND(D46&lt;&gt;"",F46&lt;&gt;""),F46-D46-G46,"")</f>
        <v/>
      </c>
      <c r="I46" s="14">
        <f>IF(AND(C46&lt;&gt;"", E46&lt;&gt;""), (E46-C46) &amp; " days", "")</f>
        <v/>
      </c>
      <c r="J46" s="2">
        <f>IF(OR(C46="", E46="", A46=""), "", IF(LEFT(A46,9)="MF (Equit", IF((E46-C46)&gt;365, "LTCG", "STCG"), IF(C46&gt;DATE(2023,4,1), "STCG (Fixed)", "STCG")))</f>
        <v/>
      </c>
      <c r="K46" s="5">
        <f>IF(J46="", "", IF(J46="LTCG", "12.5%", IF(LEFT(A46,9)="MF (Equit", "20.0%", "Slab Rate")))</f>
        <v/>
      </c>
      <c r="L46" s="3">
        <f>IF(OR(H46="", K46=""), "", IF(K46="Slab Rate", "As per Slab", IF(ISNUMBER(VALUE(LEFT(K46,LEN(K46)-1))), H46*VALUE(LEFT(K46,LEN(K46)-1))/100, "")))</f>
        <v/>
      </c>
    </row>
    <row r="47">
      <c r="A47" s="11" t="n"/>
      <c r="B47" s="7" t="n"/>
      <c r="C47" s="8" t="n"/>
      <c r="D47" s="9" t="n"/>
      <c r="E47" s="8" t="n"/>
      <c r="F47" s="9" t="n"/>
      <c r="G47" s="9" t="n"/>
      <c r="H47" s="3">
        <f>IF(AND(D47&lt;&gt;"",F47&lt;&gt;""),F47-D47-G47,"")</f>
        <v/>
      </c>
      <c r="I47" s="14">
        <f>IF(AND(C47&lt;&gt;"", E47&lt;&gt;""), (E47-C47) &amp; " days", "")</f>
        <v/>
      </c>
      <c r="J47" s="2">
        <f>IF(OR(C47="", E47="", A47=""), "", IF(LEFT(A47,9)="MF (Equit", IF((E47-C47)&gt;365, "LTCG", "STCG"), IF(C47&gt;DATE(2023,4,1), "STCG (Fixed)", "STCG")))</f>
        <v/>
      </c>
      <c r="K47" s="5">
        <f>IF(J47="", "", IF(J47="LTCG", "12.5%", IF(LEFT(A47,9)="MF (Equit", "20.0%", "Slab Rate")))</f>
        <v/>
      </c>
      <c r="L47" s="3">
        <f>IF(OR(H47="", K47=""), "", IF(K47="Slab Rate", "As per Slab", IF(ISNUMBER(VALUE(LEFT(K47,LEN(K47)-1))), H47*VALUE(LEFT(K47,LEN(K47)-1))/100, "")))</f>
        <v/>
      </c>
    </row>
    <row r="48">
      <c r="A48" s="11" t="n"/>
      <c r="B48" s="7" t="n"/>
      <c r="C48" s="8" t="n"/>
      <c r="D48" s="9" t="n"/>
      <c r="E48" s="8" t="n"/>
      <c r="F48" s="9" t="n"/>
      <c r="G48" s="9" t="n"/>
      <c r="H48" s="3">
        <f>IF(AND(D48&lt;&gt;"",F48&lt;&gt;""),F48-D48-G48,"")</f>
        <v/>
      </c>
      <c r="I48" s="14">
        <f>IF(AND(C48&lt;&gt;"", E48&lt;&gt;""), (E48-C48) &amp; " days", "")</f>
        <v/>
      </c>
      <c r="J48" s="2">
        <f>IF(OR(C48="", E48="", A48=""), "", IF(LEFT(A48,9)="MF (Equit", IF((E48-C48)&gt;365, "LTCG", "STCG"), IF(C48&gt;DATE(2023,4,1), "STCG (Fixed)", "STCG")))</f>
        <v/>
      </c>
      <c r="K48" s="5">
        <f>IF(J48="", "", IF(J48="LTCG", "12.5%", IF(LEFT(A48,9)="MF (Equit", "20.0%", "Slab Rate")))</f>
        <v/>
      </c>
      <c r="L48" s="3">
        <f>IF(OR(H48="", K48=""), "", IF(K48="Slab Rate", "As per Slab", IF(ISNUMBER(VALUE(LEFT(K48,LEN(K48)-1))), H48*VALUE(LEFT(K48,LEN(K48)-1))/100, "")))</f>
        <v/>
      </c>
    </row>
    <row r="49">
      <c r="A49" s="11" t="n"/>
      <c r="B49" s="7" t="n"/>
      <c r="C49" s="8" t="n"/>
      <c r="D49" s="9" t="n"/>
      <c r="E49" s="8" t="n"/>
      <c r="F49" s="9" t="n"/>
      <c r="G49" s="9" t="n"/>
      <c r="H49" s="3">
        <f>IF(AND(D49&lt;&gt;"",F49&lt;&gt;""),F49-D49-G49,"")</f>
        <v/>
      </c>
      <c r="I49" s="14">
        <f>IF(AND(C49&lt;&gt;"", E49&lt;&gt;""), (E49-C49) &amp; " days", "")</f>
        <v/>
      </c>
      <c r="J49" s="2">
        <f>IF(OR(C49="", E49="", A49=""), "", IF(LEFT(A49,9)="MF (Equit", IF((E49-C49)&gt;365, "LTCG", "STCG"), IF(C49&gt;DATE(2023,4,1), "STCG (Fixed)", "STCG")))</f>
        <v/>
      </c>
      <c r="K49" s="5">
        <f>IF(J49="", "", IF(J49="LTCG", "12.5%", IF(LEFT(A49,9)="MF (Equit", "20.0%", "Slab Rate")))</f>
        <v/>
      </c>
      <c r="L49" s="3">
        <f>IF(OR(H49="", K49=""), "", IF(K49="Slab Rate", "As per Slab", IF(ISNUMBER(VALUE(LEFT(K49,LEN(K49)-1))), H49*VALUE(LEFT(K49,LEN(K49)-1))/100, "")))</f>
        <v/>
      </c>
    </row>
    <row r="50">
      <c r="A50" s="11" t="n"/>
      <c r="B50" s="7" t="n"/>
      <c r="C50" s="8" t="n"/>
      <c r="D50" s="9" t="n"/>
      <c r="E50" s="8" t="n"/>
      <c r="F50" s="9" t="n"/>
      <c r="G50" s="9" t="n"/>
      <c r="H50" s="3">
        <f>IF(AND(D50&lt;&gt;"",F50&lt;&gt;""),F50-D50-G50,"")</f>
        <v/>
      </c>
      <c r="I50" s="14">
        <f>IF(AND(C50&lt;&gt;"", E50&lt;&gt;""), (E50-C50) &amp; " days", "")</f>
        <v/>
      </c>
      <c r="J50" s="2">
        <f>IF(OR(C50="", E50="", A50=""), "", IF(LEFT(A50,9)="MF (Equit", IF((E50-C50)&gt;365, "LTCG", "STCG"), IF(C50&gt;DATE(2023,4,1), "STCG (Fixed)", "STCG")))</f>
        <v/>
      </c>
      <c r="K50" s="5">
        <f>IF(J50="", "", IF(J50="LTCG", "12.5%", IF(LEFT(A50,9)="MF (Equit", "20.0%", "Slab Rate")))</f>
        <v/>
      </c>
      <c r="L50" s="3">
        <f>IF(OR(H50="", K50=""), "", IF(K50="Slab Rate", "As per Slab", IF(ISNUMBER(VALUE(LEFT(K50,LEN(K50)-1))), H50*VALUE(LEFT(K50,LEN(K50)-1))/100, "")))</f>
        <v/>
      </c>
    </row>
    <row r="51">
      <c r="A51" s="11" t="n"/>
      <c r="B51" s="7" t="n"/>
      <c r="C51" s="8" t="n"/>
      <c r="D51" s="9" t="n"/>
      <c r="E51" s="8" t="n"/>
      <c r="F51" s="9" t="n"/>
      <c r="G51" s="9" t="n"/>
      <c r="H51" s="3">
        <f>IF(AND(D51&lt;&gt;"",F51&lt;&gt;""),F51-D51-G51,"")</f>
        <v/>
      </c>
      <c r="I51" s="14">
        <f>IF(AND(C51&lt;&gt;"", E51&lt;&gt;""), (E51-C51) &amp; " days", "")</f>
        <v/>
      </c>
      <c r="J51" s="2">
        <f>IF(OR(C51="", E51="", A51=""), "", IF(LEFT(A51,9)="MF (Equit", IF((E51-C51)&gt;365, "LTCG", "STCG"), IF(C51&gt;DATE(2023,4,1), "STCG (Fixed)", "STCG")))</f>
        <v/>
      </c>
      <c r="K51" s="5">
        <f>IF(J51="", "", IF(J51="LTCG", "12.5%", IF(LEFT(A51,9)="MF (Equit", "20.0%", "Slab Rate")))</f>
        <v/>
      </c>
      <c r="L51" s="3">
        <f>IF(OR(H51="", K51=""), "", IF(K51="Slab Rate", "As per Slab", IF(ISNUMBER(VALUE(LEFT(K51,LEN(K51)-1))), H51*VALUE(LEFT(K51,LEN(K51)-1))/100, "")))</f>
        <v/>
      </c>
    </row>
    <row r="52">
      <c r="A52" s="11" t="n"/>
      <c r="B52" s="7" t="n"/>
      <c r="C52" s="8" t="n"/>
      <c r="D52" s="9" t="n"/>
      <c r="E52" s="8" t="n"/>
      <c r="F52" s="9" t="n"/>
      <c r="G52" s="9" t="n"/>
      <c r="H52" s="3">
        <f>IF(AND(D52&lt;&gt;"",F52&lt;&gt;""),F52-D52-G52,"")</f>
        <v/>
      </c>
      <c r="I52" s="14">
        <f>IF(AND(C52&lt;&gt;"", E52&lt;&gt;""), (E52-C52) &amp; " days", "")</f>
        <v/>
      </c>
      <c r="J52" s="2">
        <f>IF(OR(C52="", E52="", A52=""), "", IF(LEFT(A52,9)="MF (Equit", IF((E52-C52)&gt;365, "LTCG", "STCG"), IF(C52&gt;DATE(2023,4,1), "STCG (Fixed)", "STCG")))</f>
        <v/>
      </c>
      <c r="K52" s="5">
        <f>IF(J52="", "", IF(J52="LTCG", "12.5%", IF(LEFT(A52,9)="MF (Equit", "20.0%", "Slab Rate")))</f>
        <v/>
      </c>
      <c r="L52" s="3">
        <f>IF(OR(H52="", K52=""), "", IF(K52="Slab Rate", "As per Slab", IF(ISNUMBER(VALUE(LEFT(K52,LEN(K52)-1))), H52*VALUE(LEFT(K52,LEN(K52)-1))/100, "")))</f>
        <v/>
      </c>
    </row>
    <row r="53">
      <c r="A53" s="11" t="n"/>
      <c r="B53" s="7" t="n"/>
      <c r="C53" s="8" t="n"/>
      <c r="D53" s="9" t="n"/>
      <c r="E53" s="8" t="n"/>
      <c r="F53" s="9" t="n"/>
      <c r="G53" s="9" t="n"/>
      <c r="H53" s="3">
        <f>IF(AND(D53&lt;&gt;"",F53&lt;&gt;""),F53-D53-G53,"")</f>
        <v/>
      </c>
      <c r="I53" s="14">
        <f>IF(AND(C53&lt;&gt;"", E53&lt;&gt;""), (E53-C53) &amp; " days", "")</f>
        <v/>
      </c>
      <c r="J53" s="2">
        <f>IF(OR(C53="", E53="", A53=""), "", IF(LEFT(A53,9)="MF (Equit", IF((E53-C53)&gt;365, "LTCG", "STCG"), IF(C53&gt;DATE(2023,4,1), "STCG (Fixed)", "STCG")))</f>
        <v/>
      </c>
      <c r="K53" s="5">
        <f>IF(J53="", "", IF(J53="LTCG", "12.5%", IF(LEFT(A53,9)="MF (Equit", "20.0%", "Slab Rate")))</f>
        <v/>
      </c>
      <c r="L53" s="3">
        <f>IF(OR(H53="", K53=""), "", IF(K53="Slab Rate", "As per Slab", IF(ISNUMBER(VALUE(LEFT(K53,LEN(K53)-1))), H53*VALUE(LEFT(K53,LEN(K53)-1))/100, "")))</f>
        <v/>
      </c>
    </row>
    <row r="54">
      <c r="A54" s="11" t="n"/>
      <c r="B54" s="7" t="n"/>
      <c r="C54" s="8" t="n"/>
      <c r="D54" s="9" t="n"/>
      <c r="E54" s="8" t="n"/>
      <c r="F54" s="9" t="n"/>
      <c r="G54" s="9" t="n"/>
      <c r="H54" s="3">
        <f>IF(AND(D54&lt;&gt;"",F54&lt;&gt;""),F54-D54-G54,"")</f>
        <v/>
      </c>
      <c r="I54" s="14">
        <f>IF(AND(C54&lt;&gt;"", E54&lt;&gt;""), (E54-C54) &amp; " days", "")</f>
        <v/>
      </c>
      <c r="J54" s="2">
        <f>IF(OR(C54="", E54="", A54=""), "", IF(LEFT(A54,9)="MF (Equit", IF((E54-C54)&gt;365, "LTCG", "STCG"), IF(C54&gt;DATE(2023,4,1), "STCG (Fixed)", "STCG")))</f>
        <v/>
      </c>
      <c r="K54" s="5">
        <f>IF(J54="", "", IF(J54="LTCG", "12.5%", IF(LEFT(A54,9)="MF (Equit", "20.0%", "Slab Rate")))</f>
        <v/>
      </c>
      <c r="L54" s="3">
        <f>IF(OR(H54="", K54=""), "", IF(K54="Slab Rate", "As per Slab", IF(ISNUMBER(VALUE(LEFT(K54,LEN(K54)-1))), H54*VALUE(LEFT(K54,LEN(K54)-1))/100, "")))</f>
        <v/>
      </c>
    </row>
    <row r="55">
      <c r="A55" s="11" t="n"/>
      <c r="B55" s="7" t="n"/>
      <c r="C55" s="8" t="n"/>
      <c r="D55" s="9" t="n"/>
      <c r="E55" s="8" t="n"/>
      <c r="F55" s="9" t="n"/>
      <c r="G55" s="9" t="n"/>
      <c r="H55" s="3">
        <f>IF(AND(D55&lt;&gt;"",F55&lt;&gt;""),F55-D55-G55,"")</f>
        <v/>
      </c>
      <c r="I55" s="14">
        <f>IF(AND(C55&lt;&gt;"", E55&lt;&gt;""), (E55-C55) &amp; " days", "")</f>
        <v/>
      </c>
      <c r="J55" s="2">
        <f>IF(OR(C55="", E55="", A55=""), "", IF(LEFT(A55,9)="MF (Equit", IF((E55-C55)&gt;365, "LTCG", "STCG"), IF(C55&gt;DATE(2023,4,1), "STCG (Fixed)", "STCG")))</f>
        <v/>
      </c>
      <c r="K55" s="5">
        <f>IF(J55="", "", IF(J55="LTCG", "12.5%", IF(LEFT(A55,9)="MF (Equit", "20.0%", "Slab Rate")))</f>
        <v/>
      </c>
      <c r="L55" s="3">
        <f>IF(OR(H55="", K55=""), "", IF(K55="Slab Rate", "As per Slab", IF(ISNUMBER(VALUE(LEFT(K55,LEN(K55)-1))), H55*VALUE(LEFT(K55,LEN(K55)-1))/100, "")))</f>
        <v/>
      </c>
    </row>
    <row r="56">
      <c r="A56" s="11" t="n"/>
      <c r="B56" s="7" t="n"/>
      <c r="C56" s="8" t="n"/>
      <c r="D56" s="9" t="n"/>
      <c r="E56" s="8" t="n"/>
      <c r="F56" s="9" t="n"/>
      <c r="G56" s="9" t="n"/>
      <c r="H56" s="3">
        <f>IF(AND(D56&lt;&gt;"",F56&lt;&gt;""),F56-D56-G56,"")</f>
        <v/>
      </c>
      <c r="I56" s="14">
        <f>IF(AND(C56&lt;&gt;"", E56&lt;&gt;""), (E56-C56) &amp; " days", "")</f>
        <v/>
      </c>
      <c r="J56" s="2">
        <f>IF(OR(C56="", E56="", A56=""), "", IF(LEFT(A56,9)="MF (Equit", IF((E56-C56)&gt;365, "LTCG", "STCG"), IF(C56&gt;DATE(2023,4,1), "STCG (Fixed)", "STCG")))</f>
        <v/>
      </c>
      <c r="K56" s="5">
        <f>IF(J56="", "", IF(J56="LTCG", "12.5%", IF(LEFT(A56,9)="MF (Equit", "20.0%", "Slab Rate")))</f>
        <v/>
      </c>
      <c r="L56" s="3">
        <f>IF(OR(H56="", K56=""), "", IF(K56="Slab Rate", "As per Slab", IF(ISNUMBER(VALUE(LEFT(K56,LEN(K56)-1))), H56*VALUE(LEFT(K56,LEN(K56)-1))/100, "")))</f>
        <v/>
      </c>
    </row>
    <row r="57">
      <c r="A57" s="11" t="n"/>
      <c r="B57" s="7" t="n"/>
      <c r="C57" s="8" t="n"/>
      <c r="D57" s="9" t="n"/>
      <c r="E57" s="8" t="n"/>
      <c r="F57" s="9" t="n"/>
      <c r="G57" s="9" t="n"/>
      <c r="H57" s="3">
        <f>IF(AND(D57&lt;&gt;"",F57&lt;&gt;""),F57-D57-G57,"")</f>
        <v/>
      </c>
      <c r="I57" s="14">
        <f>IF(AND(C57&lt;&gt;"", E57&lt;&gt;""), (E57-C57) &amp; " days", "")</f>
        <v/>
      </c>
      <c r="J57" s="2">
        <f>IF(OR(C57="", E57="", A57=""), "", IF(LEFT(A57,9)="MF (Equit", IF((E57-C57)&gt;365, "LTCG", "STCG"), IF(C57&gt;DATE(2023,4,1), "STCG (Fixed)", "STCG")))</f>
        <v/>
      </c>
      <c r="K57" s="5">
        <f>IF(J57="", "", IF(J57="LTCG", "12.5%", IF(LEFT(A57,9)="MF (Equit", "20.0%", "Slab Rate")))</f>
        <v/>
      </c>
      <c r="L57" s="3">
        <f>IF(OR(H57="", K57=""), "", IF(K57="Slab Rate", "As per Slab", IF(ISNUMBER(VALUE(LEFT(K57,LEN(K57)-1))), H57*VALUE(LEFT(K57,LEN(K57)-1))/100, "")))</f>
        <v/>
      </c>
    </row>
    <row r="58">
      <c r="A58" s="11" t="n"/>
      <c r="B58" s="7" t="n"/>
      <c r="C58" s="8" t="n"/>
      <c r="D58" s="9" t="n"/>
      <c r="E58" s="8" t="n"/>
      <c r="F58" s="9" t="n"/>
      <c r="G58" s="9" t="n"/>
      <c r="H58" s="3">
        <f>IF(AND(D58&lt;&gt;"",F58&lt;&gt;""),F58-D58-G58,"")</f>
        <v/>
      </c>
      <c r="I58" s="14">
        <f>IF(AND(C58&lt;&gt;"", E58&lt;&gt;""), (E58-C58) &amp; " days", "")</f>
        <v/>
      </c>
      <c r="J58" s="2">
        <f>IF(OR(C58="", E58="", A58=""), "", IF(LEFT(A58,9)="MF (Equit", IF((E58-C58)&gt;365, "LTCG", "STCG"), IF(C58&gt;DATE(2023,4,1), "STCG (Fixed)", "STCG")))</f>
        <v/>
      </c>
      <c r="K58" s="5">
        <f>IF(J58="", "", IF(J58="LTCG", "12.5%", IF(LEFT(A58,9)="MF (Equit", "20.0%", "Slab Rate")))</f>
        <v/>
      </c>
      <c r="L58" s="3">
        <f>IF(OR(H58="", K58=""), "", IF(K58="Slab Rate", "As per Slab", IF(ISNUMBER(VALUE(LEFT(K58,LEN(K58)-1))), H58*VALUE(LEFT(K58,LEN(K58)-1))/100, "")))</f>
        <v/>
      </c>
    </row>
    <row r="59">
      <c r="A59" s="11" t="n"/>
      <c r="B59" s="7" t="n"/>
      <c r="C59" s="8" t="n"/>
      <c r="D59" s="9" t="n"/>
      <c r="E59" s="8" t="n"/>
      <c r="F59" s="9" t="n"/>
      <c r="G59" s="9" t="n"/>
      <c r="H59" s="3">
        <f>IF(AND(D59&lt;&gt;"",F59&lt;&gt;""),F59-D59-G59,"")</f>
        <v/>
      </c>
      <c r="I59" s="14">
        <f>IF(AND(C59&lt;&gt;"", E59&lt;&gt;""), (E59-C59) &amp; " days", "")</f>
        <v/>
      </c>
      <c r="J59" s="2">
        <f>IF(OR(C59="", E59="", A59=""), "", IF(LEFT(A59,9)="MF (Equit", IF((E59-C59)&gt;365, "LTCG", "STCG"), IF(C59&gt;DATE(2023,4,1), "STCG (Fixed)", "STCG")))</f>
        <v/>
      </c>
      <c r="K59" s="5">
        <f>IF(J59="", "", IF(J59="LTCG", "12.5%", IF(LEFT(A59,9)="MF (Equit", "20.0%", "Slab Rate")))</f>
        <v/>
      </c>
      <c r="L59" s="3">
        <f>IF(OR(H59="", K59=""), "", IF(K59="Slab Rate", "As per Slab", IF(ISNUMBER(VALUE(LEFT(K59,LEN(K59)-1))), H59*VALUE(LEFT(K59,LEN(K59)-1))/100, "")))</f>
        <v/>
      </c>
    </row>
    <row r="60">
      <c r="A60" s="11" t="n"/>
      <c r="B60" s="7" t="n"/>
      <c r="C60" s="8" t="n"/>
      <c r="D60" s="9" t="n"/>
      <c r="E60" s="8" t="n"/>
      <c r="F60" s="9" t="n"/>
      <c r="G60" s="9" t="n"/>
      <c r="H60" s="3">
        <f>IF(AND(D60&lt;&gt;"",F60&lt;&gt;""),F60-D60-G60,"")</f>
        <v/>
      </c>
      <c r="I60" s="14">
        <f>IF(AND(C60&lt;&gt;"", E60&lt;&gt;""), (E60-C60) &amp; " days", "")</f>
        <v/>
      </c>
      <c r="J60" s="2">
        <f>IF(OR(C60="", E60="", A60=""), "", IF(LEFT(A60,9)="MF (Equit", IF((E60-C60)&gt;365, "LTCG", "STCG"), IF(C60&gt;DATE(2023,4,1), "STCG (Fixed)", "STCG")))</f>
        <v/>
      </c>
      <c r="K60" s="5">
        <f>IF(J60="", "", IF(J60="LTCG", "12.5%", IF(LEFT(A60,9)="MF (Equit", "20.0%", "Slab Rate")))</f>
        <v/>
      </c>
      <c r="L60" s="3">
        <f>IF(OR(H60="", K60=""), "", IF(K60="Slab Rate", "As per Slab", IF(ISNUMBER(VALUE(LEFT(K60,LEN(K60)-1))), H60*VALUE(LEFT(K60,LEN(K60)-1))/100, "")))</f>
        <v/>
      </c>
    </row>
    <row r="61">
      <c r="A61" s="11" t="n"/>
      <c r="B61" s="7" t="n"/>
      <c r="C61" s="8" t="n"/>
      <c r="D61" s="9" t="n"/>
      <c r="E61" s="8" t="n"/>
      <c r="F61" s="9" t="n"/>
      <c r="G61" s="9" t="n"/>
      <c r="H61" s="3">
        <f>IF(AND(D61&lt;&gt;"",F61&lt;&gt;""),F61-D61-G61,"")</f>
        <v/>
      </c>
      <c r="I61" s="14">
        <f>IF(AND(C61&lt;&gt;"", E61&lt;&gt;""), (E61-C61) &amp; " days", "")</f>
        <v/>
      </c>
      <c r="J61" s="2">
        <f>IF(OR(C61="", E61="", A61=""), "", IF(LEFT(A61,9)="MF (Equit", IF((E61-C61)&gt;365, "LTCG", "STCG"), IF(C61&gt;DATE(2023,4,1), "STCG (Fixed)", "STCG")))</f>
        <v/>
      </c>
      <c r="K61" s="5">
        <f>IF(J61="", "", IF(J61="LTCG", "12.5%", IF(LEFT(A61,9)="MF (Equit", "20.0%", "Slab Rate")))</f>
        <v/>
      </c>
      <c r="L61" s="3">
        <f>IF(OR(H61="", K61=""), "", IF(K61="Slab Rate", "As per Slab", IF(ISNUMBER(VALUE(LEFT(K61,LEN(K61)-1))), H61*VALUE(LEFT(K61,LEN(K61)-1))/100, "")))</f>
        <v/>
      </c>
    </row>
    <row r="62">
      <c r="A62" s="11" t="n"/>
      <c r="B62" s="7" t="n"/>
      <c r="C62" s="8" t="n"/>
      <c r="D62" s="9" t="n"/>
      <c r="E62" s="8" t="n"/>
      <c r="F62" s="9" t="n"/>
      <c r="G62" s="9" t="n"/>
      <c r="H62" s="3">
        <f>IF(AND(D62&lt;&gt;"",F62&lt;&gt;""),F62-D62-G62,"")</f>
        <v/>
      </c>
      <c r="I62" s="14">
        <f>IF(AND(C62&lt;&gt;"", E62&lt;&gt;""), (E62-C62) &amp; " days", "")</f>
        <v/>
      </c>
      <c r="J62" s="2">
        <f>IF(OR(C62="", E62="", A62=""), "", IF(LEFT(A62,9)="MF (Equit", IF((E62-C62)&gt;365, "LTCG", "STCG"), IF(C62&gt;DATE(2023,4,1), "STCG (Fixed)", "STCG")))</f>
        <v/>
      </c>
      <c r="K62" s="5">
        <f>IF(J62="", "", IF(J62="LTCG", "12.5%", IF(LEFT(A62,9)="MF (Equit", "20.0%", "Slab Rate")))</f>
        <v/>
      </c>
      <c r="L62" s="3">
        <f>IF(OR(H62="", K62=""), "", IF(K62="Slab Rate", "As per Slab", IF(ISNUMBER(VALUE(LEFT(K62,LEN(K62)-1))), H62*VALUE(LEFT(K62,LEN(K62)-1))/100, "")))</f>
        <v/>
      </c>
    </row>
    <row r="63">
      <c r="A63" s="11" t="n"/>
      <c r="B63" s="7" t="n"/>
      <c r="C63" s="8" t="n"/>
      <c r="D63" s="9" t="n"/>
      <c r="E63" s="8" t="n"/>
      <c r="F63" s="9" t="n"/>
      <c r="G63" s="9" t="n"/>
      <c r="H63" s="3">
        <f>IF(AND(D63&lt;&gt;"",F63&lt;&gt;""),F63-D63-G63,"")</f>
        <v/>
      </c>
      <c r="I63" s="14">
        <f>IF(AND(C63&lt;&gt;"", E63&lt;&gt;""), (E63-C63) &amp; " days", "")</f>
        <v/>
      </c>
      <c r="J63" s="2">
        <f>IF(OR(C63="", E63="", A63=""), "", IF(LEFT(A63,9)="MF (Equit", IF((E63-C63)&gt;365, "LTCG", "STCG"), IF(C63&gt;DATE(2023,4,1), "STCG (Fixed)", "STCG")))</f>
        <v/>
      </c>
      <c r="K63" s="5">
        <f>IF(J63="", "", IF(J63="LTCG", "12.5%", IF(LEFT(A63,9)="MF (Equit", "20.0%", "Slab Rate")))</f>
        <v/>
      </c>
      <c r="L63" s="3">
        <f>IF(OR(H63="", K63=""), "", IF(K63="Slab Rate", "As per Slab", IF(ISNUMBER(VALUE(LEFT(K63,LEN(K63)-1))), H63*VALUE(LEFT(K63,LEN(K63)-1))/100, "")))</f>
        <v/>
      </c>
    </row>
    <row r="64">
      <c r="A64" s="11" t="n"/>
      <c r="B64" s="7" t="n"/>
      <c r="C64" s="8" t="n"/>
      <c r="D64" s="9" t="n"/>
      <c r="E64" s="8" t="n"/>
      <c r="F64" s="9" t="n"/>
      <c r="G64" s="9" t="n"/>
      <c r="H64" s="3">
        <f>IF(AND(D64&lt;&gt;"",F64&lt;&gt;""),F64-D64-G64,"")</f>
        <v/>
      </c>
      <c r="I64" s="14">
        <f>IF(AND(C64&lt;&gt;"", E64&lt;&gt;""), (E64-C64) &amp; " days", "")</f>
        <v/>
      </c>
      <c r="J64" s="2">
        <f>IF(OR(C64="", E64="", A64=""), "", IF(LEFT(A64,9)="MF (Equit", IF((E64-C64)&gt;365, "LTCG", "STCG"), IF(C64&gt;DATE(2023,4,1), "STCG (Fixed)", "STCG")))</f>
        <v/>
      </c>
      <c r="K64" s="5">
        <f>IF(J64="", "", IF(J64="LTCG", "12.5%", IF(LEFT(A64,9)="MF (Equit", "20.0%", "Slab Rate")))</f>
        <v/>
      </c>
      <c r="L64" s="3">
        <f>IF(OR(H64="", K64=""), "", IF(K64="Slab Rate", "As per Slab", IF(ISNUMBER(VALUE(LEFT(K64,LEN(K64)-1))), H64*VALUE(LEFT(K64,LEN(K64)-1))/100, "")))</f>
        <v/>
      </c>
    </row>
    <row r="65">
      <c r="A65" s="11" t="n"/>
      <c r="B65" s="7" t="n"/>
      <c r="C65" s="8" t="n"/>
      <c r="D65" s="9" t="n"/>
      <c r="E65" s="8" t="n"/>
      <c r="F65" s="9" t="n"/>
      <c r="G65" s="9" t="n"/>
      <c r="H65" s="3">
        <f>IF(AND(D65&lt;&gt;"",F65&lt;&gt;""),F65-D65-G65,"")</f>
        <v/>
      </c>
      <c r="I65" s="14">
        <f>IF(AND(C65&lt;&gt;"", E65&lt;&gt;""), (E65-C65) &amp; " days", "")</f>
        <v/>
      </c>
      <c r="J65" s="2">
        <f>IF(OR(C65="", E65="", A65=""), "", IF(LEFT(A65,9)="MF (Equit", IF((E65-C65)&gt;365, "LTCG", "STCG"), IF(C65&gt;DATE(2023,4,1), "STCG (Fixed)", "STCG")))</f>
        <v/>
      </c>
      <c r="K65" s="5">
        <f>IF(J65="", "", IF(J65="LTCG", "12.5%", IF(LEFT(A65,9)="MF (Equit", "20.0%", "Slab Rate")))</f>
        <v/>
      </c>
      <c r="L65" s="3">
        <f>IF(OR(H65="", K65=""), "", IF(K65="Slab Rate", "As per Slab", IF(ISNUMBER(VALUE(LEFT(K65,LEN(K65)-1))), H65*VALUE(LEFT(K65,LEN(K65)-1))/100, "")))</f>
        <v/>
      </c>
    </row>
    <row r="66">
      <c r="A66" s="11" t="n"/>
      <c r="B66" s="7" t="n"/>
      <c r="C66" s="8" t="n"/>
      <c r="D66" s="9" t="n"/>
      <c r="E66" s="8" t="n"/>
      <c r="F66" s="9" t="n"/>
      <c r="G66" s="9" t="n"/>
      <c r="H66" s="3">
        <f>IF(AND(D66&lt;&gt;"",F66&lt;&gt;""),F66-D66-G66,"")</f>
        <v/>
      </c>
      <c r="I66" s="14">
        <f>IF(AND(C66&lt;&gt;"", E66&lt;&gt;""), (E66-C66) &amp; " days", "")</f>
        <v/>
      </c>
      <c r="J66" s="2">
        <f>IF(OR(C66="", E66="", A66=""), "", IF(LEFT(A66,9)="MF (Equit", IF((E66-C66)&gt;365, "LTCG", "STCG"), IF(C66&gt;DATE(2023,4,1), "STCG (Fixed)", "STCG")))</f>
        <v/>
      </c>
      <c r="K66" s="5">
        <f>IF(J66="", "", IF(J66="LTCG", "12.5%", IF(LEFT(A66,9)="MF (Equit", "20.0%", "Slab Rate")))</f>
        <v/>
      </c>
      <c r="L66" s="3">
        <f>IF(OR(H66="", K66=""), "", IF(K66="Slab Rate", "As per Slab", IF(ISNUMBER(VALUE(LEFT(K66,LEN(K66)-1))), H66*VALUE(LEFT(K66,LEN(K66)-1))/100, "")))</f>
        <v/>
      </c>
    </row>
    <row r="67">
      <c r="A67" s="11" t="n"/>
      <c r="B67" s="7" t="n"/>
      <c r="C67" s="8" t="n"/>
      <c r="D67" s="9" t="n"/>
      <c r="E67" s="8" t="n"/>
      <c r="F67" s="9" t="n"/>
      <c r="G67" s="9" t="n"/>
      <c r="H67" s="3">
        <f>IF(AND(D67&lt;&gt;"",F67&lt;&gt;""),F67-D67-G67,"")</f>
        <v/>
      </c>
      <c r="I67" s="14">
        <f>IF(AND(C67&lt;&gt;"", E67&lt;&gt;""), (E67-C67) &amp; " days", "")</f>
        <v/>
      </c>
      <c r="J67" s="2">
        <f>IF(OR(C67="", E67="", A67=""), "", IF(LEFT(A67,9)="MF (Equit", IF((E67-C67)&gt;365, "LTCG", "STCG"), IF(C67&gt;DATE(2023,4,1), "STCG (Fixed)", "STCG")))</f>
        <v/>
      </c>
      <c r="K67" s="5">
        <f>IF(J67="", "", IF(J67="LTCG", "12.5%", IF(LEFT(A67,9)="MF (Equit", "20.0%", "Slab Rate")))</f>
        <v/>
      </c>
      <c r="L67" s="3">
        <f>IF(OR(H67="", K67=""), "", IF(K67="Slab Rate", "As per Slab", IF(ISNUMBER(VALUE(LEFT(K67,LEN(K67)-1))), H67*VALUE(LEFT(K67,LEN(K67)-1))/100, "")))</f>
        <v/>
      </c>
    </row>
    <row r="68">
      <c r="A68" s="11" t="n"/>
      <c r="B68" s="7" t="n"/>
      <c r="C68" s="8" t="n"/>
      <c r="D68" s="9" t="n"/>
      <c r="E68" s="8" t="n"/>
      <c r="F68" s="9" t="n"/>
      <c r="G68" s="9" t="n"/>
      <c r="H68" s="3">
        <f>IF(AND(D68&lt;&gt;"",F68&lt;&gt;""),F68-D68-G68,"")</f>
        <v/>
      </c>
      <c r="I68" s="14">
        <f>IF(AND(C68&lt;&gt;"", E68&lt;&gt;""), (E68-C68) &amp; " days", "")</f>
        <v/>
      </c>
      <c r="J68" s="2">
        <f>IF(OR(C68="", E68="", A68=""), "", IF(LEFT(A68,9)="MF (Equit", IF((E68-C68)&gt;365, "LTCG", "STCG"), IF(C68&gt;DATE(2023,4,1), "STCG (Fixed)", "STCG")))</f>
        <v/>
      </c>
      <c r="K68" s="5">
        <f>IF(J68="", "", IF(J68="LTCG", "12.5%", IF(LEFT(A68,9)="MF (Equit", "20.0%", "Slab Rate")))</f>
        <v/>
      </c>
      <c r="L68" s="3">
        <f>IF(OR(H68="", K68=""), "", IF(K68="Slab Rate", "As per Slab", IF(ISNUMBER(VALUE(LEFT(K68,LEN(K68)-1))), H68*VALUE(LEFT(K68,LEN(K68)-1))/100, "")))</f>
        <v/>
      </c>
    </row>
    <row r="69">
      <c r="A69" s="11" t="n"/>
      <c r="B69" s="7" t="n"/>
      <c r="C69" s="8" t="n"/>
      <c r="D69" s="9" t="n"/>
      <c r="E69" s="8" t="n"/>
      <c r="F69" s="9" t="n"/>
      <c r="G69" s="9" t="n"/>
      <c r="H69" s="3">
        <f>IF(AND(D69&lt;&gt;"",F69&lt;&gt;""),F69-D69-G69,"")</f>
        <v/>
      </c>
      <c r="I69" s="14">
        <f>IF(AND(C69&lt;&gt;"", E69&lt;&gt;""), (E69-C69) &amp; " days", "")</f>
        <v/>
      </c>
      <c r="J69" s="2">
        <f>IF(OR(C69="", E69="", A69=""), "", IF(LEFT(A69,9)="MF (Equit", IF((E69-C69)&gt;365, "LTCG", "STCG"), IF(C69&gt;DATE(2023,4,1), "STCG (Fixed)", "STCG")))</f>
        <v/>
      </c>
      <c r="K69" s="5">
        <f>IF(J69="", "", IF(J69="LTCG", "12.5%", IF(LEFT(A69,9)="MF (Equit", "20.0%", "Slab Rate")))</f>
        <v/>
      </c>
      <c r="L69" s="3">
        <f>IF(OR(H69="", K69=""), "", IF(K69="Slab Rate", "As per Slab", IF(ISNUMBER(VALUE(LEFT(K69,LEN(K69)-1))), H69*VALUE(LEFT(K69,LEN(K69)-1))/100, "")))</f>
        <v/>
      </c>
    </row>
    <row r="70">
      <c r="A70" s="11" t="n"/>
      <c r="B70" s="7" t="n"/>
      <c r="C70" s="8" t="n"/>
      <c r="D70" s="9" t="n"/>
      <c r="E70" s="8" t="n"/>
      <c r="F70" s="9" t="n"/>
      <c r="G70" s="9" t="n"/>
      <c r="H70" s="3">
        <f>IF(AND(D70&lt;&gt;"",F70&lt;&gt;""),F70-D70-G70,"")</f>
        <v/>
      </c>
      <c r="I70" s="14">
        <f>IF(AND(C70&lt;&gt;"", E70&lt;&gt;""), (E70-C70) &amp; " days", "")</f>
        <v/>
      </c>
      <c r="J70" s="2">
        <f>IF(OR(C70="", E70="", A70=""), "", IF(LEFT(A70,9)="MF (Equit", IF((E70-C70)&gt;365, "LTCG", "STCG"), IF(C70&gt;DATE(2023,4,1), "STCG (Fixed)", "STCG")))</f>
        <v/>
      </c>
      <c r="K70" s="5">
        <f>IF(J70="", "", IF(J70="LTCG", "12.5%", IF(LEFT(A70,9)="MF (Equit", "20.0%", "Slab Rate")))</f>
        <v/>
      </c>
      <c r="L70" s="3">
        <f>IF(OR(H70="", K70=""), "", IF(K70="Slab Rate", "As per Slab", IF(ISNUMBER(VALUE(LEFT(K70,LEN(K70)-1))), H70*VALUE(LEFT(K70,LEN(K70)-1))/100, "")))</f>
        <v/>
      </c>
    </row>
    <row r="71">
      <c r="A71" s="11" t="n"/>
      <c r="B71" s="7" t="n"/>
      <c r="C71" s="8" t="n"/>
      <c r="D71" s="9" t="n"/>
      <c r="E71" s="8" t="n"/>
      <c r="F71" s="9" t="n"/>
      <c r="G71" s="9" t="n"/>
      <c r="H71" s="3">
        <f>IF(AND(D71&lt;&gt;"",F71&lt;&gt;""),F71-D71-G71,"")</f>
        <v/>
      </c>
      <c r="I71" s="14">
        <f>IF(AND(C71&lt;&gt;"", E71&lt;&gt;""), (E71-C71) &amp; " days", "")</f>
        <v/>
      </c>
      <c r="J71" s="2">
        <f>IF(OR(C71="", E71="", A71=""), "", IF(LEFT(A71,9)="MF (Equit", IF((E71-C71)&gt;365, "LTCG", "STCG"), IF(C71&gt;DATE(2023,4,1), "STCG (Fixed)", "STCG")))</f>
        <v/>
      </c>
      <c r="K71" s="5">
        <f>IF(J71="", "", IF(J71="LTCG", "12.5%", IF(LEFT(A71,9)="MF (Equit", "20.0%", "Slab Rate")))</f>
        <v/>
      </c>
      <c r="L71" s="3">
        <f>IF(OR(H71="", K71=""), "", IF(K71="Slab Rate", "As per Slab", IF(ISNUMBER(VALUE(LEFT(K71,LEN(K71)-1))), H71*VALUE(LEFT(K71,LEN(K71)-1))/100, "")))</f>
        <v/>
      </c>
    </row>
    <row r="72">
      <c r="A72" s="11" t="n"/>
      <c r="B72" s="7" t="n"/>
      <c r="C72" s="8" t="n"/>
      <c r="D72" s="9" t="n"/>
      <c r="E72" s="8" t="n"/>
      <c r="F72" s="9" t="n"/>
      <c r="G72" s="9" t="n"/>
      <c r="H72" s="3">
        <f>IF(AND(D72&lt;&gt;"",F72&lt;&gt;""),F72-D72-G72,"")</f>
        <v/>
      </c>
      <c r="I72" s="14">
        <f>IF(AND(C72&lt;&gt;"", E72&lt;&gt;""), (E72-C72) &amp; " days", "")</f>
        <v/>
      </c>
      <c r="J72" s="2">
        <f>IF(OR(C72="", E72="", A72=""), "", IF(LEFT(A72,9)="MF (Equit", IF((E72-C72)&gt;365, "LTCG", "STCG"), IF(C72&gt;DATE(2023,4,1), "STCG (Fixed)", "STCG")))</f>
        <v/>
      </c>
      <c r="K72" s="5">
        <f>IF(J72="", "", IF(J72="LTCG", "12.5%", IF(LEFT(A72,9)="MF (Equit", "20.0%", "Slab Rate")))</f>
        <v/>
      </c>
      <c r="L72" s="3">
        <f>IF(OR(H72="", K72=""), "", IF(K72="Slab Rate", "As per Slab", IF(ISNUMBER(VALUE(LEFT(K72,LEN(K72)-1))), H72*VALUE(LEFT(K72,LEN(K72)-1))/100, "")))</f>
        <v/>
      </c>
    </row>
    <row r="73">
      <c r="A73" s="11" t="n"/>
      <c r="B73" s="7" t="n"/>
      <c r="C73" s="8" t="n"/>
      <c r="D73" s="9" t="n"/>
      <c r="E73" s="8" t="n"/>
      <c r="F73" s="9" t="n"/>
      <c r="G73" s="9" t="n"/>
      <c r="H73" s="3">
        <f>IF(AND(D73&lt;&gt;"",F73&lt;&gt;""),F73-D73-G73,"")</f>
        <v/>
      </c>
      <c r="I73" s="14">
        <f>IF(AND(C73&lt;&gt;"", E73&lt;&gt;""), (E73-C73) &amp; " days", "")</f>
        <v/>
      </c>
      <c r="J73" s="2">
        <f>IF(OR(C73="", E73="", A73=""), "", IF(LEFT(A73,9)="MF (Equit", IF((E73-C73)&gt;365, "LTCG", "STCG"), IF(C73&gt;DATE(2023,4,1), "STCG (Fixed)", "STCG")))</f>
        <v/>
      </c>
      <c r="K73" s="5">
        <f>IF(J73="", "", IF(J73="LTCG", "12.5%", IF(LEFT(A73,9)="MF (Equit", "20.0%", "Slab Rate")))</f>
        <v/>
      </c>
      <c r="L73" s="3">
        <f>IF(OR(H73="", K73=""), "", IF(K73="Slab Rate", "As per Slab", IF(ISNUMBER(VALUE(LEFT(K73,LEN(K73)-1))), H73*VALUE(LEFT(K73,LEN(K73)-1))/100, "")))</f>
        <v/>
      </c>
    </row>
    <row r="74">
      <c r="A74" s="11" t="n"/>
      <c r="B74" s="7" t="n"/>
      <c r="C74" s="8" t="n"/>
      <c r="D74" s="9" t="n"/>
      <c r="E74" s="8" t="n"/>
      <c r="F74" s="9" t="n"/>
      <c r="G74" s="9" t="n"/>
      <c r="H74" s="3">
        <f>IF(AND(D74&lt;&gt;"",F74&lt;&gt;""),F74-D74-G74,"")</f>
        <v/>
      </c>
      <c r="I74" s="14">
        <f>IF(AND(C74&lt;&gt;"", E74&lt;&gt;""), (E74-C74) &amp; " days", "")</f>
        <v/>
      </c>
      <c r="J74" s="2">
        <f>IF(OR(C74="", E74="", A74=""), "", IF(LEFT(A74,9)="MF (Equit", IF((E74-C74)&gt;365, "LTCG", "STCG"), IF(C74&gt;DATE(2023,4,1), "STCG (Fixed)", "STCG")))</f>
        <v/>
      </c>
      <c r="K74" s="5">
        <f>IF(J74="", "", IF(J74="LTCG", "12.5%", IF(LEFT(A74,9)="MF (Equit", "20.0%", "Slab Rate")))</f>
        <v/>
      </c>
      <c r="L74" s="3">
        <f>IF(OR(H74="", K74=""), "", IF(K74="Slab Rate", "As per Slab", IF(ISNUMBER(VALUE(LEFT(K74,LEN(K74)-1))), H74*VALUE(LEFT(K74,LEN(K74)-1))/100, "")))</f>
        <v/>
      </c>
    </row>
    <row r="75">
      <c r="A75" s="11" t="n"/>
      <c r="B75" s="7" t="n"/>
      <c r="C75" s="8" t="n"/>
      <c r="D75" s="9" t="n"/>
      <c r="E75" s="8" t="n"/>
      <c r="F75" s="9" t="n"/>
      <c r="G75" s="9" t="n"/>
      <c r="H75" s="3">
        <f>IF(AND(D75&lt;&gt;"",F75&lt;&gt;""),F75-D75-G75,"")</f>
        <v/>
      </c>
      <c r="I75" s="14">
        <f>IF(AND(C75&lt;&gt;"", E75&lt;&gt;""), (E75-C75) &amp; " days", "")</f>
        <v/>
      </c>
      <c r="J75" s="2">
        <f>IF(OR(C75="", E75="", A75=""), "", IF(LEFT(A75,9)="MF (Equit", IF((E75-C75)&gt;365, "LTCG", "STCG"), IF(C75&gt;DATE(2023,4,1), "STCG (Fixed)", "STCG")))</f>
        <v/>
      </c>
      <c r="K75" s="5">
        <f>IF(J75="", "", IF(J75="LTCG", "12.5%", IF(LEFT(A75,9)="MF (Equit", "20.0%", "Slab Rate")))</f>
        <v/>
      </c>
      <c r="L75" s="3">
        <f>IF(OR(H75="", K75=""), "", IF(K75="Slab Rate", "As per Slab", IF(ISNUMBER(VALUE(LEFT(K75,LEN(K75)-1))), H75*VALUE(LEFT(K75,LEN(K75)-1))/100, "")))</f>
        <v/>
      </c>
    </row>
    <row r="76">
      <c r="A76" s="11" t="n"/>
      <c r="B76" s="7" t="n"/>
      <c r="C76" s="8" t="n"/>
      <c r="D76" s="9" t="n"/>
      <c r="E76" s="8" t="n"/>
      <c r="F76" s="9" t="n"/>
      <c r="G76" s="9" t="n"/>
      <c r="H76" s="3">
        <f>IF(AND(D76&lt;&gt;"",F76&lt;&gt;""),F76-D76-G76,"")</f>
        <v/>
      </c>
      <c r="I76" s="14">
        <f>IF(AND(C76&lt;&gt;"", E76&lt;&gt;""), (E76-C76) &amp; " days", "")</f>
        <v/>
      </c>
      <c r="J76" s="2">
        <f>IF(OR(C76="", E76="", A76=""), "", IF(LEFT(A76,9)="MF (Equit", IF((E76-C76)&gt;365, "LTCG", "STCG"), IF(C76&gt;DATE(2023,4,1), "STCG (Fixed)", "STCG")))</f>
        <v/>
      </c>
      <c r="K76" s="5">
        <f>IF(J76="", "", IF(J76="LTCG", "12.5%", IF(LEFT(A76,9)="MF (Equit", "20.0%", "Slab Rate")))</f>
        <v/>
      </c>
      <c r="L76" s="3">
        <f>IF(OR(H76="", K76=""), "", IF(K76="Slab Rate", "As per Slab", IF(ISNUMBER(VALUE(LEFT(K76,LEN(K76)-1))), H76*VALUE(LEFT(K76,LEN(K76)-1))/100, "")))</f>
        <v/>
      </c>
    </row>
    <row r="77">
      <c r="A77" s="11" t="n"/>
      <c r="B77" s="7" t="n"/>
      <c r="C77" s="8" t="n"/>
      <c r="D77" s="9" t="n"/>
      <c r="E77" s="8" t="n"/>
      <c r="F77" s="9" t="n"/>
      <c r="G77" s="9" t="n"/>
      <c r="H77" s="3">
        <f>IF(AND(D77&lt;&gt;"",F77&lt;&gt;""),F77-D77-G77,"")</f>
        <v/>
      </c>
      <c r="I77" s="14">
        <f>IF(AND(C77&lt;&gt;"", E77&lt;&gt;""), (E77-C77) &amp; " days", "")</f>
        <v/>
      </c>
      <c r="J77" s="2">
        <f>IF(OR(C77="", E77="", A77=""), "", IF(LEFT(A77,9)="MF (Equit", IF((E77-C77)&gt;365, "LTCG", "STCG"), IF(C77&gt;DATE(2023,4,1), "STCG (Fixed)", "STCG")))</f>
        <v/>
      </c>
      <c r="K77" s="5">
        <f>IF(J77="", "", IF(J77="LTCG", "12.5%", IF(LEFT(A77,9)="MF (Equit", "20.0%", "Slab Rate")))</f>
        <v/>
      </c>
      <c r="L77" s="3">
        <f>IF(OR(H77="", K77=""), "", IF(K77="Slab Rate", "As per Slab", IF(ISNUMBER(VALUE(LEFT(K77,LEN(K77)-1))), H77*VALUE(LEFT(K77,LEN(K77)-1))/100, "")))</f>
        <v/>
      </c>
    </row>
    <row r="78">
      <c r="A78" s="11" t="n"/>
      <c r="B78" s="7" t="n"/>
      <c r="C78" s="8" t="n"/>
      <c r="D78" s="9" t="n"/>
      <c r="E78" s="8" t="n"/>
      <c r="F78" s="9" t="n"/>
      <c r="G78" s="9" t="n"/>
      <c r="H78" s="3">
        <f>IF(AND(D78&lt;&gt;"",F78&lt;&gt;""),F78-D78-G78,"")</f>
        <v/>
      </c>
      <c r="I78" s="14">
        <f>IF(AND(C78&lt;&gt;"", E78&lt;&gt;""), (E78-C78) &amp; " days", "")</f>
        <v/>
      </c>
      <c r="J78" s="2">
        <f>IF(OR(C78="", E78="", A78=""), "", IF(LEFT(A78,9)="MF (Equit", IF((E78-C78)&gt;365, "LTCG", "STCG"), IF(C78&gt;DATE(2023,4,1), "STCG (Fixed)", "STCG")))</f>
        <v/>
      </c>
      <c r="K78" s="5">
        <f>IF(J78="", "", IF(J78="LTCG", "12.5%", IF(LEFT(A78,9)="MF (Equit", "20.0%", "Slab Rate")))</f>
        <v/>
      </c>
      <c r="L78" s="3">
        <f>IF(OR(H78="", K78=""), "", IF(K78="Slab Rate", "As per Slab", IF(ISNUMBER(VALUE(LEFT(K78,LEN(K78)-1))), H78*VALUE(LEFT(K78,LEN(K78)-1))/100, "")))</f>
        <v/>
      </c>
    </row>
    <row r="79">
      <c r="A79" s="11" t="n"/>
      <c r="B79" s="7" t="n"/>
      <c r="C79" s="8" t="n"/>
      <c r="D79" s="9" t="n"/>
      <c r="E79" s="8" t="n"/>
      <c r="F79" s="9" t="n"/>
      <c r="G79" s="9" t="n"/>
      <c r="H79" s="3">
        <f>IF(AND(D79&lt;&gt;"",F79&lt;&gt;""),F79-D79-G79,"")</f>
        <v/>
      </c>
      <c r="I79" s="14">
        <f>IF(AND(C79&lt;&gt;"", E79&lt;&gt;""), (E79-C79) &amp; " days", "")</f>
        <v/>
      </c>
      <c r="J79" s="2">
        <f>IF(OR(C79="", E79="", A79=""), "", IF(LEFT(A79,9)="MF (Equit", IF((E79-C79)&gt;365, "LTCG", "STCG"), IF(C79&gt;DATE(2023,4,1), "STCG (Fixed)", "STCG")))</f>
        <v/>
      </c>
      <c r="K79" s="5">
        <f>IF(J79="", "", IF(J79="LTCG", "12.5%", IF(LEFT(A79,9)="MF (Equit", "20.0%", "Slab Rate")))</f>
        <v/>
      </c>
      <c r="L79" s="3">
        <f>IF(OR(H79="", K79=""), "", IF(K79="Slab Rate", "As per Slab", IF(ISNUMBER(VALUE(LEFT(K79,LEN(K79)-1))), H79*VALUE(LEFT(K79,LEN(K79)-1))/100, "")))</f>
        <v/>
      </c>
    </row>
    <row r="80">
      <c r="A80" s="11" t="n"/>
      <c r="B80" s="7" t="n"/>
      <c r="C80" s="8" t="n"/>
      <c r="D80" s="9" t="n"/>
      <c r="E80" s="8" t="n"/>
      <c r="F80" s="9" t="n"/>
      <c r="G80" s="9" t="n"/>
      <c r="H80" s="3">
        <f>IF(AND(D80&lt;&gt;"",F80&lt;&gt;""),F80-D80-G80,"")</f>
        <v/>
      </c>
      <c r="I80" s="14">
        <f>IF(AND(C80&lt;&gt;"", E80&lt;&gt;""), (E80-C80) &amp; " days", "")</f>
        <v/>
      </c>
      <c r="J80" s="2">
        <f>IF(OR(C80="", E80="", A80=""), "", IF(LEFT(A80,9)="MF (Equit", IF((E80-C80)&gt;365, "LTCG", "STCG"), IF(C80&gt;DATE(2023,4,1), "STCG (Fixed)", "STCG")))</f>
        <v/>
      </c>
      <c r="K80" s="5">
        <f>IF(J80="", "", IF(J80="LTCG", "12.5%", IF(LEFT(A80,9)="MF (Equit", "20.0%", "Slab Rate")))</f>
        <v/>
      </c>
      <c r="L80" s="3">
        <f>IF(OR(H80="", K80=""), "", IF(K80="Slab Rate", "As per Slab", IF(ISNUMBER(VALUE(LEFT(K80,LEN(K80)-1))), H80*VALUE(LEFT(K80,LEN(K80)-1))/100, "")))</f>
        <v/>
      </c>
    </row>
    <row r="81">
      <c r="A81" s="11" t="n"/>
      <c r="B81" s="7" t="n"/>
      <c r="C81" s="8" t="n"/>
      <c r="D81" s="9" t="n"/>
      <c r="E81" s="8" t="n"/>
      <c r="F81" s="9" t="n"/>
      <c r="G81" s="9" t="n"/>
      <c r="H81" s="3">
        <f>IF(AND(D81&lt;&gt;"",F81&lt;&gt;""),F81-D81-G81,"")</f>
        <v/>
      </c>
      <c r="I81" s="14">
        <f>IF(AND(C81&lt;&gt;"", E81&lt;&gt;""), (E81-C81) &amp; " days", "")</f>
        <v/>
      </c>
      <c r="J81" s="2">
        <f>IF(OR(C81="", E81="", A81=""), "", IF(LEFT(A81,9)="MF (Equit", IF((E81-C81)&gt;365, "LTCG", "STCG"), IF(C81&gt;DATE(2023,4,1), "STCG (Fixed)", "STCG")))</f>
        <v/>
      </c>
      <c r="K81" s="5">
        <f>IF(J81="", "", IF(J81="LTCG", "12.5%", IF(LEFT(A81,9)="MF (Equit", "20.0%", "Slab Rate")))</f>
        <v/>
      </c>
      <c r="L81" s="3">
        <f>IF(OR(H81="", K81=""), "", IF(K81="Slab Rate", "As per Slab", IF(ISNUMBER(VALUE(LEFT(K81,LEN(K81)-1))), H81*VALUE(LEFT(K81,LEN(K81)-1))/100, "")))</f>
        <v/>
      </c>
    </row>
    <row r="82">
      <c r="A82" s="11" t="n"/>
      <c r="B82" s="7" t="n"/>
      <c r="C82" s="8" t="n"/>
      <c r="D82" s="9" t="n"/>
      <c r="E82" s="8" t="n"/>
      <c r="F82" s="9" t="n"/>
      <c r="G82" s="9" t="n"/>
      <c r="H82" s="3">
        <f>IF(AND(D82&lt;&gt;"",F82&lt;&gt;""),F82-D82-G82,"")</f>
        <v/>
      </c>
      <c r="I82" s="14">
        <f>IF(AND(C82&lt;&gt;"", E82&lt;&gt;""), (E82-C82) &amp; " days", "")</f>
        <v/>
      </c>
      <c r="J82" s="2">
        <f>IF(OR(C82="", E82="", A82=""), "", IF(LEFT(A82,9)="MF (Equit", IF((E82-C82)&gt;365, "LTCG", "STCG"), IF(C82&gt;DATE(2023,4,1), "STCG (Fixed)", "STCG")))</f>
        <v/>
      </c>
      <c r="K82" s="5">
        <f>IF(J82="", "", IF(J82="LTCG", "12.5%", IF(LEFT(A82,9)="MF (Equit", "20.0%", "Slab Rate")))</f>
        <v/>
      </c>
      <c r="L82" s="3">
        <f>IF(OR(H82="", K82=""), "", IF(K82="Slab Rate", "As per Slab", IF(ISNUMBER(VALUE(LEFT(K82,LEN(K82)-1))), H82*VALUE(LEFT(K82,LEN(K82)-1))/100, "")))</f>
        <v/>
      </c>
    </row>
    <row r="83">
      <c r="A83" s="11" t="n"/>
      <c r="B83" s="7" t="n"/>
      <c r="C83" s="8" t="n"/>
      <c r="D83" s="9" t="n"/>
      <c r="E83" s="8" t="n"/>
      <c r="F83" s="9" t="n"/>
      <c r="G83" s="9" t="n"/>
      <c r="H83" s="3">
        <f>IF(AND(D83&lt;&gt;"",F83&lt;&gt;""),F83-D83-G83,"")</f>
        <v/>
      </c>
      <c r="I83" s="14">
        <f>IF(AND(C83&lt;&gt;"", E83&lt;&gt;""), (E83-C83) &amp; " days", "")</f>
        <v/>
      </c>
      <c r="J83" s="2">
        <f>IF(OR(C83="", E83="", A83=""), "", IF(LEFT(A83,9)="MF (Equit", IF((E83-C83)&gt;365, "LTCG", "STCG"), IF(C83&gt;DATE(2023,4,1), "STCG (Fixed)", "STCG")))</f>
        <v/>
      </c>
      <c r="K83" s="5">
        <f>IF(J83="", "", IF(J83="LTCG", "12.5%", IF(LEFT(A83,9)="MF (Equit", "20.0%", "Slab Rate")))</f>
        <v/>
      </c>
      <c r="L83" s="3">
        <f>IF(OR(H83="", K83=""), "", IF(K83="Slab Rate", "As per Slab", IF(ISNUMBER(VALUE(LEFT(K83,LEN(K83)-1))), H83*VALUE(LEFT(K83,LEN(K83)-1))/100, "")))</f>
        <v/>
      </c>
    </row>
    <row r="84">
      <c r="A84" s="11" t="n"/>
      <c r="B84" s="7" t="n"/>
      <c r="C84" s="8" t="n"/>
      <c r="D84" s="9" t="n"/>
      <c r="E84" s="8" t="n"/>
      <c r="F84" s="9" t="n"/>
      <c r="G84" s="9" t="n"/>
      <c r="H84" s="3">
        <f>IF(AND(D84&lt;&gt;"",F84&lt;&gt;""),F84-D84-G84,"")</f>
        <v/>
      </c>
      <c r="I84" s="14">
        <f>IF(AND(C84&lt;&gt;"", E84&lt;&gt;""), (E84-C84) &amp; " days", "")</f>
        <v/>
      </c>
      <c r="J84" s="2">
        <f>IF(OR(C84="", E84="", A84=""), "", IF(LEFT(A84,9)="MF (Equit", IF((E84-C84)&gt;365, "LTCG", "STCG"), IF(C84&gt;DATE(2023,4,1), "STCG (Fixed)", "STCG")))</f>
        <v/>
      </c>
      <c r="K84" s="5">
        <f>IF(J84="", "", IF(J84="LTCG", "12.5%", IF(LEFT(A84,9)="MF (Equit", "20.0%", "Slab Rate")))</f>
        <v/>
      </c>
      <c r="L84" s="3">
        <f>IF(OR(H84="", K84=""), "", IF(K84="Slab Rate", "As per Slab", IF(ISNUMBER(VALUE(LEFT(K84,LEN(K84)-1))), H84*VALUE(LEFT(K84,LEN(K84)-1))/100, "")))</f>
        <v/>
      </c>
    </row>
    <row r="85">
      <c r="A85" s="11" t="n"/>
      <c r="B85" s="7" t="n"/>
      <c r="C85" s="8" t="n"/>
      <c r="D85" s="9" t="n"/>
      <c r="E85" s="8" t="n"/>
      <c r="F85" s="9" t="n"/>
      <c r="G85" s="9" t="n"/>
      <c r="H85" s="3">
        <f>IF(AND(D85&lt;&gt;"",F85&lt;&gt;""),F85-D85-G85,"")</f>
        <v/>
      </c>
      <c r="I85" s="14">
        <f>IF(AND(C85&lt;&gt;"", E85&lt;&gt;""), (E85-C85) &amp; " days", "")</f>
        <v/>
      </c>
      <c r="J85" s="2">
        <f>IF(OR(C85="", E85="", A85=""), "", IF(LEFT(A85,9)="MF (Equit", IF((E85-C85)&gt;365, "LTCG", "STCG"), IF(C85&gt;DATE(2023,4,1), "STCG (Fixed)", "STCG")))</f>
        <v/>
      </c>
      <c r="K85" s="5">
        <f>IF(J85="", "", IF(J85="LTCG", "12.5%", IF(LEFT(A85,9)="MF (Equit", "20.0%", "Slab Rate")))</f>
        <v/>
      </c>
      <c r="L85" s="3">
        <f>IF(OR(H85="", K85=""), "", IF(K85="Slab Rate", "As per Slab", IF(ISNUMBER(VALUE(LEFT(K85,LEN(K85)-1))), H85*VALUE(LEFT(K85,LEN(K85)-1))/100, "")))</f>
        <v/>
      </c>
    </row>
    <row r="86">
      <c r="A86" s="11" t="n"/>
      <c r="B86" s="7" t="n"/>
      <c r="C86" s="8" t="n"/>
      <c r="D86" s="9" t="n"/>
      <c r="E86" s="8" t="n"/>
      <c r="F86" s="9" t="n"/>
      <c r="G86" s="9" t="n"/>
      <c r="H86" s="3">
        <f>IF(AND(D86&lt;&gt;"",F86&lt;&gt;""),F86-D86-G86,"")</f>
        <v/>
      </c>
      <c r="I86" s="14">
        <f>IF(AND(C86&lt;&gt;"", E86&lt;&gt;""), (E86-C86) &amp; " days", "")</f>
        <v/>
      </c>
      <c r="J86" s="2">
        <f>IF(OR(C86="", E86="", A86=""), "", IF(LEFT(A86,9)="MF (Equit", IF((E86-C86)&gt;365, "LTCG", "STCG"), IF(C86&gt;DATE(2023,4,1), "STCG (Fixed)", "STCG")))</f>
        <v/>
      </c>
      <c r="K86" s="5">
        <f>IF(J86="", "", IF(J86="LTCG", "12.5%", IF(LEFT(A86,9)="MF (Equit", "20.0%", "Slab Rate")))</f>
        <v/>
      </c>
      <c r="L86" s="3">
        <f>IF(OR(H86="", K86=""), "", IF(K86="Slab Rate", "As per Slab", IF(ISNUMBER(VALUE(LEFT(K86,LEN(K86)-1))), H86*VALUE(LEFT(K86,LEN(K86)-1))/100, "")))</f>
        <v/>
      </c>
    </row>
    <row r="87">
      <c r="A87" s="11" t="n"/>
      <c r="B87" s="7" t="n"/>
      <c r="C87" s="8" t="n"/>
      <c r="D87" s="9" t="n"/>
      <c r="E87" s="8" t="n"/>
      <c r="F87" s="9" t="n"/>
      <c r="G87" s="9" t="n"/>
      <c r="H87" s="3">
        <f>IF(AND(D87&lt;&gt;"",F87&lt;&gt;""),F87-D87-G87,"")</f>
        <v/>
      </c>
      <c r="I87" s="14">
        <f>IF(AND(C87&lt;&gt;"", E87&lt;&gt;""), (E87-C87) &amp; " days", "")</f>
        <v/>
      </c>
      <c r="J87" s="2">
        <f>IF(OR(C87="", E87="", A87=""), "", IF(LEFT(A87,9)="MF (Equit", IF((E87-C87)&gt;365, "LTCG", "STCG"), IF(C87&gt;DATE(2023,4,1), "STCG (Fixed)", "STCG")))</f>
        <v/>
      </c>
      <c r="K87" s="5">
        <f>IF(J87="", "", IF(J87="LTCG", "12.5%", IF(LEFT(A87,9)="MF (Equit", "20.0%", "Slab Rate")))</f>
        <v/>
      </c>
      <c r="L87" s="3">
        <f>IF(OR(H87="", K87=""), "", IF(K87="Slab Rate", "As per Slab", IF(ISNUMBER(VALUE(LEFT(K87,LEN(K87)-1))), H87*VALUE(LEFT(K87,LEN(K87)-1))/100, "")))</f>
        <v/>
      </c>
    </row>
    <row r="88">
      <c r="A88" s="11" t="n"/>
      <c r="B88" s="7" t="n"/>
      <c r="C88" s="8" t="n"/>
      <c r="D88" s="9" t="n"/>
      <c r="E88" s="8" t="n"/>
      <c r="F88" s="9" t="n"/>
      <c r="G88" s="9" t="n"/>
      <c r="H88" s="3">
        <f>IF(AND(D88&lt;&gt;"",F88&lt;&gt;""),F88-D88-G88,"")</f>
        <v/>
      </c>
      <c r="I88" s="14">
        <f>IF(AND(C88&lt;&gt;"", E88&lt;&gt;""), (E88-C88) &amp; " days", "")</f>
        <v/>
      </c>
      <c r="J88" s="2">
        <f>IF(OR(C88="", E88="", A88=""), "", IF(LEFT(A88,9)="MF (Equit", IF((E88-C88)&gt;365, "LTCG", "STCG"), IF(C88&gt;DATE(2023,4,1), "STCG (Fixed)", "STCG")))</f>
        <v/>
      </c>
      <c r="K88" s="5">
        <f>IF(J88="", "", IF(J88="LTCG", "12.5%", IF(LEFT(A88,9)="MF (Equit", "20.0%", "Slab Rate")))</f>
        <v/>
      </c>
      <c r="L88" s="3">
        <f>IF(OR(H88="", K88=""), "", IF(K88="Slab Rate", "As per Slab", IF(ISNUMBER(VALUE(LEFT(K88,LEN(K88)-1))), H88*VALUE(LEFT(K88,LEN(K88)-1))/100, "")))</f>
        <v/>
      </c>
    </row>
    <row r="89">
      <c r="A89" s="11" t="n"/>
      <c r="B89" s="7" t="n"/>
      <c r="C89" s="8" t="n"/>
      <c r="D89" s="9" t="n"/>
      <c r="E89" s="8" t="n"/>
      <c r="F89" s="9" t="n"/>
      <c r="G89" s="9" t="n"/>
      <c r="H89" s="3">
        <f>IF(AND(D89&lt;&gt;"",F89&lt;&gt;""),F89-D89-G89,"")</f>
        <v/>
      </c>
      <c r="I89" s="14">
        <f>IF(AND(C89&lt;&gt;"", E89&lt;&gt;""), (E89-C89) &amp; " days", "")</f>
        <v/>
      </c>
      <c r="J89" s="2">
        <f>IF(OR(C89="", E89="", A89=""), "", IF(LEFT(A89,9)="MF (Equit", IF((E89-C89)&gt;365, "LTCG", "STCG"), IF(C89&gt;DATE(2023,4,1), "STCG (Fixed)", "STCG")))</f>
        <v/>
      </c>
      <c r="K89" s="5">
        <f>IF(J89="", "", IF(J89="LTCG", "12.5%", IF(LEFT(A89,9)="MF (Equit", "20.0%", "Slab Rate")))</f>
        <v/>
      </c>
      <c r="L89" s="3">
        <f>IF(OR(H89="", K89=""), "", IF(K89="Slab Rate", "As per Slab", IF(ISNUMBER(VALUE(LEFT(K89,LEN(K89)-1))), H89*VALUE(LEFT(K89,LEN(K89)-1))/100, "")))</f>
        <v/>
      </c>
    </row>
    <row r="90">
      <c r="A90" s="11" t="n"/>
      <c r="B90" s="7" t="n"/>
      <c r="C90" s="8" t="n"/>
      <c r="D90" s="9" t="n"/>
      <c r="E90" s="8" t="n"/>
      <c r="F90" s="9" t="n"/>
      <c r="G90" s="9" t="n"/>
      <c r="H90" s="3">
        <f>IF(AND(D90&lt;&gt;"",F90&lt;&gt;""),F90-D90-G90,"")</f>
        <v/>
      </c>
      <c r="I90" s="14">
        <f>IF(AND(C90&lt;&gt;"", E90&lt;&gt;""), (E90-C90) &amp; " days", "")</f>
        <v/>
      </c>
      <c r="J90" s="2">
        <f>IF(OR(C90="", E90="", A90=""), "", IF(LEFT(A90,9)="MF (Equit", IF((E90-C90)&gt;365, "LTCG", "STCG"), IF(C90&gt;DATE(2023,4,1), "STCG (Fixed)", "STCG")))</f>
        <v/>
      </c>
      <c r="K90" s="5">
        <f>IF(J90="", "", IF(J90="LTCG", "12.5%", IF(LEFT(A90,9)="MF (Equit", "20.0%", "Slab Rate")))</f>
        <v/>
      </c>
      <c r="L90" s="3">
        <f>IF(OR(H90="", K90=""), "", IF(K90="Slab Rate", "As per Slab", IF(ISNUMBER(VALUE(LEFT(K90,LEN(K90)-1))), H90*VALUE(LEFT(K90,LEN(K90)-1))/100, "")))</f>
        <v/>
      </c>
    </row>
    <row r="91">
      <c r="A91" s="11" t="n"/>
      <c r="B91" s="7" t="n"/>
      <c r="C91" s="8" t="n"/>
      <c r="D91" s="9" t="n"/>
      <c r="E91" s="8" t="n"/>
      <c r="F91" s="9" t="n"/>
      <c r="G91" s="9" t="n"/>
      <c r="H91" s="3">
        <f>IF(AND(D91&lt;&gt;"",F91&lt;&gt;""),F91-D91-G91,"")</f>
        <v/>
      </c>
      <c r="I91" s="14">
        <f>IF(AND(C91&lt;&gt;"", E91&lt;&gt;""), (E91-C91) &amp; " days", "")</f>
        <v/>
      </c>
      <c r="J91" s="2">
        <f>IF(OR(C91="", E91="", A91=""), "", IF(LEFT(A91,9)="MF (Equit", IF((E91-C91)&gt;365, "LTCG", "STCG"), IF(C91&gt;DATE(2023,4,1), "STCG (Fixed)", "STCG")))</f>
        <v/>
      </c>
      <c r="K91" s="5">
        <f>IF(J91="", "", IF(J91="LTCG", "12.5%", IF(LEFT(A91,9)="MF (Equit", "20.0%", "Slab Rate")))</f>
        <v/>
      </c>
      <c r="L91" s="3">
        <f>IF(OR(H91="", K91=""), "", IF(K91="Slab Rate", "As per Slab", IF(ISNUMBER(VALUE(LEFT(K91,LEN(K91)-1))), H91*VALUE(LEFT(K91,LEN(K91)-1))/100, "")))</f>
        <v/>
      </c>
    </row>
    <row r="92">
      <c r="A92" s="11" t="n"/>
      <c r="B92" s="7" t="n"/>
      <c r="C92" s="8" t="n"/>
      <c r="D92" s="9" t="n"/>
      <c r="E92" s="8" t="n"/>
      <c r="F92" s="9" t="n"/>
      <c r="G92" s="9" t="n"/>
      <c r="H92" s="3">
        <f>IF(AND(D92&lt;&gt;"",F92&lt;&gt;""),F92-D92-G92,"")</f>
        <v/>
      </c>
      <c r="I92" s="14">
        <f>IF(AND(C92&lt;&gt;"", E92&lt;&gt;""), (E92-C92) &amp; " days", "")</f>
        <v/>
      </c>
      <c r="J92" s="2">
        <f>IF(OR(C92="", E92="", A92=""), "", IF(LEFT(A92,9)="MF (Equit", IF((E92-C92)&gt;365, "LTCG", "STCG"), IF(C92&gt;DATE(2023,4,1), "STCG (Fixed)", "STCG")))</f>
        <v/>
      </c>
      <c r="K92" s="5">
        <f>IF(J92="", "", IF(J92="LTCG", "12.5%", IF(LEFT(A92,9)="MF (Equit", "20.0%", "Slab Rate")))</f>
        <v/>
      </c>
      <c r="L92" s="3">
        <f>IF(OR(H92="", K92=""), "", IF(K92="Slab Rate", "As per Slab", IF(ISNUMBER(VALUE(LEFT(K92,LEN(K92)-1))), H92*VALUE(LEFT(K92,LEN(K92)-1))/100, "")))</f>
        <v/>
      </c>
    </row>
    <row r="93">
      <c r="A93" s="11" t="n"/>
      <c r="B93" s="7" t="n"/>
      <c r="C93" s="8" t="n"/>
      <c r="D93" s="9" t="n"/>
      <c r="E93" s="8" t="n"/>
      <c r="F93" s="9" t="n"/>
      <c r="G93" s="9" t="n"/>
      <c r="H93" s="3">
        <f>IF(AND(D93&lt;&gt;"",F93&lt;&gt;""),F93-D93-G93,"")</f>
        <v/>
      </c>
      <c r="I93" s="14">
        <f>IF(AND(C93&lt;&gt;"", E93&lt;&gt;""), (E93-C93) &amp; " days", "")</f>
        <v/>
      </c>
      <c r="J93" s="2">
        <f>IF(OR(C93="", E93="", A93=""), "", IF(LEFT(A93,9)="MF (Equit", IF((E93-C93)&gt;365, "LTCG", "STCG"), IF(C93&gt;DATE(2023,4,1), "STCG (Fixed)", "STCG")))</f>
        <v/>
      </c>
      <c r="K93" s="5">
        <f>IF(J93="", "", IF(J93="LTCG", "12.5%", IF(LEFT(A93,9)="MF (Equit", "20.0%", "Slab Rate")))</f>
        <v/>
      </c>
      <c r="L93" s="3">
        <f>IF(OR(H93="", K93=""), "", IF(K93="Slab Rate", "As per Slab", IF(ISNUMBER(VALUE(LEFT(K93,LEN(K93)-1))), H93*VALUE(LEFT(K93,LEN(K93)-1))/100, "")))</f>
        <v/>
      </c>
    </row>
    <row r="94">
      <c r="A94" s="11" t="n"/>
      <c r="B94" s="7" t="n"/>
      <c r="C94" s="8" t="n"/>
      <c r="D94" s="9" t="n"/>
      <c r="E94" s="8" t="n"/>
      <c r="F94" s="9" t="n"/>
      <c r="G94" s="9" t="n"/>
      <c r="H94" s="3">
        <f>IF(AND(D94&lt;&gt;"",F94&lt;&gt;""),F94-D94-G94,"")</f>
        <v/>
      </c>
      <c r="I94" s="14">
        <f>IF(AND(C94&lt;&gt;"", E94&lt;&gt;""), (E94-C94) &amp; " days", "")</f>
        <v/>
      </c>
      <c r="J94" s="2">
        <f>IF(OR(C94="", E94="", A94=""), "", IF(LEFT(A94,9)="MF (Equit", IF((E94-C94)&gt;365, "LTCG", "STCG"), IF(C94&gt;DATE(2023,4,1), "STCG (Fixed)", "STCG")))</f>
        <v/>
      </c>
      <c r="K94" s="5">
        <f>IF(J94="", "", IF(J94="LTCG", "12.5%", IF(LEFT(A94,9)="MF (Equit", "20.0%", "Slab Rate")))</f>
        <v/>
      </c>
      <c r="L94" s="3">
        <f>IF(OR(H94="", K94=""), "", IF(K94="Slab Rate", "As per Slab", IF(ISNUMBER(VALUE(LEFT(K94,LEN(K94)-1))), H94*VALUE(LEFT(K94,LEN(K94)-1))/100, "")))</f>
        <v/>
      </c>
    </row>
    <row r="95">
      <c r="A95" s="11" t="n"/>
      <c r="B95" s="7" t="n"/>
      <c r="C95" s="8" t="n"/>
      <c r="D95" s="9" t="n"/>
      <c r="E95" s="8" t="n"/>
      <c r="F95" s="9" t="n"/>
      <c r="G95" s="9" t="n"/>
      <c r="H95" s="3">
        <f>IF(AND(D95&lt;&gt;"",F95&lt;&gt;""),F95-D95-G95,"")</f>
        <v/>
      </c>
      <c r="I95" s="14">
        <f>IF(AND(C95&lt;&gt;"", E95&lt;&gt;""), (E95-C95) &amp; " days", "")</f>
        <v/>
      </c>
      <c r="J95" s="2">
        <f>IF(OR(C95="", E95="", A95=""), "", IF(LEFT(A95,9)="MF (Equit", IF((E95-C95)&gt;365, "LTCG", "STCG"), IF(C95&gt;DATE(2023,4,1), "STCG (Fixed)", "STCG")))</f>
        <v/>
      </c>
      <c r="K95" s="5">
        <f>IF(J95="", "", IF(J95="LTCG", "12.5%", IF(LEFT(A95,9)="MF (Equit", "20.0%", "Slab Rate")))</f>
        <v/>
      </c>
      <c r="L95" s="3">
        <f>IF(OR(H95="", K95=""), "", IF(K95="Slab Rate", "As per Slab", IF(ISNUMBER(VALUE(LEFT(K95,LEN(K95)-1))), H95*VALUE(LEFT(K95,LEN(K95)-1))/100, "")))</f>
        <v/>
      </c>
    </row>
    <row r="96">
      <c r="A96" s="11" t="n"/>
      <c r="B96" s="7" t="n"/>
      <c r="C96" s="8" t="n"/>
      <c r="D96" s="9" t="n"/>
      <c r="E96" s="8" t="n"/>
      <c r="F96" s="9" t="n"/>
      <c r="G96" s="9" t="n"/>
      <c r="H96" s="3">
        <f>IF(AND(D96&lt;&gt;"",F96&lt;&gt;""),F96-D96-G96,"")</f>
        <v/>
      </c>
      <c r="I96" s="14">
        <f>IF(AND(C96&lt;&gt;"", E96&lt;&gt;""), (E96-C96) &amp; " days", "")</f>
        <v/>
      </c>
      <c r="J96" s="2">
        <f>IF(OR(C96="", E96="", A96=""), "", IF(LEFT(A96,9)="MF (Equit", IF((E96-C96)&gt;365, "LTCG", "STCG"), IF(C96&gt;DATE(2023,4,1), "STCG (Fixed)", "STCG")))</f>
        <v/>
      </c>
      <c r="K96" s="5">
        <f>IF(J96="", "", IF(J96="LTCG", "12.5%", IF(LEFT(A96,9)="MF (Equit", "20.0%", "Slab Rate")))</f>
        <v/>
      </c>
      <c r="L96" s="3">
        <f>IF(OR(H96="", K96=""), "", IF(K96="Slab Rate", "As per Slab", IF(ISNUMBER(VALUE(LEFT(K96,LEN(K96)-1))), H96*VALUE(LEFT(K96,LEN(K96)-1))/100, "")))</f>
        <v/>
      </c>
    </row>
    <row r="97">
      <c r="A97" s="11" t="n"/>
      <c r="B97" s="7" t="n"/>
      <c r="C97" s="8" t="n"/>
      <c r="D97" s="9" t="n"/>
      <c r="E97" s="8" t="n"/>
      <c r="F97" s="9" t="n"/>
      <c r="G97" s="9" t="n"/>
      <c r="H97" s="3">
        <f>IF(AND(D97&lt;&gt;"",F97&lt;&gt;""),F97-D97-G97,"")</f>
        <v/>
      </c>
      <c r="I97" s="14">
        <f>IF(AND(C97&lt;&gt;"", E97&lt;&gt;""), (E97-C97) &amp; " days", "")</f>
        <v/>
      </c>
      <c r="J97" s="2">
        <f>IF(OR(C97="", E97="", A97=""), "", IF(LEFT(A97,9)="MF (Equit", IF((E97-C97)&gt;365, "LTCG", "STCG"), IF(C97&gt;DATE(2023,4,1), "STCG (Fixed)", "STCG")))</f>
        <v/>
      </c>
      <c r="K97" s="5">
        <f>IF(J97="", "", IF(J97="LTCG", "12.5%", IF(LEFT(A97,9)="MF (Equit", "20.0%", "Slab Rate")))</f>
        <v/>
      </c>
      <c r="L97" s="3">
        <f>IF(OR(H97="", K97=""), "", IF(K97="Slab Rate", "As per Slab", IF(ISNUMBER(VALUE(LEFT(K97,LEN(K97)-1))), H97*VALUE(LEFT(K97,LEN(K97)-1))/100, "")))</f>
        <v/>
      </c>
    </row>
    <row r="98">
      <c r="A98" s="11" t="n"/>
      <c r="B98" s="7" t="n"/>
      <c r="C98" s="8" t="n"/>
      <c r="D98" s="9" t="n"/>
      <c r="E98" s="8" t="n"/>
      <c r="F98" s="9" t="n"/>
      <c r="G98" s="9" t="n"/>
      <c r="H98" s="3">
        <f>IF(AND(D98&lt;&gt;"",F98&lt;&gt;""),F98-D98-G98,"")</f>
        <v/>
      </c>
      <c r="I98" s="14">
        <f>IF(AND(C98&lt;&gt;"", E98&lt;&gt;""), (E98-C98) &amp; " days", "")</f>
        <v/>
      </c>
      <c r="J98" s="2">
        <f>IF(OR(C98="", E98="", A98=""), "", IF(LEFT(A98,9)="MF (Equit", IF((E98-C98)&gt;365, "LTCG", "STCG"), IF(C98&gt;DATE(2023,4,1), "STCG (Fixed)", "STCG")))</f>
        <v/>
      </c>
      <c r="K98" s="5">
        <f>IF(J98="", "", IF(J98="LTCG", "12.5%", IF(LEFT(A98,9)="MF (Equit", "20.0%", "Slab Rate")))</f>
        <v/>
      </c>
      <c r="L98" s="3">
        <f>IF(OR(H98="", K98=""), "", IF(K98="Slab Rate", "As per Slab", IF(ISNUMBER(VALUE(LEFT(K98,LEN(K98)-1))), H98*VALUE(LEFT(K98,LEN(K98)-1))/100, "")))</f>
        <v/>
      </c>
    </row>
    <row r="99">
      <c r="A99" s="11" t="n"/>
      <c r="B99" s="7" t="n"/>
      <c r="C99" s="8" t="n"/>
      <c r="D99" s="9" t="n"/>
      <c r="E99" s="8" t="n"/>
      <c r="F99" s="9" t="n"/>
      <c r="G99" s="9" t="n"/>
      <c r="H99" s="3">
        <f>IF(AND(D99&lt;&gt;"",F99&lt;&gt;""),F99-D99-G99,"")</f>
        <v/>
      </c>
      <c r="I99" s="14">
        <f>IF(AND(C99&lt;&gt;"", E99&lt;&gt;""), (E99-C99) &amp; " days", "")</f>
        <v/>
      </c>
      <c r="J99" s="2">
        <f>IF(OR(C99="", E99="", A99=""), "", IF(LEFT(A99,9)="MF (Equit", IF((E99-C99)&gt;365, "LTCG", "STCG"), IF(C99&gt;DATE(2023,4,1), "STCG (Fixed)", "STCG")))</f>
        <v/>
      </c>
      <c r="K99" s="5">
        <f>IF(J99="", "", IF(J99="LTCG", "12.5%", IF(LEFT(A99,9)="MF (Equit", "20.0%", "Slab Rate")))</f>
        <v/>
      </c>
      <c r="L99" s="3">
        <f>IF(OR(H99="", K99=""), "", IF(K99="Slab Rate", "As per Slab", IF(ISNUMBER(VALUE(LEFT(K99,LEN(K99)-1))), H99*VALUE(LEFT(K99,LEN(K99)-1))/100, "")))</f>
        <v/>
      </c>
    </row>
    <row r="100">
      <c r="A100" s="11" t="n"/>
      <c r="B100" s="7" t="n"/>
      <c r="C100" s="8" t="n"/>
      <c r="D100" s="9" t="n"/>
      <c r="E100" s="8" t="n"/>
      <c r="F100" s="9" t="n"/>
      <c r="G100" s="9" t="n"/>
      <c r="H100" s="3">
        <f>IF(AND(D100&lt;&gt;"",F100&lt;&gt;""),F100-D100-G100,"")</f>
        <v/>
      </c>
      <c r="I100" s="14">
        <f>IF(AND(C100&lt;&gt;"", E100&lt;&gt;""), (E100-C100) &amp; " days", "")</f>
        <v/>
      </c>
      <c r="J100" s="2">
        <f>IF(OR(C100="", E100="", A100=""), "", IF(LEFT(A100,9)="MF (Equit", IF((E100-C100)&gt;365, "LTCG", "STCG"), IF(C100&gt;DATE(2023,4,1), "STCG (Fixed)", "STCG")))</f>
        <v/>
      </c>
      <c r="K100" s="5">
        <f>IF(J100="", "", IF(J100="LTCG", "12.5%", IF(LEFT(A100,9)="MF (Equit", "20.0%", "Slab Rate")))</f>
        <v/>
      </c>
      <c r="L100" s="3">
        <f>IF(OR(H100="", K100=""), "", IF(K100="Slab Rate", "As per Slab", IF(ISNUMBER(VALUE(LEFT(K100,LEN(K100)-1))), H100*VALUE(LEFT(K100,LEN(K100)-1))/100, "")))</f>
        <v/>
      </c>
    </row>
    <row r="101">
      <c r="A101" s="11" t="n"/>
      <c r="B101" s="7" t="n"/>
      <c r="C101" s="8" t="n"/>
      <c r="D101" s="9" t="n"/>
      <c r="E101" s="8" t="n"/>
      <c r="F101" s="9" t="n"/>
      <c r="G101" s="9" t="n"/>
      <c r="H101" s="3">
        <f>IF(AND(D101&lt;&gt;"",F101&lt;&gt;""),F101-D101-G101,"")</f>
        <v/>
      </c>
      <c r="I101" s="14">
        <f>IF(E101&lt;&gt;"", YEARFRAC(C101, E101) * 12, "")</f>
        <v/>
      </c>
      <c r="J101" s="2">
        <f>IF(I101="", "", IF(AND(A101="MF (Equity)", I101&gt;12), "Long Term", "Short Term"))</f>
        <v/>
      </c>
      <c r="K101" s="5">
        <f>IF(J101="", "", IF(J101="Long Term", 12.5%, 20%))</f>
        <v/>
      </c>
      <c r="L101" s="3">
        <f>+IFERROR(IF(J101="","",H101*K101),"")</f>
        <v/>
      </c>
    </row>
    <row r="102">
      <c r="A102" s="11" t="n"/>
      <c r="B102" s="7" t="n"/>
      <c r="C102" s="8" t="n"/>
      <c r="D102" s="9" t="n"/>
      <c r="E102" s="8" t="n"/>
      <c r="F102" s="9" t="n"/>
      <c r="G102" s="9" t="n"/>
      <c r="H102" s="3">
        <f>IF(AND(D102&lt;&gt;"",F102&lt;&gt;""),F102-D102-G102,"")</f>
        <v/>
      </c>
      <c r="I102" s="14">
        <f>IF(E102&lt;&gt;"", YEARFRAC(C102, E102) * 12, "")</f>
        <v/>
      </c>
      <c r="J102" s="2">
        <f>IF(I102="", "", IF(AND(A102="MF (Equity)", I102&gt;12), "Long Term", "Short Term"))</f>
        <v/>
      </c>
      <c r="K102" s="5">
        <f>IF(J102="", "", IF(J102="Long Term", 12.5%, 20%))</f>
        <v/>
      </c>
      <c r="L102" s="3">
        <f>+IFERROR(IF(J102="","",H102*K102),"")</f>
        <v/>
      </c>
    </row>
    <row r="103">
      <c r="A103" s="11" t="n"/>
      <c r="B103" s="7" t="n"/>
      <c r="C103" s="8" t="n"/>
      <c r="D103" s="9" t="n"/>
      <c r="E103" s="8" t="n"/>
      <c r="F103" s="9" t="n"/>
      <c r="G103" s="9" t="n"/>
      <c r="H103" s="3">
        <f>IF(AND(D103&lt;&gt;"",F103&lt;&gt;""),F103-D103-G103,"")</f>
        <v/>
      </c>
      <c r="I103" s="14">
        <f>IF(E103&lt;&gt;"", YEARFRAC(C103, E103) * 12, "")</f>
        <v/>
      </c>
      <c r="J103" s="2">
        <f>IF(I103="", "", IF(AND(A103="MF (Equity)", I103&gt;12), "Long Term", "Short Term"))</f>
        <v/>
      </c>
      <c r="K103" s="5">
        <f>IF(J103="", "", IF(J103="Long Term", 12.5%, 20%))</f>
        <v/>
      </c>
      <c r="L103" s="3">
        <f>+IFERROR(IF(J103="","",H103*K103),"")</f>
        <v/>
      </c>
    </row>
    <row r="104">
      <c r="A104" s="11" t="n"/>
      <c r="B104" s="7" t="n"/>
      <c r="C104" s="8" t="n"/>
      <c r="D104" s="9" t="n"/>
      <c r="E104" s="8" t="n"/>
      <c r="F104" s="9" t="n"/>
      <c r="G104" s="9" t="n"/>
      <c r="H104" s="3">
        <f>IF(AND(D104&lt;&gt;"",F104&lt;&gt;""),F104-D104-G104,"")</f>
        <v/>
      </c>
      <c r="I104" s="14">
        <f>IF(E104&lt;&gt;"", YEARFRAC(C104, E104) * 12, "")</f>
        <v/>
      </c>
      <c r="J104" s="2">
        <f>IF(I104="", "", IF(AND(A104="MF (Equity)", I104&gt;12), "Long Term", "Short Term"))</f>
        <v/>
      </c>
      <c r="K104" s="5">
        <f>IF(J104="", "", IF(J104="Long Term", 12.5%, 20%))</f>
        <v/>
      </c>
      <c r="L104" s="3">
        <f>+IFERROR(IF(J104="","",H104*K104),"")</f>
        <v/>
      </c>
    </row>
    <row r="105">
      <c r="A105" s="11" t="n"/>
      <c r="B105" s="7" t="n"/>
      <c r="C105" s="8" t="n"/>
      <c r="D105" s="9" t="n"/>
      <c r="E105" s="8" t="n"/>
      <c r="F105" s="9" t="n"/>
      <c r="G105" s="9" t="n"/>
      <c r="H105" s="3">
        <f>IF(AND(D105&lt;&gt;"",F105&lt;&gt;""),F105-D105-G105,"")</f>
        <v/>
      </c>
      <c r="I105" s="14">
        <f>IF(E105&lt;&gt;"", YEARFRAC(C105, E105) * 12, "")</f>
        <v/>
      </c>
      <c r="J105" s="2">
        <f>IF(I105="", "", IF(AND(A105="MF (Equity)", I105&gt;12), "Long Term", "Short Term"))</f>
        <v/>
      </c>
      <c r="K105" s="5">
        <f>IF(J105="", "", IF(J105="Long Term", 12.5%, 20%))</f>
        <v/>
      </c>
      <c r="L105" s="3">
        <f>+IFERROR(IF(J105="","",H105*K105),"")</f>
        <v/>
      </c>
    </row>
    <row r="106">
      <c r="A106" s="11" t="n"/>
      <c r="B106" s="7" t="n"/>
      <c r="C106" s="8" t="n"/>
      <c r="D106" s="9" t="n"/>
      <c r="E106" s="8" t="n"/>
      <c r="F106" s="9" t="n"/>
      <c r="G106" s="9" t="n"/>
      <c r="H106" s="3">
        <f>IF(AND(D106&lt;&gt;"",F106&lt;&gt;""),F106-D106-G106,"")</f>
        <v/>
      </c>
      <c r="I106" s="14">
        <f>IF(E106&lt;&gt;"", YEARFRAC(C106, E106) * 12, "")</f>
        <v/>
      </c>
      <c r="J106" s="2">
        <f>IF(I106="", "", IF(AND(A106="MF (Equity)", I106&gt;12), "Long Term", "Short Term"))</f>
        <v/>
      </c>
      <c r="K106" s="5">
        <f>IF(J106="", "", IF(J106="Long Term", 12.5%, 20%))</f>
        <v/>
      </c>
      <c r="L106" s="3">
        <f>+IFERROR(IF(J106="","",H106*K106),"")</f>
        <v/>
      </c>
    </row>
    <row r="107">
      <c r="A107" s="11" t="n"/>
      <c r="B107" s="7" t="n"/>
      <c r="C107" s="8" t="n"/>
      <c r="D107" s="9" t="n"/>
      <c r="E107" s="8" t="n"/>
      <c r="F107" s="9" t="n"/>
      <c r="G107" s="9" t="n"/>
      <c r="H107" s="3">
        <f>IF(AND(D107&lt;&gt;"",F107&lt;&gt;""),F107-D107-G107,"")</f>
        <v/>
      </c>
      <c r="I107" s="14">
        <f>IF(E107&lt;&gt;"", YEARFRAC(C107, E107) * 12, "")</f>
        <v/>
      </c>
      <c r="J107" s="2">
        <f>IF(I107="", "", IF(AND(A107="MF (Equity)", I107&gt;12), "Long Term", "Short Term"))</f>
        <v/>
      </c>
      <c r="K107" s="5">
        <f>IF(J107="", "", IF(J107="Long Term", 12.5%, 20%))</f>
        <v/>
      </c>
      <c r="L107" s="3">
        <f>+IFERROR(IF(J107="","",H107*K107),"")</f>
        <v/>
      </c>
    </row>
    <row r="108">
      <c r="A108" s="11" t="n"/>
      <c r="B108" s="7" t="n"/>
      <c r="C108" s="8" t="n"/>
      <c r="D108" s="9" t="n"/>
      <c r="E108" s="8" t="n"/>
      <c r="F108" s="9" t="n"/>
      <c r="G108" s="9" t="n"/>
      <c r="H108" s="3">
        <f>IF(AND(D108&lt;&gt;"",F108&lt;&gt;""),F108-D108-G108,"")</f>
        <v/>
      </c>
      <c r="I108" s="14">
        <f>IF(E108&lt;&gt;"", YEARFRAC(C108, E108) * 12, "")</f>
        <v/>
      </c>
      <c r="J108" s="2">
        <f>IF(I108="", "", IF(AND(A108="MF (Equity)", I108&gt;12), "Long Term", "Short Term"))</f>
        <v/>
      </c>
      <c r="K108" s="5">
        <f>IF(J108="", "", IF(J108="Long Term", 12.5%, 20%))</f>
        <v/>
      </c>
      <c r="L108" s="3">
        <f>+IFERROR(IF(J108="","",H108*K108),"")</f>
        <v/>
      </c>
    </row>
    <row r="109">
      <c r="A109" s="11" t="n"/>
      <c r="B109" s="7" t="n"/>
      <c r="C109" s="8" t="n"/>
      <c r="D109" s="9" t="n"/>
      <c r="E109" s="8" t="n"/>
      <c r="F109" s="9" t="n"/>
      <c r="G109" s="9" t="n"/>
      <c r="H109" s="3">
        <f>IF(AND(D109&lt;&gt;"",F109&lt;&gt;""),F109-D109-G109,"")</f>
        <v/>
      </c>
      <c r="I109" s="14">
        <f>IF(E109&lt;&gt;"", YEARFRAC(C109, E109) * 12, "")</f>
        <v/>
      </c>
      <c r="J109" s="2">
        <f>IF(I109="", "", IF(AND(A109="MF (Equity)", I109&gt;12), "Long Term", "Short Term"))</f>
        <v/>
      </c>
      <c r="K109" s="5">
        <f>IF(J109="", "", IF(J109="Long Term", 12.5%, 20%))</f>
        <v/>
      </c>
      <c r="L109" s="3">
        <f>+IFERROR(IF(J109="","",H109*K109),"")</f>
        <v/>
      </c>
    </row>
    <row r="110">
      <c r="A110" s="11" t="n"/>
      <c r="B110" s="7" t="n"/>
      <c r="C110" s="8" t="n"/>
      <c r="D110" s="9" t="n"/>
      <c r="E110" s="8" t="n"/>
      <c r="F110" s="9" t="n"/>
      <c r="G110" s="9" t="n"/>
      <c r="H110" s="3">
        <f>IF(AND(D110&lt;&gt;"",F110&lt;&gt;""),F110-D110-G110,"")</f>
        <v/>
      </c>
      <c r="I110" s="14">
        <f>IF(E110&lt;&gt;"", YEARFRAC(C110, E110) * 12, "")</f>
        <v/>
      </c>
      <c r="J110" s="2">
        <f>IF(I110="", "", IF(AND(A110="MF (Equity)", I110&gt;12), "Long Term", "Short Term"))</f>
        <v/>
      </c>
      <c r="K110" s="5">
        <f>IF(J110="", "", IF(J110="Long Term", 12.5%, 20%))</f>
        <v/>
      </c>
      <c r="L110" s="3">
        <f>+IFERROR(IF(J110="","",H110*K110),"")</f>
        <v/>
      </c>
    </row>
    <row r="111">
      <c r="A111" s="11" t="n"/>
      <c r="B111" s="7" t="n"/>
      <c r="C111" s="8" t="n"/>
      <c r="D111" s="9" t="n"/>
      <c r="E111" s="8" t="n"/>
      <c r="F111" s="9" t="n"/>
      <c r="G111" s="9" t="n"/>
      <c r="H111" s="3">
        <f>IF(AND(D111&lt;&gt;"",F111&lt;&gt;""),F111-D111-G111,"")</f>
        <v/>
      </c>
      <c r="I111" s="14">
        <f>IF(E111&lt;&gt;"", YEARFRAC(C111, E111) * 12, "")</f>
        <v/>
      </c>
      <c r="J111" s="2">
        <f>IF(I111="", "", IF(AND(A111="MF (Equity)", I111&gt;12), "Long Term", "Short Term"))</f>
        <v/>
      </c>
      <c r="K111" s="5">
        <f>IF(J111="", "", IF(J111="Long Term", 12.5%, 20%))</f>
        <v/>
      </c>
      <c r="L111" s="3">
        <f>+IFERROR(IF(J111="","",H111*K111),"")</f>
        <v/>
      </c>
    </row>
    <row r="112">
      <c r="A112" s="11" t="n"/>
      <c r="B112" s="7" t="n"/>
      <c r="C112" s="8" t="n"/>
      <c r="D112" s="9" t="n"/>
      <c r="E112" s="8" t="n"/>
      <c r="F112" s="9" t="n"/>
      <c r="G112" s="9" t="n"/>
      <c r="H112" s="3">
        <f>IF(AND(D112&lt;&gt;"",F112&lt;&gt;""),F112-D112-G112,"")</f>
        <v/>
      </c>
      <c r="I112" s="14">
        <f>IF(E112&lt;&gt;"", YEARFRAC(C112, E112) * 12, "")</f>
        <v/>
      </c>
      <c r="J112" s="2">
        <f>IF(I112="", "", IF(AND(A112="MF (Equity)", I112&gt;12), "Long Term", "Short Term"))</f>
        <v/>
      </c>
      <c r="K112" s="5">
        <f>IF(J112="", "", IF(J112="Long Term", 12.5%, 20%))</f>
        <v/>
      </c>
      <c r="L112" s="3">
        <f>+IFERROR(IF(J112="","",H112*K112),"")</f>
        <v/>
      </c>
    </row>
    <row r="113">
      <c r="A113" s="11" t="n"/>
      <c r="B113" s="7" t="n"/>
      <c r="C113" s="8" t="n"/>
      <c r="D113" s="9" t="n"/>
      <c r="E113" s="8" t="n"/>
      <c r="F113" s="9" t="n"/>
      <c r="G113" s="9" t="n"/>
      <c r="H113" s="3">
        <f>IF(AND(D113&lt;&gt;"",F113&lt;&gt;""),F113-D113-G113,"")</f>
        <v/>
      </c>
      <c r="I113" s="14">
        <f>IF(E113&lt;&gt;"", YEARFRAC(C113, E113) * 12, "")</f>
        <v/>
      </c>
      <c r="J113" s="2">
        <f>IF(I113="", "", IF(AND(A113="MF (Equity)", I113&gt;12), "Long Term", "Short Term"))</f>
        <v/>
      </c>
      <c r="K113" s="5">
        <f>IF(J113="", "", IF(J113="Long Term", 12.5%, 20%))</f>
        <v/>
      </c>
      <c r="L113" s="3">
        <f>+IFERROR(IF(J113="","",H113*K113),"")</f>
        <v/>
      </c>
    </row>
    <row r="114">
      <c r="A114" s="11" t="n"/>
      <c r="B114" s="7" t="n"/>
      <c r="C114" s="8" t="n"/>
      <c r="D114" s="9" t="n"/>
      <c r="E114" s="8" t="n"/>
      <c r="F114" s="9" t="n"/>
      <c r="G114" s="9" t="n"/>
      <c r="H114" s="3">
        <f>IF(AND(D114&lt;&gt;"",F114&lt;&gt;""),F114-D114-G114,"")</f>
        <v/>
      </c>
      <c r="I114" s="14">
        <f>IF(E114&lt;&gt;"", YEARFRAC(C114, E114) * 12, "")</f>
        <v/>
      </c>
      <c r="J114" s="2">
        <f>IF(I114="", "", IF(AND(A114="MF (Equity)", I114&gt;12), "Long Term", "Short Term"))</f>
        <v/>
      </c>
      <c r="K114" s="5">
        <f>IF(J114="", "", IF(J114="Long Term", 12.5%, 20%))</f>
        <v/>
      </c>
      <c r="L114" s="3">
        <f>+IFERROR(IF(J114="","",H114*K114),"")</f>
        <v/>
      </c>
    </row>
    <row r="115">
      <c r="A115" s="11" t="n"/>
      <c r="B115" s="7" t="n"/>
      <c r="C115" s="8" t="n"/>
      <c r="D115" s="9" t="n"/>
      <c r="E115" s="8" t="n"/>
      <c r="F115" s="9" t="n"/>
      <c r="G115" s="9" t="n"/>
      <c r="H115" s="3">
        <f>IF(AND(D115&lt;&gt;"",F115&lt;&gt;""),F115-D115-G115,"")</f>
        <v/>
      </c>
      <c r="I115" s="14">
        <f>IF(E115&lt;&gt;"", YEARFRAC(C115, E115) * 12, "")</f>
        <v/>
      </c>
      <c r="J115" s="2">
        <f>IF(I115="", "", IF(AND(A115="MF (Equity)", I115&gt;12), "Long Term", "Short Term"))</f>
        <v/>
      </c>
      <c r="K115" s="5">
        <f>IF(J115="", "", IF(J115="Long Term", 12.5%, 20%))</f>
        <v/>
      </c>
      <c r="L115" s="3">
        <f>+IFERROR(IF(J115="","",H115*K115),"")</f>
        <v/>
      </c>
    </row>
    <row r="116">
      <c r="A116" s="11" t="n"/>
      <c r="B116" s="7" t="n"/>
      <c r="C116" s="8" t="n"/>
      <c r="D116" s="9" t="n"/>
      <c r="E116" s="8" t="n"/>
      <c r="F116" s="9" t="n"/>
      <c r="G116" s="9" t="n"/>
      <c r="H116" s="3">
        <f>IF(AND(D116&lt;&gt;"",F116&lt;&gt;""),F116-D116-G116,"")</f>
        <v/>
      </c>
      <c r="I116" s="14">
        <f>IF(E116&lt;&gt;"", YEARFRAC(C116, E116) * 12, "")</f>
        <v/>
      </c>
      <c r="J116" s="2">
        <f>IF(I116="", "", IF(AND(A116="MF (Equity)", I116&gt;12), "Long Term", "Short Term"))</f>
        <v/>
      </c>
      <c r="K116" s="5">
        <f>IF(J116="", "", IF(J116="Long Term", 12.5%, 20%))</f>
        <v/>
      </c>
      <c r="L116" s="3">
        <f>+IFERROR(IF(J116="","",H116*K116),"")</f>
        <v/>
      </c>
    </row>
    <row r="117">
      <c r="A117" s="11" t="n"/>
      <c r="B117" s="7" t="n"/>
      <c r="C117" s="8" t="n"/>
      <c r="D117" s="9" t="n"/>
      <c r="E117" s="8" t="n"/>
      <c r="F117" s="9" t="n"/>
      <c r="G117" s="9" t="n"/>
      <c r="H117" s="3">
        <f>IF(AND(D117&lt;&gt;"",F117&lt;&gt;""),F117-D117-G117,"")</f>
        <v/>
      </c>
      <c r="I117" s="14">
        <f>IF(E117&lt;&gt;"", YEARFRAC(C117, E117) * 12, "")</f>
        <v/>
      </c>
      <c r="J117" s="2">
        <f>IF(I117="", "", IF(AND(A117="MF (Equity)", I117&gt;12), "Long Term", "Short Term"))</f>
        <v/>
      </c>
      <c r="K117" s="5">
        <f>IF(J117="", "", IF(J117="Long Term", 12.5%, 20%))</f>
        <v/>
      </c>
      <c r="L117" s="3">
        <f>+IFERROR(IF(J117="","",H117*K117),"")</f>
        <v/>
      </c>
    </row>
    <row r="118">
      <c r="A118" s="11" t="n"/>
      <c r="B118" s="7" t="n"/>
      <c r="C118" s="8" t="n"/>
      <c r="D118" s="9" t="n"/>
      <c r="E118" s="8" t="n"/>
      <c r="F118" s="9" t="n"/>
      <c r="G118" s="9" t="n"/>
      <c r="H118" s="3">
        <f>IF(AND(D118&lt;&gt;"",F118&lt;&gt;""),F118-D118-G118,"")</f>
        <v/>
      </c>
      <c r="I118" s="14">
        <f>IF(E118&lt;&gt;"", YEARFRAC(C118, E118) * 12, "")</f>
        <v/>
      </c>
      <c r="J118" s="2">
        <f>IF(I118="", "", IF(AND(A118="MF (Equity)", I118&gt;12), "Long Term", "Short Term"))</f>
        <v/>
      </c>
      <c r="K118" s="5">
        <f>IF(J118="", "", IF(J118="Long Term", 12.5%, 20%))</f>
        <v/>
      </c>
      <c r="L118" s="3">
        <f>+IFERROR(IF(J118="","",H118*K118),"")</f>
        <v/>
      </c>
    </row>
    <row r="119">
      <c r="A119" s="11" t="n"/>
      <c r="B119" s="7" t="n"/>
      <c r="C119" s="8" t="n"/>
      <c r="D119" s="9" t="n"/>
      <c r="E119" s="8" t="n"/>
      <c r="F119" s="9" t="n"/>
      <c r="G119" s="9" t="n"/>
      <c r="H119" s="3">
        <f>IF(AND(D119&lt;&gt;"",F119&lt;&gt;""),F119-D119-G119,"")</f>
        <v/>
      </c>
      <c r="I119" s="14">
        <f>IF(E119&lt;&gt;"", YEARFRAC(C119, E119) * 12, "")</f>
        <v/>
      </c>
      <c r="J119" s="2">
        <f>IF(I119="", "", IF(AND(A119="MF (Equity)", I119&gt;12), "Long Term", "Short Term"))</f>
        <v/>
      </c>
      <c r="K119" s="5">
        <f>IF(J119="", "", IF(J119="Long Term", 12.5%, 20%))</f>
        <v/>
      </c>
      <c r="L119" s="3">
        <f>+IFERROR(IF(J119="","",H119*K119),"")</f>
        <v/>
      </c>
    </row>
    <row r="120">
      <c r="A120" s="11" t="n"/>
      <c r="B120" s="7" t="n"/>
      <c r="C120" s="8" t="n"/>
      <c r="D120" s="9" t="n"/>
      <c r="E120" s="8" t="n"/>
      <c r="F120" s="9" t="n"/>
      <c r="G120" s="9" t="n"/>
      <c r="H120" s="3">
        <f>IF(AND(D120&lt;&gt;"",F120&lt;&gt;""),F120-D120-G120,"")</f>
        <v/>
      </c>
      <c r="I120" s="14">
        <f>IF(E120&lt;&gt;"", YEARFRAC(C120, E120) * 12, "")</f>
        <v/>
      </c>
      <c r="J120" s="2">
        <f>IF(I120="", "", IF(AND(A120="MF (Equity)", I120&gt;12), "Long Term", "Short Term"))</f>
        <v/>
      </c>
      <c r="K120" s="5">
        <f>IF(J120="", "", IF(J120="Long Term", 12.5%, 20%))</f>
        <v/>
      </c>
      <c r="L120" s="3">
        <f>+IFERROR(IF(J120="","",H120*K120),"")</f>
        <v/>
      </c>
    </row>
    <row r="121">
      <c r="A121" s="11" t="n"/>
      <c r="B121" s="7" t="n"/>
      <c r="C121" s="8" t="n"/>
      <c r="D121" s="9" t="n"/>
      <c r="E121" s="8" t="n"/>
      <c r="F121" s="9" t="n"/>
      <c r="G121" s="9" t="n"/>
      <c r="H121" s="3">
        <f>IF(AND(D121&lt;&gt;"",F121&lt;&gt;""),F121-D121-G121,"")</f>
        <v/>
      </c>
      <c r="I121" s="14">
        <f>IF(E121&lt;&gt;"", YEARFRAC(C121, E121) * 12, "")</f>
        <v/>
      </c>
      <c r="J121" s="2">
        <f>IF(I121="", "", IF(AND(A121="MF (Equity)", I121&gt;12), "Long Term", "Short Term"))</f>
        <v/>
      </c>
      <c r="K121" s="5">
        <f>IF(J121="", "", IF(J121="Long Term", 12.5%, 20%))</f>
        <v/>
      </c>
      <c r="L121" s="3">
        <f>+IFERROR(IF(J121="","",H121*K121),"")</f>
        <v/>
      </c>
    </row>
    <row r="122">
      <c r="A122" s="11" t="n"/>
      <c r="B122" s="7" t="n"/>
      <c r="C122" s="8" t="n"/>
      <c r="D122" s="9" t="n"/>
      <c r="E122" s="8" t="n"/>
      <c r="F122" s="9" t="n"/>
      <c r="G122" s="9" t="n"/>
      <c r="H122" s="3">
        <f>IF(AND(D122&lt;&gt;"",F122&lt;&gt;""),F122-D122-G122,"")</f>
        <v/>
      </c>
      <c r="I122" s="14">
        <f>IF(E122&lt;&gt;"", YEARFRAC(C122, E122) * 12, "")</f>
        <v/>
      </c>
      <c r="J122" s="2">
        <f>IF(I122="", "", IF(AND(A122="MF (Equity)", I122&gt;12), "Long Term", "Short Term"))</f>
        <v/>
      </c>
      <c r="K122" s="5">
        <f>IF(J122="", "", IF(J122="Long Term", 12.5%, 20%))</f>
        <v/>
      </c>
      <c r="L122" s="3">
        <f>+IFERROR(IF(J122="","",H122*K122),"")</f>
        <v/>
      </c>
    </row>
    <row r="123">
      <c r="A123" s="11" t="n"/>
      <c r="B123" s="7" t="n"/>
      <c r="C123" s="8" t="n"/>
      <c r="D123" s="9" t="n"/>
      <c r="E123" s="8" t="n"/>
      <c r="F123" s="9" t="n"/>
      <c r="G123" s="9" t="n"/>
      <c r="H123" s="3">
        <f>IF(AND(D123&lt;&gt;"",F123&lt;&gt;""),F123-D123-G123,"")</f>
        <v/>
      </c>
      <c r="I123" s="14">
        <f>IF(E123&lt;&gt;"", YEARFRAC(C123, E123) * 12, "")</f>
        <v/>
      </c>
      <c r="J123" s="2">
        <f>IF(I123="", "", IF(AND(A123="MF (Equity)", I123&gt;12), "Long Term", "Short Term"))</f>
        <v/>
      </c>
      <c r="K123" s="5">
        <f>IF(J123="", "", IF(J123="Long Term", 12.5%, 20%))</f>
        <v/>
      </c>
      <c r="L123" s="3">
        <f>+IFERROR(IF(J123="","",H123*K123),"")</f>
        <v/>
      </c>
    </row>
    <row r="124">
      <c r="A124" s="11" t="n"/>
      <c r="B124" s="7" t="n"/>
      <c r="C124" s="8" t="n"/>
      <c r="D124" s="9" t="n"/>
      <c r="E124" s="8" t="n"/>
      <c r="F124" s="9" t="n"/>
      <c r="G124" s="9" t="n"/>
      <c r="H124" s="3">
        <f>IF(AND(D124&lt;&gt;"",F124&lt;&gt;""),F124-D124-G124,"")</f>
        <v/>
      </c>
      <c r="I124" s="14">
        <f>IF(E124&lt;&gt;"", YEARFRAC(C124, E124) * 12, "")</f>
        <v/>
      </c>
      <c r="J124" s="2">
        <f>IF(I124="", "", IF(AND(A124="MF (Equity)", I124&gt;12), "Long Term", "Short Term"))</f>
        <v/>
      </c>
      <c r="K124" s="5">
        <f>IF(J124="", "", IF(J124="Long Term", 12.5%, 20%))</f>
        <v/>
      </c>
      <c r="L124" s="3">
        <f>+IFERROR(IF(J124="","",H124*K124),"")</f>
        <v/>
      </c>
    </row>
    <row r="125">
      <c r="A125" s="11" t="n"/>
      <c r="B125" s="7" t="n"/>
      <c r="C125" s="8" t="n"/>
      <c r="D125" s="9" t="n"/>
      <c r="E125" s="8" t="n"/>
      <c r="F125" s="9" t="n"/>
      <c r="G125" s="9" t="n"/>
      <c r="H125" s="3">
        <f>IF(AND(D125&lt;&gt;"",F125&lt;&gt;""),F125-D125-G125,"")</f>
        <v/>
      </c>
      <c r="I125" s="14">
        <f>IF(E125&lt;&gt;"", YEARFRAC(C125, E125) * 12, "")</f>
        <v/>
      </c>
      <c r="J125" s="2">
        <f>IF(I125="", "", IF(AND(A125="MF (Equity)", I125&gt;12), "Long Term", "Short Term"))</f>
        <v/>
      </c>
      <c r="K125" s="5">
        <f>IF(J125="", "", IF(J125="Long Term", 12.5%, 20%))</f>
        <v/>
      </c>
      <c r="L125" s="3">
        <f>+IFERROR(IF(J125="","",H125*K125),"")</f>
        <v/>
      </c>
    </row>
    <row r="126">
      <c r="A126" s="11" t="n"/>
      <c r="B126" s="7" t="n"/>
      <c r="C126" s="8" t="n"/>
      <c r="D126" s="9" t="n"/>
      <c r="E126" s="8" t="n"/>
      <c r="F126" s="9" t="n"/>
      <c r="G126" s="9" t="n"/>
      <c r="H126" s="3">
        <f>IF(AND(D126&lt;&gt;"",F126&lt;&gt;""),F126-D126-G126,"")</f>
        <v/>
      </c>
      <c r="I126" s="14">
        <f>IF(E126&lt;&gt;"", YEARFRAC(C126, E126) * 12, "")</f>
        <v/>
      </c>
      <c r="J126" s="2">
        <f>IF(I126="", "", IF(AND(A126="MF (Equity)", I126&gt;12), "Long Term", "Short Term"))</f>
        <v/>
      </c>
      <c r="K126" s="5">
        <f>IF(J126="", "", IF(J126="Long Term", 12.5%, 20%))</f>
        <v/>
      </c>
      <c r="L126" s="3">
        <f>+IFERROR(IF(J126="","",H126*K126),"")</f>
        <v/>
      </c>
    </row>
    <row r="127">
      <c r="A127" s="11" t="n"/>
      <c r="B127" s="7" t="n"/>
      <c r="C127" s="8" t="n"/>
      <c r="D127" s="9" t="n"/>
      <c r="E127" s="8" t="n"/>
      <c r="F127" s="9" t="n"/>
      <c r="G127" s="9" t="n"/>
      <c r="H127" s="3">
        <f>IF(AND(D127&lt;&gt;"",F127&lt;&gt;""),F127-D127-G127,"")</f>
        <v/>
      </c>
      <c r="I127" s="14">
        <f>IF(E127&lt;&gt;"", YEARFRAC(C127, E127) * 12, "")</f>
        <v/>
      </c>
      <c r="J127" s="2">
        <f>IF(I127="", "", IF(AND(A127="MF (Equity)", I127&gt;12), "Long Term", "Short Term"))</f>
        <v/>
      </c>
      <c r="K127" s="5">
        <f>IF(J127="", "", IF(J127="Long Term", 12.5%, 20%))</f>
        <v/>
      </c>
      <c r="L127" s="3">
        <f>+IFERROR(IF(J127="","",H127*K127),"")</f>
        <v/>
      </c>
    </row>
    <row r="128">
      <c r="A128" s="11" t="n"/>
      <c r="B128" s="7" t="n"/>
      <c r="C128" s="8" t="n"/>
      <c r="D128" s="9" t="n"/>
      <c r="E128" s="8" t="n"/>
      <c r="F128" s="9" t="n"/>
      <c r="G128" s="9" t="n"/>
      <c r="H128" s="3">
        <f>IF(AND(D128&lt;&gt;"",F128&lt;&gt;""),F128-D128-G128,"")</f>
        <v/>
      </c>
      <c r="I128" s="14">
        <f>IF(E128&lt;&gt;"", YEARFRAC(C128, E128) * 12, "")</f>
        <v/>
      </c>
      <c r="J128" s="2">
        <f>IF(I128="", "", IF(AND(A128="MF (Equity)", I128&gt;12), "Long Term", "Short Term"))</f>
        <v/>
      </c>
      <c r="K128" s="5">
        <f>IF(J128="", "", IF(J128="Long Term", 12.5%, 20%))</f>
        <v/>
      </c>
      <c r="L128" s="3">
        <f>+IFERROR(IF(J128="","",H128*K128),"")</f>
        <v/>
      </c>
    </row>
    <row r="129">
      <c r="A129" s="11" t="n"/>
      <c r="B129" s="7" t="n"/>
      <c r="C129" s="8" t="n"/>
      <c r="D129" s="9" t="n"/>
      <c r="E129" s="8" t="n"/>
      <c r="F129" s="9" t="n"/>
      <c r="G129" s="9" t="n"/>
      <c r="H129" s="3">
        <f>IF(AND(D129&lt;&gt;"",F129&lt;&gt;""),F129-D129-G129,"")</f>
        <v/>
      </c>
      <c r="I129" s="14">
        <f>IF(E129&lt;&gt;"", YEARFRAC(C129, E129) * 12, "")</f>
        <v/>
      </c>
      <c r="J129" s="2">
        <f>IF(I129="", "", IF(AND(A129="MF (Equity)", I129&gt;12), "Long Term", "Short Term"))</f>
        <v/>
      </c>
      <c r="K129" s="5">
        <f>IF(J129="", "", IF(J129="Long Term", 12.5%, 20%))</f>
        <v/>
      </c>
      <c r="L129" s="3">
        <f>+IFERROR(IF(J129="","",H129*K129),"")</f>
        <v/>
      </c>
    </row>
    <row r="130">
      <c r="A130" s="11" t="n"/>
      <c r="B130" s="7" t="n"/>
      <c r="C130" s="8" t="n"/>
      <c r="D130" s="9" t="n"/>
      <c r="E130" s="8" t="n"/>
      <c r="F130" s="9" t="n"/>
      <c r="G130" s="9" t="n"/>
      <c r="H130" s="3">
        <f>IF(AND(D130&lt;&gt;"",F130&lt;&gt;""),F130-D130-G130,"")</f>
        <v/>
      </c>
      <c r="I130" s="14">
        <f>IF(E130&lt;&gt;"", YEARFRAC(C130, E130) * 12, "")</f>
        <v/>
      </c>
      <c r="J130" s="2">
        <f>IF(I130="", "", IF(AND(A130="MF (Equity)", I130&gt;12), "Long Term", "Short Term"))</f>
        <v/>
      </c>
      <c r="K130" s="5">
        <f>IF(J130="", "", IF(J130="Long Term", 12.5%, 20%))</f>
        <v/>
      </c>
      <c r="L130" s="3">
        <f>+IFERROR(IF(J130="","",H130*K130),"")</f>
        <v/>
      </c>
    </row>
    <row r="131">
      <c r="A131" s="11" t="n"/>
      <c r="B131" s="7" t="n"/>
      <c r="C131" s="8" t="n"/>
      <c r="D131" s="9" t="n"/>
      <c r="E131" s="8" t="n"/>
      <c r="F131" s="9" t="n"/>
      <c r="G131" s="9" t="n"/>
      <c r="H131" s="3">
        <f>IF(AND(D131&lt;&gt;"",F131&lt;&gt;""),F131-D131-G131,"")</f>
        <v/>
      </c>
      <c r="I131" s="14">
        <f>IF(E131&lt;&gt;"", YEARFRAC(C131, E131) * 12, "")</f>
        <v/>
      </c>
      <c r="J131" s="2">
        <f>IF(I131="", "", IF(AND(A131="MF (Equity)", I131&gt;12), "Long Term", "Short Term"))</f>
        <v/>
      </c>
      <c r="K131" s="5">
        <f>IF(J131="", "", IF(J131="Long Term", 12.5%, 20%))</f>
        <v/>
      </c>
      <c r="L131" s="3">
        <f>+IFERROR(IF(J131="","",H131*K131),"")</f>
        <v/>
      </c>
    </row>
    <row r="132">
      <c r="A132" s="11" t="n"/>
      <c r="B132" s="7" t="n"/>
      <c r="C132" s="8" t="n"/>
      <c r="D132" s="9" t="n"/>
      <c r="E132" s="8" t="n"/>
      <c r="F132" s="9" t="n"/>
      <c r="G132" s="9" t="n"/>
      <c r="H132" s="3">
        <f>IF(AND(D132&lt;&gt;"",F132&lt;&gt;""),F132-D132-G132,"")</f>
        <v/>
      </c>
      <c r="I132" s="14">
        <f>IF(E132&lt;&gt;"", YEARFRAC(C132, E132) * 12, "")</f>
        <v/>
      </c>
      <c r="J132" s="2">
        <f>IF(I132="", "", IF(AND(A132="MF (Equity)", I132&gt;12), "Long Term", "Short Term"))</f>
        <v/>
      </c>
      <c r="K132" s="5">
        <f>IF(J132="", "", IF(J132="Long Term", 12.5%, 20%))</f>
        <v/>
      </c>
      <c r="L132" s="3">
        <f>+IFERROR(IF(J132="","",H132*K132),"")</f>
        <v/>
      </c>
    </row>
    <row r="133">
      <c r="A133" s="11" t="n"/>
      <c r="B133" s="7" t="n"/>
      <c r="C133" s="8" t="n"/>
      <c r="D133" s="9" t="n"/>
      <c r="E133" s="8" t="n"/>
      <c r="F133" s="9" t="n"/>
      <c r="G133" s="9" t="n"/>
      <c r="H133" s="3">
        <f>IF(AND(D133&lt;&gt;"",F133&lt;&gt;""),F133-D133-G133,"")</f>
        <v/>
      </c>
      <c r="I133" s="14">
        <f>IF(E133&lt;&gt;"", YEARFRAC(C133, E133) * 12, "")</f>
        <v/>
      </c>
      <c r="J133" s="2">
        <f>IF(I133="", "", IF(AND(A133="MF (Equity)", I133&gt;12), "Long Term", "Short Term"))</f>
        <v/>
      </c>
      <c r="K133" s="5">
        <f>IF(J133="", "", IF(J133="Long Term", 12.5%, 20%))</f>
        <v/>
      </c>
      <c r="L133" s="3">
        <f>+IFERROR(IF(J133="","",H133*K133),"")</f>
        <v/>
      </c>
    </row>
    <row r="134">
      <c r="A134" s="11" t="n"/>
      <c r="B134" s="7" t="n"/>
      <c r="C134" s="8" t="n"/>
      <c r="D134" s="9" t="n"/>
      <c r="E134" s="8" t="n"/>
      <c r="F134" s="9" t="n"/>
      <c r="G134" s="9" t="n"/>
      <c r="H134" s="3">
        <f>IF(AND(D134&lt;&gt;"",F134&lt;&gt;""),F134-D134-G134,"")</f>
        <v/>
      </c>
      <c r="I134" s="14">
        <f>IF(E134&lt;&gt;"", YEARFRAC(C134, E134) * 12, "")</f>
        <v/>
      </c>
      <c r="J134" s="2">
        <f>IF(I134="", "", IF(AND(A134="MF (Equity)", I134&gt;12), "Long Term", "Short Term"))</f>
        <v/>
      </c>
      <c r="K134" s="5">
        <f>IF(J134="", "", IF(J134="Long Term", 12.5%, 20%))</f>
        <v/>
      </c>
      <c r="L134" s="3">
        <f>+IFERROR(IF(J134="","",H134*K134),"")</f>
        <v/>
      </c>
    </row>
    <row r="135">
      <c r="A135" s="11" t="n"/>
      <c r="B135" s="7" t="n"/>
      <c r="C135" s="8" t="n"/>
      <c r="D135" s="9" t="n"/>
      <c r="E135" s="8" t="n"/>
      <c r="F135" s="9" t="n"/>
      <c r="G135" s="9" t="n"/>
      <c r="H135" s="3">
        <f>IF(AND(D135&lt;&gt;"",F135&lt;&gt;""),F135-D135-G135,"")</f>
        <v/>
      </c>
      <c r="I135" s="14">
        <f>IF(E135&lt;&gt;"", YEARFRAC(C135, E135) * 12, "")</f>
        <v/>
      </c>
      <c r="J135" s="2">
        <f>IF(I135="", "", IF(AND(A135="MF (Equity)", I135&gt;12), "Long Term", "Short Term"))</f>
        <v/>
      </c>
      <c r="K135" s="5">
        <f>IF(J135="", "", IF(J135="Long Term", 12.5%, 20%))</f>
        <v/>
      </c>
      <c r="L135" s="3">
        <f>+IFERROR(IF(J135="","",H135*K135),"")</f>
        <v/>
      </c>
    </row>
    <row r="136">
      <c r="A136" s="11" t="n"/>
      <c r="B136" s="7" t="n"/>
      <c r="C136" s="8" t="n"/>
      <c r="D136" s="9" t="n"/>
      <c r="E136" s="8" t="n"/>
      <c r="F136" s="9" t="n"/>
      <c r="G136" s="9" t="n"/>
      <c r="H136" s="3">
        <f>IF(AND(D136&lt;&gt;"",F136&lt;&gt;""),F136-D136-G136,"")</f>
        <v/>
      </c>
      <c r="I136" s="14">
        <f>IF(E136&lt;&gt;"", YEARFRAC(C136, E136) * 12, "")</f>
        <v/>
      </c>
      <c r="J136" s="2">
        <f>IF(I136="", "", IF(AND(A136="MF (Equity)", I136&gt;12), "Long Term", "Short Term"))</f>
        <v/>
      </c>
      <c r="K136" s="5">
        <f>IF(J136="", "", IF(J136="Long Term", 12.5%, 20%))</f>
        <v/>
      </c>
      <c r="L136" s="3">
        <f>+IFERROR(IF(J136="","",H136*K136),"")</f>
        <v/>
      </c>
    </row>
    <row r="137">
      <c r="A137" s="11" t="n"/>
      <c r="B137" s="7" t="n"/>
      <c r="C137" s="8" t="n"/>
      <c r="D137" s="9" t="n"/>
      <c r="E137" s="8" t="n"/>
      <c r="F137" s="9" t="n"/>
      <c r="G137" s="9" t="n"/>
      <c r="H137" s="3">
        <f>IF(AND(D137&lt;&gt;"",F137&lt;&gt;""),F137-D137-G137,"")</f>
        <v/>
      </c>
      <c r="I137" s="14">
        <f>IF(E137&lt;&gt;"", YEARFRAC(C137, E137) * 12, "")</f>
        <v/>
      </c>
      <c r="J137" s="2">
        <f>IF(I137="", "", IF(AND(A137="MF (Equity)", I137&gt;12), "Long Term", "Short Term"))</f>
        <v/>
      </c>
      <c r="K137" s="5">
        <f>IF(J137="", "", IF(J137="Long Term", 12.5%, 20%))</f>
        <v/>
      </c>
      <c r="L137" s="3">
        <f>+IFERROR(IF(J137="","",H137*K137),"")</f>
        <v/>
      </c>
    </row>
    <row r="138">
      <c r="A138" s="11" t="n"/>
      <c r="B138" s="7" t="n"/>
      <c r="C138" s="8" t="n"/>
      <c r="D138" s="9" t="n"/>
      <c r="E138" s="8" t="n"/>
      <c r="F138" s="9" t="n"/>
      <c r="G138" s="9" t="n"/>
      <c r="H138" s="3">
        <f>IF(AND(D138&lt;&gt;"",F138&lt;&gt;""),F138-D138-G138,"")</f>
        <v/>
      </c>
      <c r="I138" s="14">
        <f>IF(E138&lt;&gt;"", YEARFRAC(C138, E138) * 12, "")</f>
        <v/>
      </c>
      <c r="J138" s="2">
        <f>IF(I138="", "", IF(AND(A138="MF (Equity)", I138&gt;12), "Long Term", "Short Term"))</f>
        <v/>
      </c>
      <c r="K138" s="5">
        <f>IF(J138="", "", IF(J138="Long Term", 12.5%, 20%))</f>
        <v/>
      </c>
      <c r="L138" s="3">
        <f>+IFERROR(IF(J138="","",H138*K138),"")</f>
        <v/>
      </c>
    </row>
    <row r="139">
      <c r="A139" s="11" t="n"/>
      <c r="B139" s="7" t="n"/>
      <c r="C139" s="8" t="n"/>
      <c r="D139" s="9" t="n"/>
      <c r="E139" s="8" t="n"/>
      <c r="F139" s="9" t="n"/>
      <c r="G139" s="9" t="n"/>
      <c r="H139" s="3">
        <f>IF(AND(D139&lt;&gt;"",F139&lt;&gt;""),F139-D139-G139,"")</f>
        <v/>
      </c>
      <c r="I139" s="14">
        <f>IF(E139&lt;&gt;"", YEARFRAC(C139, E139) * 12, "")</f>
        <v/>
      </c>
      <c r="J139" s="2">
        <f>IF(I139="", "", IF(AND(A139="MF (Equity)", I139&gt;12), "Long Term", "Short Term"))</f>
        <v/>
      </c>
      <c r="K139" s="5">
        <f>IF(J139="", "", IF(J139="Long Term", 12.5%, 20%))</f>
        <v/>
      </c>
      <c r="L139" s="3">
        <f>+IFERROR(IF(J139="","",H139*K139),"")</f>
        <v/>
      </c>
    </row>
    <row r="140">
      <c r="A140" s="11" t="n"/>
      <c r="B140" s="7" t="n"/>
      <c r="C140" s="8" t="n"/>
      <c r="D140" s="9" t="n"/>
      <c r="E140" s="8" t="n"/>
      <c r="F140" s="9" t="n"/>
      <c r="G140" s="9" t="n"/>
      <c r="H140" s="3">
        <f>IF(AND(D140&lt;&gt;"",F140&lt;&gt;""),F140-D140-G140,"")</f>
        <v/>
      </c>
      <c r="I140" s="14">
        <f>IF(E140&lt;&gt;"", YEARFRAC(C140, E140) * 12, "")</f>
        <v/>
      </c>
      <c r="J140" s="2">
        <f>IF(I140="", "", IF(AND(A140="MF (Equity)", I140&gt;12), "Long Term", "Short Term"))</f>
        <v/>
      </c>
      <c r="K140" s="5">
        <f>IF(J140="", "", IF(J140="Long Term", 12.5%, 20%))</f>
        <v/>
      </c>
      <c r="L140" s="3">
        <f>+IFERROR(IF(J140="","",H140*K140),"")</f>
        <v/>
      </c>
    </row>
    <row r="141">
      <c r="A141" s="11" t="n"/>
      <c r="B141" s="7" t="n"/>
      <c r="C141" s="8" t="n"/>
      <c r="D141" s="9" t="n"/>
      <c r="E141" s="8" t="n"/>
      <c r="F141" s="9" t="n"/>
      <c r="G141" s="9" t="n"/>
      <c r="H141" s="3">
        <f>IF(AND(D141&lt;&gt;"",F141&lt;&gt;""),F141-D141-G141,"")</f>
        <v/>
      </c>
      <c r="I141" s="14">
        <f>IF(E141&lt;&gt;"", YEARFRAC(C141, E141) * 12, "")</f>
        <v/>
      </c>
      <c r="J141" s="2">
        <f>IF(I141="", "", IF(AND(A141="MF (Equity)", I141&gt;12), "Long Term", "Short Term"))</f>
        <v/>
      </c>
      <c r="K141" s="5">
        <f>IF(J141="", "", IF(J141="Long Term", 12.5%, 20%))</f>
        <v/>
      </c>
      <c r="L141" s="3">
        <f>+IFERROR(IF(J141="","",H141*K141),"")</f>
        <v/>
      </c>
    </row>
    <row r="142">
      <c r="A142" s="11" t="n"/>
      <c r="B142" s="7" t="n"/>
      <c r="C142" s="8" t="n"/>
      <c r="D142" s="9" t="n"/>
      <c r="E142" s="8" t="n"/>
      <c r="F142" s="9" t="n"/>
      <c r="G142" s="9" t="n"/>
      <c r="H142" s="3">
        <f>IF(AND(D142&lt;&gt;"",F142&lt;&gt;""),F142-D142-G142,"")</f>
        <v/>
      </c>
      <c r="I142" s="14">
        <f>IF(E142&lt;&gt;"", YEARFRAC(C142, E142) * 12, "")</f>
        <v/>
      </c>
      <c r="J142" s="2">
        <f>IF(I142="", "", IF(AND(A142="MF (Equity)", I142&gt;12), "Long Term", "Short Term"))</f>
        <v/>
      </c>
      <c r="K142" s="5">
        <f>IF(J142="", "", IF(J142="Long Term", 12.5%, 20%))</f>
        <v/>
      </c>
      <c r="L142" s="3">
        <f>+IFERROR(IF(J142="","",H142*K142),"")</f>
        <v/>
      </c>
    </row>
    <row r="143">
      <c r="A143" s="11" t="n"/>
      <c r="B143" s="7" t="n"/>
      <c r="C143" s="8" t="n"/>
      <c r="D143" s="9" t="n"/>
      <c r="E143" s="8" t="n"/>
      <c r="F143" s="9" t="n"/>
      <c r="G143" s="9" t="n"/>
      <c r="H143" s="3">
        <f>IF(AND(D143&lt;&gt;"",F143&lt;&gt;""),F143-D143-G143,"")</f>
        <v/>
      </c>
      <c r="I143" s="14">
        <f>IF(E143&lt;&gt;"", YEARFRAC(C143, E143) * 12, "")</f>
        <v/>
      </c>
      <c r="J143" s="2">
        <f>IF(I143="", "", IF(AND(A143="MF (Equity)", I143&gt;12), "Long Term", "Short Term"))</f>
        <v/>
      </c>
      <c r="K143" s="5">
        <f>IF(J143="", "", IF(J143="Long Term", 12.5%, 20%))</f>
        <v/>
      </c>
      <c r="L143" s="3">
        <f>+IFERROR(IF(J143="","",H143*K143),"")</f>
        <v/>
      </c>
    </row>
    <row r="144">
      <c r="A144" s="11" t="n"/>
      <c r="B144" s="7" t="n"/>
      <c r="C144" s="8" t="n"/>
      <c r="D144" s="9" t="n"/>
      <c r="E144" s="8" t="n"/>
      <c r="F144" s="9" t="n"/>
      <c r="G144" s="9" t="n"/>
      <c r="H144" s="3">
        <f>IF(AND(D144&lt;&gt;"",F144&lt;&gt;""),F144-D144-G144,"")</f>
        <v/>
      </c>
      <c r="I144" s="14">
        <f>IF(E144&lt;&gt;"", YEARFRAC(C144, E144) * 12, "")</f>
        <v/>
      </c>
      <c r="J144" s="2">
        <f>IF(I144="", "", IF(AND(A144="MF (Equity)", I144&gt;12), "Long Term", "Short Term"))</f>
        <v/>
      </c>
      <c r="K144" s="5">
        <f>IF(J144="", "", IF(J144="Long Term", 12.5%, 20%))</f>
        <v/>
      </c>
      <c r="L144" s="3">
        <f>+IFERROR(IF(J144="","",H144*K144),"")</f>
        <v/>
      </c>
    </row>
    <row r="145">
      <c r="A145" s="11" t="n"/>
      <c r="B145" s="7" t="n"/>
      <c r="C145" s="8" t="n"/>
      <c r="D145" s="9" t="n"/>
      <c r="E145" s="8" t="n"/>
      <c r="F145" s="9" t="n"/>
      <c r="G145" s="9" t="n"/>
      <c r="H145" s="3">
        <f>IF(AND(D145&lt;&gt;"",F145&lt;&gt;""),F145-D145-G145,"")</f>
        <v/>
      </c>
      <c r="I145" s="14">
        <f>IF(E145&lt;&gt;"", YEARFRAC(C145, E145) * 12, "")</f>
        <v/>
      </c>
      <c r="J145" s="2">
        <f>IF(I145="", "", IF(AND(A145="MF (Equity)", I145&gt;12), "Long Term", "Short Term"))</f>
        <v/>
      </c>
      <c r="K145" s="5">
        <f>IF(J145="", "", IF(J145="Long Term", 12.5%, 20%))</f>
        <v/>
      </c>
      <c r="L145" s="3">
        <f>+IFERROR(IF(J145="","",H145*K145),"")</f>
        <v/>
      </c>
    </row>
    <row r="146">
      <c r="A146" s="11" t="n"/>
      <c r="B146" s="7" t="n"/>
      <c r="C146" s="8" t="n"/>
      <c r="D146" s="9" t="n"/>
      <c r="E146" s="8" t="n"/>
      <c r="F146" s="9" t="n"/>
      <c r="G146" s="9" t="n"/>
      <c r="H146" s="3">
        <f>IF(AND(D146&lt;&gt;"",F146&lt;&gt;""),F146-D146-G146,"")</f>
        <v/>
      </c>
      <c r="I146" s="14">
        <f>IF(E146&lt;&gt;"", YEARFRAC(C146, E146) * 12, "")</f>
        <v/>
      </c>
      <c r="J146" s="2">
        <f>IF(I146="", "", IF(AND(A146="MF (Equity)", I146&gt;12), "Long Term", "Short Term"))</f>
        <v/>
      </c>
      <c r="K146" s="5">
        <f>IF(J146="", "", IF(J146="Long Term", 12.5%, 20%))</f>
        <v/>
      </c>
      <c r="L146" s="3">
        <f>+IFERROR(IF(J146="","",H146*K146),"")</f>
        <v/>
      </c>
    </row>
    <row r="147">
      <c r="A147" s="11" t="n"/>
      <c r="B147" s="7" t="n"/>
      <c r="C147" s="8" t="n"/>
      <c r="D147" s="9" t="n"/>
      <c r="E147" s="8" t="n"/>
      <c r="F147" s="9" t="n"/>
      <c r="G147" s="9" t="n"/>
      <c r="H147" s="3">
        <f>IF(AND(D147&lt;&gt;"",F147&lt;&gt;""),F147-D147-G147,"")</f>
        <v/>
      </c>
      <c r="I147" s="14">
        <f>IF(E147&lt;&gt;"", YEARFRAC(C147, E147) * 12, "")</f>
        <v/>
      </c>
      <c r="J147" s="2">
        <f>IF(I147="", "", IF(AND(A147="MF (Equity)", I147&gt;12), "Long Term", "Short Term"))</f>
        <v/>
      </c>
      <c r="K147" s="5">
        <f>IF(J147="", "", IF(J147="Long Term", 12.5%, 20%))</f>
        <v/>
      </c>
      <c r="L147" s="3">
        <f>+IFERROR(IF(J147="","",H147*K147),"")</f>
        <v/>
      </c>
    </row>
    <row r="148">
      <c r="A148" s="11" t="n"/>
      <c r="B148" s="7" t="n"/>
      <c r="C148" s="8" t="n"/>
      <c r="D148" s="9" t="n"/>
      <c r="E148" s="8" t="n"/>
      <c r="F148" s="9" t="n"/>
      <c r="G148" s="9" t="n"/>
      <c r="H148" s="3">
        <f>IF(AND(D148&lt;&gt;"",F148&lt;&gt;""),F148-D148-G148,"")</f>
        <v/>
      </c>
      <c r="I148" s="14">
        <f>IF(E148&lt;&gt;"", YEARFRAC(C148, E148) * 12, "")</f>
        <v/>
      </c>
      <c r="J148" s="2">
        <f>IF(I148="", "", IF(AND(A148="MF (Equity)", I148&gt;12), "Long Term", "Short Term"))</f>
        <v/>
      </c>
      <c r="K148" s="5">
        <f>IF(J148="", "", IF(J148="Long Term", 12.5%, 20%))</f>
        <v/>
      </c>
      <c r="L148" s="3">
        <f>+IFERROR(IF(J148="","",H148*K148),"")</f>
        <v/>
      </c>
    </row>
    <row r="149">
      <c r="A149" s="11" t="n"/>
      <c r="B149" s="7" t="n"/>
      <c r="C149" s="8" t="n"/>
      <c r="D149" s="9" t="n"/>
      <c r="E149" s="8" t="n"/>
      <c r="F149" s="9" t="n"/>
      <c r="G149" s="9" t="n"/>
      <c r="H149" s="3">
        <f>IF(AND(D149&lt;&gt;"",F149&lt;&gt;""),F149-D149-G149,"")</f>
        <v/>
      </c>
      <c r="I149" s="14">
        <f>IF(E149&lt;&gt;"", YEARFRAC(C149, E149) * 12, "")</f>
        <v/>
      </c>
      <c r="J149" s="2">
        <f>IF(I149="", "", IF(AND(A149="MF (Equity)", I149&gt;12), "Long Term", "Short Term"))</f>
        <v/>
      </c>
      <c r="K149" s="5">
        <f>IF(J149="", "", IF(J149="Long Term", 12.5%, 20%))</f>
        <v/>
      </c>
      <c r="L149" s="3">
        <f>+IFERROR(IF(J149="","",H149*K149),"")</f>
        <v/>
      </c>
    </row>
    <row r="150">
      <c r="A150" s="11" t="n"/>
      <c r="B150" s="7" t="n"/>
      <c r="C150" s="8" t="n"/>
      <c r="D150" s="9" t="n"/>
      <c r="E150" s="8" t="n"/>
      <c r="F150" s="9" t="n"/>
      <c r="G150" s="9" t="n"/>
      <c r="H150" s="3">
        <f>IF(AND(D150&lt;&gt;"",F150&lt;&gt;""),F150-D150-G150,"")</f>
        <v/>
      </c>
      <c r="I150" s="14">
        <f>IF(E150&lt;&gt;"", YEARFRAC(C150, E150) * 12, "")</f>
        <v/>
      </c>
      <c r="J150" s="2">
        <f>IF(I150="", "", IF(AND(A150="MF (Equity)", I150&gt;12), "Long Term", "Short Term"))</f>
        <v/>
      </c>
      <c r="K150" s="5">
        <f>IF(J150="", "", IF(J150="Long Term", 12.5%, 20%))</f>
        <v/>
      </c>
      <c r="L150" s="3">
        <f>+IFERROR(IF(J150="","",H150*K150),"")</f>
        <v/>
      </c>
    </row>
    <row r="151">
      <c r="A151" s="11" t="n"/>
      <c r="B151" s="7" t="n"/>
      <c r="C151" s="8" t="n"/>
      <c r="D151" s="9" t="n"/>
      <c r="E151" s="8" t="n"/>
      <c r="F151" s="9" t="n"/>
      <c r="G151" s="9" t="n"/>
      <c r="H151" s="3">
        <f>IF(AND(D151&lt;&gt;"",F151&lt;&gt;""),F151-D151-G151,"")</f>
        <v/>
      </c>
      <c r="I151" s="14">
        <f>IF(E151&lt;&gt;"", YEARFRAC(C151, E151) * 12, "")</f>
        <v/>
      </c>
      <c r="J151" s="2">
        <f>IF(I151="", "", IF(AND(A151="MF (Equity)", I151&gt;12), "Long Term", "Short Term"))</f>
        <v/>
      </c>
      <c r="K151" s="5">
        <f>IF(J151="", "", IF(J151="Long Term", 12.5%, 20%))</f>
        <v/>
      </c>
      <c r="L151" s="3">
        <f>+IFERROR(IF(J151="","",H151*K151),"")</f>
        <v/>
      </c>
    </row>
    <row r="152">
      <c r="A152" s="11" t="n"/>
      <c r="B152" s="7" t="n"/>
      <c r="C152" s="8" t="n"/>
      <c r="D152" s="9" t="n"/>
      <c r="E152" s="8" t="n"/>
      <c r="F152" s="9" t="n"/>
      <c r="G152" s="9" t="n"/>
      <c r="H152" s="3">
        <f>IF(AND(D152&lt;&gt;"",F152&lt;&gt;""),F152-D152-G152,"")</f>
        <v/>
      </c>
      <c r="I152" s="14">
        <f>IF(E152&lt;&gt;"", YEARFRAC(C152, E152) * 12, "")</f>
        <v/>
      </c>
      <c r="J152" s="2">
        <f>IF(I152="", "", IF(AND(A152="MF (Equity)", I152&gt;12), "Long Term", "Short Term"))</f>
        <v/>
      </c>
      <c r="K152" s="5">
        <f>IF(J152="", "", IF(J152="Long Term", 12.5%, 20%))</f>
        <v/>
      </c>
      <c r="L152" s="3">
        <f>+IFERROR(IF(J152="","",H152*K152),"")</f>
        <v/>
      </c>
    </row>
    <row r="153">
      <c r="A153" s="11" t="n"/>
      <c r="B153" s="7" t="n"/>
      <c r="C153" s="8" t="n"/>
      <c r="D153" s="9" t="n"/>
      <c r="E153" s="8" t="n"/>
      <c r="F153" s="9" t="n"/>
      <c r="G153" s="9" t="n"/>
      <c r="H153" s="3">
        <f>IF(AND(D153&lt;&gt;"",F153&lt;&gt;""),F153-D153-G153,"")</f>
        <v/>
      </c>
      <c r="I153" s="14">
        <f>IF(E153&lt;&gt;"", YEARFRAC(C153, E153) * 12, "")</f>
        <v/>
      </c>
      <c r="J153" s="2">
        <f>IF(I153="", "", IF(AND(A153="MF (Equity)", I153&gt;12), "Long Term", "Short Term"))</f>
        <v/>
      </c>
      <c r="K153" s="5">
        <f>IF(J153="", "", IF(J153="Long Term", 12.5%, 20%))</f>
        <v/>
      </c>
      <c r="L153" s="3">
        <f>+IFERROR(IF(J153="","",H153*K153),"")</f>
        <v/>
      </c>
    </row>
    <row r="154">
      <c r="A154" s="11" t="n"/>
      <c r="B154" s="7" t="n"/>
      <c r="C154" s="8" t="n"/>
      <c r="D154" s="9" t="n"/>
      <c r="E154" s="8" t="n"/>
      <c r="F154" s="9" t="n"/>
      <c r="G154" s="9" t="n"/>
      <c r="H154" s="3">
        <f>IF(AND(D154&lt;&gt;"",F154&lt;&gt;""),F154-D154-G154,"")</f>
        <v/>
      </c>
      <c r="I154" s="14">
        <f>IF(E154&lt;&gt;"", YEARFRAC(C154, E154) * 12, "")</f>
        <v/>
      </c>
      <c r="J154" s="2">
        <f>IF(I154="", "", IF(AND(A154="MF (Equity)", I154&gt;12), "Long Term", "Short Term"))</f>
        <v/>
      </c>
      <c r="K154" s="5">
        <f>IF(J154="", "", IF(J154="Long Term", 12.5%, 20%))</f>
        <v/>
      </c>
      <c r="L154" s="3">
        <f>+IFERROR(IF(J154="","",H154*K154),"")</f>
        <v/>
      </c>
    </row>
    <row r="155">
      <c r="A155" s="11" t="n"/>
      <c r="B155" s="7" t="n"/>
      <c r="C155" s="8" t="n"/>
      <c r="D155" s="9" t="n"/>
      <c r="E155" s="8" t="n"/>
      <c r="F155" s="9" t="n"/>
      <c r="G155" s="9" t="n"/>
      <c r="H155" s="3">
        <f>IF(AND(D155&lt;&gt;"",F155&lt;&gt;""),F155-D155-G155,"")</f>
        <v/>
      </c>
      <c r="I155" s="14">
        <f>IF(E155&lt;&gt;"", YEARFRAC(C155, E155) * 12, "")</f>
        <v/>
      </c>
      <c r="J155" s="2">
        <f>IF(I155="", "", IF(AND(A155="MF (Equity)", I155&gt;12), "Long Term", "Short Term"))</f>
        <v/>
      </c>
      <c r="K155" s="5">
        <f>IF(J155="", "", IF(J155="Long Term", 12.5%, 20%))</f>
        <v/>
      </c>
      <c r="L155" s="3">
        <f>+IFERROR(IF(J155="","",H155*K155),"")</f>
        <v/>
      </c>
    </row>
    <row r="156">
      <c r="A156" s="11" t="n"/>
      <c r="B156" s="7" t="n"/>
      <c r="C156" s="8" t="n"/>
      <c r="D156" s="9" t="n"/>
      <c r="E156" s="8" t="n"/>
      <c r="F156" s="9" t="n"/>
      <c r="G156" s="9" t="n"/>
      <c r="H156" s="3">
        <f>IF(AND(D156&lt;&gt;"",F156&lt;&gt;""),F156-D156-G156,"")</f>
        <v/>
      </c>
      <c r="I156" s="14">
        <f>IF(E156&lt;&gt;"", YEARFRAC(C156, E156) * 12, "")</f>
        <v/>
      </c>
      <c r="J156" s="2">
        <f>IF(I156="", "", IF(AND(A156="MF (Equity)", I156&gt;12), "Long Term", "Short Term"))</f>
        <v/>
      </c>
      <c r="K156" s="5">
        <f>IF(J156="", "", IF(J156="Long Term", 12.5%, 20%))</f>
        <v/>
      </c>
      <c r="L156" s="3">
        <f>+IFERROR(IF(J156="","",H156*K156),"")</f>
        <v/>
      </c>
    </row>
    <row r="157">
      <c r="A157" s="11" t="n"/>
      <c r="B157" s="7" t="n"/>
      <c r="C157" s="8" t="n"/>
      <c r="D157" s="9" t="n"/>
      <c r="E157" s="8" t="n"/>
      <c r="F157" s="9" t="n"/>
      <c r="G157" s="9" t="n"/>
      <c r="H157" s="3">
        <f>IF(AND(D157&lt;&gt;"",F157&lt;&gt;""),F157-D157-G157,"")</f>
        <v/>
      </c>
      <c r="I157" s="14">
        <f>IF(E157&lt;&gt;"", YEARFRAC(C157, E157) * 12, "")</f>
        <v/>
      </c>
      <c r="J157" s="2">
        <f>IF(I157="", "", IF(AND(A157="MF (Equity)", I157&gt;12), "Long Term", "Short Term"))</f>
        <v/>
      </c>
      <c r="K157" s="5">
        <f>IF(J157="", "", IF(J157="Long Term", 12.5%, 20%))</f>
        <v/>
      </c>
      <c r="L157" s="3">
        <f>+IFERROR(IF(J157="","",H157*K157),"")</f>
        <v/>
      </c>
    </row>
    <row r="158">
      <c r="A158" s="11" t="n"/>
      <c r="B158" s="7" t="n"/>
      <c r="C158" s="8" t="n"/>
      <c r="D158" s="9" t="n"/>
      <c r="E158" s="8" t="n"/>
      <c r="F158" s="9" t="n"/>
      <c r="G158" s="9" t="n"/>
      <c r="H158" s="3">
        <f>IF(AND(D158&lt;&gt;"",F158&lt;&gt;""),F158-D158-G158,"")</f>
        <v/>
      </c>
      <c r="I158" s="14">
        <f>IF(E158&lt;&gt;"", YEARFRAC(C158, E158) * 12, "")</f>
        <v/>
      </c>
      <c r="J158" s="2">
        <f>IF(I158="", "", IF(AND(A158="MF (Equity)", I158&gt;12), "Long Term", "Short Term"))</f>
        <v/>
      </c>
      <c r="K158" s="5">
        <f>IF(J158="", "", IF(J158="Long Term", 12.5%, 20%))</f>
        <v/>
      </c>
      <c r="L158" s="3">
        <f>+IFERROR(IF(J158="","",H158*K158),"")</f>
        <v/>
      </c>
    </row>
    <row r="159">
      <c r="A159" s="11" t="n"/>
      <c r="B159" s="7" t="n"/>
      <c r="C159" s="8" t="n"/>
      <c r="D159" s="9" t="n"/>
      <c r="E159" s="8" t="n"/>
      <c r="F159" s="9" t="n"/>
      <c r="G159" s="9" t="n"/>
      <c r="H159" s="3">
        <f>IF(AND(D159&lt;&gt;"",F159&lt;&gt;""),F159-D159-G159,"")</f>
        <v/>
      </c>
      <c r="I159" s="14">
        <f>IF(E159&lt;&gt;"", YEARFRAC(C159, E159) * 12, "")</f>
        <v/>
      </c>
      <c r="J159" s="2">
        <f>IF(I159="", "", IF(AND(A159="MF (Equity)", I159&gt;12), "Long Term", "Short Term"))</f>
        <v/>
      </c>
      <c r="K159" s="5">
        <f>IF(J159="", "", IF(J159="Long Term", 12.5%, 20%))</f>
        <v/>
      </c>
      <c r="L159" s="3">
        <f>+IFERROR(IF(J159="","",H159*K159),"")</f>
        <v/>
      </c>
    </row>
    <row r="160">
      <c r="A160" s="11" t="n"/>
      <c r="B160" s="7" t="n"/>
      <c r="C160" s="8" t="n"/>
      <c r="D160" s="9" t="n"/>
      <c r="E160" s="8" t="n"/>
      <c r="F160" s="9" t="n"/>
      <c r="G160" s="9" t="n"/>
      <c r="H160" s="3">
        <f>IF(AND(D160&lt;&gt;"",F160&lt;&gt;""),F160-D160-G160,"")</f>
        <v/>
      </c>
      <c r="I160" s="14">
        <f>IF(E160&lt;&gt;"", YEARFRAC(C160, E160) * 12, "")</f>
        <v/>
      </c>
      <c r="J160" s="2">
        <f>IF(I160="", "", IF(AND(A160="MF (Equity)", I160&gt;12), "Long Term", "Short Term"))</f>
        <v/>
      </c>
      <c r="K160" s="5">
        <f>IF(J160="", "", IF(J160="Long Term", 12.5%, 20%))</f>
        <v/>
      </c>
      <c r="L160" s="3">
        <f>+IFERROR(IF(J160="","",H160*K160),"")</f>
        <v/>
      </c>
    </row>
    <row r="161">
      <c r="A161" s="11" t="n"/>
      <c r="B161" s="7" t="n"/>
      <c r="C161" s="8" t="n"/>
      <c r="D161" s="9" t="n"/>
      <c r="E161" s="8" t="n"/>
      <c r="F161" s="9" t="n"/>
      <c r="G161" s="9" t="n"/>
      <c r="H161" s="3">
        <f>IF(AND(D161&lt;&gt;"",F161&lt;&gt;""),F161-D161-G161,"")</f>
        <v/>
      </c>
      <c r="I161" s="14">
        <f>IF(E161&lt;&gt;"", YEARFRAC(C161, E161) * 12, "")</f>
        <v/>
      </c>
      <c r="J161" s="2">
        <f>IF(I161="", "", IF(AND(A161="MF (Equity)", I161&gt;12), "Long Term", "Short Term"))</f>
        <v/>
      </c>
      <c r="K161" s="5">
        <f>IF(J161="", "", IF(J161="Long Term", 12.5%, 20%))</f>
        <v/>
      </c>
      <c r="L161" s="3">
        <f>+IFERROR(IF(J161="","",H161*K161),"")</f>
        <v/>
      </c>
    </row>
    <row r="162">
      <c r="A162" s="11" t="n"/>
      <c r="B162" s="7" t="n"/>
      <c r="C162" s="8" t="n"/>
      <c r="D162" s="9" t="n"/>
      <c r="E162" s="8" t="n"/>
      <c r="F162" s="9" t="n"/>
      <c r="G162" s="9" t="n"/>
      <c r="H162" s="3">
        <f>IF(AND(D162&lt;&gt;"",F162&lt;&gt;""),F162-D162-G162,"")</f>
        <v/>
      </c>
      <c r="I162" s="14">
        <f>IF(E162&lt;&gt;"", YEARFRAC(C162, E162) * 12, "")</f>
        <v/>
      </c>
      <c r="J162" s="2">
        <f>IF(I162="", "", IF(AND(A162="MF (Equity)", I162&gt;12), "Long Term", "Short Term"))</f>
        <v/>
      </c>
      <c r="K162" s="5">
        <f>IF(J162="", "", IF(J162="Long Term", 12.5%, 20%))</f>
        <v/>
      </c>
      <c r="L162" s="3">
        <f>+IFERROR(IF(J162="","",H162*K162),"")</f>
        <v/>
      </c>
    </row>
    <row r="163">
      <c r="A163" s="11" t="n"/>
      <c r="B163" s="7" t="n"/>
      <c r="C163" s="8" t="n"/>
      <c r="D163" s="9" t="n"/>
      <c r="E163" s="8" t="n"/>
      <c r="F163" s="9" t="n"/>
      <c r="G163" s="9" t="n"/>
      <c r="H163" s="3">
        <f>IF(AND(D163&lt;&gt;"",F163&lt;&gt;""),F163-D163-G163,"")</f>
        <v/>
      </c>
      <c r="I163" s="14">
        <f>IF(E163&lt;&gt;"", YEARFRAC(C163, E163) * 12, "")</f>
        <v/>
      </c>
      <c r="J163" s="2">
        <f>IF(I163="", "", IF(AND(A163="MF (Equity)", I163&gt;12), "Long Term", "Short Term"))</f>
        <v/>
      </c>
      <c r="K163" s="5">
        <f>IF(J163="", "", IF(J163="Long Term", 12.5%, 20%))</f>
        <v/>
      </c>
      <c r="L163" s="3">
        <f>+IFERROR(IF(J163="","",H163*K163),"")</f>
        <v/>
      </c>
    </row>
    <row r="164">
      <c r="A164" s="11" t="n"/>
      <c r="B164" s="7" t="n"/>
      <c r="C164" s="8" t="n"/>
      <c r="D164" s="9" t="n"/>
      <c r="E164" s="8" t="n"/>
      <c r="F164" s="9" t="n"/>
      <c r="G164" s="9" t="n"/>
      <c r="H164" s="3">
        <f>IF(AND(D164&lt;&gt;"",F164&lt;&gt;""),F164-D164-G164,"")</f>
        <v/>
      </c>
      <c r="I164" s="14">
        <f>IF(E164&lt;&gt;"", YEARFRAC(C164, E164) * 12, "")</f>
        <v/>
      </c>
      <c r="J164" s="2">
        <f>IF(I164="", "", IF(AND(A164="MF (Equity)", I164&gt;12), "Long Term", "Short Term"))</f>
        <v/>
      </c>
      <c r="K164" s="5">
        <f>IF(J164="", "", IF(J164="Long Term", 12.5%, 20%))</f>
        <v/>
      </c>
      <c r="L164" s="3">
        <f>+IFERROR(IF(J164="","",H164*K164),"")</f>
        <v/>
      </c>
    </row>
    <row r="165">
      <c r="A165" s="11" t="n"/>
      <c r="B165" s="7" t="n"/>
      <c r="C165" s="8" t="n"/>
      <c r="D165" s="9" t="n"/>
      <c r="E165" s="8" t="n"/>
      <c r="F165" s="9" t="n"/>
      <c r="G165" s="9" t="n"/>
      <c r="H165" s="3">
        <f>IF(AND(D165&lt;&gt;"",F165&lt;&gt;""),F165-D165-G165,"")</f>
        <v/>
      </c>
      <c r="I165" s="14">
        <f>IF(E165&lt;&gt;"", YEARFRAC(C165, E165) * 12, "")</f>
        <v/>
      </c>
      <c r="J165" s="2">
        <f>IF(I165="", "", IF(AND(A165="MF (Equity)", I165&gt;12), "Long Term", "Short Term"))</f>
        <v/>
      </c>
      <c r="K165" s="5">
        <f>IF(J165="", "", IF(J165="Long Term", 12.5%, 20%))</f>
        <v/>
      </c>
      <c r="L165" s="3">
        <f>+IFERROR(IF(J165="","",H165*K165),"")</f>
        <v/>
      </c>
    </row>
    <row r="166">
      <c r="A166" s="11" t="n"/>
      <c r="B166" s="7" t="n"/>
      <c r="C166" s="8" t="n"/>
      <c r="D166" s="9" t="n"/>
      <c r="E166" s="8" t="n"/>
      <c r="F166" s="9" t="n"/>
      <c r="G166" s="9" t="n"/>
      <c r="H166" s="3">
        <f>IF(AND(D166&lt;&gt;"",F166&lt;&gt;""),F166-D166-G166,"")</f>
        <v/>
      </c>
      <c r="I166" s="14">
        <f>IF(E166&lt;&gt;"", YEARFRAC(C166, E166) * 12, "")</f>
        <v/>
      </c>
      <c r="J166" s="2">
        <f>IF(I166="", "", IF(AND(A166="MF (Equity)", I166&gt;12), "Long Term", "Short Term"))</f>
        <v/>
      </c>
      <c r="K166" s="5">
        <f>IF(J166="", "", IF(J166="Long Term", 12.5%, 20%))</f>
        <v/>
      </c>
      <c r="L166" s="3">
        <f>+IFERROR(IF(J166="","",H166*K166),"")</f>
        <v/>
      </c>
    </row>
    <row r="167">
      <c r="A167" s="11" t="n"/>
      <c r="B167" s="7" t="n"/>
      <c r="C167" s="8" t="n"/>
      <c r="D167" s="9" t="n"/>
      <c r="E167" s="8" t="n"/>
      <c r="F167" s="9" t="n"/>
      <c r="G167" s="9" t="n"/>
      <c r="H167" s="3">
        <f>IF(AND(D167&lt;&gt;"",F167&lt;&gt;""),F167-D167-G167,"")</f>
        <v/>
      </c>
      <c r="I167" s="14">
        <f>IF(E167&lt;&gt;"", YEARFRAC(C167, E167) * 12, "")</f>
        <v/>
      </c>
      <c r="J167" s="2">
        <f>IF(I167="", "", IF(AND(A167="MF (Equity)", I167&gt;12), "Long Term", "Short Term"))</f>
        <v/>
      </c>
      <c r="K167" s="5">
        <f>IF(J167="", "", IF(J167="Long Term", 12.5%, 20%))</f>
        <v/>
      </c>
      <c r="L167" s="3">
        <f>+IFERROR(IF(J167="","",H167*K167),"")</f>
        <v/>
      </c>
    </row>
    <row r="168">
      <c r="A168" s="11" t="n"/>
      <c r="B168" s="7" t="n"/>
      <c r="C168" s="8" t="n"/>
      <c r="D168" s="9" t="n"/>
      <c r="E168" s="8" t="n"/>
      <c r="F168" s="9" t="n"/>
      <c r="G168" s="9" t="n"/>
      <c r="H168" s="3">
        <f>IF(AND(D168&lt;&gt;"",F168&lt;&gt;""),F168-D168-G168,"")</f>
        <v/>
      </c>
      <c r="I168" s="14">
        <f>IF(E168&lt;&gt;"", YEARFRAC(C168, E168) * 12, "")</f>
        <v/>
      </c>
      <c r="J168" s="2">
        <f>IF(I168="", "", IF(AND(A168="MF (Equity)", I168&gt;12), "Long Term", "Short Term"))</f>
        <v/>
      </c>
      <c r="K168" s="5">
        <f>IF(J168="", "", IF(J168="Long Term", 12.5%, 20%))</f>
        <v/>
      </c>
      <c r="L168" s="3">
        <f>+IFERROR(IF(J168="","",H168*K168),"")</f>
        <v/>
      </c>
    </row>
    <row r="169">
      <c r="A169" s="11" t="n"/>
      <c r="B169" s="7" t="n"/>
      <c r="C169" s="8" t="n"/>
      <c r="D169" s="9" t="n"/>
      <c r="E169" s="8" t="n"/>
      <c r="F169" s="9" t="n"/>
      <c r="G169" s="9" t="n"/>
      <c r="H169" s="3">
        <f>IF(AND(D169&lt;&gt;"",F169&lt;&gt;""),F169-D169-G169,"")</f>
        <v/>
      </c>
      <c r="I169" s="14">
        <f>IF(E169&lt;&gt;"", YEARFRAC(C169, E169) * 12, "")</f>
        <v/>
      </c>
      <c r="J169" s="2">
        <f>IF(I169="", "", IF(AND(A169="MF (Equity)", I169&gt;12), "Long Term", "Short Term"))</f>
        <v/>
      </c>
      <c r="K169" s="5">
        <f>IF(J169="", "", IF(J169="Long Term", 12.5%, 20%))</f>
        <v/>
      </c>
      <c r="L169" s="3">
        <f>+IFERROR(IF(J169="","",H169*K169),"")</f>
        <v/>
      </c>
    </row>
    <row r="170">
      <c r="A170" s="11" t="n"/>
      <c r="B170" s="7" t="n"/>
      <c r="C170" s="8" t="n"/>
      <c r="D170" s="9" t="n"/>
      <c r="E170" s="8" t="n"/>
      <c r="F170" s="9" t="n"/>
      <c r="G170" s="9" t="n"/>
      <c r="H170" s="3">
        <f>IF(AND(D170&lt;&gt;"",F170&lt;&gt;""),F170-D170-G170,"")</f>
        <v/>
      </c>
      <c r="I170" s="14">
        <f>IF(E170&lt;&gt;"", YEARFRAC(C170, E170) * 12, "")</f>
        <v/>
      </c>
      <c r="J170" s="2">
        <f>IF(I170="", "", IF(AND(A170="MF (Equity)", I170&gt;12), "Long Term", "Short Term"))</f>
        <v/>
      </c>
      <c r="K170" s="5">
        <f>IF(J170="", "", IF(J170="Long Term", 12.5%, 20%))</f>
        <v/>
      </c>
      <c r="L170" s="3">
        <f>+IFERROR(IF(J170="","",H170*K170),"")</f>
        <v/>
      </c>
    </row>
    <row r="171">
      <c r="A171" s="11" t="n"/>
      <c r="B171" s="7" t="n"/>
      <c r="C171" s="8" t="n"/>
      <c r="D171" s="9" t="n"/>
      <c r="E171" s="8" t="n"/>
      <c r="F171" s="9" t="n"/>
      <c r="G171" s="9" t="n"/>
      <c r="H171" s="3">
        <f>IF(AND(D171&lt;&gt;"",F171&lt;&gt;""),F171-D171-G171,"")</f>
        <v/>
      </c>
      <c r="I171" s="14">
        <f>IF(E171&lt;&gt;"", YEARFRAC(C171, E171) * 12, "")</f>
        <v/>
      </c>
      <c r="J171" s="2">
        <f>IF(I171="", "", IF(AND(A171="MF (Equity)", I171&gt;12), "Long Term", "Short Term"))</f>
        <v/>
      </c>
      <c r="K171" s="5">
        <f>IF(J171="", "", IF(J171="Long Term", 12.5%, 20%))</f>
        <v/>
      </c>
      <c r="L171" s="3">
        <f>+IFERROR(IF(J171="","",H171*K171),"")</f>
        <v/>
      </c>
    </row>
    <row r="172">
      <c r="A172" s="11" t="n"/>
      <c r="B172" s="7" t="n"/>
      <c r="C172" s="8" t="n"/>
      <c r="D172" s="9" t="n"/>
      <c r="E172" s="8" t="n"/>
      <c r="F172" s="9" t="n"/>
      <c r="G172" s="9" t="n"/>
      <c r="H172" s="3">
        <f>IF(AND(D172&lt;&gt;"",F172&lt;&gt;""),F172-D172-G172,"")</f>
        <v/>
      </c>
      <c r="I172" s="14">
        <f>IF(E172&lt;&gt;"", YEARFRAC(C172, E172) * 12, "")</f>
        <v/>
      </c>
      <c r="J172" s="2">
        <f>IF(I172="", "", IF(AND(A172="MF (Equity)", I172&gt;12), "Long Term", "Short Term"))</f>
        <v/>
      </c>
      <c r="K172" s="5">
        <f>IF(J172="", "", IF(J172="Long Term", 12.5%, 20%))</f>
        <v/>
      </c>
      <c r="L172" s="3">
        <f>+IFERROR(IF(J172="","",H172*K172),"")</f>
        <v/>
      </c>
    </row>
    <row r="173">
      <c r="A173" s="11" t="n"/>
      <c r="B173" s="7" t="n"/>
      <c r="C173" s="8" t="n"/>
      <c r="D173" s="9" t="n"/>
      <c r="E173" s="8" t="n"/>
      <c r="F173" s="9" t="n"/>
      <c r="G173" s="9" t="n"/>
      <c r="H173" s="3">
        <f>IF(AND(D173&lt;&gt;"",F173&lt;&gt;""),F173-D173-G173,"")</f>
        <v/>
      </c>
      <c r="I173" s="14">
        <f>IF(E173&lt;&gt;"", YEARFRAC(C173, E173) * 12, "")</f>
        <v/>
      </c>
      <c r="J173" s="2">
        <f>IF(I173="", "", IF(AND(A173="MF (Equity)", I173&gt;12), "Long Term", "Short Term"))</f>
        <v/>
      </c>
      <c r="K173" s="5">
        <f>IF(J173="", "", IF(J173="Long Term", 12.5%, 20%))</f>
        <v/>
      </c>
      <c r="L173" s="3">
        <f>+IFERROR(IF(J173="","",H173*K173),"")</f>
        <v/>
      </c>
    </row>
    <row r="174">
      <c r="A174" s="11" t="n"/>
      <c r="B174" s="7" t="n"/>
      <c r="C174" s="8" t="n"/>
      <c r="D174" s="9" t="n"/>
      <c r="E174" s="8" t="n"/>
      <c r="F174" s="9" t="n"/>
      <c r="G174" s="9" t="n"/>
      <c r="H174" s="3">
        <f>IF(AND(D174&lt;&gt;"",F174&lt;&gt;""),F174-D174-G174,"")</f>
        <v/>
      </c>
      <c r="I174" s="14">
        <f>IF(E174&lt;&gt;"", YEARFRAC(C174, E174) * 12, "")</f>
        <v/>
      </c>
      <c r="J174" s="2">
        <f>IF(I174="", "", IF(AND(A174="MF (Equity)", I174&gt;12), "Long Term", "Short Term"))</f>
        <v/>
      </c>
      <c r="K174" s="5">
        <f>IF(J174="", "", IF(J174="Long Term", 12.5%, 20%))</f>
        <v/>
      </c>
      <c r="L174" s="3">
        <f>+IFERROR(IF(J174="","",H174*K174),"")</f>
        <v/>
      </c>
    </row>
    <row r="175">
      <c r="A175" s="11" t="n"/>
      <c r="B175" s="7" t="n"/>
      <c r="C175" s="8" t="n"/>
      <c r="D175" s="9" t="n"/>
      <c r="E175" s="8" t="n"/>
      <c r="F175" s="9" t="n"/>
      <c r="G175" s="9" t="n"/>
      <c r="H175" s="3">
        <f>IF(AND(D175&lt;&gt;"",F175&lt;&gt;""),F175-D175-G175,"")</f>
        <v/>
      </c>
      <c r="I175" s="14">
        <f>IF(E175&lt;&gt;"", YEARFRAC(C175, E175) * 12, "")</f>
        <v/>
      </c>
      <c r="J175" s="2">
        <f>IF(I175="", "", IF(AND(A175="MF (Equity)", I175&gt;12), "Long Term", "Short Term"))</f>
        <v/>
      </c>
      <c r="K175" s="5">
        <f>IF(J175="", "", IF(J175="Long Term", 12.5%, 20%))</f>
        <v/>
      </c>
      <c r="L175" s="3">
        <f>+IFERROR(IF(J175="","",H175*K175),"")</f>
        <v/>
      </c>
    </row>
    <row r="176">
      <c r="A176" s="11" t="n"/>
      <c r="B176" s="7" t="n"/>
      <c r="C176" s="8" t="n"/>
      <c r="D176" s="9" t="n"/>
      <c r="E176" s="8" t="n"/>
      <c r="F176" s="9" t="n"/>
      <c r="G176" s="9" t="n"/>
      <c r="H176" s="3">
        <f>IF(AND(D176&lt;&gt;"",F176&lt;&gt;""),F176-D176-G176,"")</f>
        <v/>
      </c>
      <c r="I176" s="14">
        <f>IF(E176&lt;&gt;"", YEARFRAC(C176, E176) * 12, "")</f>
        <v/>
      </c>
      <c r="J176" s="2">
        <f>IF(I176="", "", IF(AND(A176="MF (Equity)", I176&gt;12), "Long Term", "Short Term"))</f>
        <v/>
      </c>
      <c r="K176" s="5">
        <f>IF(J176="", "", IF(J176="Long Term", 12.5%, 20%))</f>
        <v/>
      </c>
      <c r="L176" s="3">
        <f>+IFERROR(IF(J176="","",H176*K176),"")</f>
        <v/>
      </c>
    </row>
    <row r="177">
      <c r="A177" s="11" t="n"/>
      <c r="B177" s="7" t="n"/>
      <c r="C177" s="8" t="n"/>
      <c r="D177" s="9" t="n"/>
      <c r="E177" s="8" t="n"/>
      <c r="F177" s="9" t="n"/>
      <c r="G177" s="9" t="n"/>
      <c r="H177" s="3">
        <f>IF(AND(D177&lt;&gt;"",F177&lt;&gt;""),F177-D177-G177,"")</f>
        <v/>
      </c>
      <c r="I177" s="14">
        <f>IF(E177&lt;&gt;"", YEARFRAC(C177, E177) * 12, "")</f>
        <v/>
      </c>
      <c r="J177" s="2">
        <f>IF(I177="", "", IF(AND(A177="MF (Equity)", I177&gt;12), "Long Term", "Short Term"))</f>
        <v/>
      </c>
      <c r="K177" s="5">
        <f>IF(J177="", "", IF(J177="Long Term", 12.5%, 20%))</f>
        <v/>
      </c>
      <c r="L177" s="3">
        <f>+IFERROR(IF(J177="","",H177*K177),"")</f>
        <v/>
      </c>
    </row>
    <row r="178">
      <c r="A178" s="11" t="n"/>
      <c r="B178" s="7" t="n"/>
      <c r="C178" s="8" t="n"/>
      <c r="D178" s="9" t="n"/>
      <c r="E178" s="8" t="n"/>
      <c r="F178" s="9" t="n"/>
      <c r="G178" s="9" t="n"/>
      <c r="H178" s="3">
        <f>IF(AND(D178&lt;&gt;"",F178&lt;&gt;""),F178-D178-G178,"")</f>
        <v/>
      </c>
      <c r="I178" s="14">
        <f>IF(E178&lt;&gt;"", YEARFRAC(C178, E178) * 12, "")</f>
        <v/>
      </c>
      <c r="J178" s="2">
        <f>IF(I178="", "", IF(AND(A178="MF (Equity)", I178&gt;12), "Long Term", "Short Term"))</f>
        <v/>
      </c>
      <c r="K178" s="5">
        <f>IF(J178="", "", IF(J178="Long Term", 12.5%, 20%))</f>
        <v/>
      </c>
      <c r="L178" s="3">
        <f>+IFERROR(IF(J178="","",H178*K178),"")</f>
        <v/>
      </c>
    </row>
    <row r="179">
      <c r="A179" s="11" t="n"/>
      <c r="B179" s="7" t="n"/>
      <c r="C179" s="8" t="n"/>
      <c r="D179" s="9" t="n"/>
      <c r="E179" s="8" t="n"/>
      <c r="F179" s="9" t="n"/>
      <c r="G179" s="9" t="n"/>
      <c r="H179" s="3">
        <f>IF(AND(D179&lt;&gt;"",F179&lt;&gt;""),F179-D179-G179,"")</f>
        <v/>
      </c>
      <c r="I179" s="14">
        <f>IF(E179&lt;&gt;"", YEARFRAC(C179, E179) * 12, "")</f>
        <v/>
      </c>
      <c r="J179" s="2">
        <f>IF(I179="", "", IF(AND(A179="MF (Equity)", I179&gt;12), "Long Term", "Short Term"))</f>
        <v/>
      </c>
      <c r="K179" s="5">
        <f>IF(J179="", "", IF(J179="Long Term", 12.5%, 20%))</f>
        <v/>
      </c>
      <c r="L179" s="3">
        <f>+IFERROR(IF(J179="","",H179*K179),"")</f>
        <v/>
      </c>
    </row>
    <row r="180">
      <c r="A180" s="11" t="n"/>
      <c r="B180" s="7" t="n"/>
      <c r="C180" s="8" t="n"/>
      <c r="D180" s="9" t="n"/>
      <c r="E180" s="8" t="n"/>
      <c r="F180" s="9" t="n"/>
      <c r="G180" s="9" t="n"/>
      <c r="H180" s="3">
        <f>IF(AND(D180&lt;&gt;"",F180&lt;&gt;""),F180-D180-G180,"")</f>
        <v/>
      </c>
      <c r="I180" s="14">
        <f>IF(E180&lt;&gt;"", YEARFRAC(C180, E180) * 12, "")</f>
        <v/>
      </c>
      <c r="J180" s="2">
        <f>IF(I180="", "", IF(AND(A180="MF (Equity)", I180&gt;12), "Long Term", "Short Term"))</f>
        <v/>
      </c>
      <c r="K180" s="5">
        <f>IF(J180="", "", IF(J180="Long Term", 12.5%, 20%))</f>
        <v/>
      </c>
      <c r="L180" s="3">
        <f>+IFERROR(IF(J180="","",H180*K180),"")</f>
        <v/>
      </c>
    </row>
    <row r="181">
      <c r="A181" s="11" t="n"/>
      <c r="B181" s="7" t="n"/>
      <c r="C181" s="8" t="n"/>
      <c r="D181" s="9" t="n"/>
      <c r="E181" s="8" t="n"/>
      <c r="F181" s="9" t="n"/>
      <c r="G181" s="9" t="n"/>
      <c r="H181" s="3">
        <f>IF(AND(D181&lt;&gt;"",F181&lt;&gt;""),F181-D181-G181,"")</f>
        <v/>
      </c>
      <c r="I181" s="14">
        <f>IF(E181&lt;&gt;"", YEARFRAC(C181, E181) * 12, "")</f>
        <v/>
      </c>
      <c r="J181" s="2">
        <f>IF(I181="", "", IF(AND(A181="MF (Equity)", I181&gt;12), "Long Term", "Short Term"))</f>
        <v/>
      </c>
      <c r="K181" s="5">
        <f>IF(J181="", "", IF(J181="Long Term", 12.5%, 20%))</f>
        <v/>
      </c>
      <c r="L181" s="3">
        <f>+IFERROR(IF(J181="","",H181*K181),"")</f>
        <v/>
      </c>
    </row>
    <row r="182">
      <c r="A182" s="11" t="n"/>
      <c r="B182" s="7" t="n"/>
      <c r="C182" s="8" t="n"/>
      <c r="D182" s="9" t="n"/>
      <c r="E182" s="8" t="n"/>
      <c r="F182" s="9" t="n"/>
      <c r="G182" s="9" t="n"/>
      <c r="H182" s="3">
        <f>IF(AND(D182&lt;&gt;"",F182&lt;&gt;""),F182-D182-G182,"")</f>
        <v/>
      </c>
      <c r="I182" s="14">
        <f>IF(E182&lt;&gt;"", YEARFRAC(C182, E182) * 12, "")</f>
        <v/>
      </c>
      <c r="J182" s="2">
        <f>IF(I182="", "", IF(AND(A182="MF (Equity)", I182&gt;12), "Long Term", "Short Term"))</f>
        <v/>
      </c>
      <c r="K182" s="5">
        <f>IF(J182="", "", IF(J182="Long Term", 12.5%, 20%))</f>
        <v/>
      </c>
      <c r="L182" s="3">
        <f>+IFERROR(IF(J182="","",H182*K182),"")</f>
        <v/>
      </c>
    </row>
    <row r="183">
      <c r="A183" s="11" t="n"/>
      <c r="B183" s="7" t="n"/>
      <c r="C183" s="8" t="n"/>
      <c r="D183" s="9" t="n"/>
      <c r="E183" s="8" t="n"/>
      <c r="F183" s="9" t="n"/>
      <c r="G183" s="9" t="n"/>
      <c r="H183" s="3">
        <f>IF(AND(D183&lt;&gt;"",F183&lt;&gt;""),F183-D183-G183,"")</f>
        <v/>
      </c>
      <c r="I183" s="14">
        <f>IF(E183&lt;&gt;"", YEARFRAC(C183, E183) * 12, "")</f>
        <v/>
      </c>
      <c r="J183" s="2">
        <f>IF(I183="", "", IF(AND(A183="MF (Equity)", I183&gt;12), "Long Term", "Short Term"))</f>
        <v/>
      </c>
      <c r="K183" s="5">
        <f>IF(J183="", "", IF(J183="Long Term", 12.5%, 20%))</f>
        <v/>
      </c>
      <c r="L183" s="3">
        <f>+IFERROR(IF(J183="","",H183*K183),"")</f>
        <v/>
      </c>
    </row>
    <row r="184">
      <c r="A184" s="11" t="n"/>
      <c r="B184" s="7" t="n"/>
      <c r="C184" s="8" t="n"/>
      <c r="D184" s="9" t="n"/>
      <c r="E184" s="8" t="n"/>
      <c r="F184" s="9" t="n"/>
      <c r="G184" s="9" t="n"/>
      <c r="H184" s="3">
        <f>IF(AND(D184&lt;&gt;"",F184&lt;&gt;""),F184-D184-G184,"")</f>
        <v/>
      </c>
      <c r="I184" s="14">
        <f>IF(E184&lt;&gt;"", YEARFRAC(C184, E184) * 12, "")</f>
        <v/>
      </c>
      <c r="J184" s="2">
        <f>IF(I184="", "", IF(AND(A184="MF (Equity)", I184&gt;12), "Long Term", "Short Term"))</f>
        <v/>
      </c>
      <c r="K184" s="5">
        <f>IF(J184="", "", IF(J184="Long Term", 12.5%, 20%))</f>
        <v/>
      </c>
      <c r="L184" s="3">
        <f>+IFERROR(IF(J184="","",H184*K184),"")</f>
        <v/>
      </c>
    </row>
    <row r="185">
      <c r="A185" s="11" t="n"/>
      <c r="B185" s="7" t="n"/>
      <c r="C185" s="8" t="n"/>
      <c r="D185" s="9" t="n"/>
      <c r="E185" s="8" t="n"/>
      <c r="F185" s="9" t="n"/>
      <c r="G185" s="9" t="n"/>
      <c r="H185" s="3">
        <f>IF(AND(D185&lt;&gt;"",F185&lt;&gt;""),F185-D185-G185,"")</f>
        <v/>
      </c>
      <c r="I185" s="14">
        <f>IF(E185&lt;&gt;"", YEARFRAC(C185, E185) * 12, "")</f>
        <v/>
      </c>
      <c r="J185" s="2">
        <f>IF(I185="", "", IF(AND(A185="MF (Equity)", I185&gt;12), "Long Term", "Short Term"))</f>
        <v/>
      </c>
      <c r="K185" s="5">
        <f>IF(J185="", "", IF(J185="Long Term", 12.5%, 20%))</f>
        <v/>
      </c>
      <c r="L185" s="3">
        <f>+IFERROR(IF(J185="","",H185*K185),"")</f>
        <v/>
      </c>
    </row>
    <row r="186">
      <c r="A186" s="11" t="n"/>
      <c r="B186" s="7" t="n"/>
      <c r="C186" s="8" t="n"/>
      <c r="D186" s="9" t="n"/>
      <c r="E186" s="8" t="n"/>
      <c r="F186" s="9" t="n"/>
      <c r="G186" s="9" t="n"/>
      <c r="H186" s="3">
        <f>IF(AND(D186&lt;&gt;"",F186&lt;&gt;""),F186-D186-G186,"")</f>
        <v/>
      </c>
      <c r="I186" s="14">
        <f>IF(E186&lt;&gt;"", YEARFRAC(C186, E186) * 12, "")</f>
        <v/>
      </c>
      <c r="J186" s="2">
        <f>IF(I186="", "", IF(AND(A186="MF (Equity)", I186&gt;12), "Long Term", "Short Term"))</f>
        <v/>
      </c>
      <c r="K186" s="5">
        <f>IF(J186="", "", IF(J186="Long Term", 12.5%, 20%))</f>
        <v/>
      </c>
      <c r="L186" s="3">
        <f>+IFERROR(IF(J186="","",H186*K186),"")</f>
        <v/>
      </c>
    </row>
    <row r="187">
      <c r="A187" s="11" t="n"/>
      <c r="B187" s="7" t="n"/>
      <c r="C187" s="8" t="n"/>
      <c r="D187" s="9" t="n"/>
      <c r="E187" s="8" t="n"/>
      <c r="F187" s="9" t="n"/>
      <c r="G187" s="9" t="n"/>
      <c r="H187" s="3">
        <f>IF(AND(D187&lt;&gt;"",F187&lt;&gt;""),F187-D187-G187,"")</f>
        <v/>
      </c>
      <c r="I187" s="14">
        <f>IF(E187&lt;&gt;"", YEARFRAC(C187, E187) * 12, "")</f>
        <v/>
      </c>
      <c r="J187" s="2">
        <f>IF(I187="", "", IF(AND(A187="MF (Equity)", I187&gt;12), "Long Term", "Short Term"))</f>
        <v/>
      </c>
      <c r="K187" s="5">
        <f>IF(J187="", "", IF(J187="Long Term", 12.5%, 20%))</f>
        <v/>
      </c>
      <c r="L187" s="3">
        <f>+IFERROR(IF(J187="","",H187*K187),"")</f>
        <v/>
      </c>
    </row>
    <row r="188">
      <c r="A188" s="11" t="n"/>
      <c r="B188" s="7" t="n"/>
      <c r="C188" s="8" t="n"/>
      <c r="D188" s="9" t="n"/>
      <c r="E188" s="8" t="n"/>
      <c r="F188" s="9" t="n"/>
      <c r="G188" s="9" t="n"/>
      <c r="H188" s="3">
        <f>IF(AND(D188&lt;&gt;"",F188&lt;&gt;""),F188-D188-G188,"")</f>
        <v/>
      </c>
      <c r="I188" s="14">
        <f>IF(E188&lt;&gt;"", YEARFRAC(C188, E188) * 12, "")</f>
        <v/>
      </c>
      <c r="J188" s="2">
        <f>IF(I188="", "", IF(AND(A188="MF (Equity)", I188&gt;12), "Long Term", "Short Term"))</f>
        <v/>
      </c>
      <c r="K188" s="5">
        <f>IF(J188="", "", IF(J188="Long Term", 12.5%, 20%))</f>
        <v/>
      </c>
      <c r="L188" s="3">
        <f>+IFERROR(IF(J188="","",H188*K188),"")</f>
        <v/>
      </c>
    </row>
    <row r="189">
      <c r="A189" s="11" t="n"/>
      <c r="B189" s="7" t="n"/>
      <c r="C189" s="8" t="n"/>
      <c r="D189" s="9" t="n"/>
      <c r="E189" s="8" t="n"/>
      <c r="F189" s="9" t="n"/>
      <c r="G189" s="9" t="n"/>
      <c r="H189" s="3">
        <f>IF(AND(D189&lt;&gt;"",F189&lt;&gt;""),F189-D189-G189,"")</f>
        <v/>
      </c>
      <c r="I189" s="14">
        <f>IF(E189&lt;&gt;"", YEARFRAC(C189, E189) * 12, "")</f>
        <v/>
      </c>
      <c r="J189" s="2">
        <f>IF(I189="", "", IF(AND(A189="MF (Equity)", I189&gt;12), "Long Term", "Short Term"))</f>
        <v/>
      </c>
      <c r="K189" s="5">
        <f>IF(J189="", "", IF(J189="Long Term", 12.5%, 20%))</f>
        <v/>
      </c>
      <c r="L189" s="3">
        <f>+IFERROR(IF(J189="","",H189*K189),"")</f>
        <v/>
      </c>
    </row>
    <row r="190">
      <c r="A190" s="11" t="n"/>
      <c r="B190" s="7" t="n"/>
      <c r="C190" s="8" t="n"/>
      <c r="D190" s="9" t="n"/>
      <c r="E190" s="8" t="n"/>
      <c r="F190" s="9" t="n"/>
      <c r="G190" s="9" t="n"/>
      <c r="H190" s="3">
        <f>IF(AND(D190&lt;&gt;"",F190&lt;&gt;""),F190-D190-G190,"")</f>
        <v/>
      </c>
      <c r="I190" s="14">
        <f>IF(E190&lt;&gt;"", YEARFRAC(C190, E190) * 12, "")</f>
        <v/>
      </c>
      <c r="J190" s="2">
        <f>IF(I190="", "", IF(AND(A190="MF (Equity)", I190&gt;12), "Long Term", "Short Term"))</f>
        <v/>
      </c>
      <c r="K190" s="5">
        <f>IF(J190="", "", IF(J190="Long Term", 12.5%, 20%))</f>
        <v/>
      </c>
      <c r="L190" s="3">
        <f>+IFERROR(IF(J190="","",H190*K190),"")</f>
        <v/>
      </c>
    </row>
    <row r="191">
      <c r="A191" s="11" t="n"/>
      <c r="B191" s="7" t="n"/>
      <c r="C191" s="8" t="n"/>
      <c r="D191" s="9" t="n"/>
      <c r="E191" s="8" t="n"/>
      <c r="F191" s="9" t="n"/>
      <c r="G191" s="9" t="n"/>
      <c r="H191" s="3">
        <f>IF(AND(D191&lt;&gt;"",F191&lt;&gt;""),F191-D191-G191,"")</f>
        <v/>
      </c>
      <c r="I191" s="14">
        <f>IF(E191&lt;&gt;"", YEARFRAC(C191, E191) * 12, "")</f>
        <v/>
      </c>
      <c r="J191" s="2">
        <f>IF(I191="", "", IF(AND(A191="MF (Equity)", I191&gt;12), "Long Term", "Short Term"))</f>
        <v/>
      </c>
      <c r="K191" s="5">
        <f>IF(J191="", "", IF(J191="Long Term", 12.5%, 20%))</f>
        <v/>
      </c>
      <c r="L191" s="3">
        <f>+IFERROR(IF(J191="","",H191*K191),"")</f>
        <v/>
      </c>
    </row>
    <row r="192">
      <c r="A192" s="11" t="n"/>
      <c r="B192" s="7" t="n"/>
      <c r="C192" s="8" t="n"/>
      <c r="D192" s="9" t="n"/>
      <c r="E192" s="8" t="n"/>
      <c r="F192" s="9" t="n"/>
      <c r="G192" s="9" t="n"/>
      <c r="H192" s="3">
        <f>IF(AND(D192&lt;&gt;"",F192&lt;&gt;""),F192-D192-G192,"")</f>
        <v/>
      </c>
      <c r="I192" s="14">
        <f>IF(E192&lt;&gt;"", YEARFRAC(C192, E192) * 12, "")</f>
        <v/>
      </c>
      <c r="J192" s="2">
        <f>IF(I192="", "", IF(AND(A192="MF (Equity)", I192&gt;12), "Long Term", "Short Term"))</f>
        <v/>
      </c>
      <c r="K192" s="5">
        <f>IF(J192="", "", IF(J192="Long Term", 12.5%, 20%))</f>
        <v/>
      </c>
      <c r="L192" s="3">
        <f>+IFERROR(IF(J192="","",H192*K192),"")</f>
        <v/>
      </c>
    </row>
    <row r="193">
      <c r="A193" s="11" t="n"/>
      <c r="B193" s="7" t="n"/>
      <c r="C193" s="8" t="n"/>
      <c r="D193" s="9" t="n"/>
      <c r="E193" s="8" t="n"/>
      <c r="F193" s="9" t="n"/>
      <c r="G193" s="9" t="n"/>
      <c r="H193" s="3">
        <f>IF(AND(D193&lt;&gt;"",F193&lt;&gt;""),F193-D193-G193,"")</f>
        <v/>
      </c>
      <c r="I193" s="14">
        <f>IF(E193&lt;&gt;"", YEARFRAC(C193, E193) * 12, "")</f>
        <v/>
      </c>
      <c r="J193" s="2">
        <f>IF(I193="", "", IF(AND(A193="MF (Equity)", I193&gt;12), "Long Term", "Short Term"))</f>
        <v/>
      </c>
      <c r="K193" s="5">
        <f>IF(J193="", "", IF(J193="Long Term", 12.5%, 20%))</f>
        <v/>
      </c>
      <c r="L193" s="3">
        <f>+IFERROR(IF(J193="","",H193*K193),"")</f>
        <v/>
      </c>
    </row>
    <row r="194">
      <c r="A194" s="11" t="n"/>
      <c r="B194" s="7" t="n"/>
      <c r="C194" s="8" t="n"/>
      <c r="D194" s="9" t="n"/>
      <c r="E194" s="8" t="n"/>
      <c r="F194" s="9" t="n"/>
      <c r="G194" s="9" t="n"/>
      <c r="H194" s="3">
        <f>IF(AND(D194&lt;&gt;"",F194&lt;&gt;""),F194-D194-G194,"")</f>
        <v/>
      </c>
      <c r="I194" s="14">
        <f>IF(E194&lt;&gt;"", YEARFRAC(C194, E194) * 12, "")</f>
        <v/>
      </c>
      <c r="J194" s="2">
        <f>IF(I194="", "", IF(AND(A194="MF (Equity)", I194&gt;12), "Long Term", "Short Term"))</f>
        <v/>
      </c>
      <c r="K194" s="5">
        <f>IF(J194="", "", IF(J194="Long Term", 12.5%, 20%))</f>
        <v/>
      </c>
      <c r="L194" s="3">
        <f>+IFERROR(IF(J194="","",H194*K194),"")</f>
        <v/>
      </c>
    </row>
    <row r="195">
      <c r="A195" s="11" t="n"/>
      <c r="B195" s="7" t="n"/>
      <c r="C195" s="8" t="n"/>
      <c r="D195" s="9" t="n"/>
      <c r="E195" s="8" t="n"/>
      <c r="F195" s="9" t="n"/>
      <c r="G195" s="9" t="n"/>
      <c r="H195" s="3">
        <f>IF(AND(D195&lt;&gt;"",F195&lt;&gt;""),F195-D195-G195,"")</f>
        <v/>
      </c>
      <c r="I195" s="14">
        <f>IF(E195&lt;&gt;"", YEARFRAC(C195, E195) * 12, "")</f>
        <v/>
      </c>
      <c r="J195" s="2">
        <f>IF(I195="", "", IF(AND(A195="MF (Equity)", I195&gt;12), "Long Term", "Short Term"))</f>
        <v/>
      </c>
      <c r="K195" s="5">
        <f>IF(J195="", "", IF(J195="Long Term", 12.5%, 20%))</f>
        <v/>
      </c>
      <c r="L195" s="3">
        <f>+IFERROR(IF(J195="","",H195*K195),"")</f>
        <v/>
      </c>
    </row>
    <row r="196">
      <c r="A196" s="11" t="n"/>
      <c r="B196" s="7" t="n"/>
      <c r="C196" s="8" t="n"/>
      <c r="D196" s="9" t="n"/>
      <c r="E196" s="8" t="n"/>
      <c r="F196" s="9" t="n"/>
      <c r="G196" s="9" t="n"/>
      <c r="H196" s="3">
        <f>IF(AND(D196&lt;&gt;"",F196&lt;&gt;""),F196-D196-G196,"")</f>
        <v/>
      </c>
      <c r="I196" s="14">
        <f>IF(E196&lt;&gt;"", YEARFRAC(C196, E196) * 12, "")</f>
        <v/>
      </c>
      <c r="J196" s="2">
        <f>IF(I196="", "", IF(AND(A196="MF (Equity)", I196&gt;12), "Long Term", "Short Term"))</f>
        <v/>
      </c>
      <c r="K196" s="5">
        <f>IF(J196="", "", IF(J196="Long Term", 12.5%, 20%))</f>
        <v/>
      </c>
      <c r="L196" s="3">
        <f>+IFERROR(IF(J196="","",H196*K196),"")</f>
        <v/>
      </c>
    </row>
    <row r="197">
      <c r="A197" s="11" t="n"/>
      <c r="B197" s="7" t="n"/>
      <c r="C197" s="8" t="n"/>
      <c r="D197" s="9" t="n"/>
      <c r="E197" s="8" t="n"/>
      <c r="F197" s="9" t="n"/>
      <c r="G197" s="9" t="n"/>
      <c r="H197" s="3">
        <f>IF(AND(D197&lt;&gt;"",F197&lt;&gt;""),F197-D197-G197,"")</f>
        <v/>
      </c>
      <c r="I197" s="14">
        <f>IF(E197&lt;&gt;"", YEARFRAC(C197, E197) * 12, "")</f>
        <v/>
      </c>
      <c r="J197" s="2">
        <f>IF(I197="", "", IF(AND(A197="MF (Equity)", I197&gt;12), "Long Term", "Short Term"))</f>
        <v/>
      </c>
      <c r="K197" s="5">
        <f>IF(J197="", "", IF(J197="Long Term", 12.5%, 20%))</f>
        <v/>
      </c>
      <c r="L197" s="3">
        <f>+IFERROR(IF(J197="","",H197*K197),"")</f>
        <v/>
      </c>
    </row>
    <row r="198">
      <c r="A198" s="11" t="n"/>
      <c r="B198" s="7" t="n"/>
      <c r="C198" s="8" t="n"/>
      <c r="D198" s="9" t="n"/>
      <c r="E198" s="8" t="n"/>
      <c r="F198" s="9" t="n"/>
      <c r="G198" s="9" t="n"/>
      <c r="H198" s="3">
        <f>IF(AND(D198&lt;&gt;"",F198&lt;&gt;""),F198-D198-G198,"")</f>
        <v/>
      </c>
      <c r="I198" s="14">
        <f>IF(E198&lt;&gt;"", YEARFRAC(C198, E198) * 12, "")</f>
        <v/>
      </c>
      <c r="J198" s="2">
        <f>IF(I198="", "", IF(AND(A198="MF (Equity)", I198&gt;12), "Long Term", "Short Term"))</f>
        <v/>
      </c>
      <c r="K198" s="5">
        <f>IF(J198="", "", IF(J198="Long Term", 12.5%, 20%))</f>
        <v/>
      </c>
      <c r="L198" s="3">
        <f>+IFERROR(IF(J198="","",H198*K198),"")</f>
        <v/>
      </c>
    </row>
    <row r="199">
      <c r="A199" s="11" t="n"/>
      <c r="B199" s="7" t="n"/>
      <c r="C199" s="8" t="n"/>
      <c r="D199" s="9" t="n"/>
      <c r="E199" s="8" t="n"/>
      <c r="F199" s="9" t="n"/>
      <c r="G199" s="9" t="n"/>
      <c r="H199" s="3">
        <f>IF(AND(D199&lt;&gt;"",F199&lt;&gt;""),F199-D199-G199,"")</f>
        <v/>
      </c>
      <c r="I199" s="14">
        <f>IF(E199&lt;&gt;"", YEARFRAC(C199, E199) * 12, "")</f>
        <v/>
      </c>
      <c r="J199" s="2">
        <f>IF(I199="", "", IF(AND(A199="MF (Equity)", I199&gt;12), "Long Term", "Short Term"))</f>
        <v/>
      </c>
      <c r="K199" s="5">
        <f>IF(J199="", "", IF(J199="Long Term", 12.5%, 20%))</f>
        <v/>
      </c>
      <c r="L199" s="3">
        <f>+IFERROR(IF(J199="","",H199*K199),"")</f>
        <v/>
      </c>
    </row>
    <row r="200">
      <c r="A200" s="11" t="n"/>
      <c r="B200" s="7" t="n"/>
      <c r="C200" s="8" t="n"/>
      <c r="D200" s="9" t="n"/>
      <c r="E200" s="8" t="n"/>
      <c r="F200" s="9" t="n"/>
      <c r="G200" s="9" t="n"/>
      <c r="H200" s="3">
        <f>IF(AND(D200&lt;&gt;"",F200&lt;&gt;""),F200-D200-G200,"")</f>
        <v/>
      </c>
      <c r="I200" s="14">
        <f>IF(E200&lt;&gt;"", YEARFRAC(C200, E200) * 12, "")</f>
        <v/>
      </c>
      <c r="J200" s="2">
        <f>IF(I200="", "", IF(AND(A200="MF (Equity)", I200&gt;12), "Long Term", "Short Term"))</f>
        <v/>
      </c>
      <c r="K200" s="5">
        <f>IF(J200="", "", IF(J200="Long Term", 12.5%, 20%))</f>
        <v/>
      </c>
      <c r="L200" s="3">
        <f>+IFERROR(IF(J200="","",H200*K200),"")</f>
        <v/>
      </c>
    </row>
    <row r="201">
      <c r="A201" s="11" t="n"/>
      <c r="B201" s="7" t="n"/>
      <c r="C201" s="8" t="n"/>
      <c r="D201" s="9" t="n"/>
      <c r="E201" s="8" t="n"/>
      <c r="F201" s="9" t="n"/>
      <c r="G201" s="9" t="n"/>
      <c r="H201" s="3">
        <f>IF(AND(D201&lt;&gt;"",F201&lt;&gt;""),F201-D201-G201,"")</f>
        <v/>
      </c>
      <c r="I201" s="14">
        <f>IF(E201&lt;&gt;"", YEARFRAC(C201, E201) * 12, "")</f>
        <v/>
      </c>
      <c r="J201" s="2">
        <f>IF(I201="", "", IF(AND(A201="MF (Equity)", I201&gt;12), "Long Term", "Short Term"))</f>
        <v/>
      </c>
      <c r="K201" s="5">
        <f>IF(J201="", "", IF(J201="Long Term", 12.5%, 20%))</f>
        <v/>
      </c>
      <c r="L201" s="3">
        <f>+IFERROR(IF(J201="","",H201*K201),"")</f>
        <v/>
      </c>
    </row>
    <row r="202">
      <c r="A202" s="11" t="n"/>
      <c r="B202" s="7" t="n"/>
      <c r="C202" s="8" t="n"/>
      <c r="D202" s="9" t="n"/>
      <c r="E202" s="8" t="n"/>
      <c r="F202" s="9" t="n"/>
      <c r="G202" s="9" t="n"/>
      <c r="H202" s="3">
        <f>IF(AND(D202&lt;&gt;"",F202&lt;&gt;""),F202-D202-G202,"")</f>
        <v/>
      </c>
      <c r="I202" s="14">
        <f>IF(E202&lt;&gt;"", YEARFRAC(C202, E202) * 12, "")</f>
        <v/>
      </c>
      <c r="J202" s="2">
        <f>IF(I202="", "", IF(AND(A202="MF (Equity)", I202&gt;12), "Long Term", "Short Term"))</f>
        <v/>
      </c>
      <c r="K202" s="5">
        <f>IF(J202="", "", IF(J202="Long Term", 12.5%, 20%))</f>
        <v/>
      </c>
      <c r="L202" s="3">
        <f>+IFERROR(IF(J202="","",H202*K202),"")</f>
        <v/>
      </c>
    </row>
    <row r="203">
      <c r="A203" s="11" t="n"/>
      <c r="B203" s="7" t="n"/>
      <c r="C203" s="8" t="n"/>
      <c r="D203" s="9" t="n"/>
      <c r="E203" s="8" t="n"/>
      <c r="F203" s="9" t="n"/>
      <c r="G203" s="9" t="n"/>
      <c r="H203" s="3">
        <f>IF(AND(D203&lt;&gt;"",F203&lt;&gt;""),F203-D203-G203,"")</f>
        <v/>
      </c>
      <c r="I203" s="14">
        <f>IF(E203&lt;&gt;"", YEARFRAC(C203, E203) * 12, "")</f>
        <v/>
      </c>
      <c r="J203" s="2">
        <f>IF(I203="", "", IF(AND(A203="MF (Equity)", I203&gt;12), "Long Term", "Short Term"))</f>
        <v/>
      </c>
      <c r="K203" s="5">
        <f>IF(J203="", "", IF(J203="Long Term", 12.5%, 20%))</f>
        <v/>
      </c>
      <c r="L203" s="3">
        <f>+IFERROR(IF(J203="","",H203*K203),"")</f>
        <v/>
      </c>
    </row>
    <row r="204">
      <c r="A204" s="11" t="n"/>
      <c r="B204" s="7" t="n"/>
      <c r="C204" s="8" t="n"/>
      <c r="D204" s="9" t="n"/>
      <c r="E204" s="8" t="n"/>
      <c r="F204" s="9" t="n"/>
      <c r="G204" s="9" t="n"/>
      <c r="H204" s="3">
        <f>IF(AND(D204&lt;&gt;"",F204&lt;&gt;""),F204-D204-G204,"")</f>
        <v/>
      </c>
      <c r="I204" s="14">
        <f>IF(E204&lt;&gt;"", YEARFRAC(C204, E204) * 12, "")</f>
        <v/>
      </c>
      <c r="J204" s="2">
        <f>IF(I204="", "", IF(AND(A204="MF (Equity)", I204&gt;12), "Long Term", "Short Term"))</f>
        <v/>
      </c>
      <c r="K204" s="5">
        <f>IF(J204="", "", IF(J204="Long Term", 12.5%, 20%))</f>
        <v/>
      </c>
      <c r="L204" s="3">
        <f>+IFERROR(IF(J204="","",H204*K204),"")</f>
        <v/>
      </c>
    </row>
    <row r="205">
      <c r="A205" s="11" t="n"/>
      <c r="B205" s="7" t="n"/>
      <c r="C205" s="8" t="n"/>
      <c r="D205" s="9" t="n"/>
      <c r="E205" s="8" t="n"/>
      <c r="F205" s="9" t="n"/>
      <c r="G205" s="9" t="n"/>
      <c r="H205" s="3">
        <f>IF(AND(D205&lt;&gt;"",F205&lt;&gt;""),F205-D205-G205,"")</f>
        <v/>
      </c>
      <c r="I205" s="14">
        <f>IF(E205&lt;&gt;"", YEARFRAC(C205, E205) * 12, "")</f>
        <v/>
      </c>
      <c r="J205" s="2">
        <f>IF(I205="", "", IF(AND(A205="MF (Equity)", I205&gt;12), "Long Term", "Short Term"))</f>
        <v/>
      </c>
      <c r="K205" s="5">
        <f>IF(J205="", "", IF(J205="Long Term", 12.5%, 20%))</f>
        <v/>
      </c>
      <c r="L205" s="3">
        <f>+IFERROR(IF(J205="","",H205*K205),"")</f>
        <v/>
      </c>
    </row>
    <row r="206">
      <c r="A206" s="11" t="n"/>
      <c r="B206" s="7" t="n"/>
      <c r="C206" s="8" t="n"/>
      <c r="D206" s="9" t="n"/>
      <c r="E206" s="8" t="n"/>
      <c r="F206" s="9" t="n"/>
      <c r="G206" s="9" t="n"/>
      <c r="H206" s="3">
        <f>IF(AND(D206&lt;&gt;"",F206&lt;&gt;""),F206-D206-G206,"")</f>
        <v/>
      </c>
      <c r="I206" s="14">
        <f>IF(E206&lt;&gt;"", YEARFRAC(C206, E206) * 12, "")</f>
        <v/>
      </c>
      <c r="J206" s="2">
        <f>IF(I206="", "", IF(AND(A206="MF (Equity)", I206&gt;12), "Long Term", "Short Term"))</f>
        <v/>
      </c>
      <c r="K206" s="5">
        <f>IF(J206="", "", IF(J206="Long Term", 12.5%, 20%))</f>
        <v/>
      </c>
      <c r="L206" s="3">
        <f>+IFERROR(IF(J206="","",H206*K206),"")</f>
        <v/>
      </c>
    </row>
    <row r="207">
      <c r="A207" s="11" t="n"/>
      <c r="B207" s="7" t="n"/>
      <c r="C207" s="8" t="n"/>
      <c r="D207" s="9" t="n"/>
      <c r="E207" s="8" t="n"/>
      <c r="F207" s="9" t="n"/>
      <c r="G207" s="9" t="n"/>
      <c r="H207" s="3">
        <f>IF(AND(D207&lt;&gt;"",F207&lt;&gt;""),F207-D207-G207,"")</f>
        <v/>
      </c>
      <c r="I207" s="14">
        <f>IF(E207&lt;&gt;"", YEARFRAC(C207, E207) * 12, "")</f>
        <v/>
      </c>
      <c r="J207" s="2">
        <f>IF(I207="", "", IF(AND(A207="MF (Equity)", I207&gt;12), "Long Term", "Short Term"))</f>
        <v/>
      </c>
      <c r="K207" s="5">
        <f>IF(J207="", "", IF(J207="Long Term", 12.5%, 20%))</f>
        <v/>
      </c>
      <c r="L207" s="3">
        <f>+IFERROR(IF(J207="","",H207*K207),"")</f>
        <v/>
      </c>
    </row>
    <row r="208">
      <c r="A208" s="11" t="n"/>
      <c r="B208" s="7" t="n"/>
      <c r="C208" s="8" t="n"/>
      <c r="D208" s="9" t="n"/>
      <c r="E208" s="8" t="n"/>
      <c r="F208" s="9" t="n"/>
      <c r="G208" s="9" t="n"/>
      <c r="H208" s="3">
        <f>IF(AND(D208&lt;&gt;"",F208&lt;&gt;""),F208-D208-G208,"")</f>
        <v/>
      </c>
      <c r="I208" s="14">
        <f>IF(E208&lt;&gt;"", YEARFRAC(C208, E208) * 12, "")</f>
        <v/>
      </c>
      <c r="J208" s="2">
        <f>IF(I208="", "", IF(AND(A208="MF (Equity)", I208&gt;12), "Long Term", "Short Term"))</f>
        <v/>
      </c>
      <c r="K208" s="5">
        <f>IF(J208="", "", IF(J208="Long Term", 12.5%, 20%))</f>
        <v/>
      </c>
      <c r="L208" s="3">
        <f>+IFERROR(IF(J208="","",H208*K208),"")</f>
        <v/>
      </c>
    </row>
    <row r="209">
      <c r="A209" s="11" t="n"/>
      <c r="B209" s="7" t="n"/>
      <c r="C209" s="8" t="n"/>
      <c r="D209" s="9" t="n"/>
      <c r="E209" s="8" t="n"/>
      <c r="F209" s="9" t="n"/>
      <c r="G209" s="9" t="n"/>
      <c r="H209" s="3">
        <f>IF(AND(D209&lt;&gt;"",F209&lt;&gt;""),F209-D209-G209,"")</f>
        <v/>
      </c>
      <c r="I209" s="14">
        <f>IF(E209&lt;&gt;"", YEARFRAC(C209, E209) * 12, "")</f>
        <v/>
      </c>
      <c r="J209" s="2">
        <f>IF(I209="", "", IF(AND(A209="MF (Equity)", I209&gt;12), "Long Term", "Short Term"))</f>
        <v/>
      </c>
      <c r="K209" s="5">
        <f>IF(J209="", "", IF(J209="Long Term", 12.5%, 20%))</f>
        <v/>
      </c>
      <c r="L209" s="3">
        <f>+IFERROR(IF(J209="","",H209*K209),"")</f>
        <v/>
      </c>
    </row>
    <row r="210">
      <c r="A210" s="11" t="n"/>
      <c r="B210" s="7" t="n"/>
      <c r="C210" s="8" t="n"/>
      <c r="D210" s="9" t="n"/>
      <c r="E210" s="8" t="n"/>
      <c r="F210" s="9" t="n"/>
      <c r="G210" s="9" t="n"/>
      <c r="H210" s="3">
        <f>IF(AND(D210&lt;&gt;"",F210&lt;&gt;""),F210-D210-G210,"")</f>
        <v/>
      </c>
      <c r="I210" s="14">
        <f>IF(E210&lt;&gt;"", YEARFRAC(C210, E210) * 12, "")</f>
        <v/>
      </c>
      <c r="J210" s="2">
        <f>IF(I210="", "", IF(AND(A210="MF (Equity)", I210&gt;12), "Long Term", "Short Term"))</f>
        <v/>
      </c>
      <c r="K210" s="5">
        <f>IF(J210="", "", IF(J210="Long Term", 12.5%, 20%))</f>
        <v/>
      </c>
      <c r="L210" s="3">
        <f>+IFERROR(IF(J210="","",H210*K210),"")</f>
        <v/>
      </c>
    </row>
    <row r="211">
      <c r="A211" s="11" t="n"/>
      <c r="B211" s="7" t="n"/>
      <c r="C211" s="8" t="n"/>
      <c r="D211" s="9" t="n"/>
      <c r="E211" s="8" t="n"/>
      <c r="F211" s="9" t="n"/>
      <c r="G211" s="9" t="n"/>
      <c r="H211" s="3">
        <f>IF(AND(D211&lt;&gt;"",F211&lt;&gt;""),F211-D211-G211,"")</f>
        <v/>
      </c>
      <c r="I211" s="14">
        <f>IF(E211&lt;&gt;"", YEARFRAC(C211, E211) * 12, "")</f>
        <v/>
      </c>
      <c r="J211" s="2">
        <f>IF(I211="", "", IF(AND(A211="MF (Equity)", I211&gt;12), "Long Term", "Short Term"))</f>
        <v/>
      </c>
      <c r="K211" s="5">
        <f>IF(J211="", "", IF(J211="Long Term", 12.5%, 20%))</f>
        <v/>
      </c>
      <c r="L211" s="3">
        <f>+IFERROR(IF(J211="","",H211*K211),"")</f>
        <v/>
      </c>
    </row>
    <row r="212">
      <c r="A212" s="11" t="n"/>
      <c r="B212" s="7" t="n"/>
      <c r="C212" s="8" t="n"/>
      <c r="D212" s="9" t="n"/>
      <c r="E212" s="8" t="n"/>
      <c r="F212" s="9" t="n"/>
      <c r="G212" s="9" t="n"/>
      <c r="H212" s="3">
        <f>IF(AND(D212&lt;&gt;"",F212&lt;&gt;""),F212-D212-G212,"")</f>
        <v/>
      </c>
      <c r="I212" s="14">
        <f>IF(E212&lt;&gt;"", YEARFRAC(C212, E212) * 12, "")</f>
        <v/>
      </c>
      <c r="J212" s="2">
        <f>IF(I212="", "", IF(AND(A212="MF (Equity)", I212&gt;12), "Long Term", "Short Term"))</f>
        <v/>
      </c>
      <c r="K212" s="5">
        <f>IF(J212="", "", IF(J212="Long Term", 12.5%, 20%))</f>
        <v/>
      </c>
      <c r="L212" s="3">
        <f>+IFERROR(IF(J212="","",H212*K212),"")</f>
        <v/>
      </c>
    </row>
    <row r="213">
      <c r="A213" s="11" t="n"/>
      <c r="B213" s="7" t="n"/>
      <c r="C213" s="8" t="n"/>
      <c r="D213" s="9" t="n"/>
      <c r="E213" s="8" t="n"/>
      <c r="F213" s="9" t="n"/>
      <c r="G213" s="9" t="n"/>
      <c r="H213" s="3">
        <f>IF(AND(D213&lt;&gt;"",F213&lt;&gt;""),F213-D213-G213,"")</f>
        <v/>
      </c>
      <c r="I213" s="14">
        <f>IF(E213&lt;&gt;"", YEARFRAC(C213, E213) * 12, "")</f>
        <v/>
      </c>
      <c r="J213" s="2">
        <f>IF(I213="", "", IF(AND(A213="MF (Equity)", I213&gt;12), "Long Term", "Short Term"))</f>
        <v/>
      </c>
      <c r="K213" s="5">
        <f>IF(J213="", "", IF(J213="Long Term", 12.5%, 20%))</f>
        <v/>
      </c>
      <c r="L213" s="3">
        <f>+IFERROR(IF(J213="","",H213*K213),"")</f>
        <v/>
      </c>
    </row>
    <row r="214">
      <c r="A214" s="11" t="n"/>
      <c r="B214" s="7" t="n"/>
      <c r="C214" s="8" t="n"/>
      <c r="D214" s="9" t="n"/>
      <c r="E214" s="8" t="n"/>
      <c r="F214" s="9" t="n"/>
      <c r="G214" s="9" t="n"/>
      <c r="H214" s="3">
        <f>IF(AND(D214&lt;&gt;"",F214&lt;&gt;""),F214-D214-G214,"")</f>
        <v/>
      </c>
      <c r="I214" s="14">
        <f>IF(E214&lt;&gt;"", YEARFRAC(C214, E214) * 12, "")</f>
        <v/>
      </c>
      <c r="J214" s="2">
        <f>IF(I214="", "", IF(AND(A214="MF (Equity)", I214&gt;12), "Long Term", "Short Term"))</f>
        <v/>
      </c>
      <c r="K214" s="5">
        <f>IF(J214="", "", IF(J214="Long Term", 12.5%, 20%))</f>
        <v/>
      </c>
      <c r="L214" s="3">
        <f>+IFERROR(IF(J214="","",H214*K214),"")</f>
        <v/>
      </c>
    </row>
    <row r="215">
      <c r="A215" s="11" t="n"/>
      <c r="B215" s="7" t="n"/>
      <c r="C215" s="8" t="n"/>
      <c r="D215" s="9" t="n"/>
      <c r="E215" s="8" t="n"/>
      <c r="F215" s="9" t="n"/>
      <c r="G215" s="9" t="n"/>
      <c r="H215" s="3">
        <f>IF(AND(D215&lt;&gt;"",F215&lt;&gt;""),F215-D215-G215,"")</f>
        <v/>
      </c>
      <c r="I215" s="14">
        <f>IF(E215&lt;&gt;"", YEARFRAC(C215, E215) * 12, "")</f>
        <v/>
      </c>
      <c r="J215" s="2">
        <f>IF(I215="", "", IF(AND(A215="MF (Equity)", I215&gt;12), "Long Term", "Short Term"))</f>
        <v/>
      </c>
      <c r="K215" s="5">
        <f>IF(J215="", "", IF(J215="Long Term", 12.5%, 20%))</f>
        <v/>
      </c>
      <c r="L215" s="3">
        <f>+IFERROR(IF(J215="","",H215*K215),"")</f>
        <v/>
      </c>
    </row>
    <row r="216">
      <c r="A216" s="11" t="n"/>
      <c r="B216" s="7" t="n"/>
      <c r="C216" s="8" t="n"/>
      <c r="D216" s="9" t="n"/>
      <c r="E216" s="8" t="n"/>
      <c r="F216" s="9" t="n"/>
      <c r="G216" s="9" t="n"/>
      <c r="H216" s="3">
        <f>IF(AND(D216&lt;&gt;"",F216&lt;&gt;""),F216-D216-G216,"")</f>
        <v/>
      </c>
      <c r="I216" s="14">
        <f>IF(E216&lt;&gt;"", YEARFRAC(C216, E216) * 12, "")</f>
        <v/>
      </c>
      <c r="J216" s="2">
        <f>IF(I216="", "", IF(AND(A216="MF (Equity)", I216&gt;12), "Long Term", "Short Term"))</f>
        <v/>
      </c>
      <c r="K216" s="5">
        <f>IF(J216="", "", IF(J216="Long Term", 12.5%, 20%))</f>
        <v/>
      </c>
      <c r="L216" s="3">
        <f>+IFERROR(IF(J216="","",H216*K216),"")</f>
        <v/>
      </c>
    </row>
    <row r="217">
      <c r="A217" s="11" t="n"/>
      <c r="B217" s="7" t="n"/>
      <c r="C217" s="8" t="n"/>
      <c r="D217" s="9" t="n"/>
      <c r="E217" s="8" t="n"/>
      <c r="F217" s="9" t="n"/>
      <c r="G217" s="9" t="n"/>
      <c r="H217" s="3">
        <f>IF(AND(D217&lt;&gt;"",F217&lt;&gt;""),F217-D217-G217,"")</f>
        <v/>
      </c>
      <c r="I217" s="14">
        <f>IF(E217&lt;&gt;"", YEARFRAC(C217, E217) * 12, "")</f>
        <v/>
      </c>
      <c r="J217" s="2">
        <f>IF(I217="", "", IF(AND(A217="MF (Equity)", I217&gt;12), "Long Term", "Short Term"))</f>
        <v/>
      </c>
      <c r="K217" s="5">
        <f>IF(J217="", "", IF(J217="Long Term", 12.5%, 20%))</f>
        <v/>
      </c>
      <c r="L217" s="3">
        <f>+IFERROR(IF(J217="","",H217*K217),"")</f>
        <v/>
      </c>
    </row>
    <row r="218">
      <c r="A218" s="11" t="n"/>
      <c r="B218" s="7" t="n"/>
      <c r="C218" s="8" t="n"/>
      <c r="D218" s="9" t="n"/>
      <c r="E218" s="8" t="n"/>
      <c r="F218" s="9" t="n"/>
      <c r="G218" s="9" t="n"/>
      <c r="H218" s="3">
        <f>IF(AND(D218&lt;&gt;"",F218&lt;&gt;""),F218-D218-G218,"")</f>
        <v/>
      </c>
      <c r="I218" s="14">
        <f>IF(E218&lt;&gt;"", YEARFRAC(C218, E218) * 12, "")</f>
        <v/>
      </c>
      <c r="J218" s="2">
        <f>IF(I218="", "", IF(AND(A218="MF (Equity)", I218&gt;12), "Long Term", "Short Term"))</f>
        <v/>
      </c>
      <c r="K218" s="5">
        <f>IF(J218="", "", IF(J218="Long Term", 12.5%, 20%))</f>
        <v/>
      </c>
      <c r="L218" s="3">
        <f>+IFERROR(IF(J218="","",H218*K218),"")</f>
        <v/>
      </c>
    </row>
    <row r="219">
      <c r="A219" s="11" t="n"/>
      <c r="B219" s="7" t="n"/>
      <c r="C219" s="8" t="n"/>
      <c r="D219" s="9" t="n"/>
      <c r="E219" s="8" t="n"/>
      <c r="F219" s="9" t="n"/>
      <c r="G219" s="9" t="n"/>
      <c r="H219" s="3">
        <f>IF(AND(D219&lt;&gt;"",F219&lt;&gt;""),F219-D219-G219,"")</f>
        <v/>
      </c>
      <c r="I219" s="14">
        <f>IF(E219&lt;&gt;"", YEARFRAC(C219, E219) * 12, "")</f>
        <v/>
      </c>
      <c r="J219" s="2">
        <f>IF(I219="", "", IF(AND(A219="MF (Equity)", I219&gt;12), "Long Term", "Short Term"))</f>
        <v/>
      </c>
      <c r="K219" s="5">
        <f>IF(J219="", "", IF(J219="Long Term", 12.5%, 20%))</f>
        <v/>
      </c>
      <c r="L219" s="3">
        <f>+IFERROR(IF(J219="","",H219*K219),"")</f>
        <v/>
      </c>
    </row>
    <row r="220">
      <c r="A220" s="11" t="n"/>
      <c r="B220" s="7" t="n"/>
      <c r="C220" s="8" t="n"/>
      <c r="D220" s="9" t="n"/>
      <c r="E220" s="8" t="n"/>
      <c r="F220" s="9" t="n"/>
      <c r="G220" s="9" t="n"/>
      <c r="H220" s="3">
        <f>IF(AND(D220&lt;&gt;"",F220&lt;&gt;""),F220-D220-G220,"")</f>
        <v/>
      </c>
      <c r="I220" s="14">
        <f>IF(E220&lt;&gt;"", YEARFRAC(C220, E220) * 12, "")</f>
        <v/>
      </c>
      <c r="J220" s="2">
        <f>IF(I220="", "", IF(AND(A220="MF (Equity)", I220&gt;12), "Long Term", "Short Term"))</f>
        <v/>
      </c>
      <c r="K220" s="5">
        <f>IF(J220="", "", IF(J220="Long Term", 12.5%, 20%))</f>
        <v/>
      </c>
      <c r="L220" s="3">
        <f>+IFERROR(IF(J220="","",H220*K220),"")</f>
        <v/>
      </c>
    </row>
    <row r="221">
      <c r="A221" s="11" t="n"/>
      <c r="B221" s="7" t="n"/>
      <c r="C221" s="8" t="n"/>
      <c r="D221" s="9" t="n"/>
      <c r="E221" s="8" t="n"/>
      <c r="F221" s="9" t="n"/>
      <c r="G221" s="9" t="n"/>
      <c r="H221" s="3">
        <f>IF(AND(D221&lt;&gt;"",F221&lt;&gt;""),F221-D221-G221,"")</f>
        <v/>
      </c>
      <c r="I221" s="14">
        <f>IF(E221&lt;&gt;"", YEARFRAC(C221, E221) * 12, "")</f>
        <v/>
      </c>
      <c r="J221" s="2">
        <f>IF(I221="", "", IF(AND(A221="MF (Equity)", I221&gt;12), "Long Term", "Short Term"))</f>
        <v/>
      </c>
      <c r="K221" s="5">
        <f>IF(J221="", "", IF(J221="Long Term", 12.5%, 20%))</f>
        <v/>
      </c>
      <c r="L221" s="3">
        <f>+IFERROR(IF(J221="","",H221*K221),"")</f>
        <v/>
      </c>
    </row>
    <row r="222">
      <c r="A222" s="11" t="n"/>
      <c r="B222" s="7" t="n"/>
      <c r="C222" s="8" t="n"/>
      <c r="D222" s="9" t="n"/>
      <c r="E222" s="8" t="n"/>
      <c r="F222" s="9" t="n"/>
      <c r="G222" s="9" t="n"/>
      <c r="H222" s="3">
        <f>IF(AND(D222&lt;&gt;"",F222&lt;&gt;""),F222-D222-G222,"")</f>
        <v/>
      </c>
      <c r="I222" s="14">
        <f>IF(E222&lt;&gt;"", YEARFRAC(C222, E222) * 12, "")</f>
        <v/>
      </c>
      <c r="J222" s="2">
        <f>IF(I222="", "", IF(AND(A222="MF (Equity)", I222&gt;12), "Long Term", "Short Term"))</f>
        <v/>
      </c>
      <c r="K222" s="5">
        <f>IF(J222="", "", IF(J222="Long Term", 12.5%, 20%))</f>
        <v/>
      </c>
      <c r="L222" s="3">
        <f>+IFERROR(IF(J222="","",H222*K222),"")</f>
        <v/>
      </c>
    </row>
    <row r="223">
      <c r="A223" s="11" t="n"/>
      <c r="B223" s="7" t="n"/>
      <c r="C223" s="8" t="n"/>
      <c r="D223" s="9" t="n"/>
      <c r="E223" s="8" t="n"/>
      <c r="F223" s="9" t="n"/>
      <c r="G223" s="9" t="n"/>
      <c r="H223" s="3">
        <f>IF(AND(D223&lt;&gt;"",F223&lt;&gt;""),F223-D223-G223,"")</f>
        <v/>
      </c>
      <c r="I223" s="14">
        <f>IF(E223&lt;&gt;"", YEARFRAC(C223, E223) * 12, "")</f>
        <v/>
      </c>
      <c r="J223" s="2">
        <f>IF(I223="", "", IF(AND(A223="MF (Equity)", I223&gt;12), "Long Term", "Short Term"))</f>
        <v/>
      </c>
      <c r="K223" s="5">
        <f>IF(J223="", "", IF(J223="Long Term", 12.5%, 20%))</f>
        <v/>
      </c>
      <c r="L223" s="3">
        <f>+IFERROR(IF(J223="","",H223*K223),"")</f>
        <v/>
      </c>
    </row>
    <row r="224">
      <c r="A224" s="11" t="n"/>
      <c r="B224" s="7" t="n"/>
      <c r="C224" s="8" t="n"/>
      <c r="D224" s="9" t="n"/>
      <c r="E224" s="8" t="n"/>
      <c r="F224" s="9" t="n"/>
      <c r="G224" s="9" t="n"/>
      <c r="H224" s="3">
        <f>IF(AND(D224&lt;&gt;"",F224&lt;&gt;""),F224-D224-G224,"")</f>
        <v/>
      </c>
      <c r="I224" s="14">
        <f>IF(E224&lt;&gt;"", YEARFRAC(C224, E224) * 12, "")</f>
        <v/>
      </c>
      <c r="J224" s="2">
        <f>IF(I224="", "", IF(AND(A224="MF (Equity)", I224&gt;12), "Long Term", "Short Term"))</f>
        <v/>
      </c>
      <c r="K224" s="5">
        <f>IF(J224="", "", IF(J224="Long Term", 12.5%, 20%))</f>
        <v/>
      </c>
      <c r="L224" s="3">
        <f>+IFERROR(IF(J224="","",H224*K224),"")</f>
        <v/>
      </c>
    </row>
    <row r="225">
      <c r="A225" s="11" t="n"/>
      <c r="B225" s="7" t="n"/>
      <c r="C225" s="8" t="n"/>
      <c r="D225" s="9" t="n"/>
      <c r="E225" s="8" t="n"/>
      <c r="F225" s="9" t="n"/>
      <c r="G225" s="9" t="n"/>
      <c r="H225" s="3">
        <f>IF(AND(D225&lt;&gt;"",F225&lt;&gt;""),F225-D225-G225,"")</f>
        <v/>
      </c>
      <c r="I225" s="14">
        <f>IF(E225&lt;&gt;"", YEARFRAC(C225, E225) * 12, "")</f>
        <v/>
      </c>
      <c r="J225" s="2">
        <f>IF(I225="", "", IF(AND(A225="MF (Equity)", I225&gt;12), "Long Term", "Short Term"))</f>
        <v/>
      </c>
      <c r="K225" s="5">
        <f>IF(J225="", "", IF(J225="Long Term", 12.5%, 20%))</f>
        <v/>
      </c>
      <c r="L225" s="3">
        <f>+IFERROR(IF(J225="","",H225*K225),"")</f>
        <v/>
      </c>
    </row>
    <row r="226">
      <c r="A226" s="11" t="n"/>
      <c r="B226" s="7" t="n"/>
      <c r="C226" s="8" t="n"/>
      <c r="D226" s="9" t="n"/>
      <c r="E226" s="8" t="n"/>
      <c r="F226" s="9" t="n"/>
      <c r="G226" s="9" t="n"/>
      <c r="H226" s="3">
        <f>IF(AND(D226&lt;&gt;"",F226&lt;&gt;""),F226-D226-G226,"")</f>
        <v/>
      </c>
      <c r="I226" s="14">
        <f>IF(E226&lt;&gt;"", YEARFRAC(C226, E226) * 12, "")</f>
        <v/>
      </c>
      <c r="J226" s="2">
        <f>IF(I226="", "", IF(AND(A226="MF (Equity)", I226&gt;12), "Long Term", "Short Term"))</f>
        <v/>
      </c>
      <c r="K226" s="5">
        <f>IF(J226="", "", IF(J226="Long Term", 12.5%, 20%))</f>
        <v/>
      </c>
      <c r="L226" s="3">
        <f>+IFERROR(IF(J226="","",H226*K226),"")</f>
        <v/>
      </c>
    </row>
    <row r="227">
      <c r="A227" s="11" t="n"/>
      <c r="B227" s="7" t="n"/>
      <c r="C227" s="8" t="n"/>
      <c r="D227" s="9" t="n"/>
      <c r="E227" s="8" t="n"/>
      <c r="F227" s="9" t="n"/>
      <c r="G227" s="9" t="n"/>
      <c r="H227" s="3">
        <f>IF(AND(D227&lt;&gt;"",F227&lt;&gt;""),F227-D227-G227,"")</f>
        <v/>
      </c>
      <c r="I227" s="14">
        <f>IF(E227&lt;&gt;"", YEARFRAC(C227, E227) * 12, "")</f>
        <v/>
      </c>
      <c r="J227" s="2">
        <f>IF(I227="", "", IF(AND(A227="MF (Equity)", I227&gt;12), "Long Term", "Short Term"))</f>
        <v/>
      </c>
      <c r="K227" s="5">
        <f>IF(J227="", "", IF(J227="Long Term", 12.5%, 20%))</f>
        <v/>
      </c>
      <c r="L227" s="3">
        <f>+IFERROR(IF(J227="","",H227*K227),"")</f>
        <v/>
      </c>
    </row>
    <row r="228">
      <c r="A228" s="11" t="n"/>
      <c r="B228" s="7" t="n"/>
      <c r="C228" s="8" t="n"/>
      <c r="D228" s="9" t="n"/>
      <c r="E228" s="8" t="n"/>
      <c r="F228" s="9" t="n"/>
      <c r="G228" s="9" t="n"/>
      <c r="H228" s="3">
        <f>IF(AND(D228&lt;&gt;"",F228&lt;&gt;""),F228-D228-G228,"")</f>
        <v/>
      </c>
      <c r="I228" s="14">
        <f>IF(E228&lt;&gt;"", YEARFRAC(C228, E228) * 12, "")</f>
        <v/>
      </c>
      <c r="J228" s="2">
        <f>IF(I228="", "", IF(AND(A228="MF (Equity)", I228&gt;12), "Long Term", "Short Term"))</f>
        <v/>
      </c>
      <c r="K228" s="5">
        <f>IF(J228="", "", IF(J228="Long Term", 12.5%, 20%))</f>
        <v/>
      </c>
      <c r="L228" s="3">
        <f>+IFERROR(IF(J228="","",H228*K228),"")</f>
        <v/>
      </c>
    </row>
    <row r="229">
      <c r="A229" s="11" t="n"/>
      <c r="B229" s="7" t="n"/>
      <c r="C229" s="8" t="n"/>
      <c r="D229" s="9" t="n"/>
      <c r="E229" s="8" t="n"/>
      <c r="F229" s="9" t="n"/>
      <c r="G229" s="9" t="n"/>
      <c r="H229" s="3">
        <f>IF(AND(D229&lt;&gt;"",F229&lt;&gt;""),F229-D229-G229,"")</f>
        <v/>
      </c>
      <c r="I229" s="14">
        <f>IF(E229&lt;&gt;"", YEARFRAC(C229, E229) * 12, "")</f>
        <v/>
      </c>
      <c r="J229" s="2">
        <f>IF(I229="", "", IF(AND(A229="MF (Equity)", I229&gt;12), "Long Term", "Short Term"))</f>
        <v/>
      </c>
      <c r="K229" s="5">
        <f>IF(J229="", "", IF(J229="Long Term", 12.5%, 20%))</f>
        <v/>
      </c>
      <c r="L229" s="3">
        <f>+IFERROR(IF(J229="","",H229*K229),"")</f>
        <v/>
      </c>
    </row>
    <row r="230">
      <c r="A230" s="11" t="n"/>
      <c r="B230" s="7" t="n"/>
      <c r="C230" s="8" t="n"/>
      <c r="D230" s="9" t="n"/>
      <c r="E230" s="8" t="n"/>
      <c r="F230" s="9" t="n"/>
      <c r="G230" s="9" t="n"/>
      <c r="H230" s="3">
        <f>IF(AND(D230&lt;&gt;"",F230&lt;&gt;""),F230-D230-G230,"")</f>
        <v/>
      </c>
      <c r="I230" s="14">
        <f>IF(E230&lt;&gt;"", YEARFRAC(C230, E230) * 12, "")</f>
        <v/>
      </c>
      <c r="J230" s="2">
        <f>IF(I230="", "", IF(AND(A230="MF (Equity)", I230&gt;12), "Long Term", "Short Term"))</f>
        <v/>
      </c>
      <c r="K230" s="5">
        <f>IF(J230="", "", IF(J230="Long Term", 12.5%, 20%))</f>
        <v/>
      </c>
      <c r="L230" s="3">
        <f>+IFERROR(IF(J230="","",H230*K230),"")</f>
        <v/>
      </c>
    </row>
    <row r="231">
      <c r="A231" s="11" t="n"/>
      <c r="B231" s="7" t="n"/>
      <c r="C231" s="8" t="n"/>
      <c r="D231" s="9" t="n"/>
      <c r="E231" s="8" t="n"/>
      <c r="F231" s="9" t="n"/>
      <c r="G231" s="9" t="n"/>
      <c r="H231" s="3">
        <f>IF(AND(D231&lt;&gt;"",F231&lt;&gt;""),F231-D231-G231,"")</f>
        <v/>
      </c>
      <c r="I231" s="14">
        <f>IF(E231&lt;&gt;"", YEARFRAC(C231, E231) * 12, "")</f>
        <v/>
      </c>
      <c r="J231" s="2">
        <f>IF(I231="", "", IF(AND(A231="MF (Equity)", I231&gt;12), "Long Term", "Short Term"))</f>
        <v/>
      </c>
      <c r="K231" s="5">
        <f>IF(J231="", "", IF(J231="Long Term", 12.5%, 20%))</f>
        <v/>
      </c>
      <c r="L231" s="3">
        <f>+IFERROR(IF(J231="","",H231*K231),"")</f>
        <v/>
      </c>
    </row>
    <row r="232">
      <c r="A232" s="11" t="n"/>
      <c r="B232" s="7" t="n"/>
      <c r="C232" s="8" t="n"/>
      <c r="D232" s="9" t="n"/>
      <c r="E232" s="8" t="n"/>
      <c r="F232" s="9" t="n"/>
      <c r="G232" s="9" t="n"/>
      <c r="H232" s="3">
        <f>IF(AND(D232&lt;&gt;"",F232&lt;&gt;""),F232-D232-G232,"")</f>
        <v/>
      </c>
      <c r="I232" s="14">
        <f>IF(E232&lt;&gt;"", YEARFRAC(C232, E232) * 12, "")</f>
        <v/>
      </c>
      <c r="J232" s="2">
        <f>IF(I232="", "", IF(AND(A232="MF (Equity)", I232&gt;12), "Long Term", "Short Term"))</f>
        <v/>
      </c>
      <c r="K232" s="5">
        <f>IF(J232="", "", IF(J232="Long Term", 12.5%, 20%))</f>
        <v/>
      </c>
      <c r="L232" s="3">
        <f>+IFERROR(IF(J232="","",H232*K232),"")</f>
        <v/>
      </c>
    </row>
    <row r="233">
      <c r="A233" s="11" t="n"/>
      <c r="B233" s="7" t="n"/>
      <c r="C233" s="8" t="n"/>
      <c r="D233" s="9" t="n"/>
      <c r="E233" s="8" t="n"/>
      <c r="F233" s="9" t="n"/>
      <c r="G233" s="9" t="n"/>
      <c r="H233" s="3">
        <f>IF(AND(D233&lt;&gt;"",F233&lt;&gt;""),F233-D233-G233,"")</f>
        <v/>
      </c>
      <c r="I233" s="14">
        <f>IF(E233&lt;&gt;"", YEARFRAC(C233, E233) * 12, "")</f>
        <v/>
      </c>
      <c r="J233" s="2">
        <f>IF(I233="", "", IF(AND(A233="MF (Equity)", I233&gt;12), "Long Term", "Short Term"))</f>
        <v/>
      </c>
      <c r="K233" s="5">
        <f>IF(J233="", "", IF(J233="Long Term", 12.5%, 20%))</f>
        <v/>
      </c>
      <c r="L233" s="3">
        <f>+IFERROR(IF(J233="","",H233*K233),"")</f>
        <v/>
      </c>
    </row>
    <row r="234">
      <c r="A234" s="11" t="n"/>
      <c r="B234" s="7" t="n"/>
      <c r="C234" s="8" t="n"/>
      <c r="D234" s="9" t="n"/>
      <c r="E234" s="8" t="n"/>
      <c r="F234" s="9" t="n"/>
      <c r="G234" s="9" t="n"/>
      <c r="H234" s="3">
        <f>IF(AND(D234&lt;&gt;"",F234&lt;&gt;""),F234-D234-G234,"")</f>
        <v/>
      </c>
      <c r="I234" s="14">
        <f>IF(E234&lt;&gt;"", YEARFRAC(C234, E234) * 12, "")</f>
        <v/>
      </c>
      <c r="J234" s="2">
        <f>IF(I234="", "", IF(AND(A234="MF (Equity)", I234&gt;12), "Long Term", "Short Term"))</f>
        <v/>
      </c>
      <c r="K234" s="5">
        <f>IF(J234="", "", IF(J234="Long Term", 12.5%, 20%))</f>
        <v/>
      </c>
      <c r="L234" s="3">
        <f>+IFERROR(IF(J234="","",H234*K234),"")</f>
        <v/>
      </c>
    </row>
    <row r="235">
      <c r="A235" s="11" t="n"/>
      <c r="B235" s="7" t="n"/>
      <c r="C235" s="8" t="n"/>
      <c r="D235" s="9" t="n"/>
      <c r="E235" s="8" t="n"/>
      <c r="F235" s="9" t="n"/>
      <c r="G235" s="9" t="n"/>
      <c r="H235" s="3">
        <f>IF(AND(D235&lt;&gt;"",F235&lt;&gt;""),F235-D235-G235,"")</f>
        <v/>
      </c>
      <c r="I235" s="14">
        <f>IF(E235&lt;&gt;"", YEARFRAC(C235, E235) * 12, "")</f>
        <v/>
      </c>
      <c r="J235" s="2">
        <f>IF(I235="", "", IF(AND(A235="MF (Equity)", I235&gt;12), "Long Term", "Short Term"))</f>
        <v/>
      </c>
      <c r="K235" s="5">
        <f>IF(J235="", "", IF(J235="Long Term", 12.5%, 20%))</f>
        <v/>
      </c>
      <c r="L235" s="3">
        <f>+IFERROR(IF(J235="","",H235*K235),"")</f>
        <v/>
      </c>
    </row>
    <row r="236">
      <c r="A236" s="11" t="n"/>
      <c r="B236" s="7" t="n"/>
      <c r="C236" s="8" t="n"/>
      <c r="D236" s="9" t="n"/>
      <c r="E236" s="8" t="n"/>
      <c r="F236" s="9" t="n"/>
      <c r="G236" s="9" t="n"/>
      <c r="H236" s="3">
        <f>IF(AND(D236&lt;&gt;"",F236&lt;&gt;""),F236-D236-G236,"")</f>
        <v/>
      </c>
      <c r="I236" s="14">
        <f>IF(E236&lt;&gt;"", YEARFRAC(C236, E236) * 12, "")</f>
        <v/>
      </c>
      <c r="J236" s="2">
        <f>IF(I236="", "", IF(AND(A236="MF (Equity)", I236&gt;12), "Long Term", "Short Term"))</f>
        <v/>
      </c>
      <c r="K236" s="5">
        <f>IF(J236="", "", IF(J236="Long Term", 12.5%, 20%))</f>
        <v/>
      </c>
      <c r="L236" s="3">
        <f>+IFERROR(IF(J236="","",H236*K236),"")</f>
        <v/>
      </c>
    </row>
    <row r="237">
      <c r="A237" s="11" t="n"/>
      <c r="B237" s="7" t="n"/>
      <c r="C237" s="8" t="n"/>
      <c r="D237" s="9" t="n"/>
      <c r="E237" s="8" t="n"/>
      <c r="F237" s="9" t="n"/>
      <c r="G237" s="9" t="n"/>
      <c r="H237" s="3">
        <f>IF(AND(D237&lt;&gt;"",F237&lt;&gt;""),F237-D237-G237,"")</f>
        <v/>
      </c>
      <c r="I237" s="14">
        <f>IF(E237&lt;&gt;"", YEARFRAC(C237, E237) * 12, "")</f>
        <v/>
      </c>
      <c r="J237" s="2">
        <f>IF(I237="", "", IF(AND(A237="MF (Equity)", I237&gt;12), "Long Term", "Short Term"))</f>
        <v/>
      </c>
      <c r="K237" s="5">
        <f>IF(J237="", "", IF(J237="Long Term", 12.5%, 20%))</f>
        <v/>
      </c>
      <c r="L237" s="3">
        <f>+IFERROR(IF(J237="","",H237*K237),"")</f>
        <v/>
      </c>
    </row>
    <row r="238">
      <c r="A238" s="11" t="n"/>
      <c r="B238" s="7" t="n"/>
      <c r="C238" s="8" t="n"/>
      <c r="D238" s="9" t="n"/>
      <c r="E238" s="8" t="n"/>
      <c r="F238" s="9" t="n"/>
      <c r="G238" s="9" t="n"/>
      <c r="H238" s="3">
        <f>IF(AND(D238&lt;&gt;"",F238&lt;&gt;""),F238-D238-G238,"")</f>
        <v/>
      </c>
      <c r="I238" s="14">
        <f>IF(E238&lt;&gt;"", YEARFRAC(C238, E238) * 12, "")</f>
        <v/>
      </c>
      <c r="J238" s="2">
        <f>IF(I238="", "", IF(AND(A238="MF (Equity)", I238&gt;12), "Long Term", "Short Term"))</f>
        <v/>
      </c>
      <c r="K238" s="5">
        <f>IF(J238="", "", IF(J238="Long Term", 12.5%, 20%))</f>
        <v/>
      </c>
      <c r="L238" s="3">
        <f>+IFERROR(IF(J238="","",H238*K238),"")</f>
        <v/>
      </c>
    </row>
    <row r="239">
      <c r="A239" s="11" t="n"/>
      <c r="B239" s="7" t="n"/>
      <c r="C239" s="8" t="n"/>
      <c r="D239" s="9" t="n"/>
      <c r="E239" s="8" t="n"/>
      <c r="F239" s="9" t="n"/>
      <c r="G239" s="9" t="n"/>
      <c r="H239" s="3">
        <f>IF(AND(D239&lt;&gt;"",F239&lt;&gt;""),F239-D239-G239,"")</f>
        <v/>
      </c>
      <c r="I239" s="14">
        <f>IF(E239&lt;&gt;"", YEARFRAC(C239, E239) * 12, "")</f>
        <v/>
      </c>
      <c r="J239" s="2">
        <f>IF(I239="", "", IF(AND(A239="MF (Equity)", I239&gt;12), "Long Term", "Short Term"))</f>
        <v/>
      </c>
      <c r="K239" s="5">
        <f>IF(J239="", "", IF(J239="Long Term", 12.5%, 20%))</f>
        <v/>
      </c>
      <c r="L239" s="3">
        <f>+IFERROR(IF(J239="","",H239*K239),"")</f>
        <v/>
      </c>
    </row>
    <row r="240">
      <c r="A240" s="11" t="n"/>
      <c r="B240" s="7" t="n"/>
      <c r="C240" s="8" t="n"/>
      <c r="D240" s="9" t="n"/>
      <c r="E240" s="8" t="n"/>
      <c r="F240" s="9" t="n"/>
      <c r="G240" s="9" t="n"/>
      <c r="H240" s="3">
        <f>IF(AND(D240&lt;&gt;"",F240&lt;&gt;""),F240-D240-G240,"")</f>
        <v/>
      </c>
      <c r="I240" s="14">
        <f>IF(E240&lt;&gt;"", YEARFRAC(C240, E240) * 12, "")</f>
        <v/>
      </c>
      <c r="J240" s="2">
        <f>IF(I240="", "", IF(AND(A240="MF (Equity)", I240&gt;12), "Long Term", "Short Term"))</f>
        <v/>
      </c>
      <c r="K240" s="5">
        <f>IF(J240="", "", IF(J240="Long Term", 12.5%, 20%))</f>
        <v/>
      </c>
      <c r="L240" s="3">
        <f>+IFERROR(IF(J240="","",H240*K240),"")</f>
        <v/>
      </c>
    </row>
    <row r="241">
      <c r="A241" s="11" t="n"/>
      <c r="B241" s="7" t="n"/>
      <c r="C241" s="8" t="n"/>
      <c r="D241" s="9" t="n"/>
      <c r="E241" s="8" t="n"/>
      <c r="F241" s="9" t="n"/>
      <c r="G241" s="9" t="n"/>
      <c r="H241" s="3">
        <f>IF(AND(D241&lt;&gt;"",F241&lt;&gt;""),F241-D241-G241,"")</f>
        <v/>
      </c>
      <c r="I241" s="14">
        <f>IF(E241&lt;&gt;"", YEARFRAC(C241, E241) * 12, "")</f>
        <v/>
      </c>
      <c r="J241" s="2">
        <f>IF(I241="", "", IF(AND(A241="MF (Equity)", I241&gt;12), "Long Term", "Short Term"))</f>
        <v/>
      </c>
      <c r="K241" s="5">
        <f>IF(J241="", "", IF(J241="Long Term", 12.5%, 20%))</f>
        <v/>
      </c>
      <c r="L241" s="3">
        <f>+IFERROR(IF(J241="","",H241*K241),"")</f>
        <v/>
      </c>
    </row>
    <row r="242">
      <c r="A242" s="11" t="n"/>
      <c r="B242" s="7" t="n"/>
      <c r="C242" s="8" t="n"/>
      <c r="D242" s="9" t="n"/>
      <c r="E242" s="8" t="n"/>
      <c r="F242" s="9" t="n"/>
      <c r="G242" s="9" t="n"/>
      <c r="H242" s="3">
        <f>IF(AND(D242&lt;&gt;"",F242&lt;&gt;""),F242-D242-G242,"")</f>
        <v/>
      </c>
      <c r="I242" s="14">
        <f>IF(E242&lt;&gt;"", YEARFRAC(C242, E242) * 12, "")</f>
        <v/>
      </c>
      <c r="J242" s="2">
        <f>IF(I242="", "", IF(AND(A242="MF (Equity)", I242&gt;12), "Long Term", "Short Term"))</f>
        <v/>
      </c>
      <c r="K242" s="5">
        <f>IF(J242="", "", IF(J242="Long Term", 12.5%, 20%))</f>
        <v/>
      </c>
      <c r="L242" s="3">
        <f>+IFERROR(IF(J242="","",H242*K242),"")</f>
        <v/>
      </c>
    </row>
    <row r="243">
      <c r="A243" s="11" t="n"/>
      <c r="B243" s="7" t="n"/>
      <c r="C243" s="8" t="n"/>
      <c r="D243" s="9" t="n"/>
      <c r="E243" s="8" t="n"/>
      <c r="F243" s="9" t="n"/>
      <c r="G243" s="9" t="n"/>
      <c r="H243" s="3">
        <f>IF(AND(D243&lt;&gt;"",F243&lt;&gt;""),F243-D243-G243,"")</f>
        <v/>
      </c>
      <c r="I243" s="14">
        <f>IF(E243&lt;&gt;"", YEARFRAC(C243, E243) * 12, "")</f>
        <v/>
      </c>
      <c r="J243" s="2">
        <f>IF(I243="", "", IF(AND(A243="MF (Equity)", I243&gt;12), "Long Term", "Short Term"))</f>
        <v/>
      </c>
      <c r="K243" s="5">
        <f>IF(J243="", "", IF(J243="Long Term", 12.5%, 20%))</f>
        <v/>
      </c>
      <c r="L243" s="3">
        <f>+IFERROR(IF(J243="","",H243*K243),"")</f>
        <v/>
      </c>
    </row>
    <row r="244">
      <c r="A244" s="11" t="n"/>
      <c r="B244" s="7" t="n"/>
      <c r="C244" s="8" t="n"/>
      <c r="D244" s="9" t="n"/>
      <c r="E244" s="8" t="n"/>
      <c r="F244" s="9" t="n"/>
      <c r="G244" s="9" t="n"/>
      <c r="H244" s="3">
        <f>IF(AND(D244&lt;&gt;"",F244&lt;&gt;""),F244-D244-G244,"")</f>
        <v/>
      </c>
      <c r="I244" s="14">
        <f>IF(E244&lt;&gt;"", YEARFRAC(C244, E244) * 12, "")</f>
        <v/>
      </c>
      <c r="J244" s="2">
        <f>IF(I244="", "", IF(AND(A244="MF (Equity)", I244&gt;12), "Long Term", "Short Term"))</f>
        <v/>
      </c>
      <c r="K244" s="5">
        <f>IF(J244="", "", IF(J244="Long Term", 12.5%, 20%))</f>
        <v/>
      </c>
      <c r="L244" s="3">
        <f>+IFERROR(IF(J244="","",H244*K244),"")</f>
        <v/>
      </c>
    </row>
    <row r="245">
      <c r="A245" s="11" t="n"/>
      <c r="B245" s="7" t="n"/>
      <c r="C245" s="8" t="n"/>
      <c r="D245" s="9" t="n"/>
      <c r="E245" s="8" t="n"/>
      <c r="F245" s="9" t="n"/>
      <c r="G245" s="9" t="n"/>
      <c r="H245" s="3">
        <f>IF(AND(D245&lt;&gt;"",F245&lt;&gt;""),F245-D245-G245,"")</f>
        <v/>
      </c>
      <c r="I245" s="14">
        <f>IF(E245&lt;&gt;"", YEARFRAC(C245, E245) * 12, "")</f>
        <v/>
      </c>
      <c r="J245" s="2">
        <f>IF(I245="", "", IF(AND(A245="MF (Equity)", I245&gt;12), "Long Term", "Short Term"))</f>
        <v/>
      </c>
      <c r="K245" s="5">
        <f>IF(J245="", "", IF(J245="Long Term", 12.5%, 20%))</f>
        <v/>
      </c>
      <c r="L245" s="3">
        <f>+IFERROR(IF(J245="","",H245*K245),"")</f>
        <v/>
      </c>
    </row>
    <row r="246">
      <c r="A246" s="11" t="n"/>
      <c r="B246" s="7" t="n"/>
      <c r="C246" s="8" t="n"/>
      <c r="D246" s="9" t="n"/>
      <c r="E246" s="8" t="n"/>
      <c r="F246" s="9" t="n"/>
      <c r="G246" s="9" t="n"/>
      <c r="H246" s="3">
        <f>IF(AND(D246&lt;&gt;"",F246&lt;&gt;""),F246-D246-G246,"")</f>
        <v/>
      </c>
      <c r="I246" s="14">
        <f>IF(E246&lt;&gt;"", YEARFRAC(C246, E246) * 12, "")</f>
        <v/>
      </c>
      <c r="J246" s="2">
        <f>IF(I246="", "", IF(AND(A246="MF (Equity)", I246&gt;12), "Long Term", "Short Term"))</f>
        <v/>
      </c>
      <c r="K246" s="5">
        <f>IF(J246="", "", IF(J246="Long Term", 12.5%, 20%))</f>
        <v/>
      </c>
      <c r="L246" s="3">
        <f>+IFERROR(IF(J246="","",H246*K246),"")</f>
        <v/>
      </c>
    </row>
    <row r="247">
      <c r="A247" s="11" t="n"/>
      <c r="B247" s="7" t="n"/>
      <c r="C247" s="8" t="n"/>
      <c r="D247" s="9" t="n"/>
      <c r="E247" s="8" t="n"/>
      <c r="F247" s="9" t="n"/>
      <c r="G247" s="9" t="n"/>
      <c r="H247" s="3">
        <f>IF(AND(D247&lt;&gt;"",F247&lt;&gt;""),F247-D247-G247,"")</f>
        <v/>
      </c>
      <c r="I247" s="14">
        <f>IF(E247&lt;&gt;"", YEARFRAC(C247, E247) * 12, "")</f>
        <v/>
      </c>
      <c r="J247" s="2">
        <f>IF(I247="", "", IF(AND(A247="MF (Equity)", I247&gt;12), "Long Term", "Short Term"))</f>
        <v/>
      </c>
      <c r="K247" s="5">
        <f>IF(J247="", "", IF(J247="Long Term", 12.5%, 20%))</f>
        <v/>
      </c>
      <c r="L247" s="3">
        <f>+IFERROR(IF(J247="","",H247*K247),"")</f>
        <v/>
      </c>
    </row>
    <row r="248">
      <c r="A248" s="11" t="n"/>
      <c r="B248" s="7" t="n"/>
      <c r="C248" s="8" t="n"/>
      <c r="D248" s="9" t="n"/>
      <c r="E248" s="8" t="n"/>
      <c r="F248" s="9" t="n"/>
      <c r="G248" s="9" t="n"/>
      <c r="H248" s="3">
        <f>IF(AND(D248&lt;&gt;"",F248&lt;&gt;""),F248-D248-G248,"")</f>
        <v/>
      </c>
      <c r="I248" s="14">
        <f>IF(E248&lt;&gt;"", YEARFRAC(C248, E248) * 12, "")</f>
        <v/>
      </c>
      <c r="J248" s="2">
        <f>IF(I248="", "", IF(AND(A248="MF (Equity)", I248&gt;12), "Long Term", "Short Term"))</f>
        <v/>
      </c>
      <c r="K248" s="5">
        <f>IF(J248="", "", IF(J248="Long Term", 12.5%, 20%))</f>
        <v/>
      </c>
      <c r="L248" s="3">
        <f>+IFERROR(IF(J248="","",H248*K248),"")</f>
        <v/>
      </c>
    </row>
    <row r="249">
      <c r="A249" s="11" t="n"/>
      <c r="B249" s="7" t="n"/>
      <c r="C249" s="8" t="n"/>
      <c r="D249" s="9" t="n"/>
      <c r="E249" s="8" t="n"/>
      <c r="F249" s="9" t="n"/>
      <c r="G249" s="9" t="n"/>
      <c r="H249" s="3">
        <f>IF(AND(D249&lt;&gt;"",F249&lt;&gt;""),F249-D249-G249,"")</f>
        <v/>
      </c>
      <c r="I249" s="14">
        <f>IF(E249&lt;&gt;"", YEARFRAC(C249, E249) * 12, "")</f>
        <v/>
      </c>
      <c r="J249" s="2">
        <f>IF(I249="", "", IF(AND(A249="MF (Equity)", I249&gt;12), "Long Term", "Short Term"))</f>
        <v/>
      </c>
      <c r="K249" s="5">
        <f>IF(J249="", "", IF(J249="Long Term", 12.5%, 20%))</f>
        <v/>
      </c>
      <c r="L249" s="3">
        <f>+IFERROR(IF(J249="","",H249*K249),"")</f>
        <v/>
      </c>
    </row>
    <row r="250">
      <c r="A250" s="11" t="n"/>
      <c r="B250" s="7" t="n"/>
      <c r="C250" s="8" t="n"/>
      <c r="D250" s="9" t="n"/>
      <c r="E250" s="8" t="n"/>
      <c r="F250" s="9" t="n"/>
      <c r="G250" s="9" t="n"/>
      <c r="H250" s="3">
        <f>IF(AND(D250&lt;&gt;"",F250&lt;&gt;""),F250-D250-G250,"")</f>
        <v/>
      </c>
      <c r="I250" s="14">
        <f>IF(E250&lt;&gt;"", YEARFRAC(C250, E250) * 12, "")</f>
        <v/>
      </c>
      <c r="J250" s="2">
        <f>IF(I250="", "", IF(AND(A250="MF (Equity)", I250&gt;12), "Long Term", "Short Term"))</f>
        <v/>
      </c>
      <c r="K250" s="5">
        <f>IF(J250="", "", IF(J250="Long Term", 12.5%, 20%))</f>
        <v/>
      </c>
      <c r="L250" s="3">
        <f>+IFERROR(IF(J250="","",H250*K250),"")</f>
        <v/>
      </c>
    </row>
    <row r="251">
      <c r="A251" s="11" t="n"/>
      <c r="B251" s="7" t="n"/>
      <c r="C251" s="8" t="n"/>
      <c r="D251" s="9" t="n"/>
      <c r="E251" s="8" t="n"/>
      <c r="F251" s="9" t="n"/>
      <c r="G251" s="9" t="n"/>
      <c r="H251" s="3">
        <f>IF(AND(D251&lt;&gt;"",F251&lt;&gt;""),F251-D251-G251,"")</f>
        <v/>
      </c>
      <c r="I251" s="14">
        <f>IF(E251&lt;&gt;"", YEARFRAC(C251, E251) * 12, "")</f>
        <v/>
      </c>
      <c r="J251" s="2">
        <f>IF(I251="", "", IF(AND(A251="MF (Equity)", I251&gt;12), "Long Term", "Short Term"))</f>
        <v/>
      </c>
      <c r="K251" s="5">
        <f>IF(J251="", "", IF(J251="Long Term", 12.5%, 20%))</f>
        <v/>
      </c>
      <c r="L251" s="3">
        <f>+IFERROR(IF(J251="","",H251*K251),"")</f>
        <v/>
      </c>
    </row>
    <row r="252">
      <c r="A252" s="11" t="n"/>
      <c r="B252" s="7" t="n"/>
      <c r="C252" s="8" t="n"/>
      <c r="D252" s="9" t="n"/>
      <c r="E252" s="8" t="n"/>
      <c r="F252" s="9" t="n"/>
      <c r="G252" s="9" t="n"/>
      <c r="H252" s="3">
        <f>IF(AND(D252&lt;&gt;"",F252&lt;&gt;""),F252-D252-G252,"")</f>
        <v/>
      </c>
      <c r="I252" s="14">
        <f>IF(E252&lt;&gt;"", YEARFRAC(C252, E252) * 12, "")</f>
        <v/>
      </c>
      <c r="J252" s="2">
        <f>IF(I252="", "", IF(AND(A252="MF (Equity)", I252&gt;12), "Long Term", "Short Term"))</f>
        <v/>
      </c>
      <c r="K252" s="5">
        <f>IF(J252="", "", IF(J252="Long Term", 12.5%, 20%))</f>
        <v/>
      </c>
      <c r="L252" s="3">
        <f>+IFERROR(IF(J252="","",H252*K252),"")</f>
        <v/>
      </c>
    </row>
    <row r="253">
      <c r="A253" s="11" t="n"/>
      <c r="B253" s="7" t="n"/>
      <c r="C253" s="8" t="n"/>
      <c r="D253" s="9" t="n"/>
      <c r="E253" s="8" t="n"/>
      <c r="F253" s="9" t="n"/>
      <c r="G253" s="9" t="n"/>
      <c r="H253" s="3">
        <f>IF(AND(D253&lt;&gt;"",F253&lt;&gt;""),F253-D253-G253,"")</f>
        <v/>
      </c>
      <c r="I253" s="14">
        <f>IF(E253&lt;&gt;"", YEARFRAC(C253, E253) * 12, "")</f>
        <v/>
      </c>
      <c r="J253" s="2">
        <f>IF(I253="", "", IF(AND(A253="MF (Equity)", I253&gt;12), "Long Term", "Short Term"))</f>
        <v/>
      </c>
      <c r="K253" s="5">
        <f>IF(J253="", "", IF(J253="Long Term", 12.5%, 20%))</f>
        <v/>
      </c>
      <c r="L253" s="3">
        <f>+IFERROR(IF(J253="","",H253*K253),"")</f>
        <v/>
      </c>
    </row>
    <row r="254">
      <c r="A254" s="11" t="n"/>
      <c r="B254" s="7" t="n"/>
      <c r="C254" s="8" t="n"/>
      <c r="D254" s="9" t="n"/>
      <c r="E254" s="8" t="n"/>
      <c r="F254" s="9" t="n"/>
      <c r="G254" s="9" t="n"/>
      <c r="H254" s="3">
        <f>IF(AND(D254&lt;&gt;"",F254&lt;&gt;""),F254-D254-G254,"")</f>
        <v/>
      </c>
      <c r="I254" s="14">
        <f>IF(E254&lt;&gt;"", YEARFRAC(C254, E254) * 12, "")</f>
        <v/>
      </c>
      <c r="J254" s="2">
        <f>IF(I254="", "", IF(AND(A254="MF (Equity)", I254&gt;12), "Long Term", "Short Term"))</f>
        <v/>
      </c>
      <c r="K254" s="5">
        <f>IF(J254="", "", IF(J254="Long Term", 12.5%, 20%))</f>
        <v/>
      </c>
      <c r="L254" s="3">
        <f>+IFERROR(IF(J254="","",H254*K254),"")</f>
        <v/>
      </c>
    </row>
    <row r="255">
      <c r="A255" s="11" t="n"/>
      <c r="B255" s="7" t="n"/>
      <c r="C255" s="8" t="n"/>
      <c r="D255" s="9" t="n"/>
      <c r="E255" s="8" t="n"/>
      <c r="F255" s="9" t="n"/>
      <c r="G255" s="9" t="n"/>
      <c r="H255" s="3">
        <f>IF(AND(D255&lt;&gt;"",F255&lt;&gt;""),F255-D255-G255,"")</f>
        <v/>
      </c>
      <c r="I255" s="14">
        <f>IF(E255&lt;&gt;"", YEARFRAC(C255, E255) * 12, "")</f>
        <v/>
      </c>
      <c r="J255" s="2">
        <f>IF(I255="", "", IF(AND(A255="MF (Equity)", I255&gt;12), "Long Term", "Short Term"))</f>
        <v/>
      </c>
      <c r="K255" s="5">
        <f>IF(J255="", "", IF(J255="Long Term", 12.5%, 20%))</f>
        <v/>
      </c>
      <c r="L255" s="3">
        <f>+IFERROR(IF(J255="","",H255*K255),"")</f>
        <v/>
      </c>
    </row>
    <row r="256">
      <c r="A256" s="11" t="n"/>
      <c r="B256" s="7" t="n"/>
      <c r="C256" s="8" t="n"/>
      <c r="D256" s="9" t="n"/>
      <c r="E256" s="8" t="n"/>
      <c r="F256" s="9" t="n"/>
      <c r="G256" s="9" t="n"/>
      <c r="H256" s="3">
        <f>IF(AND(D256&lt;&gt;"",F256&lt;&gt;""),F256-D256-G256,"")</f>
        <v/>
      </c>
      <c r="I256" s="14">
        <f>IF(E256&lt;&gt;"", YEARFRAC(C256, E256) * 12, "")</f>
        <v/>
      </c>
      <c r="J256" s="2">
        <f>IF(I256="", "", IF(AND(A256="MF (Equity)", I256&gt;12), "Long Term", "Short Term"))</f>
        <v/>
      </c>
      <c r="K256" s="5">
        <f>IF(J256="", "", IF(J256="Long Term", 12.5%, 20%))</f>
        <v/>
      </c>
      <c r="L256" s="3">
        <f>+IFERROR(IF(J256="","",H256*K256),"")</f>
        <v/>
      </c>
    </row>
    <row r="257">
      <c r="A257" s="11" t="n"/>
      <c r="B257" s="7" t="n"/>
      <c r="C257" s="8" t="n"/>
      <c r="D257" s="9" t="n"/>
      <c r="E257" s="8" t="n"/>
      <c r="F257" s="9" t="n"/>
      <c r="G257" s="9" t="n"/>
      <c r="H257" s="3">
        <f>IF(AND(D257&lt;&gt;"",F257&lt;&gt;""),F257-D257-G257,"")</f>
        <v/>
      </c>
      <c r="I257" s="14">
        <f>IF(E257&lt;&gt;"", YEARFRAC(C257, E257) * 12, "")</f>
        <v/>
      </c>
      <c r="J257" s="2">
        <f>IF(I257="", "", IF(AND(A257="MF (Equity)", I257&gt;12), "Long Term", "Short Term"))</f>
        <v/>
      </c>
      <c r="K257" s="5">
        <f>IF(J257="", "", IF(J257="Long Term", 12.5%, 20%))</f>
        <v/>
      </c>
      <c r="L257" s="3">
        <f>+IFERROR(IF(J257="","",H257*K257),"")</f>
        <v/>
      </c>
    </row>
    <row r="258">
      <c r="A258" s="11" t="n"/>
      <c r="B258" s="7" t="n"/>
      <c r="C258" s="8" t="n"/>
      <c r="D258" s="9" t="n"/>
      <c r="E258" s="8" t="n"/>
      <c r="F258" s="9" t="n"/>
      <c r="G258" s="9" t="n"/>
      <c r="H258" s="3">
        <f>IF(AND(D258&lt;&gt;"",F258&lt;&gt;""),F258-D258-G258,"")</f>
        <v/>
      </c>
      <c r="I258" s="14">
        <f>IF(E258&lt;&gt;"", YEARFRAC(C258, E258) * 12, "")</f>
        <v/>
      </c>
      <c r="J258" s="2">
        <f>IF(I258="", "", IF(AND(A258="MF (Equity)", I258&gt;12), "Long Term", "Short Term"))</f>
        <v/>
      </c>
      <c r="K258" s="5">
        <f>IF(J258="", "", IF(J258="Long Term", 12.5%, 20%))</f>
        <v/>
      </c>
      <c r="L258" s="3">
        <f>+IFERROR(IF(J258="","",H258*K258),"")</f>
        <v/>
      </c>
    </row>
    <row r="259">
      <c r="A259" s="11" t="n"/>
      <c r="B259" s="7" t="n"/>
      <c r="C259" s="8" t="n"/>
      <c r="D259" s="9" t="n"/>
      <c r="E259" s="8" t="n"/>
      <c r="F259" s="9" t="n"/>
      <c r="G259" s="9" t="n"/>
      <c r="H259" s="3">
        <f>IF(AND(D259&lt;&gt;"",F259&lt;&gt;""),F259-D259-G259,"")</f>
        <v/>
      </c>
      <c r="I259" s="14">
        <f>IF(E259&lt;&gt;"", YEARFRAC(C259, E259) * 12, "")</f>
        <v/>
      </c>
      <c r="J259" s="2">
        <f>IF(I259="", "", IF(AND(A259="MF (Equity)", I259&gt;12), "Long Term", "Short Term"))</f>
        <v/>
      </c>
      <c r="K259" s="5">
        <f>IF(J259="", "", IF(J259="Long Term", 12.5%, 20%))</f>
        <v/>
      </c>
      <c r="L259" s="3">
        <f>+IFERROR(IF(J259="","",H259*K259),"")</f>
        <v/>
      </c>
    </row>
    <row r="260">
      <c r="A260" s="11" t="n"/>
      <c r="B260" s="7" t="n"/>
      <c r="C260" s="8" t="n"/>
      <c r="D260" s="9" t="n"/>
      <c r="E260" s="8" t="n"/>
      <c r="F260" s="9" t="n"/>
      <c r="G260" s="9" t="n"/>
      <c r="H260" s="3">
        <f>IF(AND(D260&lt;&gt;"",F260&lt;&gt;""),F260-D260-G260,"")</f>
        <v/>
      </c>
      <c r="I260" s="14">
        <f>IF(E260&lt;&gt;"", YEARFRAC(C260, E260) * 12, "")</f>
        <v/>
      </c>
      <c r="J260" s="2">
        <f>IF(I260="", "", IF(AND(A260="MF (Equity)", I260&gt;12), "Long Term", "Short Term"))</f>
        <v/>
      </c>
      <c r="K260" s="5">
        <f>IF(J260="", "", IF(J260="Long Term", 12.5%, 20%))</f>
        <v/>
      </c>
      <c r="L260" s="3">
        <f>+IFERROR(IF(J260="","",H260*K260),"")</f>
        <v/>
      </c>
    </row>
    <row r="261">
      <c r="A261" s="11" t="n"/>
      <c r="B261" s="7" t="n"/>
      <c r="C261" s="8" t="n"/>
      <c r="D261" s="9" t="n"/>
      <c r="E261" s="8" t="n"/>
      <c r="F261" s="9" t="n"/>
      <c r="G261" s="9" t="n"/>
      <c r="H261" s="3">
        <f>IF(AND(D261&lt;&gt;"",F261&lt;&gt;""),F261-D261-G261,"")</f>
        <v/>
      </c>
      <c r="I261" s="14">
        <f>IF(E261&lt;&gt;"", YEARFRAC(C261, E261) * 12, "")</f>
        <v/>
      </c>
      <c r="J261" s="2">
        <f>IF(I261="", "", IF(AND(A261="MF (Equity)", I261&gt;12), "Long Term", "Short Term"))</f>
        <v/>
      </c>
      <c r="K261" s="5">
        <f>IF(J261="", "", IF(J261="Long Term", 12.5%, 20%))</f>
        <v/>
      </c>
      <c r="L261" s="3">
        <f>+IFERROR(IF(J261="","",H261*K261),"")</f>
        <v/>
      </c>
    </row>
    <row r="262">
      <c r="A262" s="11" t="n"/>
      <c r="B262" s="7" t="n"/>
      <c r="C262" s="8" t="n"/>
      <c r="D262" s="9" t="n"/>
      <c r="E262" s="8" t="n"/>
      <c r="F262" s="9" t="n"/>
      <c r="G262" s="9" t="n"/>
      <c r="H262" s="3">
        <f>IF(AND(D262&lt;&gt;"",F262&lt;&gt;""),F262-D262-G262,"")</f>
        <v/>
      </c>
      <c r="I262" s="14">
        <f>IF(E262&lt;&gt;"", YEARFRAC(C262, E262) * 12, "")</f>
        <v/>
      </c>
      <c r="J262" s="2">
        <f>IF(I262="", "", IF(AND(A262="MF (Equity)", I262&gt;12), "Long Term", "Short Term"))</f>
        <v/>
      </c>
      <c r="K262" s="5">
        <f>IF(J262="", "", IF(J262="Long Term", 12.5%, 20%))</f>
        <v/>
      </c>
      <c r="L262" s="3">
        <f>+IFERROR(IF(J262="","",H262*K262),"")</f>
        <v/>
      </c>
    </row>
    <row r="263">
      <c r="A263" s="11" t="n"/>
      <c r="B263" s="7" t="n"/>
      <c r="C263" s="8" t="n"/>
      <c r="D263" s="9" t="n"/>
      <c r="E263" s="8" t="n"/>
      <c r="F263" s="9" t="n"/>
      <c r="G263" s="9" t="n"/>
      <c r="H263" s="3">
        <f>IF(AND(D263&lt;&gt;"",F263&lt;&gt;""),F263-D263-G263,"")</f>
        <v/>
      </c>
      <c r="I263" s="14">
        <f>IF(E263&lt;&gt;"", YEARFRAC(C263, E263) * 12, "")</f>
        <v/>
      </c>
      <c r="J263" s="2">
        <f>IF(I263="", "", IF(AND(A263="MF (Equity)", I263&gt;12), "Long Term", "Short Term"))</f>
        <v/>
      </c>
      <c r="K263" s="5">
        <f>IF(J263="", "", IF(J263="Long Term", 12.5%, 20%))</f>
        <v/>
      </c>
      <c r="L263" s="3">
        <f>+IFERROR(IF(J263="","",H263*K263),"")</f>
        <v/>
      </c>
    </row>
    <row r="264">
      <c r="A264" s="11" t="n"/>
      <c r="B264" s="7" t="n"/>
      <c r="C264" s="8" t="n"/>
      <c r="D264" s="9" t="n"/>
      <c r="E264" s="8" t="n"/>
      <c r="F264" s="9" t="n"/>
      <c r="G264" s="9" t="n"/>
      <c r="H264" s="3">
        <f>IF(AND(D264&lt;&gt;"",F264&lt;&gt;""),F264-D264-G264,"")</f>
        <v/>
      </c>
      <c r="I264" s="14">
        <f>IF(E264&lt;&gt;"", YEARFRAC(C264, E264) * 12, "")</f>
        <v/>
      </c>
      <c r="J264" s="2">
        <f>IF(I264="", "", IF(AND(A264="MF (Equity)", I264&gt;12), "Long Term", "Short Term"))</f>
        <v/>
      </c>
      <c r="K264" s="5">
        <f>IF(J264="", "", IF(J264="Long Term", 12.5%, 20%))</f>
        <v/>
      </c>
      <c r="L264" s="3">
        <f>+IFERROR(IF(J264="","",H264*K264),"")</f>
        <v/>
      </c>
    </row>
    <row r="265">
      <c r="A265" s="11" t="n"/>
      <c r="B265" s="7" t="n"/>
      <c r="C265" s="8" t="n"/>
      <c r="D265" s="9" t="n"/>
      <c r="E265" s="8" t="n"/>
      <c r="F265" s="9" t="n"/>
      <c r="G265" s="9" t="n"/>
      <c r="H265" s="3">
        <f>IF(AND(D265&lt;&gt;"",F265&lt;&gt;""),F265-D265-G265,"")</f>
        <v/>
      </c>
      <c r="I265" s="14">
        <f>IF(E265&lt;&gt;"", YEARFRAC(C265, E265) * 12, "")</f>
        <v/>
      </c>
      <c r="J265" s="2">
        <f>IF(I265="", "", IF(AND(A265="MF (Equity)", I265&gt;12), "Long Term", "Short Term"))</f>
        <v/>
      </c>
      <c r="K265" s="5">
        <f>IF(J265="", "", IF(J265="Long Term", 12.5%, 20%))</f>
        <v/>
      </c>
      <c r="L265" s="3">
        <f>+IFERROR(IF(J265="","",H265*K265),"")</f>
        <v/>
      </c>
    </row>
    <row r="266">
      <c r="A266" s="11" t="n"/>
      <c r="B266" s="7" t="n"/>
      <c r="C266" s="8" t="n"/>
      <c r="D266" s="9" t="n"/>
      <c r="E266" s="8" t="n"/>
      <c r="F266" s="9" t="n"/>
      <c r="G266" s="9" t="n"/>
      <c r="H266" s="3">
        <f>IF(AND(D266&lt;&gt;"",F266&lt;&gt;""),F266-D266-G266,"")</f>
        <v/>
      </c>
      <c r="I266" s="14">
        <f>IF(E266&lt;&gt;"", YEARFRAC(C266, E266) * 12, "")</f>
        <v/>
      </c>
      <c r="J266" s="2">
        <f>IF(I266="", "", IF(AND(A266="MF (Equity)", I266&gt;12), "Long Term", "Short Term"))</f>
        <v/>
      </c>
      <c r="K266" s="5">
        <f>IF(J266="", "", IF(J266="Long Term", 12.5%, 20%))</f>
        <v/>
      </c>
      <c r="L266" s="3">
        <f>+IFERROR(IF(J266="","",H266*K266),"")</f>
        <v/>
      </c>
    </row>
    <row r="267">
      <c r="A267" s="11" t="n"/>
      <c r="B267" s="7" t="n"/>
      <c r="C267" s="8" t="n"/>
      <c r="D267" s="9" t="n"/>
      <c r="E267" s="8" t="n"/>
      <c r="F267" s="9" t="n"/>
      <c r="G267" s="9" t="n"/>
      <c r="H267" s="3">
        <f>IF(AND(D267&lt;&gt;"",F267&lt;&gt;""),F267-D267-G267,"")</f>
        <v/>
      </c>
      <c r="I267" s="14">
        <f>IF(E267&lt;&gt;"", YEARFRAC(C267, E267) * 12, "")</f>
        <v/>
      </c>
      <c r="J267" s="2">
        <f>IF(I267="", "", IF(AND(A267="MF (Equity)", I267&gt;12), "Long Term", "Short Term"))</f>
        <v/>
      </c>
      <c r="K267" s="5">
        <f>IF(J267="", "", IF(J267="Long Term", 12.5%, 20%))</f>
        <v/>
      </c>
      <c r="L267" s="3">
        <f>+IFERROR(IF(J267="","",H267*K267),"")</f>
        <v/>
      </c>
    </row>
    <row r="268">
      <c r="A268" s="11" t="n"/>
      <c r="B268" s="7" t="n"/>
      <c r="C268" s="8" t="n"/>
      <c r="D268" s="9" t="n"/>
      <c r="E268" s="8" t="n"/>
      <c r="F268" s="9" t="n"/>
      <c r="G268" s="9" t="n"/>
      <c r="H268" s="3">
        <f>IF(AND(D268&lt;&gt;"",F268&lt;&gt;""),F268-D268-G268,"")</f>
        <v/>
      </c>
      <c r="I268" s="14">
        <f>IF(E268&lt;&gt;"", YEARFRAC(C268, E268) * 12, "")</f>
        <v/>
      </c>
      <c r="J268" s="2">
        <f>IF(I268="", "", IF(AND(A268="MF (Equity)", I268&gt;12), "Long Term", "Short Term"))</f>
        <v/>
      </c>
      <c r="K268" s="5">
        <f>IF(J268="", "", IF(J268="Long Term", 12.5%, 20%))</f>
        <v/>
      </c>
      <c r="L268" s="3">
        <f>+IFERROR(IF(J268="","",H268*K268),"")</f>
        <v/>
      </c>
    </row>
    <row r="269">
      <c r="A269" s="11" t="n"/>
      <c r="B269" s="7" t="n"/>
      <c r="C269" s="8" t="n"/>
      <c r="D269" s="9" t="n"/>
      <c r="E269" s="8" t="n"/>
      <c r="F269" s="9" t="n"/>
      <c r="G269" s="9" t="n"/>
      <c r="H269" s="3">
        <f>IF(AND(D269&lt;&gt;"",F269&lt;&gt;""),F269-D269-G269,"")</f>
        <v/>
      </c>
      <c r="I269" s="14">
        <f>IF(E269&lt;&gt;"", YEARFRAC(C269, E269) * 12, "")</f>
        <v/>
      </c>
      <c r="J269" s="2">
        <f>IF(I269="", "", IF(AND(A269="MF (Equity)", I269&gt;12), "Long Term", "Short Term"))</f>
        <v/>
      </c>
      <c r="K269" s="5">
        <f>IF(J269="", "", IF(J269="Long Term", 12.5%, 20%))</f>
        <v/>
      </c>
      <c r="L269" s="3">
        <f>+IFERROR(IF(J269="","",H269*K269),"")</f>
        <v/>
      </c>
    </row>
    <row r="270">
      <c r="A270" s="11" t="n"/>
      <c r="B270" s="7" t="n"/>
      <c r="C270" s="8" t="n"/>
      <c r="D270" s="9" t="n"/>
      <c r="E270" s="8" t="n"/>
      <c r="F270" s="9" t="n"/>
      <c r="G270" s="9" t="n"/>
      <c r="H270" s="3">
        <f>IF(AND(D270&lt;&gt;"",F270&lt;&gt;""),F270-D270-G270,"")</f>
        <v/>
      </c>
      <c r="I270" s="14">
        <f>IF(E270&lt;&gt;"", YEARFRAC(C270, E270) * 12, "")</f>
        <v/>
      </c>
      <c r="J270" s="2">
        <f>IF(I270="", "", IF(AND(A270="MF (Equity)", I270&gt;12), "Long Term", "Short Term"))</f>
        <v/>
      </c>
      <c r="K270" s="5">
        <f>IF(J270="", "", IF(J270="Long Term", 12.5%, 20%))</f>
        <v/>
      </c>
      <c r="L270" s="3">
        <f>+IFERROR(IF(J270="","",H270*K270),"")</f>
        <v/>
      </c>
    </row>
    <row r="271">
      <c r="A271" s="11" t="n"/>
      <c r="B271" s="7" t="n"/>
      <c r="C271" s="8" t="n"/>
      <c r="D271" s="9" t="n"/>
      <c r="E271" s="8" t="n"/>
      <c r="F271" s="9" t="n"/>
      <c r="G271" s="9" t="n"/>
      <c r="H271" s="3">
        <f>IF(AND(D271&lt;&gt;"",F271&lt;&gt;""),F271-D271-G271,"")</f>
        <v/>
      </c>
      <c r="I271" s="14">
        <f>IF(E271&lt;&gt;"", YEARFRAC(C271, E271) * 12, "")</f>
        <v/>
      </c>
      <c r="J271" s="2">
        <f>IF(I271="", "", IF(AND(A271="MF (Equity)", I271&gt;12), "Long Term", "Short Term"))</f>
        <v/>
      </c>
      <c r="K271" s="5">
        <f>IF(J271="", "", IF(J271="Long Term", 12.5%, 20%))</f>
        <v/>
      </c>
      <c r="L271" s="3">
        <f>+IFERROR(IF(J271="","",H271*K271),"")</f>
        <v/>
      </c>
    </row>
    <row r="272">
      <c r="A272" s="11" t="n"/>
      <c r="B272" s="7" t="n"/>
      <c r="C272" s="8" t="n"/>
      <c r="D272" s="9" t="n"/>
      <c r="E272" s="8" t="n"/>
      <c r="F272" s="9" t="n"/>
      <c r="G272" s="9" t="n"/>
      <c r="H272" s="3">
        <f>IF(AND(D272&lt;&gt;"",F272&lt;&gt;""),F272-D272-G272,"")</f>
        <v/>
      </c>
      <c r="I272" s="14">
        <f>IF(E272&lt;&gt;"", YEARFRAC(C272, E272) * 12, "")</f>
        <v/>
      </c>
      <c r="J272" s="2">
        <f>IF(I272="", "", IF(AND(A272="MF (Equity)", I272&gt;12), "Long Term", "Short Term"))</f>
        <v/>
      </c>
      <c r="K272" s="5">
        <f>IF(J272="", "", IF(J272="Long Term", 12.5%, 20%))</f>
        <v/>
      </c>
      <c r="L272" s="3">
        <f>+IFERROR(IF(J272="","",H272*K272),"")</f>
        <v/>
      </c>
    </row>
    <row r="273">
      <c r="A273" s="11" t="n"/>
      <c r="B273" s="7" t="n"/>
      <c r="C273" s="8" t="n"/>
      <c r="D273" s="9" t="n"/>
      <c r="E273" s="8" t="n"/>
      <c r="F273" s="9" t="n"/>
      <c r="G273" s="9" t="n"/>
      <c r="H273" s="3">
        <f>IF(AND(D273&lt;&gt;"",F273&lt;&gt;""),F273-D273-G273,"")</f>
        <v/>
      </c>
      <c r="I273" s="14">
        <f>IF(E273&lt;&gt;"", YEARFRAC(C273, E273) * 12, "")</f>
        <v/>
      </c>
      <c r="J273" s="2">
        <f>IF(I273="", "", IF(AND(A273="MF (Equity)", I273&gt;12), "Long Term", "Short Term"))</f>
        <v/>
      </c>
      <c r="K273" s="5">
        <f>IF(J273="", "", IF(J273="Long Term", 12.5%, 20%))</f>
        <v/>
      </c>
      <c r="L273" s="3">
        <f>+IFERROR(IF(J273="","",H273*K273),"")</f>
        <v/>
      </c>
    </row>
    <row r="274">
      <c r="A274" s="11" t="n"/>
      <c r="B274" s="7" t="n"/>
      <c r="C274" s="8" t="n"/>
      <c r="D274" s="9" t="n"/>
      <c r="E274" s="8" t="n"/>
      <c r="F274" s="9" t="n"/>
      <c r="G274" s="9" t="n"/>
      <c r="H274" s="3">
        <f>IF(AND(D274&lt;&gt;"",F274&lt;&gt;""),F274-D274-G274,"")</f>
        <v/>
      </c>
      <c r="I274" s="14">
        <f>IF(E274&lt;&gt;"", YEARFRAC(C274, E274) * 12, "")</f>
        <v/>
      </c>
      <c r="J274" s="2">
        <f>IF(I274="", "", IF(AND(A274="MF (Equity)", I274&gt;12), "Long Term", "Short Term"))</f>
        <v/>
      </c>
      <c r="K274" s="5">
        <f>IF(J274="", "", IF(J274="Long Term", 12.5%, 20%))</f>
        <v/>
      </c>
      <c r="L274" s="3">
        <f>+IFERROR(IF(J274="","",H274*K274),"")</f>
        <v/>
      </c>
    </row>
    <row r="275">
      <c r="A275" s="11" t="n"/>
      <c r="B275" s="7" t="n"/>
      <c r="C275" s="8" t="n"/>
      <c r="D275" s="9" t="n"/>
      <c r="E275" s="8" t="n"/>
      <c r="F275" s="9" t="n"/>
      <c r="G275" s="9" t="n"/>
      <c r="H275" s="3">
        <f>IF(AND(D275&lt;&gt;"",F275&lt;&gt;""),F275-D275-G275,"")</f>
        <v/>
      </c>
      <c r="I275" s="14">
        <f>IF(E275&lt;&gt;"", YEARFRAC(C275, E275) * 12, "")</f>
        <v/>
      </c>
      <c r="J275" s="2">
        <f>IF(I275="", "", IF(AND(A275="MF (Equity)", I275&gt;12), "Long Term", "Short Term"))</f>
        <v/>
      </c>
      <c r="K275" s="5">
        <f>IF(J275="", "", IF(J275="Long Term", 12.5%, 20%))</f>
        <v/>
      </c>
      <c r="L275" s="3">
        <f>+IFERROR(IF(J275="","",H275*K275),"")</f>
        <v/>
      </c>
    </row>
    <row r="276">
      <c r="A276" s="11" t="n"/>
      <c r="B276" s="7" t="n"/>
      <c r="C276" s="8" t="n"/>
      <c r="D276" s="9" t="n"/>
      <c r="E276" s="8" t="n"/>
      <c r="F276" s="9" t="n"/>
      <c r="G276" s="9" t="n"/>
      <c r="H276" s="3">
        <f>IF(AND(D276&lt;&gt;"",F276&lt;&gt;""),F276-D276-G276,"")</f>
        <v/>
      </c>
      <c r="I276" s="14">
        <f>IF(E276&lt;&gt;"", YEARFRAC(C276, E276) * 12, "")</f>
        <v/>
      </c>
      <c r="J276" s="2">
        <f>IF(I276="", "", IF(AND(A276="MF (Equity)", I276&gt;12), "Long Term", "Short Term"))</f>
        <v/>
      </c>
      <c r="K276" s="5">
        <f>IF(J276="", "", IF(J276="Long Term", 12.5%, 20%))</f>
        <v/>
      </c>
      <c r="L276" s="3">
        <f>+IFERROR(IF(J276="","",H276*K276),"")</f>
        <v/>
      </c>
    </row>
    <row r="277">
      <c r="A277" s="11" t="n"/>
      <c r="B277" s="7" t="n"/>
      <c r="C277" s="8" t="n"/>
      <c r="D277" s="9" t="n"/>
      <c r="E277" s="8" t="n"/>
      <c r="F277" s="9" t="n"/>
      <c r="G277" s="9" t="n"/>
      <c r="H277" s="3">
        <f>IF(AND(D277&lt;&gt;"",F277&lt;&gt;""),F277-D277-G277,"")</f>
        <v/>
      </c>
      <c r="I277" s="14">
        <f>IF(E277&lt;&gt;"", YEARFRAC(C277, E277) * 12, "")</f>
        <v/>
      </c>
      <c r="J277" s="2">
        <f>IF(I277="", "", IF(AND(A277="MF (Equity)", I277&gt;12), "Long Term", "Short Term"))</f>
        <v/>
      </c>
      <c r="K277" s="5">
        <f>IF(J277="", "", IF(J277="Long Term", 12.5%, 20%))</f>
        <v/>
      </c>
      <c r="L277" s="3">
        <f>+IFERROR(IF(J277="","",H277*K277),"")</f>
        <v/>
      </c>
    </row>
    <row r="278">
      <c r="A278" s="11" t="n"/>
      <c r="B278" s="7" t="n"/>
      <c r="C278" s="8" t="n"/>
      <c r="D278" s="9" t="n"/>
      <c r="E278" s="8" t="n"/>
      <c r="F278" s="9" t="n"/>
      <c r="G278" s="9" t="n"/>
      <c r="H278" s="3">
        <f>IF(AND(D278&lt;&gt;"",F278&lt;&gt;""),F278-D278-G278,"")</f>
        <v/>
      </c>
      <c r="I278" s="14">
        <f>IF(E278&lt;&gt;"", YEARFRAC(C278, E278) * 12, "")</f>
        <v/>
      </c>
      <c r="J278" s="2">
        <f>IF(I278="", "", IF(AND(A278="MF (Equity)", I278&gt;12), "Long Term", "Short Term"))</f>
        <v/>
      </c>
      <c r="K278" s="5">
        <f>IF(J278="", "", IF(J278="Long Term", 12.5%, 20%))</f>
        <v/>
      </c>
      <c r="L278" s="3">
        <f>+IFERROR(IF(J278="","",H278*K278),"")</f>
        <v/>
      </c>
    </row>
    <row r="279">
      <c r="A279" s="11" t="n"/>
      <c r="B279" s="7" t="n"/>
      <c r="C279" s="8" t="n"/>
      <c r="D279" s="9" t="n"/>
      <c r="E279" s="8" t="n"/>
      <c r="F279" s="9" t="n"/>
      <c r="G279" s="9" t="n"/>
      <c r="H279" s="3">
        <f>IF(AND(D279&lt;&gt;"",F279&lt;&gt;""),F279-D279-G279,"")</f>
        <v/>
      </c>
      <c r="I279" s="14">
        <f>IF(E279&lt;&gt;"", YEARFRAC(C279, E279) * 12, "")</f>
        <v/>
      </c>
      <c r="J279" s="2">
        <f>IF(I279="", "", IF(AND(A279="MF (Equity)", I279&gt;12), "Long Term", "Short Term"))</f>
        <v/>
      </c>
      <c r="K279" s="5">
        <f>IF(J279="", "", IF(J279="Long Term", 12.5%, 20%))</f>
        <v/>
      </c>
      <c r="L279" s="3">
        <f>+IFERROR(IF(J279="","",H279*K279),"")</f>
        <v/>
      </c>
    </row>
    <row r="280">
      <c r="A280" s="11" t="n"/>
      <c r="B280" s="7" t="n"/>
      <c r="C280" s="8" t="n"/>
      <c r="D280" s="9" t="n"/>
      <c r="E280" s="8" t="n"/>
      <c r="F280" s="9" t="n"/>
      <c r="G280" s="9" t="n"/>
      <c r="H280" s="3">
        <f>IF(AND(D280&lt;&gt;"",F280&lt;&gt;""),F280-D280-G280,"")</f>
        <v/>
      </c>
      <c r="I280" s="14">
        <f>IF(E280&lt;&gt;"", YEARFRAC(C280, E280) * 12, "")</f>
        <v/>
      </c>
      <c r="J280" s="2">
        <f>IF(I280="", "", IF(AND(A280="MF (Equity)", I280&gt;12), "Long Term", "Short Term"))</f>
        <v/>
      </c>
      <c r="K280" s="5">
        <f>IF(J280="", "", IF(J280="Long Term", 12.5%, 20%))</f>
        <v/>
      </c>
      <c r="L280" s="3">
        <f>+IFERROR(IF(J280="","",H280*K280),"")</f>
        <v/>
      </c>
    </row>
    <row r="281">
      <c r="A281" s="11" t="n"/>
      <c r="B281" s="7" t="n"/>
      <c r="C281" s="8" t="n"/>
      <c r="D281" s="9" t="n"/>
      <c r="E281" s="8" t="n"/>
      <c r="F281" s="9" t="n"/>
      <c r="G281" s="9" t="n"/>
      <c r="H281" s="3">
        <f>IF(AND(D281&lt;&gt;"",F281&lt;&gt;""),F281-D281-G281,"")</f>
        <v/>
      </c>
      <c r="I281" s="14">
        <f>IF(E281&lt;&gt;"", YEARFRAC(C281, E281) * 12, "")</f>
        <v/>
      </c>
      <c r="J281" s="2">
        <f>IF(I281="", "", IF(AND(A281="MF (Equity)", I281&gt;12), "Long Term", "Short Term"))</f>
        <v/>
      </c>
      <c r="K281" s="5">
        <f>IF(J281="", "", IF(J281="Long Term", 12.5%, 20%))</f>
        <v/>
      </c>
      <c r="L281" s="3">
        <f>+IFERROR(IF(J281="","",H281*K281),"")</f>
        <v/>
      </c>
    </row>
    <row r="282">
      <c r="A282" s="11" t="n"/>
      <c r="B282" s="7" t="n"/>
      <c r="C282" s="8" t="n"/>
      <c r="D282" s="9" t="n"/>
      <c r="E282" s="8" t="n"/>
      <c r="F282" s="9" t="n"/>
      <c r="G282" s="9" t="n"/>
      <c r="H282" s="3">
        <f>IF(AND(D282&lt;&gt;"",F282&lt;&gt;""),F282-D282-G282,"")</f>
        <v/>
      </c>
      <c r="I282" s="14">
        <f>IF(E282&lt;&gt;"", YEARFRAC(C282, E282) * 12, "")</f>
        <v/>
      </c>
      <c r="J282" s="2">
        <f>IF(I282="", "", IF(AND(A282="MF (Equity)", I282&gt;12), "Long Term", "Short Term"))</f>
        <v/>
      </c>
      <c r="K282" s="5">
        <f>IF(J282="", "", IF(J282="Long Term", 12.5%, 20%))</f>
        <v/>
      </c>
      <c r="L282" s="3">
        <f>+IFERROR(IF(J282="","",H282*K282),"")</f>
        <v/>
      </c>
    </row>
    <row r="283">
      <c r="A283" s="11" t="n"/>
      <c r="B283" s="7" t="n"/>
      <c r="C283" s="8" t="n"/>
      <c r="D283" s="9" t="n"/>
      <c r="E283" s="8" t="n"/>
      <c r="F283" s="9" t="n"/>
      <c r="G283" s="9" t="n"/>
      <c r="H283" s="3">
        <f>IF(AND(D283&lt;&gt;"",F283&lt;&gt;""),F283-D283-G283,"")</f>
        <v/>
      </c>
      <c r="I283" s="14">
        <f>IF(E283&lt;&gt;"", YEARFRAC(C283, E283) * 12, "")</f>
        <v/>
      </c>
      <c r="J283" s="2">
        <f>IF(I283="", "", IF(AND(A283="MF (Equity)", I283&gt;12), "Long Term", "Short Term"))</f>
        <v/>
      </c>
      <c r="K283" s="5">
        <f>IF(J283="", "", IF(J283="Long Term", 12.5%, 20%))</f>
        <v/>
      </c>
      <c r="L283" s="3">
        <f>+IFERROR(IF(J283="","",H283*K283),"")</f>
        <v/>
      </c>
    </row>
    <row r="284">
      <c r="A284" s="11" t="n"/>
      <c r="B284" s="7" t="n"/>
      <c r="C284" s="8" t="n"/>
      <c r="D284" s="9" t="n"/>
      <c r="E284" s="8" t="n"/>
      <c r="F284" s="9" t="n"/>
      <c r="G284" s="9" t="n"/>
      <c r="H284" s="3">
        <f>IF(AND(D284&lt;&gt;"",F284&lt;&gt;""),F284-D284-G284,"")</f>
        <v/>
      </c>
      <c r="I284" s="14">
        <f>IF(E284&lt;&gt;"", YEARFRAC(C284, E284) * 12, "")</f>
        <v/>
      </c>
      <c r="J284" s="2">
        <f>IF(I284="", "", IF(AND(A284="MF (Equity)", I284&gt;12), "Long Term", "Short Term"))</f>
        <v/>
      </c>
      <c r="K284" s="5">
        <f>IF(J284="", "", IF(J284="Long Term", 12.5%, 20%))</f>
        <v/>
      </c>
      <c r="L284" s="3">
        <f>+IFERROR(IF(J284="","",H284*K284),"")</f>
        <v/>
      </c>
    </row>
    <row r="285">
      <c r="A285" s="11" t="n"/>
      <c r="B285" s="7" t="n"/>
      <c r="C285" s="8" t="n"/>
      <c r="D285" s="9" t="n"/>
      <c r="E285" s="8" t="n"/>
      <c r="F285" s="9" t="n"/>
      <c r="G285" s="9" t="n"/>
      <c r="H285" s="3">
        <f>IF(AND(D285&lt;&gt;"",F285&lt;&gt;""),F285-D285-G285,"")</f>
        <v/>
      </c>
      <c r="I285" s="14">
        <f>IF(E285&lt;&gt;"", YEARFRAC(C285, E285) * 12, "")</f>
        <v/>
      </c>
      <c r="J285" s="2">
        <f>IF(I285="", "", IF(AND(A285="MF (Equity)", I285&gt;12), "Long Term", "Short Term"))</f>
        <v/>
      </c>
      <c r="K285" s="5">
        <f>IF(J285="", "", IF(J285="Long Term", 12.5%, 20%))</f>
        <v/>
      </c>
      <c r="L285" s="3">
        <f>+IFERROR(IF(J285="","",H285*K285),"")</f>
        <v/>
      </c>
    </row>
    <row r="286">
      <c r="A286" s="11" t="n"/>
      <c r="B286" s="7" t="n"/>
      <c r="C286" s="8" t="n"/>
      <c r="D286" s="9" t="n"/>
      <c r="E286" s="8" t="n"/>
      <c r="F286" s="9" t="n"/>
      <c r="G286" s="9" t="n"/>
      <c r="H286" s="3">
        <f>IF(AND(D286&lt;&gt;"",F286&lt;&gt;""),F286-D286-G286,"")</f>
        <v/>
      </c>
      <c r="I286" s="14">
        <f>IF(E286&lt;&gt;"", YEARFRAC(C286, E286) * 12, "")</f>
        <v/>
      </c>
      <c r="J286" s="2">
        <f>IF(I286="", "", IF(AND(A286="MF (Equity)", I286&gt;12), "Long Term", "Short Term"))</f>
        <v/>
      </c>
      <c r="K286" s="5">
        <f>IF(J286="", "", IF(J286="Long Term", 12.5%, 20%))</f>
        <v/>
      </c>
      <c r="L286" s="3">
        <f>+IFERROR(IF(J286="","",H286*K286),"")</f>
        <v/>
      </c>
    </row>
    <row r="287">
      <c r="A287" s="11" t="n"/>
      <c r="B287" s="7" t="n"/>
      <c r="C287" s="8" t="n"/>
      <c r="D287" s="9" t="n"/>
      <c r="E287" s="8" t="n"/>
      <c r="F287" s="9" t="n"/>
      <c r="G287" s="9" t="n"/>
      <c r="H287" s="3">
        <f>IF(AND(D287&lt;&gt;"",F287&lt;&gt;""),F287-D287-G287,"")</f>
        <v/>
      </c>
      <c r="I287" s="14">
        <f>IF(E287&lt;&gt;"", YEARFRAC(C287, E287) * 12, "")</f>
        <v/>
      </c>
      <c r="J287" s="2">
        <f>IF(I287="", "", IF(AND(A287="MF (Equity)", I287&gt;12), "Long Term", "Short Term"))</f>
        <v/>
      </c>
      <c r="K287" s="5">
        <f>IF(J287="", "", IF(J287="Long Term", 12.5%, 20%))</f>
        <v/>
      </c>
      <c r="L287" s="3">
        <f>+IFERROR(IF(J287="","",H287*K287),"")</f>
        <v/>
      </c>
    </row>
    <row r="288">
      <c r="A288" s="11" t="n"/>
      <c r="B288" s="7" t="n"/>
      <c r="C288" s="8" t="n"/>
      <c r="D288" s="9" t="n"/>
      <c r="E288" s="8" t="n"/>
      <c r="F288" s="9" t="n"/>
      <c r="G288" s="9" t="n"/>
      <c r="H288" s="3">
        <f>IF(AND(D288&lt;&gt;"",F288&lt;&gt;""),F288-D288-G288,"")</f>
        <v/>
      </c>
      <c r="I288" s="14">
        <f>IF(E288&lt;&gt;"", YEARFRAC(C288, E288) * 12, "")</f>
        <v/>
      </c>
      <c r="J288" s="2">
        <f>IF(I288="", "", IF(AND(A288="MF (Equity)", I288&gt;12), "Long Term", "Short Term"))</f>
        <v/>
      </c>
      <c r="K288" s="5">
        <f>IF(J288="", "", IF(J288="Long Term", 12.5%, 20%))</f>
        <v/>
      </c>
      <c r="L288" s="3">
        <f>+IFERROR(IF(J288="","",H288*K288),"")</f>
        <v/>
      </c>
    </row>
    <row r="289">
      <c r="A289" s="11" t="n"/>
      <c r="B289" s="7" t="n"/>
      <c r="C289" s="8" t="n"/>
      <c r="D289" s="9" t="n"/>
      <c r="E289" s="8" t="n"/>
      <c r="F289" s="9" t="n"/>
      <c r="G289" s="9" t="n"/>
      <c r="H289" s="3">
        <f>IF(AND(D289&lt;&gt;"",F289&lt;&gt;""),F289-D289-G289,"")</f>
        <v/>
      </c>
      <c r="I289" s="14">
        <f>IF(E289&lt;&gt;"", YEARFRAC(C289, E289) * 12, "")</f>
        <v/>
      </c>
      <c r="J289" s="2">
        <f>IF(I289="", "", IF(AND(A289="MF (Equity)", I289&gt;12), "Long Term", "Short Term"))</f>
        <v/>
      </c>
      <c r="K289" s="5">
        <f>IF(J289="", "", IF(J289="Long Term", 12.5%, 20%))</f>
        <v/>
      </c>
      <c r="L289" s="3">
        <f>+IFERROR(IF(J289="","",H289*K289),"")</f>
        <v/>
      </c>
    </row>
    <row r="290">
      <c r="A290" s="11" t="n"/>
      <c r="B290" s="7" t="n"/>
      <c r="C290" s="8" t="n"/>
      <c r="D290" s="9" t="n"/>
      <c r="E290" s="8" t="n"/>
      <c r="F290" s="9" t="n"/>
      <c r="G290" s="9" t="n"/>
      <c r="H290" s="3">
        <f>IF(AND(D290&lt;&gt;"",F290&lt;&gt;""),F290-D290-G290,"")</f>
        <v/>
      </c>
      <c r="I290" s="14">
        <f>IF(E290&lt;&gt;"", YEARFRAC(C290, E290) * 12, "")</f>
        <v/>
      </c>
      <c r="J290" s="2">
        <f>IF(I290="", "", IF(AND(A290="MF (Equity)", I290&gt;12), "Long Term", "Short Term"))</f>
        <v/>
      </c>
      <c r="K290" s="5">
        <f>IF(J290="", "", IF(J290="Long Term", 12.5%, 20%))</f>
        <v/>
      </c>
      <c r="L290" s="3">
        <f>+IFERROR(IF(J290="","",H290*K290),"")</f>
        <v/>
      </c>
    </row>
    <row r="291">
      <c r="A291" s="11" t="n"/>
      <c r="B291" s="7" t="n"/>
      <c r="C291" s="8" t="n"/>
      <c r="D291" s="9" t="n"/>
      <c r="E291" s="8" t="n"/>
      <c r="F291" s="9" t="n"/>
      <c r="G291" s="9" t="n"/>
      <c r="H291" s="3">
        <f>IF(AND(D291&lt;&gt;"",F291&lt;&gt;""),F291-D291-G291,"")</f>
        <v/>
      </c>
      <c r="I291" s="14">
        <f>IF(E291&lt;&gt;"", YEARFRAC(C291, E291) * 12, "")</f>
        <v/>
      </c>
      <c r="J291" s="2">
        <f>IF(I291="", "", IF(AND(A291="MF (Equity)", I291&gt;12), "Long Term", "Short Term"))</f>
        <v/>
      </c>
      <c r="K291" s="5">
        <f>IF(J291="", "", IF(J291="Long Term", 12.5%, 20%))</f>
        <v/>
      </c>
      <c r="L291" s="3">
        <f>+IFERROR(IF(J291="","",H291*K291),"")</f>
        <v/>
      </c>
    </row>
    <row r="292">
      <c r="A292" s="11" t="n"/>
      <c r="B292" s="7" t="n"/>
      <c r="C292" s="8" t="n"/>
      <c r="D292" s="9" t="n"/>
      <c r="E292" s="8" t="n"/>
      <c r="F292" s="9" t="n"/>
      <c r="G292" s="9" t="n"/>
      <c r="H292" s="3">
        <f>IF(AND(D292&lt;&gt;"",F292&lt;&gt;""),F292-D292-G292,"")</f>
        <v/>
      </c>
      <c r="I292" s="14">
        <f>IF(E292&lt;&gt;"", YEARFRAC(C292, E292) * 12, "")</f>
        <v/>
      </c>
      <c r="J292" s="2">
        <f>IF(I292="", "", IF(AND(A292="MF (Equity)", I292&gt;12), "Long Term", "Short Term"))</f>
        <v/>
      </c>
      <c r="K292" s="5">
        <f>IF(J292="", "", IF(J292="Long Term", 12.5%, 20%))</f>
        <v/>
      </c>
      <c r="L292" s="3">
        <f>+IFERROR(IF(J292="","",H292*K292),"")</f>
        <v/>
      </c>
    </row>
    <row r="293">
      <c r="A293" s="11" t="n"/>
      <c r="B293" s="7" t="n"/>
      <c r="C293" s="8" t="n"/>
      <c r="D293" s="9" t="n"/>
      <c r="E293" s="8" t="n"/>
      <c r="F293" s="9" t="n"/>
      <c r="G293" s="9" t="n"/>
      <c r="H293" s="3">
        <f>IF(AND(D293&lt;&gt;"",F293&lt;&gt;""),F293-D293-G293,"")</f>
        <v/>
      </c>
      <c r="I293" s="14">
        <f>IF(E293&lt;&gt;"", YEARFRAC(C293, E293) * 12, "")</f>
        <v/>
      </c>
      <c r="J293" s="2">
        <f>IF(I293="", "", IF(AND(A293="MF (Equity)", I293&gt;12), "Long Term", "Short Term"))</f>
        <v/>
      </c>
      <c r="K293" s="5">
        <f>IF(J293="", "", IF(J293="Long Term", 12.5%, 20%))</f>
        <v/>
      </c>
      <c r="L293" s="3">
        <f>+IFERROR(IF(J293="","",H293*K293),"")</f>
        <v/>
      </c>
    </row>
    <row r="294">
      <c r="A294" s="11" t="n"/>
      <c r="B294" s="7" t="n"/>
      <c r="C294" s="8" t="n"/>
      <c r="D294" s="9" t="n"/>
      <c r="E294" s="8" t="n"/>
      <c r="F294" s="9" t="n"/>
      <c r="G294" s="9" t="n"/>
      <c r="H294" s="3">
        <f>IF(AND(D294&lt;&gt;"",F294&lt;&gt;""),F294-D294-G294,"")</f>
        <v/>
      </c>
      <c r="I294" s="14">
        <f>IF(E294&lt;&gt;"", YEARFRAC(C294, E294) * 12, "")</f>
        <v/>
      </c>
      <c r="J294" s="2">
        <f>IF(I294="", "", IF(AND(A294="MF (Equity)", I294&gt;12), "Long Term", "Short Term"))</f>
        <v/>
      </c>
      <c r="K294" s="5">
        <f>IF(J294="", "", IF(J294="Long Term", 12.5%, 20%))</f>
        <v/>
      </c>
      <c r="L294" s="3">
        <f>+IFERROR(IF(J294="","",H294*K294),"")</f>
        <v/>
      </c>
    </row>
    <row r="295">
      <c r="A295" s="11" t="n"/>
      <c r="B295" s="7" t="n"/>
      <c r="C295" s="8" t="n"/>
      <c r="D295" s="9" t="n"/>
      <c r="E295" s="8" t="n"/>
      <c r="F295" s="9" t="n"/>
      <c r="G295" s="9" t="n"/>
      <c r="H295" s="3">
        <f>IF(AND(D295&lt;&gt;"",F295&lt;&gt;""),F295-D295-G295,"")</f>
        <v/>
      </c>
      <c r="I295" s="14">
        <f>IF(E295&lt;&gt;"", YEARFRAC(C295, E295) * 12, "")</f>
        <v/>
      </c>
      <c r="J295" s="2">
        <f>IF(I295="", "", IF(AND(A295="MF (Equity)", I295&gt;12), "Long Term", "Short Term"))</f>
        <v/>
      </c>
      <c r="K295" s="5">
        <f>IF(J295="", "", IF(J295="Long Term", 12.5%, 20%))</f>
        <v/>
      </c>
      <c r="L295" s="3">
        <f>+IFERROR(IF(J295="","",H295*K295),"")</f>
        <v/>
      </c>
    </row>
    <row r="296">
      <c r="A296" s="11" t="n"/>
      <c r="B296" s="7" t="n"/>
      <c r="C296" s="8" t="n"/>
      <c r="D296" s="9" t="n"/>
      <c r="E296" s="8" t="n"/>
      <c r="F296" s="9" t="n"/>
      <c r="G296" s="9" t="n"/>
      <c r="H296" s="3">
        <f>IF(AND(D296&lt;&gt;"",F296&lt;&gt;""),F296-D296-G296,"")</f>
        <v/>
      </c>
      <c r="I296" s="14">
        <f>IF(E296&lt;&gt;"", YEARFRAC(C296, E296) * 12, "")</f>
        <v/>
      </c>
      <c r="J296" s="2">
        <f>IF(I296="", "", IF(AND(A296="MF (Equity)", I296&gt;12), "Long Term", "Short Term"))</f>
        <v/>
      </c>
      <c r="K296" s="5">
        <f>IF(J296="", "", IF(J296="Long Term", 12.5%, 20%))</f>
        <v/>
      </c>
      <c r="L296" s="3">
        <f>+IFERROR(IF(J296="","",H296*K296),"")</f>
        <v/>
      </c>
    </row>
    <row r="297">
      <c r="A297" s="11" t="n"/>
      <c r="B297" s="7" t="n"/>
      <c r="C297" s="8" t="n"/>
      <c r="D297" s="9" t="n"/>
      <c r="E297" s="8" t="n"/>
      <c r="F297" s="9" t="n"/>
      <c r="G297" s="9" t="n"/>
      <c r="H297" s="3">
        <f>IF(AND(D297&lt;&gt;"",F297&lt;&gt;""),F297-D297-G297,"")</f>
        <v/>
      </c>
      <c r="I297" s="14">
        <f>IF(E297&lt;&gt;"", YEARFRAC(C297, E297) * 12, "")</f>
        <v/>
      </c>
      <c r="J297" s="2">
        <f>IF(I297="", "", IF(AND(A297="MF (Equity)", I297&gt;12), "Long Term", "Short Term"))</f>
        <v/>
      </c>
      <c r="K297" s="5">
        <f>IF(J297="", "", IF(J297="Long Term", 12.5%, 20%))</f>
        <v/>
      </c>
      <c r="L297" s="3">
        <f>+IFERROR(IF(J297="","",H297*K297),"")</f>
        <v/>
      </c>
    </row>
    <row r="298">
      <c r="A298" s="11" t="n"/>
      <c r="B298" s="7" t="n"/>
      <c r="C298" s="8" t="n"/>
      <c r="D298" s="9" t="n"/>
      <c r="E298" s="8" t="n"/>
      <c r="F298" s="9" t="n"/>
      <c r="G298" s="9" t="n"/>
      <c r="H298" s="3">
        <f>IF(AND(D298&lt;&gt;"",F298&lt;&gt;""),F298-D298-G298,"")</f>
        <v/>
      </c>
      <c r="I298" s="14">
        <f>IF(E298&lt;&gt;"", YEARFRAC(C298, E298) * 12, "")</f>
        <v/>
      </c>
      <c r="J298" s="2">
        <f>IF(I298="", "", IF(AND(A298="MF (Equity)", I298&gt;12), "Long Term", "Short Term"))</f>
        <v/>
      </c>
      <c r="K298" s="5">
        <f>IF(J298="", "", IF(J298="Long Term", 12.5%, 20%))</f>
        <v/>
      </c>
      <c r="L298" s="3">
        <f>+IFERROR(IF(J298="","",H298*K298),"")</f>
        <v/>
      </c>
    </row>
    <row r="299">
      <c r="A299" s="11" t="n"/>
      <c r="B299" s="7" t="n"/>
      <c r="C299" s="8" t="n"/>
      <c r="D299" s="9" t="n"/>
      <c r="E299" s="8" t="n"/>
      <c r="F299" s="9" t="n"/>
      <c r="G299" s="9" t="n"/>
      <c r="H299" s="3">
        <f>IF(AND(D299&lt;&gt;"",F299&lt;&gt;""),F299-D299-G299,"")</f>
        <v/>
      </c>
      <c r="I299" s="14">
        <f>IF(E299&lt;&gt;"", YEARFRAC(C299, E299) * 12, "")</f>
        <v/>
      </c>
      <c r="J299" s="2">
        <f>IF(I299="", "", IF(AND(A299="MF (Equity)", I299&gt;12), "Long Term", "Short Term"))</f>
        <v/>
      </c>
      <c r="K299" s="5">
        <f>IF(J299="", "", IF(J299="Long Term", 12.5%, 20%))</f>
        <v/>
      </c>
      <c r="L299" s="3">
        <f>+IFERROR(IF(J299="","",H299*K299),"")</f>
        <v/>
      </c>
    </row>
    <row r="300">
      <c r="A300" s="11" t="n"/>
      <c r="B300" s="7" t="n"/>
      <c r="C300" s="8" t="n"/>
      <c r="D300" s="9" t="n"/>
      <c r="E300" s="8" t="n"/>
      <c r="F300" s="9" t="n"/>
      <c r="G300" s="9" t="n"/>
      <c r="H300" s="3">
        <f>IF(AND(D300&lt;&gt;"",F300&lt;&gt;""),F300-D300-G300,"")</f>
        <v/>
      </c>
      <c r="I300" s="14">
        <f>IF(E300&lt;&gt;"", YEARFRAC(C300, E300) * 12, "")</f>
        <v/>
      </c>
      <c r="J300" s="2">
        <f>IF(I300="", "", IF(AND(A300="MF (Equity)", I300&gt;12), "Long Term", "Short Term"))</f>
        <v/>
      </c>
      <c r="K300" s="5">
        <f>IF(J300="", "", IF(J300="Long Term", 12.5%, 20%))</f>
        <v/>
      </c>
      <c r="L300" s="3">
        <f>+IFERROR(IF(J300="","",H300*K300),"")</f>
        <v/>
      </c>
    </row>
    <row r="301">
      <c r="A301" s="11" t="n"/>
      <c r="B301" s="7" t="n"/>
      <c r="C301" s="8" t="n"/>
      <c r="D301" s="9" t="n"/>
      <c r="E301" s="8" t="n"/>
      <c r="F301" s="9" t="n"/>
      <c r="G301" s="9" t="n"/>
      <c r="H301" s="3">
        <f>IF(AND(D301&lt;&gt;"",F301&lt;&gt;""),F301-D301-G301,"")</f>
        <v/>
      </c>
      <c r="I301" s="14">
        <f>IF(E301&lt;&gt;"", YEARFRAC(C301, E301) * 12, "")</f>
        <v/>
      </c>
      <c r="J301" s="2">
        <f>IF(I301="", "", IF(AND(A301="MF (Equity)", I301&gt;12), "Long Term", "Short Term"))</f>
        <v/>
      </c>
      <c r="K301" s="5">
        <f>IF(J301="", "", IF(J301="Long Term", 12.5%, 20%))</f>
        <v/>
      </c>
      <c r="L301" s="3">
        <f>+IFERROR(IF(J301="","",H301*K301),"")</f>
        <v/>
      </c>
    </row>
    <row r="302">
      <c r="A302" s="11" t="n"/>
      <c r="B302" s="7" t="n"/>
      <c r="C302" s="8" t="n"/>
      <c r="D302" s="9" t="n"/>
      <c r="E302" s="8" t="n"/>
      <c r="F302" s="9" t="n"/>
      <c r="G302" s="9" t="n"/>
      <c r="H302" s="3">
        <f>IF(AND(D302&lt;&gt;"",F302&lt;&gt;""),F302-D302-G302,"")</f>
        <v/>
      </c>
      <c r="I302" s="14">
        <f>IF(E302&lt;&gt;"", YEARFRAC(C302, E302) * 12, "")</f>
        <v/>
      </c>
      <c r="J302" s="2">
        <f>IF(I302="", "", IF(AND(A302="MF (Equity)", I302&gt;12), "Long Term", "Short Term"))</f>
        <v/>
      </c>
      <c r="K302" s="5">
        <f>IF(J302="", "", IF(J302="Long Term", 12.5%, 20%))</f>
        <v/>
      </c>
      <c r="L302" s="3">
        <f>+IFERROR(IF(J302="","",H302*K302),"")</f>
        <v/>
      </c>
    </row>
    <row r="303">
      <c r="A303" s="11" t="n"/>
      <c r="B303" s="7" t="n"/>
      <c r="C303" s="8" t="n"/>
      <c r="D303" s="9" t="n"/>
      <c r="E303" s="8" t="n"/>
      <c r="F303" s="9" t="n"/>
      <c r="G303" s="9" t="n"/>
      <c r="H303" s="3">
        <f>IF(AND(D303&lt;&gt;"",F303&lt;&gt;""),F303-D303-G303,"")</f>
        <v/>
      </c>
      <c r="I303" s="14">
        <f>IF(E303&lt;&gt;"", YEARFRAC(C303, E303) * 12, "")</f>
        <v/>
      </c>
      <c r="J303" s="2">
        <f>IF(I303="", "", IF(AND(A303="MF (Equity)", I303&gt;12), "Long Term", "Short Term"))</f>
        <v/>
      </c>
      <c r="K303" s="5">
        <f>IF(J303="", "", IF(J303="Long Term", 12.5%, 20%))</f>
        <v/>
      </c>
      <c r="L303" s="3">
        <f>+IFERROR(IF(J303="","",H303*K303),"")</f>
        <v/>
      </c>
    </row>
    <row r="304">
      <c r="A304" s="11" t="n"/>
      <c r="B304" s="7" t="n"/>
      <c r="C304" s="8" t="n"/>
      <c r="D304" s="9" t="n"/>
      <c r="E304" s="8" t="n"/>
      <c r="F304" s="9" t="n"/>
      <c r="G304" s="9" t="n"/>
      <c r="H304" s="3">
        <f>IF(AND(D304&lt;&gt;"",F304&lt;&gt;""),F304-D304-G304,"")</f>
        <v/>
      </c>
      <c r="I304" s="14">
        <f>IF(E304&lt;&gt;"", YEARFRAC(C304, E304) * 12, "")</f>
        <v/>
      </c>
      <c r="J304" s="2">
        <f>IF(I304="", "", IF(AND(A304="MF (Equity)", I304&gt;12), "Long Term", "Short Term"))</f>
        <v/>
      </c>
      <c r="K304" s="5">
        <f>IF(J304="", "", IF(J304="Long Term", 12.5%, 20%))</f>
        <v/>
      </c>
      <c r="L304" s="3">
        <f>+IFERROR(IF(J304="","",H304*K304),"")</f>
        <v/>
      </c>
    </row>
    <row r="305">
      <c r="A305" s="11" t="n"/>
      <c r="B305" s="7" t="n"/>
      <c r="C305" s="8" t="n"/>
      <c r="D305" s="9" t="n"/>
      <c r="E305" s="8" t="n"/>
      <c r="F305" s="9" t="n"/>
      <c r="G305" s="9" t="n"/>
      <c r="H305" s="3">
        <f>IF(AND(D305&lt;&gt;"",F305&lt;&gt;""),F305-D305-G305,"")</f>
        <v/>
      </c>
      <c r="I305" s="14">
        <f>IF(E305&lt;&gt;"", YEARFRAC(C305, E305) * 12, "")</f>
        <v/>
      </c>
      <c r="J305" s="2">
        <f>IF(I305="", "", IF(AND(A305="MF (Equity)", I305&gt;12), "Long Term", "Short Term"))</f>
        <v/>
      </c>
      <c r="K305" s="5">
        <f>IF(J305="", "", IF(J305="Long Term", 12.5%, 20%))</f>
        <v/>
      </c>
      <c r="L305" s="3">
        <f>+IFERROR(IF(J305="","",H305*K305),"")</f>
        <v/>
      </c>
    </row>
    <row r="306">
      <c r="A306" s="11" t="n"/>
      <c r="B306" s="7" t="n"/>
      <c r="C306" s="8" t="n"/>
      <c r="D306" s="9" t="n"/>
      <c r="E306" s="8" t="n"/>
      <c r="F306" s="9" t="n"/>
      <c r="G306" s="9" t="n"/>
      <c r="H306" s="3">
        <f>IF(AND(D306&lt;&gt;"",F306&lt;&gt;""),F306-D306-G306,"")</f>
        <v/>
      </c>
      <c r="I306" s="14">
        <f>IF(E306&lt;&gt;"", YEARFRAC(C306, E306) * 12, "")</f>
        <v/>
      </c>
      <c r="J306" s="2">
        <f>IF(I306="", "", IF(AND(A306="MF (Equity)", I306&gt;12), "Long Term", "Short Term"))</f>
        <v/>
      </c>
      <c r="K306" s="5">
        <f>IF(J306="", "", IF(J306="Long Term", 12.5%, 20%))</f>
        <v/>
      </c>
      <c r="L306" s="3">
        <f>+IFERROR(IF(J306="","",H306*K306),"")</f>
        <v/>
      </c>
    </row>
    <row r="307">
      <c r="A307" s="11" t="n"/>
      <c r="B307" s="7" t="n"/>
      <c r="C307" s="8" t="n"/>
      <c r="D307" s="9" t="n"/>
      <c r="E307" s="8" t="n"/>
      <c r="F307" s="9" t="n"/>
      <c r="G307" s="9" t="n"/>
      <c r="H307" s="3">
        <f>IF(AND(D307&lt;&gt;"",F307&lt;&gt;""),F307-D307-G307,"")</f>
        <v/>
      </c>
      <c r="I307" s="14">
        <f>IF(E307&lt;&gt;"", YEARFRAC(C307, E307) * 12, "")</f>
        <v/>
      </c>
      <c r="J307" s="2">
        <f>IF(I307="", "", IF(AND(A307="MF (Equity)", I307&gt;12), "Long Term", "Short Term"))</f>
        <v/>
      </c>
      <c r="K307" s="5">
        <f>IF(J307="", "", IF(J307="Long Term", 12.5%, 20%))</f>
        <v/>
      </c>
      <c r="L307" s="3">
        <f>+IFERROR(IF(J307="","",H307*K307),"")</f>
        <v/>
      </c>
    </row>
    <row r="308">
      <c r="A308" s="11" t="n"/>
      <c r="B308" s="7" t="n"/>
      <c r="C308" s="8" t="n"/>
      <c r="D308" s="9" t="n"/>
      <c r="E308" s="8" t="n"/>
      <c r="F308" s="9" t="n"/>
      <c r="G308" s="9" t="n"/>
      <c r="H308" s="3">
        <f>IF(AND(D308&lt;&gt;"",F308&lt;&gt;""),F308-D308-G308,"")</f>
        <v/>
      </c>
      <c r="I308" s="14">
        <f>IF(E308&lt;&gt;"", YEARFRAC(C308, E308) * 12, "")</f>
        <v/>
      </c>
      <c r="J308" s="2">
        <f>IF(I308="", "", IF(AND(A308="MF (Equity)", I308&gt;12), "Long Term", "Short Term"))</f>
        <v/>
      </c>
      <c r="K308" s="5">
        <f>IF(J308="", "", IF(J308="Long Term", 12.5%, 20%))</f>
        <v/>
      </c>
      <c r="L308" s="3">
        <f>+IFERROR(IF(J308="","",H308*K308),"")</f>
        <v/>
      </c>
    </row>
    <row r="309">
      <c r="A309" s="11" t="n"/>
      <c r="B309" s="7" t="n"/>
      <c r="C309" s="8" t="n"/>
      <c r="D309" s="9" t="n"/>
      <c r="E309" s="8" t="n"/>
      <c r="F309" s="9" t="n"/>
      <c r="G309" s="9" t="n"/>
      <c r="H309" s="3">
        <f>IF(AND(D309&lt;&gt;"",F309&lt;&gt;""),F309-D309-G309,"")</f>
        <v/>
      </c>
      <c r="I309" s="14">
        <f>IF(E309&lt;&gt;"", YEARFRAC(C309, E309) * 12, "")</f>
        <v/>
      </c>
      <c r="J309" s="2">
        <f>IF(I309="", "", IF(AND(A309="MF (Equity)", I309&gt;12), "Long Term", "Short Term"))</f>
        <v/>
      </c>
      <c r="K309" s="5">
        <f>IF(J309="", "", IF(J309="Long Term", 12.5%, 20%))</f>
        <v/>
      </c>
      <c r="L309" s="3">
        <f>+IFERROR(IF(J309="","",H309*K309),"")</f>
        <v/>
      </c>
    </row>
    <row r="310">
      <c r="A310" s="11" t="n"/>
      <c r="B310" s="7" t="n"/>
      <c r="C310" s="8" t="n"/>
      <c r="D310" s="9" t="n"/>
      <c r="E310" s="8" t="n"/>
      <c r="F310" s="9" t="n"/>
      <c r="G310" s="9" t="n"/>
      <c r="H310" s="3">
        <f>IF(AND(D310&lt;&gt;"",F310&lt;&gt;""),F310-D310-G310,"")</f>
        <v/>
      </c>
      <c r="I310" s="14">
        <f>IF(E310&lt;&gt;"", YEARFRAC(C310, E310) * 12, "")</f>
        <v/>
      </c>
      <c r="J310" s="2">
        <f>IF(I310="", "", IF(AND(A310="MF (Equity)", I310&gt;12), "Long Term", "Short Term"))</f>
        <v/>
      </c>
      <c r="K310" s="5">
        <f>IF(J310="", "", IF(J310="Long Term", 12.5%, 20%))</f>
        <v/>
      </c>
      <c r="L310" s="3">
        <f>+IFERROR(IF(J310="","",H310*K310),"")</f>
        <v/>
      </c>
    </row>
    <row r="311">
      <c r="A311" s="11" t="n"/>
      <c r="B311" s="7" t="n"/>
      <c r="C311" s="8" t="n"/>
      <c r="D311" s="9" t="n"/>
      <c r="E311" s="8" t="n"/>
      <c r="F311" s="9" t="n"/>
      <c r="G311" s="9" t="n"/>
      <c r="H311" s="3">
        <f>IF(AND(D311&lt;&gt;"",F311&lt;&gt;""),F311-D311-G311,"")</f>
        <v/>
      </c>
      <c r="I311" s="14">
        <f>IF(E311&lt;&gt;"", YEARFRAC(C311, E311) * 12, "")</f>
        <v/>
      </c>
      <c r="J311" s="2">
        <f>IF(I311="", "", IF(AND(A311="MF (Equity)", I311&gt;12), "Long Term", "Short Term"))</f>
        <v/>
      </c>
      <c r="K311" s="5">
        <f>IF(J311="", "", IF(J311="Long Term", 12.5%, 20%))</f>
        <v/>
      </c>
      <c r="L311" s="3">
        <f>+IFERROR(IF(J311="","",H311*K311),"")</f>
        <v/>
      </c>
    </row>
    <row r="312">
      <c r="A312" s="11" t="n"/>
      <c r="B312" s="7" t="n"/>
      <c r="C312" s="8" t="n"/>
      <c r="D312" s="9" t="n"/>
      <c r="E312" s="8" t="n"/>
      <c r="F312" s="9" t="n"/>
      <c r="G312" s="9" t="n"/>
      <c r="H312" s="3">
        <f>IF(AND(D312&lt;&gt;"",F312&lt;&gt;""),F312-D312-G312,"")</f>
        <v/>
      </c>
      <c r="I312" s="14">
        <f>IF(E312&lt;&gt;"", YEARFRAC(C312, E312) * 12, "")</f>
        <v/>
      </c>
      <c r="J312" s="2">
        <f>IF(I312="", "", IF(AND(A312="MF (Equity)", I312&gt;12), "Long Term", "Short Term"))</f>
        <v/>
      </c>
      <c r="K312" s="5">
        <f>IF(J312="", "", IF(J312="Long Term", 12.5%, 20%))</f>
        <v/>
      </c>
      <c r="L312" s="3">
        <f>+IFERROR(IF(J312="","",H312*K312),"")</f>
        <v/>
      </c>
    </row>
    <row r="313">
      <c r="A313" s="11" t="n"/>
      <c r="B313" s="7" t="n"/>
      <c r="C313" s="8" t="n"/>
      <c r="D313" s="9" t="n"/>
      <c r="E313" s="8" t="n"/>
      <c r="F313" s="9" t="n"/>
      <c r="G313" s="9" t="n"/>
      <c r="H313" s="3">
        <f>IF(AND(D313&lt;&gt;"",F313&lt;&gt;""),F313-D313-G313,"")</f>
        <v/>
      </c>
      <c r="I313" s="14">
        <f>IF(E313&lt;&gt;"", YEARFRAC(C313, E313) * 12, "")</f>
        <v/>
      </c>
      <c r="J313" s="2">
        <f>IF(I313="", "", IF(AND(A313="MF (Equity)", I313&gt;12), "Long Term", "Short Term"))</f>
        <v/>
      </c>
      <c r="K313" s="5">
        <f>IF(J313="", "", IF(J313="Long Term", 12.5%, 20%))</f>
        <v/>
      </c>
      <c r="L313" s="3">
        <f>+IFERROR(IF(J313="","",H313*K313),"")</f>
        <v/>
      </c>
    </row>
    <row r="314">
      <c r="A314" s="11" t="n"/>
      <c r="B314" s="7" t="n"/>
      <c r="C314" s="8" t="n"/>
      <c r="D314" s="9" t="n"/>
      <c r="E314" s="8" t="n"/>
      <c r="F314" s="9" t="n"/>
      <c r="G314" s="9" t="n"/>
      <c r="H314" s="3">
        <f>IF(AND(D314&lt;&gt;"",F314&lt;&gt;""),F314-D314-G314,"")</f>
        <v/>
      </c>
      <c r="I314" s="14">
        <f>IF(E314&lt;&gt;"", YEARFRAC(C314, E314) * 12, "")</f>
        <v/>
      </c>
      <c r="J314" s="2">
        <f>IF(I314="", "", IF(AND(A314="MF (Equity)", I314&gt;12), "Long Term", "Short Term"))</f>
        <v/>
      </c>
      <c r="K314" s="5">
        <f>IF(J314="", "", IF(J314="Long Term", 12.5%, 20%))</f>
        <v/>
      </c>
      <c r="L314" s="3">
        <f>+IFERROR(IF(J314="","",H314*K314),"")</f>
        <v/>
      </c>
    </row>
    <row r="315">
      <c r="A315" s="11" t="n"/>
      <c r="B315" s="7" t="n"/>
      <c r="C315" s="8" t="n"/>
      <c r="D315" s="9" t="n"/>
      <c r="E315" s="8" t="n"/>
      <c r="F315" s="9" t="n"/>
      <c r="G315" s="9" t="n"/>
      <c r="H315" s="3">
        <f>IF(AND(D315&lt;&gt;"",F315&lt;&gt;""),F315-D315-G315,"")</f>
        <v/>
      </c>
      <c r="I315" s="14">
        <f>IF(E315&lt;&gt;"", YEARFRAC(C315, E315) * 12, "")</f>
        <v/>
      </c>
      <c r="J315" s="2">
        <f>IF(I315="", "", IF(AND(A315="MF (Equity)", I315&gt;12), "Long Term", "Short Term"))</f>
        <v/>
      </c>
      <c r="K315" s="5">
        <f>IF(J315="", "", IF(J315="Long Term", 12.5%, 20%))</f>
        <v/>
      </c>
      <c r="L315" s="3">
        <f>+IFERROR(IF(J315="","",H315*K315),"")</f>
        <v/>
      </c>
    </row>
    <row r="316">
      <c r="A316" s="11" t="n"/>
      <c r="B316" s="7" t="n"/>
      <c r="C316" s="8" t="n"/>
      <c r="D316" s="9" t="n"/>
      <c r="E316" s="8" t="n"/>
      <c r="F316" s="9" t="n"/>
      <c r="G316" s="9" t="n"/>
      <c r="H316" s="3">
        <f>IF(AND(D316&lt;&gt;"",F316&lt;&gt;""),F316-D316-G316,"")</f>
        <v/>
      </c>
      <c r="I316" s="14">
        <f>IF(E316&lt;&gt;"", YEARFRAC(C316, E316) * 12, "")</f>
        <v/>
      </c>
      <c r="J316" s="2">
        <f>IF(I316="", "", IF(AND(A316="MF (Equity)", I316&gt;12), "Long Term", "Short Term"))</f>
        <v/>
      </c>
      <c r="K316" s="5">
        <f>IF(J316="", "", IF(J316="Long Term", 12.5%, 20%))</f>
        <v/>
      </c>
      <c r="L316" s="3">
        <f>+IFERROR(IF(J316="","",H316*K316),"")</f>
        <v/>
      </c>
    </row>
    <row r="317">
      <c r="A317" s="11" t="n"/>
      <c r="B317" s="7" t="n"/>
      <c r="C317" s="8" t="n"/>
      <c r="D317" s="9" t="n"/>
      <c r="E317" s="8" t="n"/>
      <c r="F317" s="9" t="n"/>
      <c r="G317" s="9" t="n"/>
      <c r="H317" s="3">
        <f>IF(AND(D317&lt;&gt;"",F317&lt;&gt;""),F317-D317-G317,"")</f>
        <v/>
      </c>
      <c r="I317" s="14">
        <f>IF(E317&lt;&gt;"", YEARFRAC(C317, E317) * 12, "")</f>
        <v/>
      </c>
      <c r="J317" s="2">
        <f>IF(I317="", "", IF(AND(A317="MF (Equity)", I317&gt;12), "Long Term", "Short Term"))</f>
        <v/>
      </c>
      <c r="K317" s="5">
        <f>IF(J317="", "", IF(J317="Long Term", 12.5%, 20%))</f>
        <v/>
      </c>
      <c r="L317" s="3">
        <f>+IFERROR(IF(J317="","",H317*K317),"")</f>
        <v/>
      </c>
    </row>
    <row r="318">
      <c r="A318" s="11" t="n"/>
      <c r="B318" s="7" t="n"/>
      <c r="C318" s="8" t="n"/>
      <c r="D318" s="9" t="n"/>
      <c r="E318" s="8" t="n"/>
      <c r="F318" s="9" t="n"/>
      <c r="G318" s="9" t="n"/>
      <c r="H318" s="3">
        <f>IF(AND(D318&lt;&gt;"",F318&lt;&gt;""),F318-D318-G318,"")</f>
        <v/>
      </c>
      <c r="I318" s="14">
        <f>IF(E318&lt;&gt;"", YEARFRAC(C318, E318) * 12, "")</f>
        <v/>
      </c>
      <c r="J318" s="2">
        <f>IF(I318="", "", IF(AND(A318="MF (Equity)", I318&gt;12), "Long Term", "Short Term"))</f>
        <v/>
      </c>
      <c r="K318" s="5">
        <f>IF(J318="", "", IF(J318="Long Term", 12.5%, 20%))</f>
        <v/>
      </c>
      <c r="L318" s="3">
        <f>+IFERROR(IF(J318="","",H318*K318),"")</f>
        <v/>
      </c>
    </row>
    <row r="319">
      <c r="A319" s="11" t="n"/>
      <c r="B319" s="7" t="n"/>
      <c r="C319" s="8" t="n"/>
      <c r="D319" s="9" t="n"/>
      <c r="E319" s="8" t="n"/>
      <c r="F319" s="9" t="n"/>
      <c r="G319" s="9" t="n"/>
      <c r="H319" s="3">
        <f>IF(AND(D319&lt;&gt;"",F319&lt;&gt;""),F319-D319-G319,"")</f>
        <v/>
      </c>
      <c r="I319" s="14">
        <f>IF(E319&lt;&gt;"", YEARFRAC(C319, E319) * 12, "")</f>
        <v/>
      </c>
      <c r="J319" s="2">
        <f>IF(I319="", "", IF(AND(A319="MF (Equity)", I319&gt;12), "Long Term", "Short Term"))</f>
        <v/>
      </c>
      <c r="K319" s="5">
        <f>IF(J319="", "", IF(J319="Long Term", 12.5%, 20%))</f>
        <v/>
      </c>
      <c r="L319" s="3">
        <f>+IFERROR(IF(J319="","",H319*K319),"")</f>
        <v/>
      </c>
    </row>
    <row r="320">
      <c r="A320" s="11" t="n"/>
      <c r="B320" s="7" t="n"/>
      <c r="C320" s="8" t="n"/>
      <c r="D320" s="9" t="n"/>
      <c r="E320" s="8" t="n"/>
      <c r="F320" s="9" t="n"/>
      <c r="G320" s="9" t="n"/>
      <c r="H320" s="3">
        <f>IF(AND(D320&lt;&gt;"",F320&lt;&gt;""),F320-D320-G320,"")</f>
        <v/>
      </c>
      <c r="I320" s="14">
        <f>IF(E320&lt;&gt;"", YEARFRAC(C320, E320) * 12, "")</f>
        <v/>
      </c>
      <c r="J320" s="2">
        <f>IF(I320="", "", IF(AND(A320="MF (Equity)", I320&gt;12), "Long Term", "Short Term"))</f>
        <v/>
      </c>
      <c r="K320" s="5">
        <f>IF(J320="", "", IF(J320="Long Term", 12.5%, 20%))</f>
        <v/>
      </c>
      <c r="L320" s="3">
        <f>+IFERROR(IF(J320="","",H320*K320),"")</f>
        <v/>
      </c>
    </row>
    <row r="321">
      <c r="A321" s="11" t="n"/>
      <c r="B321" s="7" t="n"/>
      <c r="C321" s="8" t="n"/>
      <c r="D321" s="9" t="n"/>
      <c r="E321" s="8" t="n"/>
      <c r="F321" s="9" t="n"/>
      <c r="G321" s="9" t="n"/>
      <c r="H321" s="3">
        <f>IF(AND(D321&lt;&gt;"",F321&lt;&gt;""),F321-D321-G321,"")</f>
        <v/>
      </c>
      <c r="I321" s="14">
        <f>IF(E321&lt;&gt;"", YEARFRAC(C321, E321) * 12, "")</f>
        <v/>
      </c>
      <c r="J321" s="2">
        <f>IF(I321="", "", IF(AND(A321="MF (Equity)", I321&gt;12), "Long Term", "Short Term"))</f>
        <v/>
      </c>
      <c r="K321" s="5">
        <f>IF(J321="", "", IF(J321="Long Term", 12.5%, 20%))</f>
        <v/>
      </c>
      <c r="L321" s="3">
        <f>+IFERROR(IF(J321="","",H321*K321),"")</f>
        <v/>
      </c>
    </row>
    <row r="322">
      <c r="A322" s="11" t="n"/>
      <c r="B322" s="7" t="n"/>
      <c r="C322" s="8" t="n"/>
      <c r="D322" s="9" t="n"/>
      <c r="E322" s="8" t="n"/>
      <c r="F322" s="9" t="n"/>
      <c r="G322" s="9" t="n"/>
      <c r="H322" s="3">
        <f>IF(AND(D322&lt;&gt;"",F322&lt;&gt;""),F322-D322-G322,"")</f>
        <v/>
      </c>
      <c r="I322" s="14">
        <f>IF(E322&lt;&gt;"", YEARFRAC(C322, E322) * 12, "")</f>
        <v/>
      </c>
      <c r="J322" s="2">
        <f>IF(I322="", "", IF(AND(A322="MF (Equity)", I322&gt;12), "Long Term", "Short Term"))</f>
        <v/>
      </c>
      <c r="K322" s="5">
        <f>IF(J322="", "", IF(J322="Long Term", 12.5%, 20%))</f>
        <v/>
      </c>
      <c r="L322" s="3">
        <f>+IFERROR(IF(J322="","",H322*K322),"")</f>
        <v/>
      </c>
    </row>
    <row r="323">
      <c r="A323" s="11" t="n"/>
      <c r="B323" s="7" t="n"/>
      <c r="C323" s="8" t="n"/>
      <c r="D323" s="9" t="n"/>
      <c r="E323" s="8" t="n"/>
      <c r="F323" s="9" t="n"/>
      <c r="G323" s="9" t="n"/>
      <c r="H323" s="3">
        <f>IF(AND(D323&lt;&gt;"",F323&lt;&gt;""),F323-D323-G323,"")</f>
        <v/>
      </c>
      <c r="I323" s="14">
        <f>IF(E323&lt;&gt;"", YEARFRAC(C323, E323) * 12, "")</f>
        <v/>
      </c>
      <c r="J323" s="2">
        <f>IF(I323="", "", IF(AND(A323="MF (Equity)", I323&gt;12), "Long Term", "Short Term"))</f>
        <v/>
      </c>
      <c r="K323" s="5">
        <f>IF(J323="", "", IF(J323="Long Term", 12.5%, 20%))</f>
        <v/>
      </c>
      <c r="L323" s="3">
        <f>+IFERROR(IF(J323="","",H323*K323),"")</f>
        <v/>
      </c>
    </row>
    <row r="324">
      <c r="A324" s="11" t="n"/>
      <c r="B324" s="7" t="n"/>
      <c r="C324" s="8" t="n"/>
      <c r="D324" s="9" t="n"/>
      <c r="E324" s="8" t="n"/>
      <c r="F324" s="9" t="n"/>
      <c r="G324" s="9" t="n"/>
      <c r="H324" s="3">
        <f>IF(AND(D324&lt;&gt;"",F324&lt;&gt;""),F324-D324-G324,"")</f>
        <v/>
      </c>
      <c r="I324" s="14">
        <f>IF(E324&lt;&gt;"", YEARFRAC(C324, E324) * 12, "")</f>
        <v/>
      </c>
      <c r="J324" s="2">
        <f>IF(I324="", "", IF(AND(A324="MF (Equity)", I324&gt;12), "Long Term", "Short Term"))</f>
        <v/>
      </c>
      <c r="K324" s="5">
        <f>IF(J324="", "", IF(J324="Long Term", 12.5%, 20%))</f>
        <v/>
      </c>
      <c r="L324" s="3">
        <f>+IFERROR(IF(J324="","",H324*K324),"")</f>
        <v/>
      </c>
    </row>
    <row r="325">
      <c r="A325" s="11" t="n"/>
      <c r="B325" s="7" t="n"/>
      <c r="C325" s="8" t="n"/>
      <c r="D325" s="9" t="n"/>
      <c r="E325" s="8" t="n"/>
      <c r="F325" s="9" t="n"/>
      <c r="G325" s="9" t="n"/>
      <c r="H325" s="3">
        <f>IF(AND(D325&lt;&gt;"",F325&lt;&gt;""),F325-D325-G325,"")</f>
        <v/>
      </c>
      <c r="I325" s="14">
        <f>IF(E325&lt;&gt;"", YEARFRAC(C325, E325) * 12, "")</f>
        <v/>
      </c>
      <c r="J325" s="2">
        <f>IF(I325="", "", IF(AND(A325="MF (Equity)", I325&gt;12), "Long Term", "Short Term"))</f>
        <v/>
      </c>
      <c r="K325" s="5">
        <f>IF(J325="", "", IF(J325="Long Term", 12.5%, 20%))</f>
        <v/>
      </c>
      <c r="L325" s="3">
        <f>+IFERROR(IF(J325="","",H325*K325),"")</f>
        <v/>
      </c>
    </row>
    <row r="326">
      <c r="A326" s="11" t="n"/>
      <c r="B326" s="7" t="n"/>
      <c r="C326" s="8" t="n"/>
      <c r="D326" s="9" t="n"/>
      <c r="E326" s="8" t="n"/>
      <c r="F326" s="9" t="n"/>
      <c r="G326" s="9" t="n"/>
      <c r="H326" s="3">
        <f>IF(AND(D326&lt;&gt;"",F326&lt;&gt;""),F326-D326-G326,"")</f>
        <v/>
      </c>
      <c r="I326" s="14">
        <f>IF(E326&lt;&gt;"", YEARFRAC(C326, E326) * 12, "")</f>
        <v/>
      </c>
      <c r="J326" s="2">
        <f>IF(I326="", "", IF(AND(A326="MF (Equity)", I326&gt;12), "Long Term", "Short Term"))</f>
        <v/>
      </c>
      <c r="K326" s="5">
        <f>IF(J326="", "", IF(J326="Long Term", 12.5%, 20%))</f>
        <v/>
      </c>
      <c r="L326" s="3">
        <f>+IFERROR(IF(J326="","",H326*K326),"")</f>
        <v/>
      </c>
    </row>
    <row r="327">
      <c r="A327" s="11" t="n"/>
      <c r="B327" s="7" t="n"/>
      <c r="C327" s="8" t="n"/>
      <c r="D327" s="9" t="n"/>
      <c r="E327" s="8" t="n"/>
      <c r="F327" s="9" t="n"/>
      <c r="G327" s="9" t="n"/>
      <c r="H327" s="3">
        <f>IF(AND(D327&lt;&gt;"",F327&lt;&gt;""),F327-D327-G327,"")</f>
        <v/>
      </c>
      <c r="I327" s="14">
        <f>IF(E327&lt;&gt;"", YEARFRAC(C327, E327) * 12, "")</f>
        <v/>
      </c>
      <c r="J327" s="2">
        <f>IF(I327="", "", IF(AND(A327="MF (Equity)", I327&gt;12), "Long Term", "Short Term"))</f>
        <v/>
      </c>
      <c r="K327" s="5">
        <f>IF(J327="", "", IF(J327="Long Term", 12.5%, 20%))</f>
        <v/>
      </c>
      <c r="L327" s="3">
        <f>+IFERROR(IF(J327="","",H327*K327),"")</f>
        <v/>
      </c>
    </row>
    <row r="328">
      <c r="A328" s="11" t="n"/>
      <c r="B328" s="7" t="n"/>
      <c r="C328" s="8" t="n"/>
      <c r="D328" s="9" t="n"/>
      <c r="E328" s="8" t="n"/>
      <c r="F328" s="9" t="n"/>
      <c r="G328" s="9" t="n"/>
      <c r="H328" s="3">
        <f>IF(AND(D328&lt;&gt;"",F328&lt;&gt;""),F328-D328-G328,"")</f>
        <v/>
      </c>
      <c r="I328" s="14">
        <f>IF(E328&lt;&gt;"", YEARFRAC(C328, E328) * 12, "")</f>
        <v/>
      </c>
      <c r="J328" s="2">
        <f>IF(I328="", "", IF(AND(A328="MF (Equity)", I328&gt;12), "Long Term", "Short Term"))</f>
        <v/>
      </c>
      <c r="K328" s="5">
        <f>IF(J328="", "", IF(J328="Long Term", 12.5%, 20%))</f>
        <v/>
      </c>
      <c r="L328" s="3">
        <f>+IFERROR(IF(J328="","",H328*K328),"")</f>
        <v/>
      </c>
    </row>
    <row r="329">
      <c r="A329" s="11" t="n"/>
      <c r="B329" s="7" t="n"/>
      <c r="C329" s="8" t="n"/>
      <c r="D329" s="9" t="n"/>
      <c r="E329" s="8" t="n"/>
      <c r="F329" s="9" t="n"/>
      <c r="G329" s="9" t="n"/>
      <c r="H329" s="3">
        <f>IF(AND(D329&lt;&gt;"",F329&lt;&gt;""),F329-D329-G329,"")</f>
        <v/>
      </c>
      <c r="I329" s="14">
        <f>IF(E329&lt;&gt;"", YEARFRAC(C329, E329) * 12, "")</f>
        <v/>
      </c>
      <c r="J329" s="2">
        <f>IF(I329="", "", IF(AND(A329="MF (Equity)", I329&gt;12), "Long Term", "Short Term"))</f>
        <v/>
      </c>
      <c r="K329" s="5">
        <f>IF(J329="", "", IF(J329="Long Term", 12.5%, 20%))</f>
        <v/>
      </c>
      <c r="L329" s="3">
        <f>+IFERROR(IF(J329="","",H329*K329),"")</f>
        <v/>
      </c>
    </row>
    <row r="330">
      <c r="A330" s="11" t="n"/>
      <c r="B330" s="7" t="n"/>
      <c r="C330" s="8" t="n"/>
      <c r="D330" s="9" t="n"/>
      <c r="E330" s="8" t="n"/>
      <c r="F330" s="9" t="n"/>
      <c r="G330" s="9" t="n"/>
      <c r="H330" s="3">
        <f>IF(AND(D330&lt;&gt;"",F330&lt;&gt;""),F330-D330-G330,"")</f>
        <v/>
      </c>
      <c r="I330" s="14">
        <f>IF(E330&lt;&gt;"", YEARFRAC(C330, E330) * 12, "")</f>
        <v/>
      </c>
      <c r="J330" s="2">
        <f>IF(I330="", "", IF(AND(A330="MF (Equity)", I330&gt;12), "Long Term", "Short Term"))</f>
        <v/>
      </c>
      <c r="K330" s="5">
        <f>IF(J330="", "", IF(J330="Long Term", 12.5%, 20%))</f>
        <v/>
      </c>
      <c r="L330" s="3">
        <f>+IFERROR(IF(J330="","",H330*K330),"")</f>
        <v/>
      </c>
    </row>
    <row r="331">
      <c r="A331" s="11" t="n"/>
      <c r="B331" s="7" t="n"/>
      <c r="C331" s="8" t="n"/>
      <c r="D331" s="9" t="n"/>
      <c r="E331" s="8" t="n"/>
      <c r="F331" s="9" t="n"/>
      <c r="G331" s="9" t="n"/>
      <c r="H331" s="3">
        <f>IF(AND(D331&lt;&gt;"",F331&lt;&gt;""),F331-D331-G331,"")</f>
        <v/>
      </c>
      <c r="I331" s="14">
        <f>IF(E331&lt;&gt;"", YEARFRAC(C331, E331) * 12, "")</f>
        <v/>
      </c>
      <c r="J331" s="2">
        <f>IF(I331="", "", IF(AND(A331="MF (Equity)", I331&gt;12), "Long Term", "Short Term"))</f>
        <v/>
      </c>
      <c r="K331" s="5">
        <f>IF(J331="", "", IF(J331="Long Term", 12.5%, 20%))</f>
        <v/>
      </c>
      <c r="L331" s="3">
        <f>+IFERROR(IF(J331="","",H331*K331),"")</f>
        <v/>
      </c>
    </row>
    <row r="332">
      <c r="A332" s="11" t="n"/>
      <c r="B332" s="7" t="n"/>
      <c r="C332" s="8" t="n"/>
      <c r="D332" s="9" t="n"/>
      <c r="E332" s="8" t="n"/>
      <c r="F332" s="9" t="n"/>
      <c r="G332" s="9" t="n"/>
      <c r="H332" s="3">
        <f>IF(AND(D332&lt;&gt;"",F332&lt;&gt;""),F332-D332-G332,"")</f>
        <v/>
      </c>
      <c r="I332" s="14">
        <f>IF(E332&lt;&gt;"", YEARFRAC(C332, E332) * 12, "")</f>
        <v/>
      </c>
      <c r="J332" s="2">
        <f>IF(I332="", "", IF(AND(A332="MF (Equity)", I332&gt;12), "Long Term", "Short Term"))</f>
        <v/>
      </c>
      <c r="K332" s="5">
        <f>IF(J332="", "", IF(J332="Long Term", 12.5%, 20%))</f>
        <v/>
      </c>
      <c r="L332" s="3">
        <f>+IFERROR(IF(J332="","",H332*K332),"")</f>
        <v/>
      </c>
    </row>
    <row r="333">
      <c r="A333" s="11" t="n"/>
      <c r="B333" s="7" t="n"/>
      <c r="C333" s="8" t="n"/>
      <c r="D333" s="9" t="n"/>
      <c r="E333" s="8" t="n"/>
      <c r="F333" s="9" t="n"/>
      <c r="G333" s="9" t="n"/>
      <c r="H333" s="3">
        <f>IF(AND(D333&lt;&gt;"",F333&lt;&gt;""),F333-D333-G333,"")</f>
        <v/>
      </c>
      <c r="I333" s="14">
        <f>IF(E333&lt;&gt;"", YEARFRAC(C333, E333) * 12, "")</f>
        <v/>
      </c>
      <c r="J333" s="2">
        <f>IF(I333="", "", IF(AND(A333="MF (Equity)", I333&gt;12), "Long Term", "Short Term"))</f>
        <v/>
      </c>
      <c r="K333" s="5">
        <f>IF(J333="", "", IF(J333="Long Term", 12.5%, 20%))</f>
        <v/>
      </c>
      <c r="L333" s="3">
        <f>+IFERROR(IF(J333="","",H333*K333),"")</f>
        <v/>
      </c>
    </row>
    <row r="334">
      <c r="A334" s="11" t="n"/>
      <c r="B334" s="7" t="n"/>
      <c r="C334" s="8" t="n"/>
      <c r="D334" s="9" t="n"/>
      <c r="E334" s="8" t="n"/>
      <c r="F334" s="9" t="n"/>
      <c r="G334" s="9" t="n"/>
      <c r="H334" s="3">
        <f>IF(AND(D334&lt;&gt;"",F334&lt;&gt;""),F334-D334-G334,"")</f>
        <v/>
      </c>
      <c r="I334" s="14">
        <f>IF(E334&lt;&gt;"", YEARFRAC(C334, E334) * 12, "")</f>
        <v/>
      </c>
      <c r="J334" s="2">
        <f>IF(I334="", "", IF(AND(A334="MF (Equity)", I334&gt;12), "Long Term", "Short Term"))</f>
        <v/>
      </c>
      <c r="K334" s="5">
        <f>IF(J334="", "", IF(J334="Long Term", 12.5%, 20%))</f>
        <v/>
      </c>
      <c r="L334" s="3">
        <f>+IFERROR(IF(J334="","",H334*K334),"")</f>
        <v/>
      </c>
    </row>
    <row r="335">
      <c r="A335" s="11" t="n"/>
      <c r="B335" s="7" t="n"/>
      <c r="C335" s="8" t="n"/>
      <c r="D335" s="9" t="n"/>
      <c r="E335" s="8" t="n"/>
      <c r="F335" s="9" t="n"/>
      <c r="G335" s="9" t="n"/>
      <c r="H335" s="3">
        <f>IF(AND(D335&lt;&gt;"",F335&lt;&gt;""),F335-D335-G335,"")</f>
        <v/>
      </c>
      <c r="I335" s="14">
        <f>IF(E335&lt;&gt;"", YEARFRAC(C335, E335) * 12, "")</f>
        <v/>
      </c>
      <c r="J335" s="2">
        <f>IF(I335="", "", IF(AND(A335="MF (Equity)", I335&gt;12), "Long Term", "Short Term"))</f>
        <v/>
      </c>
      <c r="K335" s="5">
        <f>IF(J335="", "", IF(J335="Long Term", 12.5%, 20%))</f>
        <v/>
      </c>
      <c r="L335" s="3">
        <f>+IFERROR(IF(J335="","",H335*K335),"")</f>
        <v/>
      </c>
    </row>
    <row r="336">
      <c r="A336" s="11" t="n"/>
      <c r="B336" s="7" t="n"/>
      <c r="C336" s="8" t="n"/>
      <c r="D336" s="9" t="n"/>
      <c r="E336" s="8" t="n"/>
      <c r="F336" s="9" t="n"/>
      <c r="G336" s="9" t="n"/>
      <c r="H336" s="3">
        <f>IF(AND(D336&lt;&gt;"",F336&lt;&gt;""),F336-D336-G336,"")</f>
        <v/>
      </c>
      <c r="I336" s="14">
        <f>IF(E336&lt;&gt;"", YEARFRAC(C336, E336) * 12, "")</f>
        <v/>
      </c>
      <c r="J336" s="2">
        <f>IF(I336="", "", IF(AND(A336="MF (Equity)", I336&gt;12), "Long Term", "Short Term"))</f>
        <v/>
      </c>
      <c r="K336" s="5">
        <f>IF(J336="", "", IF(J336="Long Term", 12.5%, 20%))</f>
        <v/>
      </c>
      <c r="L336" s="3">
        <f>+IFERROR(IF(J336="","",H336*K336),"")</f>
        <v/>
      </c>
    </row>
    <row r="337">
      <c r="A337" s="11" t="n"/>
      <c r="B337" s="7" t="n"/>
      <c r="C337" s="8" t="n"/>
      <c r="D337" s="9" t="n"/>
      <c r="E337" s="8" t="n"/>
      <c r="F337" s="9" t="n"/>
      <c r="G337" s="9" t="n"/>
      <c r="H337" s="3">
        <f>IF(AND(D337&lt;&gt;"",F337&lt;&gt;""),F337-D337-G337,"")</f>
        <v/>
      </c>
      <c r="I337" s="14">
        <f>IF(E337&lt;&gt;"", YEARFRAC(C337, E337) * 12, "")</f>
        <v/>
      </c>
      <c r="J337" s="2">
        <f>IF(I337="", "", IF(AND(A337="MF (Equity)", I337&gt;12), "Long Term", "Short Term"))</f>
        <v/>
      </c>
      <c r="K337" s="5">
        <f>IF(J337="", "", IF(J337="Long Term", 12.5%, 20%))</f>
        <v/>
      </c>
      <c r="L337" s="3">
        <f>+IFERROR(IF(J337="","",H337*K337),"")</f>
        <v/>
      </c>
    </row>
    <row r="338">
      <c r="A338" s="11" t="n"/>
      <c r="B338" s="7" t="n"/>
      <c r="C338" s="8" t="n"/>
      <c r="D338" s="9" t="n"/>
      <c r="E338" s="8" t="n"/>
      <c r="F338" s="9" t="n"/>
      <c r="G338" s="9" t="n"/>
      <c r="H338" s="3">
        <f>IF(AND(D338&lt;&gt;"",F338&lt;&gt;""),F338-D338-G338,"")</f>
        <v/>
      </c>
      <c r="I338" s="14">
        <f>IF(E338&lt;&gt;"", YEARFRAC(C338, E338) * 12, "")</f>
        <v/>
      </c>
      <c r="J338" s="2">
        <f>IF(I338="", "", IF(AND(A338="MF (Equity)", I338&gt;12), "Long Term", "Short Term"))</f>
        <v/>
      </c>
      <c r="K338" s="5">
        <f>IF(J338="", "", IF(J338="Long Term", 12.5%, 20%))</f>
        <v/>
      </c>
      <c r="L338" s="3">
        <f>+IFERROR(IF(J338="","",H338*K338),"")</f>
        <v/>
      </c>
    </row>
    <row r="339">
      <c r="A339" s="11" t="n"/>
      <c r="B339" s="7" t="n"/>
      <c r="C339" s="8" t="n"/>
      <c r="D339" s="9" t="n"/>
      <c r="E339" s="8" t="n"/>
      <c r="F339" s="9" t="n"/>
      <c r="G339" s="9" t="n"/>
      <c r="H339" s="3">
        <f>IF(AND(D339&lt;&gt;"",F339&lt;&gt;""),F339-D339-G339,"")</f>
        <v/>
      </c>
      <c r="I339" s="14">
        <f>IF(E339&lt;&gt;"", YEARFRAC(C339, E339) * 12, "")</f>
        <v/>
      </c>
      <c r="J339" s="2">
        <f>IF(I339="", "", IF(AND(A339="MF (Equity)", I339&gt;12), "Long Term", "Short Term"))</f>
        <v/>
      </c>
      <c r="K339" s="5">
        <f>IF(J339="", "", IF(J339="Long Term", 12.5%, 20%))</f>
        <v/>
      </c>
      <c r="L339" s="3">
        <f>+IFERROR(IF(J339="","",H339*K339),"")</f>
        <v/>
      </c>
    </row>
    <row r="340">
      <c r="A340" s="11" t="n"/>
      <c r="B340" s="7" t="n"/>
      <c r="C340" s="8" t="n"/>
      <c r="D340" s="9" t="n"/>
      <c r="E340" s="8" t="n"/>
      <c r="F340" s="9" t="n"/>
      <c r="G340" s="9" t="n"/>
      <c r="H340" s="3">
        <f>IF(AND(D340&lt;&gt;"",F340&lt;&gt;""),F340-D340-G340,"")</f>
        <v/>
      </c>
      <c r="I340" s="14">
        <f>IF(E340&lt;&gt;"", YEARFRAC(C340, E340) * 12, "")</f>
        <v/>
      </c>
      <c r="J340" s="2">
        <f>IF(I340="", "", IF(AND(A340="MF (Equity)", I340&gt;12), "Long Term", "Short Term"))</f>
        <v/>
      </c>
      <c r="K340" s="5">
        <f>IF(J340="", "", IF(J340="Long Term", 12.5%, 20%))</f>
        <v/>
      </c>
      <c r="L340" s="3">
        <f>+IFERROR(IF(J340="","",H340*K340),"")</f>
        <v/>
      </c>
    </row>
    <row r="341">
      <c r="A341" s="11" t="n"/>
      <c r="B341" s="7" t="n"/>
      <c r="C341" s="8" t="n"/>
      <c r="D341" s="9" t="n"/>
      <c r="E341" s="8" t="n"/>
      <c r="F341" s="9" t="n"/>
      <c r="G341" s="9" t="n"/>
      <c r="H341" s="3">
        <f>IF(AND(D341&lt;&gt;"",F341&lt;&gt;""),F341-D341-G341,"")</f>
        <v/>
      </c>
      <c r="I341" s="14">
        <f>IF(E341&lt;&gt;"", YEARFRAC(C341, E341) * 12, "")</f>
        <v/>
      </c>
      <c r="J341" s="2">
        <f>IF(I341="", "", IF(AND(A341="MF (Equity)", I341&gt;12), "Long Term", "Short Term"))</f>
        <v/>
      </c>
      <c r="K341" s="5">
        <f>IF(J341="", "", IF(J341="Long Term", 12.5%, 20%))</f>
        <v/>
      </c>
      <c r="L341" s="3">
        <f>+IFERROR(IF(J341="","",H341*K341),"")</f>
        <v/>
      </c>
    </row>
    <row r="342">
      <c r="A342" s="11" t="n"/>
      <c r="B342" s="7" t="n"/>
      <c r="C342" s="8" t="n"/>
      <c r="D342" s="9" t="n"/>
      <c r="E342" s="8" t="n"/>
      <c r="F342" s="9" t="n"/>
      <c r="G342" s="9" t="n"/>
      <c r="H342" s="3">
        <f>IF(AND(D342&lt;&gt;"",F342&lt;&gt;""),F342-D342-G342,"")</f>
        <v/>
      </c>
      <c r="I342" s="14">
        <f>IF(E342&lt;&gt;"", YEARFRAC(C342, E342) * 12, "")</f>
        <v/>
      </c>
      <c r="J342" s="2">
        <f>IF(I342="", "", IF(AND(A342="MF (Equity)", I342&gt;12), "Long Term", "Short Term"))</f>
        <v/>
      </c>
      <c r="K342" s="5">
        <f>IF(J342="", "", IF(J342="Long Term", 12.5%, 20%))</f>
        <v/>
      </c>
      <c r="L342" s="3">
        <f>+IFERROR(IF(J342="","",H342*K342),"")</f>
        <v/>
      </c>
    </row>
    <row r="343">
      <c r="A343" s="11" t="n"/>
      <c r="B343" s="7" t="n"/>
      <c r="C343" s="8" t="n"/>
      <c r="D343" s="9" t="n"/>
      <c r="E343" s="8" t="n"/>
      <c r="F343" s="9" t="n"/>
      <c r="G343" s="9" t="n"/>
      <c r="H343" s="3">
        <f>IF(AND(D343&lt;&gt;"",F343&lt;&gt;""),F343-D343-G343,"")</f>
        <v/>
      </c>
      <c r="I343" s="14">
        <f>IF(E343&lt;&gt;"", YEARFRAC(C343, E343) * 12, "")</f>
        <v/>
      </c>
      <c r="J343" s="2">
        <f>IF(I343="", "", IF(AND(A343="MF (Equity)", I343&gt;12), "Long Term", "Short Term"))</f>
        <v/>
      </c>
      <c r="K343" s="5">
        <f>IF(J343="", "", IF(J343="Long Term", 12.5%, 20%))</f>
        <v/>
      </c>
      <c r="L343" s="3">
        <f>+IFERROR(IF(J343="","",H343*K343),"")</f>
        <v/>
      </c>
    </row>
    <row r="344">
      <c r="A344" s="11" t="n"/>
      <c r="B344" s="7" t="n"/>
      <c r="C344" s="8" t="n"/>
      <c r="D344" s="9" t="n"/>
      <c r="E344" s="8" t="n"/>
      <c r="F344" s="9" t="n"/>
      <c r="G344" s="9" t="n"/>
      <c r="H344" s="3">
        <f>IF(AND(D344&lt;&gt;"",F344&lt;&gt;""),F344-D344-G344,"")</f>
        <v/>
      </c>
      <c r="I344" s="14">
        <f>IF(E344&lt;&gt;"", YEARFRAC(C344, E344) * 12, "")</f>
        <v/>
      </c>
      <c r="J344" s="2">
        <f>IF(I344="", "", IF(AND(A344="MF (Equity)", I344&gt;12), "Long Term", "Short Term"))</f>
        <v/>
      </c>
      <c r="K344" s="5">
        <f>IF(J344="", "", IF(J344="Long Term", 12.5%, 20%))</f>
        <v/>
      </c>
      <c r="L344" s="3">
        <f>+IFERROR(IF(J344="","",H344*K344),"")</f>
        <v/>
      </c>
    </row>
    <row r="345">
      <c r="A345" s="11" t="n"/>
      <c r="B345" s="7" t="n"/>
      <c r="C345" s="8" t="n"/>
      <c r="D345" s="9" t="n"/>
      <c r="E345" s="8" t="n"/>
      <c r="F345" s="9" t="n"/>
      <c r="G345" s="9" t="n"/>
      <c r="H345" s="3">
        <f>IF(AND(D345&lt;&gt;"",F345&lt;&gt;""),F345-D345-G345,"")</f>
        <v/>
      </c>
      <c r="I345" s="14">
        <f>IF(E345&lt;&gt;"", YEARFRAC(C345, E345) * 12, "")</f>
        <v/>
      </c>
      <c r="J345" s="2">
        <f>IF(I345="", "", IF(AND(A345="MF (Equity)", I345&gt;12), "Long Term", "Short Term"))</f>
        <v/>
      </c>
      <c r="K345" s="5">
        <f>IF(J345="", "", IF(J345="Long Term", 12.5%, 20%))</f>
        <v/>
      </c>
      <c r="L345" s="3">
        <f>+IFERROR(IF(J345="","",H345*K345),"")</f>
        <v/>
      </c>
    </row>
    <row r="346">
      <c r="A346" s="11" t="n"/>
      <c r="B346" s="7" t="n"/>
      <c r="C346" s="8" t="n"/>
      <c r="D346" s="9" t="n"/>
      <c r="E346" s="8" t="n"/>
      <c r="F346" s="9" t="n"/>
      <c r="G346" s="9" t="n"/>
      <c r="H346" s="3">
        <f>IF(AND(D346&lt;&gt;"",F346&lt;&gt;""),F346-D346-G346,"")</f>
        <v/>
      </c>
      <c r="I346" s="14">
        <f>IF(E346&lt;&gt;"", YEARFRAC(C346, E346) * 12, "")</f>
        <v/>
      </c>
      <c r="J346" s="2">
        <f>IF(I346="", "", IF(AND(A346="MF (Equity)", I346&gt;12), "Long Term", "Short Term"))</f>
        <v/>
      </c>
      <c r="K346" s="5">
        <f>IF(J346="", "", IF(J346="Long Term", 12.5%, 20%))</f>
        <v/>
      </c>
      <c r="L346" s="3">
        <f>+IFERROR(IF(J346="","",H346*K346),"")</f>
        <v/>
      </c>
    </row>
    <row r="347">
      <c r="A347" s="11" t="n"/>
      <c r="B347" s="7" t="n"/>
      <c r="C347" s="8" t="n"/>
      <c r="D347" s="9" t="n"/>
      <c r="E347" s="8" t="n"/>
      <c r="F347" s="9" t="n"/>
      <c r="G347" s="9" t="n"/>
      <c r="H347" s="3">
        <f>IF(AND(D347&lt;&gt;"",F347&lt;&gt;""),F347-D347-G347,"")</f>
        <v/>
      </c>
      <c r="I347" s="14">
        <f>IF(E347&lt;&gt;"", YEARFRAC(C347, E347) * 12, "")</f>
        <v/>
      </c>
      <c r="J347" s="2">
        <f>IF(I347="", "", IF(AND(A347="MF (Equity)", I347&gt;12), "Long Term", "Short Term"))</f>
        <v/>
      </c>
      <c r="K347" s="5">
        <f>IF(J347="", "", IF(J347="Long Term", 12.5%, 20%))</f>
        <v/>
      </c>
      <c r="L347" s="3">
        <f>+IFERROR(IF(J347="","",H347*K347),"")</f>
        <v/>
      </c>
    </row>
    <row r="348">
      <c r="A348" s="11" t="n"/>
      <c r="B348" s="7" t="n"/>
      <c r="C348" s="8" t="n"/>
      <c r="D348" s="9" t="n"/>
      <c r="E348" s="8" t="n"/>
      <c r="F348" s="9" t="n"/>
      <c r="G348" s="9" t="n"/>
      <c r="H348" s="3">
        <f>IF(AND(D348&lt;&gt;"",F348&lt;&gt;""),F348-D348-G348,"")</f>
        <v/>
      </c>
      <c r="I348" s="14">
        <f>IF(E348&lt;&gt;"", YEARFRAC(C348, E348) * 12, "")</f>
        <v/>
      </c>
      <c r="J348" s="2">
        <f>IF(I348="", "", IF(AND(A348="MF (Equity)", I348&gt;12), "Long Term", "Short Term"))</f>
        <v/>
      </c>
      <c r="K348" s="5">
        <f>IF(J348="", "", IF(J348="Long Term", 12.5%, 20%))</f>
        <v/>
      </c>
      <c r="L348" s="3">
        <f>+IFERROR(IF(J348="","",H348*K348),"")</f>
        <v/>
      </c>
    </row>
    <row r="349">
      <c r="A349" s="11" t="n"/>
      <c r="B349" s="7" t="n"/>
      <c r="C349" s="8" t="n"/>
      <c r="D349" s="9" t="n"/>
      <c r="E349" s="8" t="n"/>
      <c r="F349" s="9" t="n"/>
      <c r="G349" s="9" t="n"/>
      <c r="H349" s="3">
        <f>IF(AND(D349&lt;&gt;"",F349&lt;&gt;""),F349-D349-G349,"")</f>
        <v/>
      </c>
      <c r="I349" s="14">
        <f>IF(E349&lt;&gt;"", YEARFRAC(C349, E349) * 12, "")</f>
        <v/>
      </c>
      <c r="J349" s="2">
        <f>IF(I349="", "", IF(AND(A349="MF (Equity)", I349&gt;12), "Long Term", "Short Term"))</f>
        <v/>
      </c>
      <c r="K349" s="5">
        <f>IF(J349="", "", IF(J349="Long Term", 12.5%, 20%))</f>
        <v/>
      </c>
      <c r="L349" s="3">
        <f>+IFERROR(IF(J349="","",H349*K349),"")</f>
        <v/>
      </c>
    </row>
    <row r="350">
      <c r="A350" s="11" t="n"/>
      <c r="B350" s="7" t="n"/>
      <c r="C350" s="8" t="n"/>
      <c r="D350" s="9" t="n"/>
      <c r="E350" s="8" t="n"/>
      <c r="F350" s="9" t="n"/>
      <c r="G350" s="9" t="n"/>
      <c r="H350" s="3">
        <f>IF(AND(D350&lt;&gt;"",F350&lt;&gt;""),F350-D350-G350,"")</f>
        <v/>
      </c>
      <c r="I350" s="14">
        <f>IF(E350&lt;&gt;"", YEARFRAC(C350, E350) * 12, "")</f>
        <v/>
      </c>
      <c r="J350" s="2">
        <f>IF(I350="", "", IF(AND(A350="MF (Equity)", I350&gt;12), "Long Term", "Short Term"))</f>
        <v/>
      </c>
      <c r="K350" s="5">
        <f>IF(J350="", "", IF(J350="Long Term", 12.5%, 20%))</f>
        <v/>
      </c>
      <c r="L350" s="3">
        <f>+IFERROR(IF(J350="","",H350*K350),"")</f>
        <v/>
      </c>
    </row>
    <row r="351">
      <c r="A351" s="11" t="n"/>
      <c r="B351" s="7" t="n"/>
      <c r="C351" s="8" t="n"/>
      <c r="D351" s="9" t="n"/>
      <c r="E351" s="8" t="n"/>
      <c r="F351" s="9" t="n"/>
      <c r="G351" s="9" t="n"/>
      <c r="H351" s="3">
        <f>IF(AND(D351&lt;&gt;"",F351&lt;&gt;""),F351-D351-G351,"")</f>
        <v/>
      </c>
      <c r="I351" s="14">
        <f>IF(E351&lt;&gt;"", YEARFRAC(C351, E351) * 12, "")</f>
        <v/>
      </c>
      <c r="J351" s="2">
        <f>IF(I351="", "", IF(AND(A351="MF (Equity)", I351&gt;12), "Long Term", "Short Term"))</f>
        <v/>
      </c>
      <c r="K351" s="5">
        <f>IF(J351="", "", IF(J351="Long Term", 12.5%, 20%))</f>
        <v/>
      </c>
      <c r="L351" s="3">
        <f>+IFERROR(IF(J351="","",H351*K351),"")</f>
        <v/>
      </c>
    </row>
    <row r="352">
      <c r="A352" s="11" t="n"/>
      <c r="B352" s="7" t="n"/>
      <c r="C352" s="8" t="n"/>
      <c r="D352" s="9" t="n"/>
      <c r="E352" s="8" t="n"/>
      <c r="F352" s="9" t="n"/>
      <c r="G352" s="9" t="n"/>
      <c r="H352" s="3">
        <f>IF(AND(D352&lt;&gt;"",F352&lt;&gt;""),F352-D352-G352,"")</f>
        <v/>
      </c>
      <c r="I352" s="14">
        <f>IF(E352&lt;&gt;"", YEARFRAC(C352, E352) * 12, "")</f>
        <v/>
      </c>
      <c r="J352" s="2">
        <f>IF(I352="", "", IF(AND(A352="MF (Equity)", I352&gt;12), "Long Term", "Short Term"))</f>
        <v/>
      </c>
      <c r="K352" s="5">
        <f>IF(J352="", "", IF(J352="Long Term", 12.5%, 20%))</f>
        <v/>
      </c>
      <c r="L352" s="3">
        <f>+IFERROR(IF(J352="","",H352*K352),"")</f>
        <v/>
      </c>
    </row>
    <row r="353">
      <c r="A353" s="11" t="n"/>
      <c r="B353" s="7" t="n"/>
      <c r="C353" s="8" t="n"/>
      <c r="D353" s="9" t="n"/>
      <c r="E353" s="8" t="n"/>
      <c r="F353" s="9" t="n"/>
      <c r="G353" s="9" t="n"/>
      <c r="H353" s="3">
        <f>IF(AND(D353&lt;&gt;"",F353&lt;&gt;""),F353-D353-G353,"")</f>
        <v/>
      </c>
      <c r="I353" s="14">
        <f>IF(E353&lt;&gt;"", YEARFRAC(C353, E353) * 12, "")</f>
        <v/>
      </c>
      <c r="J353" s="2">
        <f>IF(I353="", "", IF(AND(A353="MF (Equity)", I353&gt;12), "Long Term", "Short Term"))</f>
        <v/>
      </c>
      <c r="K353" s="5">
        <f>IF(J353="", "", IF(J353="Long Term", 12.5%, 20%))</f>
        <v/>
      </c>
      <c r="L353" s="3">
        <f>+IFERROR(IF(J353="","",H353*K353),"")</f>
        <v/>
      </c>
    </row>
    <row r="354">
      <c r="A354" s="11" t="n"/>
      <c r="B354" s="7" t="n"/>
      <c r="C354" s="8" t="n"/>
      <c r="D354" s="9" t="n"/>
      <c r="E354" s="8" t="n"/>
      <c r="F354" s="9" t="n"/>
      <c r="G354" s="9" t="n"/>
      <c r="H354" s="3">
        <f>IF(AND(D354&lt;&gt;"",F354&lt;&gt;""),F354-D354-G354,"")</f>
        <v/>
      </c>
      <c r="I354" s="14">
        <f>IF(E354&lt;&gt;"", YEARFRAC(C354, E354) * 12, "")</f>
        <v/>
      </c>
      <c r="J354" s="2">
        <f>IF(I354="", "", IF(AND(A354="MF (Equity)", I354&gt;12), "Long Term", "Short Term"))</f>
        <v/>
      </c>
      <c r="K354" s="5">
        <f>IF(J354="", "", IF(J354="Long Term", 12.5%, 20%))</f>
        <v/>
      </c>
      <c r="L354" s="3">
        <f>+IFERROR(IF(J354="","",H354*K354),"")</f>
        <v/>
      </c>
    </row>
    <row r="355">
      <c r="A355" s="11" t="n"/>
      <c r="B355" s="7" t="n"/>
      <c r="C355" s="8" t="n"/>
      <c r="D355" s="9" t="n"/>
      <c r="E355" s="8" t="n"/>
      <c r="F355" s="9" t="n"/>
      <c r="G355" s="9" t="n"/>
      <c r="H355" s="3">
        <f>IF(AND(D355&lt;&gt;"",F355&lt;&gt;""),F355-D355-G355,"")</f>
        <v/>
      </c>
      <c r="I355" s="14">
        <f>IF(E355&lt;&gt;"", YEARFRAC(C355, E355) * 12, "")</f>
        <v/>
      </c>
      <c r="J355" s="2">
        <f>IF(I355="", "", IF(AND(A355="MF (Equity)", I355&gt;12), "Long Term", "Short Term"))</f>
        <v/>
      </c>
      <c r="K355" s="5">
        <f>IF(J355="", "", IF(J355="Long Term", 12.5%, 20%))</f>
        <v/>
      </c>
      <c r="L355" s="3">
        <f>+IFERROR(IF(J355="","",H355*K355),"")</f>
        <v/>
      </c>
    </row>
    <row r="356">
      <c r="A356" s="11" t="n"/>
      <c r="B356" s="7" t="n"/>
      <c r="C356" s="8" t="n"/>
      <c r="D356" s="9" t="n"/>
      <c r="E356" s="8" t="n"/>
      <c r="F356" s="9" t="n"/>
      <c r="G356" s="9" t="n"/>
      <c r="H356" s="3">
        <f>IF(AND(D356&lt;&gt;"",F356&lt;&gt;""),F356-D356-G356,"")</f>
        <v/>
      </c>
      <c r="I356" s="14">
        <f>IF(E356&lt;&gt;"", YEARFRAC(C356, E356) * 12, "")</f>
        <v/>
      </c>
      <c r="J356" s="2">
        <f>IF(I356="", "", IF(AND(A356="MF (Equity)", I356&gt;12), "Long Term", "Short Term"))</f>
        <v/>
      </c>
      <c r="K356" s="5">
        <f>IF(J356="", "", IF(J356="Long Term", 12.5%, 20%))</f>
        <v/>
      </c>
      <c r="L356" s="3">
        <f>+IFERROR(IF(J356="","",H356*K356),"")</f>
        <v/>
      </c>
    </row>
    <row r="357">
      <c r="A357" s="11" t="n"/>
      <c r="B357" s="7" t="n"/>
      <c r="C357" s="8" t="n"/>
      <c r="D357" s="9" t="n"/>
      <c r="E357" s="8" t="n"/>
      <c r="F357" s="9" t="n"/>
      <c r="G357" s="9" t="n"/>
      <c r="H357" s="3">
        <f>IF(AND(D357&lt;&gt;"",F357&lt;&gt;""),F357-D357-G357,"")</f>
        <v/>
      </c>
      <c r="I357" s="14">
        <f>IF(E357&lt;&gt;"", YEARFRAC(C357, E357) * 12, "")</f>
        <v/>
      </c>
      <c r="J357" s="2">
        <f>IF(I357="", "", IF(AND(A357="MF (Equity)", I357&gt;12), "Long Term", "Short Term"))</f>
        <v/>
      </c>
      <c r="K357" s="5">
        <f>IF(J357="", "", IF(J357="Long Term", 12.5%, 20%))</f>
        <v/>
      </c>
      <c r="L357" s="3">
        <f>+IFERROR(IF(J357="","",H357*K357),"")</f>
        <v/>
      </c>
    </row>
    <row r="358">
      <c r="A358" s="11" t="n"/>
      <c r="B358" s="7" t="n"/>
      <c r="C358" s="8" t="n"/>
      <c r="D358" s="9" t="n"/>
      <c r="E358" s="8" t="n"/>
      <c r="F358" s="9" t="n"/>
      <c r="G358" s="9" t="n"/>
      <c r="H358" s="3">
        <f>IF(AND(D358&lt;&gt;"",F358&lt;&gt;""),F358-D358-G358,"")</f>
        <v/>
      </c>
      <c r="I358" s="14">
        <f>IF(E358&lt;&gt;"", YEARFRAC(C358, E358) * 12, "")</f>
        <v/>
      </c>
      <c r="J358" s="2">
        <f>IF(I358="", "", IF(AND(A358="MF (Equity)", I358&gt;12), "Long Term", "Short Term"))</f>
        <v/>
      </c>
      <c r="K358" s="5">
        <f>IF(J358="", "", IF(J358="Long Term", 12.5%, 20%))</f>
        <v/>
      </c>
      <c r="L358" s="3">
        <f>+IFERROR(IF(J358="","",H358*K358),"")</f>
        <v/>
      </c>
    </row>
    <row r="359">
      <c r="A359" s="11" t="n"/>
      <c r="B359" s="7" t="n"/>
      <c r="C359" s="8" t="n"/>
      <c r="D359" s="9" t="n"/>
      <c r="E359" s="8" t="n"/>
      <c r="F359" s="9" t="n"/>
      <c r="G359" s="9" t="n"/>
      <c r="H359" s="3">
        <f>IF(AND(D359&lt;&gt;"",F359&lt;&gt;""),F359-D359-G359,"")</f>
        <v/>
      </c>
      <c r="I359" s="14">
        <f>IF(E359&lt;&gt;"", YEARFRAC(C359, E359) * 12, "")</f>
        <v/>
      </c>
      <c r="J359" s="2">
        <f>IF(I359="", "", IF(AND(A359="MF (Equity)", I359&gt;12), "Long Term", "Short Term"))</f>
        <v/>
      </c>
      <c r="K359" s="5">
        <f>IF(J359="", "", IF(J359="Long Term", 12.5%, 20%))</f>
        <v/>
      </c>
      <c r="L359" s="3">
        <f>+IFERROR(IF(J359="","",H359*K359),"")</f>
        <v/>
      </c>
    </row>
    <row r="360">
      <c r="A360" s="11" t="n"/>
      <c r="B360" s="7" t="n"/>
      <c r="C360" s="8" t="n"/>
      <c r="D360" s="9" t="n"/>
      <c r="E360" s="8" t="n"/>
      <c r="F360" s="9" t="n"/>
      <c r="G360" s="9" t="n"/>
      <c r="H360" s="3">
        <f>IF(AND(D360&lt;&gt;"",F360&lt;&gt;""),F360-D360-G360,"")</f>
        <v/>
      </c>
      <c r="I360" s="14">
        <f>IF(E360&lt;&gt;"", YEARFRAC(C360, E360) * 12, "")</f>
        <v/>
      </c>
      <c r="J360" s="2">
        <f>IF(I360="", "", IF(AND(A360="MF (Equity)", I360&gt;12), "Long Term", "Short Term"))</f>
        <v/>
      </c>
      <c r="K360" s="5">
        <f>IF(J360="", "", IF(J360="Long Term", 12.5%, 20%))</f>
        <v/>
      </c>
      <c r="L360" s="3">
        <f>+IFERROR(IF(J360="","",H360*K360),"")</f>
        <v/>
      </c>
    </row>
    <row r="361">
      <c r="A361" s="11" t="n"/>
      <c r="B361" s="7" t="n"/>
      <c r="C361" s="8" t="n"/>
      <c r="D361" s="9" t="n"/>
      <c r="E361" s="8" t="n"/>
      <c r="F361" s="9" t="n"/>
      <c r="G361" s="9" t="n"/>
      <c r="H361" s="3">
        <f>IF(AND(D361&lt;&gt;"",F361&lt;&gt;""),F361-D361-G361,"")</f>
        <v/>
      </c>
      <c r="I361" s="14">
        <f>IF(E361&lt;&gt;"", YEARFRAC(C361, E361) * 12, "")</f>
        <v/>
      </c>
      <c r="J361" s="2">
        <f>IF(I361="", "", IF(AND(A361="MF (Equity)", I361&gt;12), "Long Term", "Short Term"))</f>
        <v/>
      </c>
      <c r="K361" s="5">
        <f>IF(J361="", "", IF(J361="Long Term", 12.5%, 20%))</f>
        <v/>
      </c>
      <c r="L361" s="3">
        <f>+IFERROR(IF(J361="","",H361*K361),"")</f>
        <v/>
      </c>
    </row>
    <row r="362">
      <c r="A362" s="11" t="n"/>
      <c r="B362" s="7" t="n"/>
      <c r="C362" s="8" t="n"/>
      <c r="D362" s="9" t="n"/>
      <c r="E362" s="8" t="n"/>
      <c r="F362" s="9" t="n"/>
      <c r="G362" s="9" t="n"/>
      <c r="H362" s="3">
        <f>IF(AND(D362&lt;&gt;"",F362&lt;&gt;""),F362-D362-G362,"")</f>
        <v/>
      </c>
      <c r="I362" s="14">
        <f>IF(E362&lt;&gt;"", YEARFRAC(C362, E362) * 12, "")</f>
        <v/>
      </c>
      <c r="J362" s="2">
        <f>IF(I362="", "", IF(AND(A362="MF (Equity)", I362&gt;12), "Long Term", "Short Term"))</f>
        <v/>
      </c>
      <c r="K362" s="5">
        <f>IF(J362="", "", IF(J362="Long Term", 12.5%, 20%))</f>
        <v/>
      </c>
      <c r="L362" s="3">
        <f>+IFERROR(IF(J362="","",H362*K362),"")</f>
        <v/>
      </c>
    </row>
    <row r="363">
      <c r="A363" s="11" t="n"/>
      <c r="B363" s="7" t="n"/>
      <c r="C363" s="8" t="n"/>
      <c r="D363" s="9" t="n"/>
      <c r="E363" s="8" t="n"/>
      <c r="F363" s="9" t="n"/>
      <c r="G363" s="9" t="n"/>
      <c r="H363" s="3">
        <f>IF(AND(D363&lt;&gt;"",F363&lt;&gt;""),F363-D363-G363,"")</f>
        <v/>
      </c>
      <c r="I363" s="14">
        <f>IF(E363&lt;&gt;"", YEARFRAC(C363, E363) * 12, "")</f>
        <v/>
      </c>
      <c r="J363" s="2">
        <f>IF(I363="", "", IF(AND(A363="MF (Equity)", I363&gt;12), "Long Term", "Short Term"))</f>
        <v/>
      </c>
      <c r="K363" s="5">
        <f>IF(J363="", "", IF(J363="Long Term", 12.5%, 20%))</f>
        <v/>
      </c>
      <c r="L363" s="3">
        <f>+IFERROR(IF(J363="","",H363*K363),"")</f>
        <v/>
      </c>
    </row>
    <row r="364">
      <c r="A364" s="11" t="n"/>
      <c r="B364" s="7" t="n"/>
      <c r="C364" s="8" t="n"/>
      <c r="D364" s="9" t="n"/>
      <c r="E364" s="8" t="n"/>
      <c r="F364" s="9" t="n"/>
      <c r="G364" s="9" t="n"/>
      <c r="H364" s="3">
        <f>IF(AND(D364&lt;&gt;"",F364&lt;&gt;""),F364-D364-G364,"")</f>
        <v/>
      </c>
      <c r="I364" s="14">
        <f>IF(E364&lt;&gt;"", YEARFRAC(C364, E364) * 12, "")</f>
        <v/>
      </c>
      <c r="J364" s="2">
        <f>IF(I364="", "", IF(AND(A364="MF (Equity)", I364&gt;12), "Long Term", "Short Term"))</f>
        <v/>
      </c>
      <c r="K364" s="5">
        <f>IF(J364="", "", IF(J364="Long Term", 12.5%, 20%))</f>
        <v/>
      </c>
      <c r="L364" s="3">
        <f>+IFERROR(IF(J364="","",H364*K364),"")</f>
        <v/>
      </c>
    </row>
    <row r="365">
      <c r="A365" s="11" t="n"/>
      <c r="B365" s="7" t="n"/>
      <c r="C365" s="8" t="n"/>
      <c r="D365" s="9" t="n"/>
      <c r="E365" s="8" t="n"/>
      <c r="F365" s="9" t="n"/>
      <c r="G365" s="9" t="n"/>
      <c r="H365" s="3">
        <f>IF(AND(D365&lt;&gt;"",F365&lt;&gt;""),F365-D365-G365,"")</f>
        <v/>
      </c>
      <c r="I365" s="14">
        <f>IF(E365&lt;&gt;"", YEARFRAC(C365, E365) * 12, "")</f>
        <v/>
      </c>
      <c r="J365" s="2">
        <f>IF(I365="", "", IF(AND(A365="MF (Equity)", I365&gt;12), "Long Term", "Short Term"))</f>
        <v/>
      </c>
      <c r="K365" s="5">
        <f>IF(J365="", "", IF(J365="Long Term", 12.5%, 20%))</f>
        <v/>
      </c>
      <c r="L365" s="3">
        <f>+IFERROR(IF(J365="","",H365*K365),"")</f>
        <v/>
      </c>
    </row>
    <row r="366">
      <c r="A366" s="11" t="n"/>
      <c r="B366" s="7" t="n"/>
      <c r="C366" s="8" t="n"/>
      <c r="D366" s="9" t="n"/>
      <c r="E366" s="8" t="n"/>
      <c r="F366" s="9" t="n"/>
      <c r="G366" s="9" t="n"/>
      <c r="H366" s="3">
        <f>IF(AND(D366&lt;&gt;"",F366&lt;&gt;""),F366-D366-G366,"")</f>
        <v/>
      </c>
      <c r="I366" s="14">
        <f>IF(E366&lt;&gt;"", YEARFRAC(C366, E366) * 12, "")</f>
        <v/>
      </c>
      <c r="J366" s="2">
        <f>IF(I366="", "", IF(AND(A366="MF (Equity)", I366&gt;12), "Long Term", "Short Term"))</f>
        <v/>
      </c>
      <c r="K366" s="5">
        <f>IF(J366="", "", IF(J366="Long Term", 12.5%, 20%))</f>
        <v/>
      </c>
      <c r="L366" s="3">
        <f>+IFERROR(IF(J366="","",H366*K366),"")</f>
        <v/>
      </c>
    </row>
    <row r="367">
      <c r="A367" s="11" t="n"/>
      <c r="B367" s="7" t="n"/>
      <c r="C367" s="8" t="n"/>
      <c r="D367" s="9" t="n"/>
      <c r="E367" s="8" t="n"/>
      <c r="F367" s="9" t="n"/>
      <c r="G367" s="9" t="n"/>
      <c r="H367" s="3">
        <f>IF(AND(D367&lt;&gt;"",F367&lt;&gt;""),F367-D367-G367,"")</f>
        <v/>
      </c>
      <c r="I367" s="14">
        <f>IF(E367&lt;&gt;"", YEARFRAC(C367, E367) * 12, "")</f>
        <v/>
      </c>
      <c r="J367" s="2">
        <f>IF(I367="", "", IF(AND(A367="MF (Equity)", I367&gt;12), "Long Term", "Short Term"))</f>
        <v/>
      </c>
      <c r="K367" s="5">
        <f>IF(J367="", "", IF(J367="Long Term", 12.5%, 20%))</f>
        <v/>
      </c>
      <c r="L367" s="3">
        <f>+IFERROR(IF(J367="","",H367*K367),"")</f>
        <v/>
      </c>
    </row>
    <row r="368">
      <c r="A368" s="11" t="n"/>
      <c r="B368" s="7" t="n"/>
      <c r="C368" s="8" t="n"/>
      <c r="D368" s="9" t="n"/>
      <c r="E368" s="8" t="n"/>
      <c r="F368" s="9" t="n"/>
      <c r="G368" s="9" t="n"/>
      <c r="H368" s="3">
        <f>IF(AND(D368&lt;&gt;"",F368&lt;&gt;""),F368-D368-G368,"")</f>
        <v/>
      </c>
      <c r="I368" s="14">
        <f>IF(E368&lt;&gt;"", YEARFRAC(C368, E368) * 12, "")</f>
        <v/>
      </c>
      <c r="J368" s="2">
        <f>IF(I368="", "", IF(AND(A368="MF (Equity)", I368&gt;12), "Long Term", "Short Term"))</f>
        <v/>
      </c>
      <c r="K368" s="5">
        <f>IF(J368="", "", IF(J368="Long Term", 12.5%, 20%))</f>
        <v/>
      </c>
      <c r="L368" s="3">
        <f>+IFERROR(IF(J368="","",H368*K368),"")</f>
        <v/>
      </c>
    </row>
    <row r="369">
      <c r="A369" s="11" t="n"/>
      <c r="B369" s="7" t="n"/>
      <c r="C369" s="8" t="n"/>
      <c r="D369" s="9" t="n"/>
      <c r="E369" s="8" t="n"/>
      <c r="F369" s="9" t="n"/>
      <c r="G369" s="9" t="n"/>
      <c r="H369" s="3">
        <f>IF(AND(D369&lt;&gt;"",F369&lt;&gt;""),F369-D369-G369,"")</f>
        <v/>
      </c>
      <c r="I369" s="14">
        <f>IF(E369&lt;&gt;"", YEARFRAC(C369, E369) * 12, "")</f>
        <v/>
      </c>
      <c r="J369" s="2">
        <f>IF(I369="", "", IF(AND(A369="MF (Equity)", I369&gt;12), "Long Term", "Short Term"))</f>
        <v/>
      </c>
      <c r="K369" s="5">
        <f>IF(J369="", "", IF(J369="Long Term", 12.5%, 20%))</f>
        <v/>
      </c>
      <c r="L369" s="3">
        <f>+IFERROR(IF(J369="","",H369*K369),"")</f>
        <v/>
      </c>
    </row>
    <row r="370">
      <c r="A370" s="11" t="n"/>
      <c r="B370" s="7" t="n"/>
      <c r="C370" s="8" t="n"/>
      <c r="D370" s="9" t="n"/>
      <c r="E370" s="8" t="n"/>
      <c r="F370" s="9" t="n"/>
      <c r="G370" s="9" t="n"/>
      <c r="H370" s="3">
        <f>IF(AND(D370&lt;&gt;"",F370&lt;&gt;""),F370-D370-G370,"")</f>
        <v/>
      </c>
      <c r="I370" s="14">
        <f>IF(E370&lt;&gt;"", YEARFRAC(C370, E370) * 12, "")</f>
        <v/>
      </c>
      <c r="J370" s="2">
        <f>IF(I370="", "", IF(AND(A370="MF (Equity)", I370&gt;12), "Long Term", "Short Term"))</f>
        <v/>
      </c>
      <c r="K370" s="5">
        <f>IF(J370="", "", IF(J370="Long Term", 12.5%, 20%))</f>
        <v/>
      </c>
      <c r="L370" s="3">
        <f>+IFERROR(IF(J370="","",H370*K370),"")</f>
        <v/>
      </c>
    </row>
    <row r="371">
      <c r="A371" s="11" t="n"/>
      <c r="B371" s="7" t="n"/>
      <c r="C371" s="8" t="n"/>
      <c r="D371" s="9" t="n"/>
      <c r="E371" s="8" t="n"/>
      <c r="F371" s="9" t="n"/>
      <c r="G371" s="9" t="n"/>
      <c r="H371" s="3">
        <f>IF(AND(D371&lt;&gt;"",F371&lt;&gt;""),F371-D371-G371,"")</f>
        <v/>
      </c>
      <c r="I371" s="14">
        <f>IF(E371&lt;&gt;"", YEARFRAC(C371, E371) * 12, "")</f>
        <v/>
      </c>
      <c r="J371" s="2">
        <f>IF(I371="", "", IF(AND(A371="MF (Equity)", I371&gt;12), "Long Term", "Short Term"))</f>
        <v/>
      </c>
      <c r="K371" s="5">
        <f>IF(J371="", "", IF(J371="Long Term", 12.5%, 20%))</f>
        <v/>
      </c>
      <c r="L371" s="3">
        <f>+IFERROR(IF(J371="","",H371*K371),"")</f>
        <v/>
      </c>
    </row>
    <row r="372">
      <c r="A372" s="11" t="n"/>
      <c r="B372" s="7" t="n"/>
      <c r="C372" s="8" t="n"/>
      <c r="D372" s="9" t="n"/>
      <c r="E372" s="8" t="n"/>
      <c r="F372" s="9" t="n"/>
      <c r="G372" s="9" t="n"/>
      <c r="H372" s="3">
        <f>IF(AND(D372&lt;&gt;"",F372&lt;&gt;""),F372-D372-G372,"")</f>
        <v/>
      </c>
      <c r="I372" s="14">
        <f>IF(E372&lt;&gt;"", YEARFRAC(C372, E372) * 12, "")</f>
        <v/>
      </c>
      <c r="J372" s="2">
        <f>IF(I372="", "", IF(AND(A372="MF (Equity)", I372&gt;12), "Long Term", "Short Term"))</f>
        <v/>
      </c>
      <c r="K372" s="5">
        <f>IF(J372="", "", IF(J372="Long Term", 12.5%, 20%))</f>
        <v/>
      </c>
      <c r="L372" s="3">
        <f>+IFERROR(IF(J372="","",H372*K372),"")</f>
        <v/>
      </c>
    </row>
    <row r="373">
      <c r="A373" s="11" t="n"/>
      <c r="B373" s="7" t="n"/>
      <c r="C373" s="8" t="n"/>
      <c r="D373" s="9" t="n"/>
      <c r="E373" s="8" t="n"/>
      <c r="F373" s="9" t="n"/>
      <c r="G373" s="9" t="n"/>
      <c r="H373" s="3">
        <f>IF(AND(D373&lt;&gt;"",F373&lt;&gt;""),F373-D373-G373,"")</f>
        <v/>
      </c>
      <c r="I373" s="14">
        <f>IF(E373&lt;&gt;"", YEARFRAC(C373, E373) * 12, "")</f>
        <v/>
      </c>
      <c r="J373" s="2">
        <f>IF(I373="", "", IF(AND(A373="MF (Equity)", I373&gt;12), "Long Term", "Short Term"))</f>
        <v/>
      </c>
      <c r="K373" s="5">
        <f>IF(J373="", "", IF(J373="Long Term", 12.5%, 20%))</f>
        <v/>
      </c>
      <c r="L373" s="3">
        <f>+IFERROR(IF(J373="","",H373*K373),"")</f>
        <v/>
      </c>
    </row>
    <row r="374">
      <c r="A374" s="11" t="n"/>
      <c r="B374" s="7" t="n"/>
      <c r="C374" s="8" t="n"/>
      <c r="D374" s="9" t="n"/>
      <c r="E374" s="8" t="n"/>
      <c r="F374" s="9" t="n"/>
      <c r="G374" s="9" t="n"/>
      <c r="H374" s="3">
        <f>IF(AND(D374&lt;&gt;"",F374&lt;&gt;""),F374-D374-G374,"")</f>
        <v/>
      </c>
      <c r="I374" s="14">
        <f>IF(E374&lt;&gt;"", YEARFRAC(C374, E374) * 12, "")</f>
        <v/>
      </c>
      <c r="J374" s="2">
        <f>IF(I374="", "", IF(AND(A374="MF (Equity)", I374&gt;12), "Long Term", "Short Term"))</f>
        <v/>
      </c>
      <c r="K374" s="5">
        <f>IF(J374="", "", IF(J374="Long Term", 12.5%, 20%))</f>
        <v/>
      </c>
      <c r="L374" s="3">
        <f>+IFERROR(IF(J374="","",H374*K374),"")</f>
        <v/>
      </c>
    </row>
    <row r="375">
      <c r="A375" s="11" t="n"/>
      <c r="B375" s="7" t="n"/>
      <c r="C375" s="8" t="n"/>
      <c r="D375" s="9" t="n"/>
      <c r="E375" s="8" t="n"/>
      <c r="F375" s="9" t="n"/>
      <c r="G375" s="9" t="n"/>
      <c r="H375" s="3">
        <f>IF(AND(D375&lt;&gt;"",F375&lt;&gt;""),F375-D375-G375,"")</f>
        <v/>
      </c>
      <c r="I375" s="14">
        <f>IF(E375&lt;&gt;"", YEARFRAC(C375, E375) * 12, "")</f>
        <v/>
      </c>
      <c r="J375" s="2">
        <f>IF(I375="", "", IF(AND(A375="MF (Equity)", I375&gt;12), "Long Term", "Short Term"))</f>
        <v/>
      </c>
      <c r="K375" s="5">
        <f>IF(J375="", "", IF(J375="Long Term", 12.5%, 20%))</f>
        <v/>
      </c>
      <c r="L375" s="3">
        <f>+IFERROR(IF(J375="","",H375*K375),"")</f>
        <v/>
      </c>
    </row>
    <row r="376">
      <c r="A376" s="11" t="n"/>
      <c r="B376" s="7" t="n"/>
      <c r="C376" s="8" t="n"/>
      <c r="D376" s="9" t="n"/>
      <c r="E376" s="8" t="n"/>
      <c r="F376" s="9" t="n"/>
      <c r="G376" s="9" t="n"/>
      <c r="H376" s="3">
        <f>IF(AND(D376&lt;&gt;"",F376&lt;&gt;""),F376-D376-G376,"")</f>
        <v/>
      </c>
      <c r="I376" s="14">
        <f>IF(E376&lt;&gt;"", YEARFRAC(C376, E376) * 12, "")</f>
        <v/>
      </c>
      <c r="J376" s="2">
        <f>IF(I376="", "", IF(AND(A376="MF (Equity)", I376&gt;12), "Long Term", "Short Term"))</f>
        <v/>
      </c>
      <c r="K376" s="5">
        <f>IF(J376="", "", IF(J376="Long Term", 12.5%, 20%))</f>
        <v/>
      </c>
      <c r="L376" s="3">
        <f>+IFERROR(IF(J376="","",H376*K376),"")</f>
        <v/>
      </c>
    </row>
    <row r="377">
      <c r="A377" s="11" t="n"/>
      <c r="B377" s="7" t="n"/>
      <c r="C377" s="8" t="n"/>
      <c r="D377" s="9" t="n"/>
      <c r="E377" s="8" t="n"/>
      <c r="F377" s="9" t="n"/>
      <c r="G377" s="9" t="n"/>
      <c r="H377" s="3">
        <f>IF(AND(D377&lt;&gt;"",F377&lt;&gt;""),F377-D377-G377,"")</f>
        <v/>
      </c>
      <c r="I377" s="14">
        <f>IF(E377&lt;&gt;"", YEARFRAC(C377, E377) * 12, "")</f>
        <v/>
      </c>
      <c r="J377" s="2">
        <f>IF(I377="", "", IF(AND(A377="MF (Equity)", I377&gt;12), "Long Term", "Short Term"))</f>
        <v/>
      </c>
      <c r="K377" s="5">
        <f>IF(J377="", "", IF(J377="Long Term", 12.5%, 20%))</f>
        <v/>
      </c>
      <c r="L377" s="3">
        <f>+IFERROR(IF(J377="","",H377*K377),"")</f>
        <v/>
      </c>
    </row>
    <row r="378">
      <c r="A378" s="11" t="n"/>
      <c r="B378" s="7" t="n"/>
      <c r="C378" s="8" t="n"/>
      <c r="D378" s="9" t="n"/>
      <c r="E378" s="8" t="n"/>
      <c r="F378" s="9" t="n"/>
      <c r="G378" s="9" t="n"/>
      <c r="H378" s="3">
        <f>IF(AND(D378&lt;&gt;"",F378&lt;&gt;""),F378-D378-G378,"")</f>
        <v/>
      </c>
      <c r="I378" s="14">
        <f>IF(E378&lt;&gt;"", YEARFRAC(C378, E378) * 12, "")</f>
        <v/>
      </c>
      <c r="J378" s="2">
        <f>IF(I378="", "", IF(AND(A378="MF (Equity)", I378&gt;12), "Long Term", "Short Term"))</f>
        <v/>
      </c>
      <c r="K378" s="5">
        <f>IF(J378="", "", IF(J378="Long Term", 12.5%, 20%))</f>
        <v/>
      </c>
      <c r="L378" s="3">
        <f>+IFERROR(IF(J378="","",H378*K378),"")</f>
        <v/>
      </c>
    </row>
    <row r="379">
      <c r="A379" s="11" t="n"/>
      <c r="B379" s="7" t="n"/>
      <c r="C379" s="8" t="n"/>
      <c r="D379" s="9" t="n"/>
      <c r="E379" s="8" t="n"/>
      <c r="F379" s="9" t="n"/>
      <c r="G379" s="9" t="n"/>
      <c r="H379" s="3">
        <f>IF(AND(D379&lt;&gt;"",F379&lt;&gt;""),F379-D379-G379,"")</f>
        <v/>
      </c>
      <c r="I379" s="14">
        <f>IF(E379&lt;&gt;"", YEARFRAC(C379, E379) * 12, "")</f>
        <v/>
      </c>
      <c r="J379" s="2">
        <f>IF(I379="", "", IF(AND(A379="MF (Equity)", I379&gt;12), "Long Term", "Short Term"))</f>
        <v/>
      </c>
      <c r="K379" s="5">
        <f>IF(J379="", "", IF(J379="Long Term", 12.5%, 20%))</f>
        <v/>
      </c>
      <c r="L379" s="3">
        <f>+IFERROR(IF(J379="","",H379*K379),"")</f>
        <v/>
      </c>
    </row>
    <row r="380">
      <c r="A380" s="11" t="n"/>
      <c r="B380" s="7" t="n"/>
      <c r="C380" s="8" t="n"/>
      <c r="D380" s="9" t="n"/>
      <c r="E380" s="8" t="n"/>
      <c r="F380" s="9" t="n"/>
      <c r="G380" s="9" t="n"/>
      <c r="H380" s="3">
        <f>IF(AND(D380&lt;&gt;"",F380&lt;&gt;""),F380-D380-G380,"")</f>
        <v/>
      </c>
      <c r="I380" s="14">
        <f>IF(E380&lt;&gt;"", YEARFRAC(C380, E380) * 12, "")</f>
        <v/>
      </c>
      <c r="J380" s="2">
        <f>IF(I380="", "", IF(AND(A380="MF (Equity)", I380&gt;12), "Long Term", "Short Term"))</f>
        <v/>
      </c>
      <c r="K380" s="5">
        <f>IF(J380="", "", IF(J380="Long Term", 12.5%, 20%))</f>
        <v/>
      </c>
      <c r="L380" s="3">
        <f>+IFERROR(IF(J380="","",H380*K380),"")</f>
        <v/>
      </c>
    </row>
    <row r="381">
      <c r="A381" s="11" t="n"/>
      <c r="B381" s="7" t="n"/>
      <c r="C381" s="8" t="n"/>
      <c r="D381" s="9" t="n"/>
      <c r="E381" s="8" t="n"/>
      <c r="F381" s="9" t="n"/>
      <c r="G381" s="9" t="n"/>
      <c r="H381" s="3">
        <f>IF(AND(D381&lt;&gt;"",F381&lt;&gt;""),F381-D381-G381,"")</f>
        <v/>
      </c>
      <c r="I381" s="14">
        <f>IF(E381&lt;&gt;"", YEARFRAC(C381, E381) * 12, "")</f>
        <v/>
      </c>
      <c r="J381" s="2">
        <f>IF(I381="", "", IF(AND(A381="MF (Equity)", I381&gt;12), "Long Term", "Short Term"))</f>
        <v/>
      </c>
      <c r="K381" s="5">
        <f>IF(J381="", "", IF(J381="Long Term", 12.5%, 20%))</f>
        <v/>
      </c>
      <c r="L381" s="3">
        <f>+IFERROR(IF(J381="","",H381*K381),"")</f>
        <v/>
      </c>
    </row>
    <row r="382">
      <c r="A382" s="11" t="n"/>
      <c r="B382" s="7" t="n"/>
      <c r="C382" s="8" t="n"/>
      <c r="D382" s="9" t="n"/>
      <c r="E382" s="8" t="n"/>
      <c r="F382" s="9" t="n"/>
      <c r="G382" s="9" t="n"/>
      <c r="H382" s="3">
        <f>IF(AND(D382&lt;&gt;"",F382&lt;&gt;""),F382-D382-G382,"")</f>
        <v/>
      </c>
      <c r="I382" s="14">
        <f>IF(E382&lt;&gt;"", YEARFRAC(C382, E382) * 12, "")</f>
        <v/>
      </c>
      <c r="J382" s="2">
        <f>IF(I382="", "", IF(AND(A382="MF (Equity)", I382&gt;12), "Long Term", "Short Term"))</f>
        <v/>
      </c>
      <c r="K382" s="5">
        <f>IF(J382="", "", IF(J382="Long Term", 12.5%, 20%))</f>
        <v/>
      </c>
      <c r="L382" s="3">
        <f>+IFERROR(IF(J382="","",H382*K382),"")</f>
        <v/>
      </c>
    </row>
    <row r="383">
      <c r="A383" s="11" t="n"/>
      <c r="B383" s="7" t="n"/>
      <c r="C383" s="8" t="n"/>
      <c r="D383" s="9" t="n"/>
      <c r="E383" s="8" t="n"/>
      <c r="F383" s="9" t="n"/>
      <c r="G383" s="9" t="n"/>
      <c r="H383" s="3">
        <f>IF(AND(D383&lt;&gt;"",F383&lt;&gt;""),F383-D383-G383,"")</f>
        <v/>
      </c>
      <c r="I383" s="14">
        <f>IF(E383&lt;&gt;"", YEARFRAC(C383, E383) * 12, "")</f>
        <v/>
      </c>
      <c r="J383" s="2">
        <f>IF(I383="", "", IF(AND(A383="MF (Equity)", I383&gt;12), "Long Term", "Short Term"))</f>
        <v/>
      </c>
      <c r="K383" s="5">
        <f>IF(J383="", "", IF(J383="Long Term", 12.5%, 20%))</f>
        <v/>
      </c>
      <c r="L383" s="3">
        <f>+IFERROR(IF(J383="","",H383*K383),"")</f>
        <v/>
      </c>
    </row>
    <row r="384">
      <c r="A384" s="11" t="n"/>
      <c r="B384" s="7" t="n"/>
      <c r="C384" s="8" t="n"/>
      <c r="D384" s="9" t="n"/>
      <c r="E384" s="8" t="n"/>
      <c r="F384" s="9" t="n"/>
      <c r="G384" s="9" t="n"/>
      <c r="H384" s="3">
        <f>IF(AND(D384&lt;&gt;"",F384&lt;&gt;""),F384-D384-G384,"")</f>
        <v/>
      </c>
      <c r="I384" s="14">
        <f>IF(E384&lt;&gt;"", YEARFRAC(C384, E384) * 12, "")</f>
        <v/>
      </c>
      <c r="J384" s="2">
        <f>IF(I384="", "", IF(AND(A384="MF (Equity)", I384&gt;12), "Long Term", "Short Term"))</f>
        <v/>
      </c>
      <c r="K384" s="5">
        <f>IF(J384="", "", IF(J384="Long Term", 12.5%, 20%))</f>
        <v/>
      </c>
      <c r="L384" s="3">
        <f>+IFERROR(IF(J384="","",H384*K384),"")</f>
        <v/>
      </c>
    </row>
    <row r="385">
      <c r="A385" s="11" t="n"/>
      <c r="B385" s="7" t="n"/>
      <c r="C385" s="8" t="n"/>
      <c r="D385" s="9" t="n"/>
      <c r="E385" s="8" t="n"/>
      <c r="F385" s="9" t="n"/>
      <c r="G385" s="9" t="n"/>
      <c r="H385" s="3">
        <f>IF(AND(D385&lt;&gt;"",F385&lt;&gt;""),F385-D385-G385,"")</f>
        <v/>
      </c>
      <c r="I385" s="14">
        <f>IF(E385&lt;&gt;"", YEARFRAC(C385, E385) * 12, "")</f>
        <v/>
      </c>
      <c r="J385" s="2">
        <f>IF(I385="", "", IF(AND(A385="MF (Equity)", I385&gt;12), "Long Term", "Short Term"))</f>
        <v/>
      </c>
      <c r="K385" s="5">
        <f>IF(J385="", "", IF(J385="Long Term", 12.5%, 20%))</f>
        <v/>
      </c>
      <c r="L385" s="3">
        <f>+IFERROR(IF(J385="","",H385*K385),"")</f>
        <v/>
      </c>
    </row>
    <row r="386">
      <c r="A386" s="11" t="n"/>
      <c r="B386" s="7" t="n"/>
      <c r="C386" s="8" t="n"/>
      <c r="D386" s="9" t="n"/>
      <c r="E386" s="8" t="n"/>
      <c r="F386" s="9" t="n"/>
      <c r="G386" s="9" t="n"/>
      <c r="H386" s="3">
        <f>IF(AND(D386&lt;&gt;"",F386&lt;&gt;""),F386-D386-G386,"")</f>
        <v/>
      </c>
      <c r="I386" s="14">
        <f>IF(E386&lt;&gt;"", YEARFRAC(C386, E386) * 12, "")</f>
        <v/>
      </c>
      <c r="J386" s="2">
        <f>IF(I386="", "", IF(AND(A386="MF (Equity)", I386&gt;12), "Long Term", "Short Term"))</f>
        <v/>
      </c>
      <c r="K386" s="5">
        <f>IF(J386="", "", IF(J386="Long Term", 12.5%, 20%))</f>
        <v/>
      </c>
      <c r="L386" s="3">
        <f>+IFERROR(IF(J386="","",H386*K386),"")</f>
        <v/>
      </c>
    </row>
    <row r="387">
      <c r="A387" s="11" t="n"/>
      <c r="B387" s="7" t="n"/>
      <c r="C387" s="8" t="n"/>
      <c r="D387" s="9" t="n"/>
      <c r="E387" s="8" t="n"/>
      <c r="F387" s="9" t="n"/>
      <c r="G387" s="9" t="n"/>
      <c r="H387" s="3">
        <f>IF(AND(D387&lt;&gt;"",F387&lt;&gt;""),F387-D387-G387,"")</f>
        <v/>
      </c>
      <c r="I387" s="14">
        <f>IF(E387&lt;&gt;"", YEARFRAC(C387, E387) * 12, "")</f>
        <v/>
      </c>
      <c r="J387" s="2">
        <f>IF(I387="", "", IF(AND(A387="MF (Equity)", I387&gt;12), "Long Term", "Short Term"))</f>
        <v/>
      </c>
      <c r="K387" s="5">
        <f>IF(J387="", "", IF(J387="Long Term", 12.5%, 20%))</f>
        <v/>
      </c>
      <c r="L387" s="3">
        <f>+IFERROR(IF(J387="","",H387*K387),"")</f>
        <v/>
      </c>
    </row>
    <row r="388">
      <c r="A388" s="11" t="n"/>
      <c r="B388" s="7" t="n"/>
      <c r="C388" s="8" t="n"/>
      <c r="D388" s="9" t="n"/>
      <c r="E388" s="8" t="n"/>
      <c r="F388" s="9" t="n"/>
      <c r="G388" s="9" t="n"/>
      <c r="H388" s="3">
        <f>IF(AND(D388&lt;&gt;"",F388&lt;&gt;""),F388-D388-G388,"")</f>
        <v/>
      </c>
      <c r="I388" s="14">
        <f>IF(E388&lt;&gt;"", YEARFRAC(C388, E388) * 12, "")</f>
        <v/>
      </c>
      <c r="J388" s="2">
        <f>IF(I388="", "", IF(AND(A388="MF (Equity)", I388&gt;12), "Long Term", "Short Term"))</f>
        <v/>
      </c>
      <c r="K388" s="5">
        <f>IF(J388="", "", IF(J388="Long Term", 12.5%, 20%))</f>
        <v/>
      </c>
      <c r="L388" s="3">
        <f>+IFERROR(IF(J388="","",H388*K388),"")</f>
        <v/>
      </c>
    </row>
    <row r="389">
      <c r="A389" s="11" t="n"/>
      <c r="B389" s="7" t="n"/>
      <c r="C389" s="8" t="n"/>
      <c r="D389" s="9" t="n"/>
      <c r="E389" s="8" t="n"/>
      <c r="F389" s="9" t="n"/>
      <c r="G389" s="9" t="n"/>
      <c r="H389" s="3">
        <f>IF(AND(D389&lt;&gt;"",F389&lt;&gt;""),F389-D389-G389,"")</f>
        <v/>
      </c>
      <c r="I389" s="14">
        <f>IF(E389&lt;&gt;"", YEARFRAC(C389, E389) * 12, "")</f>
        <v/>
      </c>
      <c r="J389" s="2">
        <f>IF(I389="", "", IF(AND(A389="MF (Equity)", I389&gt;12), "Long Term", "Short Term"))</f>
        <v/>
      </c>
      <c r="K389" s="5">
        <f>IF(J389="", "", IF(J389="Long Term", 12.5%, 20%))</f>
        <v/>
      </c>
      <c r="L389" s="3">
        <f>+IFERROR(IF(J389="","",H389*K389),"")</f>
        <v/>
      </c>
    </row>
    <row r="390">
      <c r="A390" s="11" t="n"/>
      <c r="B390" s="7" t="n"/>
      <c r="C390" s="8" t="n"/>
      <c r="D390" s="9" t="n"/>
      <c r="E390" s="8" t="n"/>
      <c r="F390" s="9" t="n"/>
      <c r="G390" s="9" t="n"/>
      <c r="H390" s="3">
        <f>IF(AND(D390&lt;&gt;"",F390&lt;&gt;""),F390-D390-G390,"")</f>
        <v/>
      </c>
      <c r="I390" s="14">
        <f>IF(E390&lt;&gt;"", YEARFRAC(C390, E390) * 12, "")</f>
        <v/>
      </c>
      <c r="J390" s="2">
        <f>IF(I390="", "", IF(AND(A390="MF (Equity)", I390&gt;12), "Long Term", "Short Term"))</f>
        <v/>
      </c>
      <c r="K390" s="5">
        <f>IF(J390="", "", IF(J390="Long Term", 12.5%, 20%))</f>
        <v/>
      </c>
      <c r="L390" s="3">
        <f>+IFERROR(IF(J390="","",H390*K390),"")</f>
        <v/>
      </c>
    </row>
    <row r="391">
      <c r="A391" s="11" t="n"/>
      <c r="B391" s="7" t="n"/>
      <c r="C391" s="8" t="n"/>
      <c r="D391" s="9" t="n"/>
      <c r="E391" s="8" t="n"/>
      <c r="F391" s="9" t="n"/>
      <c r="G391" s="9" t="n"/>
      <c r="H391" s="3">
        <f>IF(AND(D391&lt;&gt;"",F391&lt;&gt;""),F391-D391-G391,"")</f>
        <v/>
      </c>
      <c r="I391" s="14">
        <f>IF(E391&lt;&gt;"", YEARFRAC(C391, E391) * 12, "")</f>
        <v/>
      </c>
      <c r="J391" s="2">
        <f>IF(I391="", "", IF(AND(A391="MF (Equity)", I391&gt;12), "Long Term", "Short Term"))</f>
        <v/>
      </c>
      <c r="K391" s="5">
        <f>IF(J391="", "", IF(J391="Long Term", 12.5%, 20%))</f>
        <v/>
      </c>
      <c r="L391" s="3">
        <f>+IFERROR(IF(J391="","",H391*K391),"")</f>
        <v/>
      </c>
    </row>
    <row r="392">
      <c r="A392" s="11" t="n"/>
      <c r="B392" s="7" t="n"/>
      <c r="C392" s="8" t="n"/>
      <c r="D392" s="9" t="n"/>
      <c r="E392" s="8" t="n"/>
      <c r="F392" s="9" t="n"/>
      <c r="G392" s="9" t="n"/>
      <c r="H392" s="3">
        <f>IF(AND(D392&lt;&gt;"",F392&lt;&gt;""),F392-D392-G392,"")</f>
        <v/>
      </c>
      <c r="I392" s="14">
        <f>IF(E392&lt;&gt;"", YEARFRAC(C392, E392) * 12, "")</f>
        <v/>
      </c>
      <c r="J392" s="2">
        <f>IF(I392="", "", IF(AND(A392="MF (Equity)", I392&gt;12), "Long Term", "Short Term"))</f>
        <v/>
      </c>
      <c r="K392" s="5">
        <f>IF(J392="", "", IF(J392="Long Term", 12.5%, 20%))</f>
        <v/>
      </c>
      <c r="L392" s="3">
        <f>+IFERROR(IF(J392="","",H392*K392),"")</f>
        <v/>
      </c>
    </row>
    <row r="393">
      <c r="A393" s="11" t="n"/>
      <c r="B393" s="7" t="n"/>
      <c r="C393" s="8" t="n"/>
      <c r="D393" s="9" t="n"/>
      <c r="E393" s="8" t="n"/>
      <c r="F393" s="9" t="n"/>
      <c r="G393" s="9" t="n"/>
      <c r="H393" s="3">
        <f>IF(AND(D393&lt;&gt;"",F393&lt;&gt;""),F393-D393-G393,"")</f>
        <v/>
      </c>
      <c r="I393" s="14">
        <f>IF(E393&lt;&gt;"", YEARFRAC(C393, E393) * 12, "")</f>
        <v/>
      </c>
      <c r="J393" s="2">
        <f>IF(I393="", "", IF(AND(A393="MF (Equity)", I393&gt;12), "Long Term", "Short Term"))</f>
        <v/>
      </c>
      <c r="K393" s="5">
        <f>IF(J393="", "", IF(J393="Long Term", 12.5%, 20%))</f>
        <v/>
      </c>
      <c r="L393" s="3">
        <f>+IFERROR(IF(J393="","",H393*K393),"")</f>
        <v/>
      </c>
    </row>
    <row r="394">
      <c r="A394" s="11" t="n"/>
      <c r="B394" s="7" t="n"/>
      <c r="C394" s="8" t="n"/>
      <c r="D394" s="9" t="n"/>
      <c r="E394" s="8" t="n"/>
      <c r="F394" s="9" t="n"/>
      <c r="G394" s="9" t="n"/>
      <c r="H394" s="3">
        <f>IF(AND(D394&lt;&gt;"",F394&lt;&gt;""),F394-D394-G394,"")</f>
        <v/>
      </c>
      <c r="I394" s="14">
        <f>IF(E394&lt;&gt;"", YEARFRAC(C394, E394) * 12, "")</f>
        <v/>
      </c>
      <c r="J394" s="2">
        <f>IF(I394="", "", IF(AND(A394="MF (Equity)", I394&gt;12), "Long Term", "Short Term"))</f>
        <v/>
      </c>
      <c r="K394" s="5">
        <f>IF(J394="", "", IF(J394="Long Term", 12.5%, 20%))</f>
        <v/>
      </c>
      <c r="L394" s="3">
        <f>+IFERROR(IF(J394="","",H394*K394),"")</f>
        <v/>
      </c>
    </row>
    <row r="395">
      <c r="A395" s="11" t="n"/>
      <c r="B395" s="7" t="n"/>
      <c r="C395" s="8" t="n"/>
      <c r="D395" s="9" t="n"/>
      <c r="E395" s="8" t="n"/>
      <c r="F395" s="9" t="n"/>
      <c r="G395" s="9" t="n"/>
      <c r="H395" s="3">
        <f>IF(AND(D395&lt;&gt;"",F395&lt;&gt;""),F395-D395-G395,"")</f>
        <v/>
      </c>
      <c r="I395" s="14">
        <f>IF(E395&lt;&gt;"", YEARFRAC(C395, E395) * 12, "")</f>
        <v/>
      </c>
      <c r="J395" s="2">
        <f>IF(I395="", "", IF(AND(A395="MF (Equity)", I395&gt;12), "Long Term", "Short Term"))</f>
        <v/>
      </c>
      <c r="K395" s="5">
        <f>IF(J395="", "", IF(J395="Long Term", 12.5%, 20%))</f>
        <v/>
      </c>
      <c r="L395" s="3">
        <f>+IFERROR(IF(J395="","",H395*K395),"")</f>
        <v/>
      </c>
    </row>
    <row r="396">
      <c r="A396" s="11" t="n"/>
      <c r="B396" s="7" t="n"/>
      <c r="C396" s="8" t="n"/>
      <c r="D396" s="9" t="n"/>
      <c r="E396" s="8" t="n"/>
      <c r="F396" s="9" t="n"/>
      <c r="G396" s="9" t="n"/>
      <c r="H396" s="3">
        <f>IF(AND(D396&lt;&gt;"",F396&lt;&gt;""),F396-D396-G396,"")</f>
        <v/>
      </c>
      <c r="I396" s="14">
        <f>IF(E396&lt;&gt;"", YEARFRAC(C396, E396) * 12, "")</f>
        <v/>
      </c>
      <c r="J396" s="2">
        <f>IF(I396="", "", IF(AND(A396="MF (Equity)", I396&gt;12), "Long Term", "Short Term"))</f>
        <v/>
      </c>
      <c r="K396" s="5">
        <f>IF(J396="", "", IF(J396="Long Term", 12.5%, 20%))</f>
        <v/>
      </c>
      <c r="L396" s="3">
        <f>+IFERROR(IF(J396="","",H396*K396),"")</f>
        <v/>
      </c>
    </row>
    <row r="397">
      <c r="A397" s="11" t="n"/>
      <c r="B397" s="7" t="n"/>
      <c r="C397" s="8" t="n"/>
      <c r="D397" s="9" t="n"/>
      <c r="E397" s="8" t="n"/>
      <c r="F397" s="9" t="n"/>
      <c r="G397" s="9" t="n"/>
      <c r="H397" s="3">
        <f>IF(AND(D397&lt;&gt;"",F397&lt;&gt;""),F397-D397-G397,"")</f>
        <v/>
      </c>
      <c r="I397" s="14">
        <f>IF(E397&lt;&gt;"", YEARFRAC(C397, E397) * 12, "")</f>
        <v/>
      </c>
      <c r="J397" s="2">
        <f>IF(I397="", "", IF(AND(A397="MF (Equity)", I397&gt;12), "Long Term", "Short Term"))</f>
        <v/>
      </c>
      <c r="K397" s="5">
        <f>IF(J397="", "", IF(J397="Long Term", 12.5%, 20%))</f>
        <v/>
      </c>
      <c r="L397" s="3">
        <f>+IFERROR(IF(J397="","",H397*K397),"")</f>
        <v/>
      </c>
    </row>
    <row r="398">
      <c r="A398" s="11" t="n"/>
      <c r="B398" s="7" t="n"/>
      <c r="C398" s="8" t="n"/>
      <c r="D398" s="9" t="n"/>
      <c r="E398" s="8" t="n"/>
      <c r="F398" s="9" t="n"/>
      <c r="G398" s="9" t="n"/>
      <c r="H398" s="3">
        <f>IF(AND(D398&lt;&gt;"",F398&lt;&gt;""),F398-D398-G398,"")</f>
        <v/>
      </c>
      <c r="I398" s="14">
        <f>IF(E398&lt;&gt;"", YEARFRAC(C398, E398) * 12, "")</f>
        <v/>
      </c>
      <c r="J398" s="2">
        <f>IF(I398="", "", IF(AND(A398="MF (Equity)", I398&gt;12), "Long Term", "Short Term"))</f>
        <v/>
      </c>
      <c r="K398" s="5">
        <f>IF(J398="", "", IF(J398="Long Term", 12.5%, 20%))</f>
        <v/>
      </c>
      <c r="L398" s="3">
        <f>+IFERROR(IF(J398="","",H398*K398),"")</f>
        <v/>
      </c>
    </row>
    <row r="399">
      <c r="A399" s="11" t="n"/>
      <c r="B399" s="7" t="n"/>
      <c r="C399" s="8" t="n"/>
      <c r="D399" s="9" t="n"/>
      <c r="E399" s="8" t="n"/>
      <c r="F399" s="9" t="n"/>
      <c r="G399" s="9" t="n"/>
      <c r="H399" s="3">
        <f>IF(AND(D399&lt;&gt;"",F399&lt;&gt;""),F399-D399-G399,"")</f>
        <v/>
      </c>
      <c r="I399" s="14">
        <f>IF(E399&lt;&gt;"", YEARFRAC(C399, E399) * 12, "")</f>
        <v/>
      </c>
      <c r="J399" s="2">
        <f>IF(I399="", "", IF(AND(A399="MF (Equity)", I399&gt;12), "Long Term", "Short Term"))</f>
        <v/>
      </c>
      <c r="K399" s="5">
        <f>IF(J399="", "", IF(J399="Long Term", 12.5%, 20%))</f>
        <v/>
      </c>
      <c r="L399" s="3">
        <f>+IFERROR(IF(J399="","",H399*K399),"")</f>
        <v/>
      </c>
    </row>
    <row r="400">
      <c r="A400" s="11" t="n"/>
      <c r="B400" s="7" t="n"/>
      <c r="C400" s="8" t="n"/>
      <c r="D400" s="9" t="n"/>
      <c r="E400" s="8" t="n"/>
      <c r="F400" s="9" t="n"/>
      <c r="G400" s="9" t="n"/>
      <c r="H400" s="3">
        <f>IF(AND(D400&lt;&gt;"",F400&lt;&gt;""),F400-D400-G400,"")</f>
        <v/>
      </c>
      <c r="I400" s="14">
        <f>IF(E400&lt;&gt;"", YEARFRAC(C400, E400) * 12, "")</f>
        <v/>
      </c>
      <c r="J400" s="2">
        <f>IF(I400="", "", IF(AND(A400="MF (Equity)", I400&gt;12), "Long Term", "Short Term"))</f>
        <v/>
      </c>
      <c r="K400" s="5">
        <f>IF(J400="", "", IF(J400="Long Term", 12.5%, 20%))</f>
        <v/>
      </c>
      <c r="L400" s="3">
        <f>+IFERROR(IF(J400="","",H400*K400),"")</f>
        <v/>
      </c>
    </row>
    <row r="401">
      <c r="A401" s="11" t="n"/>
      <c r="B401" s="7" t="n"/>
      <c r="C401" s="8" t="n"/>
      <c r="D401" s="9" t="n"/>
      <c r="E401" s="8" t="n"/>
      <c r="F401" s="9" t="n"/>
      <c r="G401" s="9" t="n"/>
      <c r="H401" s="3">
        <f>IF(AND(D401&lt;&gt;"",F401&lt;&gt;""),F401-D401-G401,"")</f>
        <v/>
      </c>
      <c r="I401" s="14">
        <f>IF(E401&lt;&gt;"", YEARFRAC(C401, E401) * 12, "")</f>
        <v/>
      </c>
      <c r="J401" s="2">
        <f>IF(I401="", "", IF(AND(A401="MF (Equity)", I401&gt;12), "Long Term", "Short Term"))</f>
        <v/>
      </c>
      <c r="K401" s="5">
        <f>IF(J401="", "", IF(J401="Long Term", 12.5%, 20%))</f>
        <v/>
      </c>
      <c r="L401" s="3">
        <f>+IFERROR(IF(J401="","",H401*K401),"")</f>
        <v/>
      </c>
    </row>
    <row r="402">
      <c r="A402" s="11" t="n"/>
      <c r="B402" s="7" t="n"/>
      <c r="C402" s="8" t="n"/>
      <c r="D402" s="9" t="n"/>
      <c r="E402" s="8" t="n"/>
      <c r="F402" s="9" t="n"/>
      <c r="G402" s="9" t="n"/>
      <c r="H402" s="3">
        <f>IF(AND(D402&lt;&gt;"",F402&lt;&gt;""),F402-D402-G402,"")</f>
        <v/>
      </c>
      <c r="I402" s="14">
        <f>IF(E402&lt;&gt;"", YEARFRAC(C402, E402) * 12, "")</f>
        <v/>
      </c>
      <c r="J402" s="2">
        <f>IF(I402="", "", IF(AND(A402="MF (Equity)", I402&gt;12), "Long Term", "Short Term"))</f>
        <v/>
      </c>
      <c r="K402" s="5">
        <f>IF(J402="", "", IF(J402="Long Term", 12.5%, 20%))</f>
        <v/>
      </c>
      <c r="L402" s="3">
        <f>+IFERROR(IF(J402="","",H402*K402),"")</f>
        <v/>
      </c>
    </row>
    <row r="403">
      <c r="A403" s="11" t="n"/>
      <c r="B403" s="7" t="n"/>
      <c r="C403" s="8" t="n"/>
      <c r="D403" s="9" t="n"/>
      <c r="E403" s="8" t="n"/>
      <c r="F403" s="9" t="n"/>
      <c r="G403" s="9" t="n"/>
      <c r="H403" s="3">
        <f>IF(AND(D403&lt;&gt;"",F403&lt;&gt;""),F403-D403-G403,"")</f>
        <v/>
      </c>
      <c r="I403" s="14">
        <f>IF(E403&lt;&gt;"", YEARFRAC(C403, E403) * 12, "")</f>
        <v/>
      </c>
      <c r="J403" s="2">
        <f>IF(I403="", "", IF(AND(A403="MF (Equity)", I403&gt;12), "Long Term", "Short Term"))</f>
        <v/>
      </c>
      <c r="K403" s="5">
        <f>IF(J403="", "", IF(J403="Long Term", 12.5%, 20%))</f>
        <v/>
      </c>
      <c r="L403" s="3">
        <f>+IFERROR(IF(J403="","",H403*K403),"")</f>
        <v/>
      </c>
    </row>
    <row r="404">
      <c r="A404" s="11" t="n"/>
      <c r="B404" s="7" t="n"/>
      <c r="C404" s="8" t="n"/>
      <c r="D404" s="9" t="n"/>
      <c r="E404" s="8" t="n"/>
      <c r="F404" s="9" t="n"/>
      <c r="G404" s="9" t="n"/>
      <c r="H404" s="3">
        <f>IF(AND(D404&lt;&gt;"",F404&lt;&gt;""),F404-D404-G404,"")</f>
        <v/>
      </c>
      <c r="I404" s="14">
        <f>IF(E404&lt;&gt;"", YEARFRAC(C404, E404) * 12, "")</f>
        <v/>
      </c>
      <c r="J404" s="2">
        <f>IF(I404="", "", IF(AND(A404="MF (Equity)", I404&gt;12), "Long Term", "Short Term"))</f>
        <v/>
      </c>
      <c r="K404" s="5">
        <f>IF(J404="", "", IF(J404="Long Term", 12.5%, 20%))</f>
        <v/>
      </c>
      <c r="L404" s="3">
        <f>+IFERROR(IF(J404="","",H404*K404),"")</f>
        <v/>
      </c>
    </row>
    <row r="405">
      <c r="A405" s="11" t="n"/>
      <c r="B405" s="7" t="n"/>
      <c r="C405" s="8" t="n"/>
      <c r="D405" s="9" t="n"/>
      <c r="E405" s="8" t="n"/>
      <c r="F405" s="9" t="n"/>
      <c r="G405" s="9" t="n"/>
      <c r="H405" s="3">
        <f>IF(AND(D405&lt;&gt;"",F405&lt;&gt;""),F405-D405-G405,"")</f>
        <v/>
      </c>
      <c r="I405" s="14">
        <f>IF(E405&lt;&gt;"", YEARFRAC(C405, E405) * 12, "")</f>
        <v/>
      </c>
      <c r="J405" s="2">
        <f>IF(I405="", "", IF(AND(A405="MF (Equity)", I405&gt;12), "Long Term", "Short Term"))</f>
        <v/>
      </c>
      <c r="K405" s="5">
        <f>IF(J405="", "", IF(J405="Long Term", 12.5%, 20%))</f>
        <v/>
      </c>
      <c r="L405" s="3">
        <f>+IFERROR(IF(J405="","",H405*K405),"")</f>
        <v/>
      </c>
    </row>
    <row r="406">
      <c r="A406" s="11" t="n"/>
      <c r="B406" s="7" t="n"/>
      <c r="C406" s="8" t="n"/>
      <c r="D406" s="9" t="n"/>
      <c r="E406" s="8" t="n"/>
      <c r="F406" s="9" t="n"/>
      <c r="G406" s="9" t="n"/>
      <c r="H406" s="3">
        <f>IF(AND(D406&lt;&gt;"",F406&lt;&gt;""),F406-D406-G406,"")</f>
        <v/>
      </c>
      <c r="I406" s="14">
        <f>IF(E406&lt;&gt;"", YEARFRAC(C406, E406) * 12, "")</f>
        <v/>
      </c>
      <c r="J406" s="2">
        <f>IF(I406="", "", IF(AND(A406="MF (Equity)", I406&gt;12), "Long Term", "Short Term"))</f>
        <v/>
      </c>
      <c r="K406" s="5">
        <f>IF(J406="", "", IF(J406="Long Term", 12.5%, 20%))</f>
        <v/>
      </c>
      <c r="L406" s="3">
        <f>+IFERROR(IF(J406="","",H406*K406),"")</f>
        <v/>
      </c>
    </row>
    <row r="407">
      <c r="A407" s="11" t="n"/>
      <c r="B407" s="7" t="n"/>
      <c r="C407" s="8" t="n"/>
      <c r="D407" s="9" t="n"/>
      <c r="E407" s="8" t="n"/>
      <c r="F407" s="9" t="n"/>
      <c r="G407" s="9" t="n"/>
      <c r="H407" s="3">
        <f>IF(AND(D407&lt;&gt;"",F407&lt;&gt;""),F407-D407-G407,"")</f>
        <v/>
      </c>
      <c r="I407" s="14">
        <f>IF(E407&lt;&gt;"", YEARFRAC(C407, E407) * 12, "")</f>
        <v/>
      </c>
      <c r="J407" s="2">
        <f>IF(I407="", "", IF(AND(A407="MF (Equity)", I407&gt;12), "Long Term", "Short Term"))</f>
        <v/>
      </c>
      <c r="K407" s="5">
        <f>IF(J407="", "", IF(J407="Long Term", 12.5%, 20%))</f>
        <v/>
      </c>
      <c r="L407" s="3">
        <f>+IFERROR(IF(J407="","",H407*K407),"")</f>
        <v/>
      </c>
    </row>
    <row r="408">
      <c r="A408" s="11" t="n"/>
      <c r="B408" s="7" t="n"/>
      <c r="C408" s="8" t="n"/>
      <c r="D408" s="9" t="n"/>
      <c r="E408" s="8" t="n"/>
      <c r="F408" s="9" t="n"/>
      <c r="G408" s="9" t="n"/>
      <c r="H408" s="3">
        <f>IF(AND(D408&lt;&gt;"",F408&lt;&gt;""),F408-D408-G408,"")</f>
        <v/>
      </c>
      <c r="I408" s="14">
        <f>IF(E408&lt;&gt;"", YEARFRAC(C408, E408) * 12, "")</f>
        <v/>
      </c>
      <c r="J408" s="2">
        <f>IF(I408="", "", IF(AND(A408="MF (Equity)", I408&gt;12), "Long Term", "Short Term"))</f>
        <v/>
      </c>
      <c r="K408" s="5">
        <f>IF(J408="", "", IF(J408="Long Term", 12.5%, 20%))</f>
        <v/>
      </c>
      <c r="L408" s="3">
        <f>+IFERROR(IF(J408="","",H408*K408),"")</f>
        <v/>
      </c>
    </row>
    <row r="409">
      <c r="A409" s="11" t="n"/>
      <c r="B409" s="7" t="n"/>
      <c r="C409" s="8" t="n"/>
      <c r="D409" s="9" t="n"/>
      <c r="E409" s="8" t="n"/>
      <c r="F409" s="9" t="n"/>
      <c r="G409" s="9" t="n"/>
      <c r="H409" s="3">
        <f>IF(AND(D409&lt;&gt;"",F409&lt;&gt;""),F409-D409-G409,"")</f>
        <v/>
      </c>
      <c r="I409" s="14">
        <f>IF(E409&lt;&gt;"", YEARFRAC(C409, E409) * 12, "")</f>
        <v/>
      </c>
      <c r="J409" s="2">
        <f>IF(I409="", "", IF(AND(A409="MF (Equity)", I409&gt;12), "Long Term", "Short Term"))</f>
        <v/>
      </c>
      <c r="K409" s="5">
        <f>IF(J409="", "", IF(J409="Long Term", 12.5%, 20%))</f>
        <v/>
      </c>
      <c r="L409" s="3">
        <f>+IFERROR(IF(J409="","",H409*K409),"")</f>
        <v/>
      </c>
    </row>
    <row r="410">
      <c r="A410" s="11" t="n"/>
      <c r="B410" s="7" t="n"/>
      <c r="C410" s="8" t="n"/>
      <c r="D410" s="9" t="n"/>
      <c r="E410" s="8" t="n"/>
      <c r="F410" s="9" t="n"/>
      <c r="G410" s="9" t="n"/>
      <c r="H410" s="3">
        <f>IF(AND(D410&lt;&gt;"",F410&lt;&gt;""),F410-D410-G410,"")</f>
        <v/>
      </c>
      <c r="I410" s="14">
        <f>IF(E410&lt;&gt;"", YEARFRAC(C410, E410) * 12, "")</f>
        <v/>
      </c>
      <c r="J410" s="2">
        <f>IF(I410="", "", IF(AND(A410="MF (Equity)", I410&gt;12), "Long Term", "Short Term"))</f>
        <v/>
      </c>
      <c r="K410" s="5">
        <f>IF(J410="", "", IF(J410="Long Term", 12.5%, 20%))</f>
        <v/>
      </c>
      <c r="L410" s="3">
        <f>+IFERROR(IF(J410="","",H410*K410),"")</f>
        <v/>
      </c>
    </row>
    <row r="411">
      <c r="A411" s="11" t="n"/>
      <c r="B411" s="7" t="n"/>
      <c r="C411" s="8" t="n"/>
      <c r="D411" s="9" t="n"/>
      <c r="E411" s="8" t="n"/>
      <c r="F411" s="9" t="n"/>
      <c r="G411" s="9" t="n"/>
      <c r="H411" s="3">
        <f>IF(AND(D411&lt;&gt;"",F411&lt;&gt;""),F411-D411-G411,"")</f>
        <v/>
      </c>
      <c r="I411" s="14">
        <f>IF(E411&lt;&gt;"", YEARFRAC(C411, E411) * 12, "")</f>
        <v/>
      </c>
      <c r="J411" s="2">
        <f>IF(I411="", "", IF(AND(A411="MF (Equity)", I411&gt;12), "Long Term", "Short Term"))</f>
        <v/>
      </c>
      <c r="K411" s="5">
        <f>IF(J411="", "", IF(J411="Long Term", 12.5%, 20%))</f>
        <v/>
      </c>
      <c r="L411" s="3">
        <f>+IFERROR(IF(J411="","",H411*K411),"")</f>
        <v/>
      </c>
    </row>
    <row r="412">
      <c r="A412" s="11" t="n"/>
      <c r="B412" s="7" t="n"/>
      <c r="C412" s="8" t="n"/>
      <c r="D412" s="9" t="n"/>
      <c r="E412" s="8" t="n"/>
      <c r="F412" s="9" t="n"/>
      <c r="G412" s="9" t="n"/>
      <c r="H412" s="3">
        <f>IF(AND(D412&lt;&gt;"",F412&lt;&gt;""),F412-D412-G412,"")</f>
        <v/>
      </c>
      <c r="I412" s="14">
        <f>IF(E412&lt;&gt;"", YEARFRAC(C412, E412) * 12, "")</f>
        <v/>
      </c>
      <c r="J412" s="2">
        <f>IF(I412="", "", IF(AND(A412="MF (Equity)", I412&gt;12), "Long Term", "Short Term"))</f>
        <v/>
      </c>
      <c r="K412" s="5">
        <f>IF(J412="", "", IF(J412="Long Term", 12.5%, 20%))</f>
        <v/>
      </c>
      <c r="L412" s="3">
        <f>+IFERROR(IF(J412="","",H412*K412),"")</f>
        <v/>
      </c>
    </row>
    <row r="413">
      <c r="A413" s="11" t="n"/>
      <c r="B413" s="7" t="n"/>
      <c r="C413" s="8" t="n"/>
      <c r="D413" s="9" t="n"/>
      <c r="E413" s="8" t="n"/>
      <c r="F413" s="9" t="n"/>
      <c r="G413" s="9" t="n"/>
      <c r="H413" s="3">
        <f>IF(AND(D413&lt;&gt;"",F413&lt;&gt;""),F413-D413-G413,"")</f>
        <v/>
      </c>
      <c r="I413" s="14">
        <f>IF(E413&lt;&gt;"", YEARFRAC(C413, E413) * 12, "")</f>
        <v/>
      </c>
      <c r="J413" s="2">
        <f>IF(I413="", "", IF(AND(A413="MF (Equity)", I413&gt;12), "Long Term", "Short Term"))</f>
        <v/>
      </c>
      <c r="K413" s="5">
        <f>IF(J413="", "", IF(J413="Long Term", 12.5%, 20%))</f>
        <v/>
      </c>
      <c r="L413" s="3">
        <f>+IFERROR(IF(J413="","",H413*K413),"")</f>
        <v/>
      </c>
    </row>
    <row r="414">
      <c r="A414" s="11" t="n"/>
      <c r="B414" s="7" t="n"/>
      <c r="C414" s="8" t="n"/>
      <c r="D414" s="9" t="n"/>
      <c r="E414" s="8" t="n"/>
      <c r="F414" s="9" t="n"/>
      <c r="G414" s="9" t="n"/>
      <c r="H414" s="3">
        <f>IF(AND(D414&lt;&gt;"",F414&lt;&gt;""),F414-D414-G414,"")</f>
        <v/>
      </c>
      <c r="I414" s="14">
        <f>IF(E414&lt;&gt;"", YEARFRAC(C414, E414) * 12, "")</f>
        <v/>
      </c>
      <c r="J414" s="2">
        <f>IF(I414="", "", IF(AND(A414="MF (Equity)", I414&gt;12), "Long Term", "Short Term"))</f>
        <v/>
      </c>
      <c r="K414" s="5">
        <f>IF(J414="", "", IF(J414="Long Term", 12.5%, 20%))</f>
        <v/>
      </c>
      <c r="L414" s="3">
        <f>+IFERROR(IF(J414="","",H414*K414),"")</f>
        <v/>
      </c>
    </row>
    <row r="415">
      <c r="A415" s="11" t="n"/>
      <c r="B415" s="7" t="n"/>
      <c r="C415" s="8" t="n"/>
      <c r="D415" s="9" t="n"/>
      <c r="E415" s="8" t="n"/>
      <c r="F415" s="9" t="n"/>
      <c r="G415" s="9" t="n"/>
      <c r="H415" s="3">
        <f>IF(AND(D415&lt;&gt;"",F415&lt;&gt;""),F415-D415-G415,"")</f>
        <v/>
      </c>
      <c r="I415" s="14">
        <f>IF(E415&lt;&gt;"", YEARFRAC(C415, E415) * 12, "")</f>
        <v/>
      </c>
      <c r="J415" s="2">
        <f>IF(I415="", "", IF(AND(A415="MF (Equity)", I415&gt;12), "Long Term", "Short Term"))</f>
        <v/>
      </c>
      <c r="K415" s="5">
        <f>IF(J415="", "", IF(J415="Long Term", 12.5%, 20%))</f>
        <v/>
      </c>
      <c r="L415" s="3">
        <f>+IFERROR(IF(J415="","",H415*K415),"")</f>
        <v/>
      </c>
    </row>
    <row r="416">
      <c r="A416" s="11" t="n"/>
      <c r="B416" s="7" t="n"/>
      <c r="C416" s="8" t="n"/>
      <c r="D416" s="9" t="n"/>
      <c r="E416" s="8" t="n"/>
      <c r="F416" s="9" t="n"/>
      <c r="G416" s="9" t="n"/>
      <c r="H416" s="3">
        <f>IF(AND(D416&lt;&gt;"",F416&lt;&gt;""),F416-D416-G416,"")</f>
        <v/>
      </c>
      <c r="I416" s="14">
        <f>IF(E416&lt;&gt;"", YEARFRAC(C416, E416) * 12, "")</f>
        <v/>
      </c>
      <c r="J416" s="2">
        <f>IF(I416="", "", IF(AND(A416="MF (Equity)", I416&gt;12), "Long Term", "Short Term"))</f>
        <v/>
      </c>
      <c r="K416" s="5">
        <f>IF(J416="", "", IF(J416="Long Term", 12.5%, 20%))</f>
        <v/>
      </c>
      <c r="L416" s="3">
        <f>+IFERROR(IF(J416="","",H416*K416),"")</f>
        <v/>
      </c>
    </row>
    <row r="417">
      <c r="A417" s="11" t="n"/>
      <c r="B417" s="7" t="n"/>
      <c r="C417" s="8" t="n"/>
      <c r="D417" s="9" t="n"/>
      <c r="E417" s="8" t="n"/>
      <c r="F417" s="9" t="n"/>
      <c r="G417" s="9" t="n"/>
      <c r="H417" s="3">
        <f>IF(AND(D417&lt;&gt;"",F417&lt;&gt;""),F417-D417-G417,"")</f>
        <v/>
      </c>
      <c r="I417" s="14">
        <f>IF(E417&lt;&gt;"", YEARFRAC(C417, E417) * 12, "")</f>
        <v/>
      </c>
      <c r="J417" s="2">
        <f>IF(I417="", "", IF(AND(A417="MF (Equity)", I417&gt;12), "Long Term", "Short Term"))</f>
        <v/>
      </c>
      <c r="K417" s="5">
        <f>IF(J417="", "", IF(J417="Long Term", 12.5%, 20%))</f>
        <v/>
      </c>
      <c r="L417" s="3">
        <f>+IFERROR(IF(J417="","",H417*K417),"")</f>
        <v/>
      </c>
    </row>
    <row r="418">
      <c r="A418" s="11" t="n"/>
      <c r="B418" s="7" t="n"/>
      <c r="C418" s="8" t="n"/>
      <c r="D418" s="9" t="n"/>
      <c r="E418" s="8" t="n"/>
      <c r="F418" s="9" t="n"/>
      <c r="G418" s="9" t="n"/>
      <c r="H418" s="3">
        <f>IF(AND(D418&lt;&gt;"",F418&lt;&gt;""),F418-D418-G418,"")</f>
        <v/>
      </c>
      <c r="I418" s="14">
        <f>IF(E418&lt;&gt;"", YEARFRAC(C418, E418) * 12, "")</f>
        <v/>
      </c>
      <c r="J418" s="2">
        <f>IF(I418="", "", IF(AND(A418="MF (Equity)", I418&gt;12), "Long Term", "Short Term"))</f>
        <v/>
      </c>
      <c r="K418" s="5">
        <f>IF(J418="", "", IF(J418="Long Term", 12.5%, 20%))</f>
        <v/>
      </c>
      <c r="L418" s="3">
        <f>+IFERROR(IF(J418="","",H418*K418),"")</f>
        <v/>
      </c>
    </row>
    <row r="419">
      <c r="A419" s="11" t="n"/>
      <c r="B419" s="7" t="n"/>
      <c r="C419" s="8" t="n"/>
      <c r="D419" s="9" t="n"/>
      <c r="E419" s="8" t="n"/>
      <c r="F419" s="9" t="n"/>
      <c r="G419" s="9" t="n"/>
      <c r="H419" s="3">
        <f>IF(AND(D419&lt;&gt;"",F419&lt;&gt;""),F419-D419-G419,"")</f>
        <v/>
      </c>
      <c r="I419" s="14">
        <f>IF(E419&lt;&gt;"", YEARFRAC(C419, E419) * 12, "")</f>
        <v/>
      </c>
      <c r="J419" s="2">
        <f>IF(I419="", "", IF(AND(A419="MF (Equity)", I419&gt;12), "Long Term", "Short Term"))</f>
        <v/>
      </c>
      <c r="K419" s="5">
        <f>IF(J419="", "", IF(J419="Long Term", 12.5%, 20%))</f>
        <v/>
      </c>
      <c r="L419" s="3">
        <f>+IFERROR(IF(J419="","",H419*K419),"")</f>
        <v/>
      </c>
    </row>
    <row r="420">
      <c r="A420" s="11" t="n"/>
      <c r="B420" s="7" t="n"/>
      <c r="C420" s="8" t="n"/>
      <c r="D420" s="9" t="n"/>
      <c r="E420" s="8" t="n"/>
      <c r="F420" s="9" t="n"/>
      <c r="G420" s="9" t="n"/>
      <c r="H420" s="3">
        <f>IF(AND(D420&lt;&gt;"",F420&lt;&gt;""),F420-D420-G420,"")</f>
        <v/>
      </c>
      <c r="I420" s="14">
        <f>IF(E420&lt;&gt;"", YEARFRAC(C420, E420) * 12, "")</f>
        <v/>
      </c>
      <c r="J420" s="2">
        <f>IF(I420="", "", IF(AND(A420="MF (Equity)", I420&gt;12), "Long Term", "Short Term"))</f>
        <v/>
      </c>
      <c r="K420" s="5">
        <f>IF(J420="", "", IF(J420="Long Term", 12.5%, 20%))</f>
        <v/>
      </c>
      <c r="L420" s="3">
        <f>+IFERROR(IF(J420="","",H420*K420),"")</f>
        <v/>
      </c>
    </row>
    <row r="421">
      <c r="A421" s="11" t="n"/>
      <c r="B421" s="7" t="n"/>
      <c r="C421" s="8" t="n"/>
      <c r="D421" s="9" t="n"/>
      <c r="E421" s="8" t="n"/>
      <c r="F421" s="9" t="n"/>
      <c r="G421" s="9" t="n"/>
      <c r="H421" s="3">
        <f>IF(AND(D421&lt;&gt;"",F421&lt;&gt;""),F421-D421-G421,"")</f>
        <v/>
      </c>
      <c r="I421" s="14">
        <f>IF(E421&lt;&gt;"", YEARFRAC(C421, E421) * 12, "")</f>
        <v/>
      </c>
      <c r="J421" s="2">
        <f>IF(I421="", "", IF(AND(A421="MF (Equity)", I421&gt;12), "Long Term", "Short Term"))</f>
        <v/>
      </c>
      <c r="K421" s="5">
        <f>IF(J421="", "", IF(J421="Long Term", 12.5%, 20%))</f>
        <v/>
      </c>
      <c r="L421" s="3">
        <f>+IFERROR(IF(J421="","",H421*K421),"")</f>
        <v/>
      </c>
    </row>
    <row r="422">
      <c r="A422" s="11" t="n"/>
      <c r="B422" s="7" t="n"/>
      <c r="C422" s="8" t="n"/>
      <c r="D422" s="9" t="n"/>
      <c r="E422" s="8" t="n"/>
      <c r="F422" s="9" t="n"/>
      <c r="G422" s="9" t="n"/>
      <c r="H422" s="3">
        <f>IF(AND(D422&lt;&gt;"",F422&lt;&gt;""),F422-D422-G422,"")</f>
        <v/>
      </c>
      <c r="I422" s="14">
        <f>IF(E422&lt;&gt;"", YEARFRAC(C422, E422) * 12, "")</f>
        <v/>
      </c>
      <c r="J422" s="2">
        <f>IF(I422="", "", IF(AND(A422="MF (Equity)", I422&gt;12), "Long Term", "Short Term"))</f>
        <v/>
      </c>
      <c r="K422" s="5">
        <f>IF(J422="", "", IF(J422="Long Term", 12.5%, 20%))</f>
        <v/>
      </c>
      <c r="L422" s="3">
        <f>+IFERROR(IF(J422="","",H422*K422),"")</f>
        <v/>
      </c>
    </row>
    <row r="423">
      <c r="A423" s="11" t="n"/>
      <c r="B423" s="7" t="n"/>
      <c r="C423" s="8" t="n"/>
      <c r="D423" s="9" t="n"/>
      <c r="E423" s="8" t="n"/>
      <c r="F423" s="9" t="n"/>
      <c r="G423" s="9" t="n"/>
      <c r="H423" s="3">
        <f>IF(AND(D423&lt;&gt;"",F423&lt;&gt;""),F423-D423-G423,"")</f>
        <v/>
      </c>
      <c r="I423" s="14">
        <f>IF(E423&lt;&gt;"", YEARFRAC(C423, E423) * 12, "")</f>
        <v/>
      </c>
      <c r="J423" s="2">
        <f>IF(I423="", "", IF(AND(A423="MF (Equity)", I423&gt;12), "Long Term", "Short Term"))</f>
        <v/>
      </c>
      <c r="K423" s="5">
        <f>IF(J423="", "", IF(J423="Long Term", 12.5%, 20%))</f>
        <v/>
      </c>
      <c r="L423" s="3">
        <f>+IFERROR(IF(J423="","",H423*K423),"")</f>
        <v/>
      </c>
    </row>
    <row r="424">
      <c r="A424" s="11" t="n"/>
      <c r="B424" s="7" t="n"/>
      <c r="C424" s="8" t="n"/>
      <c r="D424" s="9" t="n"/>
      <c r="E424" s="8" t="n"/>
      <c r="F424" s="9" t="n"/>
      <c r="G424" s="9" t="n"/>
      <c r="H424" s="3">
        <f>IF(AND(D424&lt;&gt;"",F424&lt;&gt;""),F424-D424-G424,"")</f>
        <v/>
      </c>
      <c r="I424" s="14">
        <f>IF(E424&lt;&gt;"", YEARFRAC(C424, E424) * 12, "")</f>
        <v/>
      </c>
      <c r="J424" s="2">
        <f>IF(I424="", "", IF(AND(A424="MF (Equity)", I424&gt;12), "Long Term", "Short Term"))</f>
        <v/>
      </c>
      <c r="K424" s="5">
        <f>IF(J424="", "", IF(J424="Long Term", 12.5%, 20%))</f>
        <v/>
      </c>
      <c r="L424" s="3">
        <f>+IFERROR(IF(J424="","",H424*K424),"")</f>
        <v/>
      </c>
    </row>
    <row r="425">
      <c r="A425" s="11" t="n"/>
      <c r="B425" s="7" t="n"/>
      <c r="C425" s="8" t="n"/>
      <c r="D425" s="9" t="n"/>
      <c r="E425" s="8" t="n"/>
      <c r="F425" s="9" t="n"/>
      <c r="G425" s="9" t="n"/>
      <c r="H425" s="3">
        <f>IF(AND(D425&lt;&gt;"",F425&lt;&gt;""),F425-D425-G425,"")</f>
        <v/>
      </c>
      <c r="I425" s="14">
        <f>IF(E425&lt;&gt;"", YEARFRAC(C425, E425) * 12, "")</f>
        <v/>
      </c>
      <c r="J425" s="2">
        <f>IF(I425="", "", IF(AND(A425="MF (Equity)", I425&gt;12), "Long Term", "Short Term"))</f>
        <v/>
      </c>
      <c r="K425" s="5">
        <f>IF(J425="", "", IF(J425="Long Term", 12.5%, 20%))</f>
        <v/>
      </c>
      <c r="L425" s="3">
        <f>+IFERROR(IF(J425="","",H425*K425),"")</f>
        <v/>
      </c>
    </row>
    <row r="426">
      <c r="A426" s="11" t="n"/>
      <c r="B426" s="7" t="n"/>
      <c r="C426" s="8" t="n"/>
      <c r="D426" s="9" t="n"/>
      <c r="E426" s="8" t="n"/>
      <c r="F426" s="9" t="n"/>
      <c r="G426" s="9" t="n"/>
      <c r="H426" s="3">
        <f>IF(AND(D426&lt;&gt;"",F426&lt;&gt;""),F426-D426-G426,"")</f>
        <v/>
      </c>
      <c r="I426" s="14">
        <f>IF(E426&lt;&gt;"", YEARFRAC(C426, E426) * 12, "")</f>
        <v/>
      </c>
      <c r="J426" s="2">
        <f>IF(I426="", "", IF(AND(A426="MF (Equity)", I426&gt;12), "Long Term", "Short Term"))</f>
        <v/>
      </c>
      <c r="K426" s="5">
        <f>IF(J426="", "", IF(J426="Long Term", 12.5%, 20%))</f>
        <v/>
      </c>
      <c r="L426" s="3">
        <f>+IFERROR(IF(J426="","",H426*K426),"")</f>
        <v/>
      </c>
    </row>
    <row r="427">
      <c r="A427" s="11" t="n"/>
      <c r="B427" s="7" t="n"/>
      <c r="C427" s="8" t="n"/>
      <c r="D427" s="9" t="n"/>
      <c r="E427" s="8" t="n"/>
      <c r="F427" s="9" t="n"/>
      <c r="G427" s="9" t="n"/>
      <c r="H427" s="3">
        <f>IF(AND(D427&lt;&gt;"",F427&lt;&gt;""),F427-D427-G427,"")</f>
        <v/>
      </c>
      <c r="I427" s="14">
        <f>IF(E427&lt;&gt;"", YEARFRAC(C427, E427) * 12, "")</f>
        <v/>
      </c>
      <c r="J427" s="2">
        <f>IF(I427="", "", IF(AND(A427="MF (Equity)", I427&gt;12), "Long Term", "Short Term"))</f>
        <v/>
      </c>
      <c r="K427" s="5">
        <f>IF(J427="", "", IF(J427="Long Term", 12.5%, 20%))</f>
        <v/>
      </c>
      <c r="L427" s="3">
        <f>+IFERROR(IF(J427="","",H427*K427),"")</f>
        <v/>
      </c>
    </row>
    <row r="428">
      <c r="A428" s="11" t="n"/>
      <c r="B428" s="7" t="n"/>
      <c r="C428" s="8" t="n"/>
      <c r="D428" s="9" t="n"/>
      <c r="E428" s="8" t="n"/>
      <c r="F428" s="9" t="n"/>
      <c r="G428" s="9" t="n"/>
      <c r="H428" s="3">
        <f>IF(AND(D428&lt;&gt;"",F428&lt;&gt;""),F428-D428-G428,"")</f>
        <v/>
      </c>
      <c r="I428" s="14">
        <f>IF(E428&lt;&gt;"", YEARFRAC(C428, E428) * 12, "")</f>
        <v/>
      </c>
      <c r="J428" s="2">
        <f>IF(I428="", "", IF(AND(A428="MF (Equity)", I428&gt;12), "Long Term", "Short Term"))</f>
        <v/>
      </c>
      <c r="K428" s="5">
        <f>IF(J428="", "", IF(J428="Long Term", 12.5%, 20%))</f>
        <v/>
      </c>
      <c r="L428" s="3">
        <f>+IFERROR(IF(J428="","",H428*K428),"")</f>
        <v/>
      </c>
    </row>
    <row r="429">
      <c r="A429" s="11" t="n"/>
      <c r="B429" s="7" t="n"/>
      <c r="C429" s="8" t="n"/>
      <c r="D429" s="9" t="n"/>
      <c r="E429" s="8" t="n"/>
      <c r="F429" s="9" t="n"/>
      <c r="G429" s="9" t="n"/>
      <c r="H429" s="3">
        <f>IF(AND(D429&lt;&gt;"",F429&lt;&gt;""),F429-D429-G429,"")</f>
        <v/>
      </c>
      <c r="I429" s="14">
        <f>IF(E429&lt;&gt;"", YEARFRAC(C429, E429) * 12, "")</f>
        <v/>
      </c>
      <c r="J429" s="2">
        <f>IF(I429="", "", IF(AND(A429="MF (Equity)", I429&gt;12), "Long Term", "Short Term"))</f>
        <v/>
      </c>
      <c r="K429" s="5">
        <f>IF(J429="", "", IF(J429="Long Term", 12.5%, 20%))</f>
        <v/>
      </c>
      <c r="L429" s="3">
        <f>+IFERROR(IF(J429="","",H429*K429),"")</f>
        <v/>
      </c>
    </row>
    <row r="430">
      <c r="A430" s="11" t="n"/>
      <c r="B430" s="7" t="n"/>
      <c r="C430" s="8" t="n"/>
      <c r="D430" s="9" t="n"/>
      <c r="E430" s="8" t="n"/>
      <c r="F430" s="9" t="n"/>
      <c r="G430" s="9" t="n"/>
      <c r="H430" s="3">
        <f>IF(AND(D430&lt;&gt;"",F430&lt;&gt;""),F430-D430-G430,"")</f>
        <v/>
      </c>
      <c r="I430" s="14">
        <f>IF(E430&lt;&gt;"", YEARFRAC(C430, E430) * 12, "")</f>
        <v/>
      </c>
      <c r="J430" s="2">
        <f>IF(I430="", "", IF(AND(A430="MF (Equity)", I430&gt;12), "Long Term", "Short Term"))</f>
        <v/>
      </c>
      <c r="K430" s="5">
        <f>IF(J430="", "", IF(J430="Long Term", 12.5%, 20%))</f>
        <v/>
      </c>
      <c r="L430" s="3">
        <f>+IFERROR(IF(J430="","",H430*K430),"")</f>
        <v/>
      </c>
    </row>
    <row r="431">
      <c r="A431" s="11" t="n"/>
      <c r="B431" s="7" t="n"/>
      <c r="C431" s="8" t="n"/>
      <c r="D431" s="9" t="n"/>
      <c r="E431" s="8" t="n"/>
      <c r="F431" s="9" t="n"/>
      <c r="G431" s="9" t="n"/>
      <c r="H431" s="3">
        <f>IF(AND(D431&lt;&gt;"",F431&lt;&gt;""),F431-D431-G431,"")</f>
        <v/>
      </c>
      <c r="I431" s="14">
        <f>IF(E431&lt;&gt;"", YEARFRAC(C431, E431) * 12, "")</f>
        <v/>
      </c>
      <c r="J431" s="2">
        <f>IF(I431="", "", IF(AND(A431="MF (Equity)", I431&gt;12), "Long Term", "Short Term"))</f>
        <v/>
      </c>
      <c r="K431" s="5">
        <f>IF(J431="", "", IF(J431="Long Term", 12.5%, 20%))</f>
        <v/>
      </c>
      <c r="L431" s="3">
        <f>+IFERROR(IF(J431="","",H431*K431),"")</f>
        <v/>
      </c>
    </row>
    <row r="432">
      <c r="A432" s="11" t="n"/>
      <c r="B432" s="7" t="n"/>
      <c r="C432" s="8" t="n"/>
      <c r="D432" s="9" t="n"/>
      <c r="E432" s="8" t="n"/>
      <c r="F432" s="9" t="n"/>
      <c r="G432" s="9" t="n"/>
      <c r="H432" s="3">
        <f>IF(AND(D432&lt;&gt;"",F432&lt;&gt;""),F432-D432-G432,"")</f>
        <v/>
      </c>
      <c r="I432" s="14">
        <f>IF(E432&lt;&gt;"", YEARFRAC(C432, E432) * 12, "")</f>
        <v/>
      </c>
      <c r="J432" s="2">
        <f>IF(I432="", "", IF(AND(A432="MF (Equity)", I432&gt;12), "Long Term", "Short Term"))</f>
        <v/>
      </c>
      <c r="K432" s="5">
        <f>IF(J432="", "", IF(J432="Long Term", 12.5%, 20%))</f>
        <v/>
      </c>
      <c r="L432" s="3">
        <f>+IFERROR(IF(J432="","",H432*K432),"")</f>
        <v/>
      </c>
    </row>
    <row r="433">
      <c r="A433" s="11" t="n"/>
      <c r="B433" s="7" t="n"/>
      <c r="C433" s="8" t="n"/>
      <c r="D433" s="9" t="n"/>
      <c r="E433" s="8" t="n"/>
      <c r="F433" s="9" t="n"/>
      <c r="G433" s="9" t="n"/>
      <c r="H433" s="3">
        <f>IF(AND(D433&lt;&gt;"",F433&lt;&gt;""),F433-D433-G433,"")</f>
        <v/>
      </c>
      <c r="I433" s="14">
        <f>IF(E433&lt;&gt;"", YEARFRAC(C433, E433) * 12, "")</f>
        <v/>
      </c>
      <c r="J433" s="2">
        <f>IF(I433="", "", IF(AND(A433="MF (Equity)", I433&gt;12), "Long Term", "Short Term"))</f>
        <v/>
      </c>
      <c r="K433" s="5">
        <f>IF(J433="", "", IF(J433="Long Term", 12.5%, 20%))</f>
        <v/>
      </c>
      <c r="L433" s="3">
        <f>+IFERROR(IF(J433="","",H433*K433),"")</f>
        <v/>
      </c>
    </row>
    <row r="434">
      <c r="A434" s="11" t="n"/>
      <c r="B434" s="7" t="n"/>
      <c r="C434" s="8" t="n"/>
      <c r="D434" s="9" t="n"/>
      <c r="E434" s="8" t="n"/>
      <c r="F434" s="9" t="n"/>
      <c r="G434" s="9" t="n"/>
      <c r="H434" s="3">
        <f>IF(AND(D434&lt;&gt;"",F434&lt;&gt;""),F434-D434-G434,"")</f>
        <v/>
      </c>
      <c r="I434" s="14">
        <f>IF(E434&lt;&gt;"", YEARFRAC(C434, E434) * 12, "")</f>
        <v/>
      </c>
      <c r="J434" s="2">
        <f>IF(I434="", "", IF(AND(A434="MF (Equity)", I434&gt;12), "Long Term", "Short Term"))</f>
        <v/>
      </c>
      <c r="K434" s="5">
        <f>IF(J434="", "", IF(J434="Long Term", 12.5%, 20%))</f>
        <v/>
      </c>
      <c r="L434" s="3">
        <f>+IFERROR(IF(J434="","",H434*K434),"")</f>
        <v/>
      </c>
    </row>
    <row r="435">
      <c r="A435" s="11" t="n"/>
      <c r="B435" s="7" t="n"/>
      <c r="C435" s="8" t="n"/>
      <c r="D435" s="9" t="n"/>
      <c r="E435" s="8" t="n"/>
      <c r="F435" s="9" t="n"/>
      <c r="G435" s="9" t="n"/>
      <c r="H435" s="3">
        <f>IF(AND(D435&lt;&gt;"",F435&lt;&gt;""),F435-D435-G435,"")</f>
        <v/>
      </c>
      <c r="I435" s="14">
        <f>IF(E435&lt;&gt;"", YEARFRAC(C435, E435) * 12, "")</f>
        <v/>
      </c>
      <c r="J435" s="2">
        <f>IF(I435="", "", IF(AND(A435="MF (Equity)", I435&gt;12), "Long Term", "Short Term"))</f>
        <v/>
      </c>
      <c r="K435" s="5">
        <f>IF(J435="", "", IF(J435="Long Term", 12.5%, 20%))</f>
        <v/>
      </c>
      <c r="L435" s="3">
        <f>+IFERROR(IF(J435="","",H435*K435),"")</f>
        <v/>
      </c>
    </row>
    <row r="436">
      <c r="A436" s="11" t="n"/>
      <c r="B436" s="7" t="n"/>
      <c r="C436" s="8" t="n"/>
      <c r="D436" s="9" t="n"/>
      <c r="E436" s="8" t="n"/>
      <c r="F436" s="9" t="n"/>
      <c r="G436" s="9" t="n"/>
      <c r="H436" s="3">
        <f>IF(AND(D436&lt;&gt;"",F436&lt;&gt;""),F436-D436-G436,"")</f>
        <v/>
      </c>
      <c r="I436" s="14">
        <f>IF(E436&lt;&gt;"", YEARFRAC(C436, E436) * 12, "")</f>
        <v/>
      </c>
      <c r="J436" s="2">
        <f>IF(I436="", "", IF(AND(A436="MF (Equity)", I436&gt;12), "Long Term", "Short Term"))</f>
        <v/>
      </c>
      <c r="K436" s="5">
        <f>IF(J436="", "", IF(J436="Long Term", 12.5%, 20%))</f>
        <v/>
      </c>
      <c r="L436" s="3">
        <f>+IFERROR(IF(J436="","",H436*K436),"")</f>
        <v/>
      </c>
    </row>
    <row r="437">
      <c r="A437" s="11" t="n"/>
      <c r="B437" s="7" t="n"/>
      <c r="C437" s="8" t="n"/>
      <c r="D437" s="9" t="n"/>
      <c r="E437" s="8" t="n"/>
      <c r="F437" s="9" t="n"/>
      <c r="G437" s="9" t="n"/>
      <c r="H437" s="3">
        <f>IF(AND(D437&lt;&gt;"",F437&lt;&gt;""),F437-D437-G437,"")</f>
        <v/>
      </c>
      <c r="I437" s="14">
        <f>IF(E437&lt;&gt;"", YEARFRAC(C437, E437) * 12, "")</f>
        <v/>
      </c>
      <c r="J437" s="2">
        <f>IF(I437="", "", IF(AND(A437="MF (Equity)", I437&gt;12), "Long Term", "Short Term"))</f>
        <v/>
      </c>
      <c r="K437" s="5">
        <f>IF(J437="", "", IF(J437="Long Term", 12.5%, 20%))</f>
        <v/>
      </c>
      <c r="L437" s="3">
        <f>+IFERROR(IF(J437="","",H437*K437),"")</f>
        <v/>
      </c>
    </row>
    <row r="438">
      <c r="A438" s="11" t="n"/>
      <c r="B438" s="7" t="n"/>
      <c r="C438" s="8" t="n"/>
      <c r="D438" s="9" t="n"/>
      <c r="E438" s="8" t="n"/>
      <c r="F438" s="9" t="n"/>
      <c r="G438" s="9" t="n"/>
      <c r="H438" s="3">
        <f>IF(AND(D438&lt;&gt;"",F438&lt;&gt;""),F438-D438-G438,"")</f>
        <v/>
      </c>
      <c r="I438" s="14">
        <f>IF(E438&lt;&gt;"", YEARFRAC(C438, E438) * 12, "")</f>
        <v/>
      </c>
      <c r="J438" s="2">
        <f>IF(I438="", "", IF(AND(A438="MF (Equity)", I438&gt;12), "Long Term", "Short Term"))</f>
        <v/>
      </c>
      <c r="K438" s="5">
        <f>IF(J438="", "", IF(J438="Long Term", 12.5%, 20%))</f>
        <v/>
      </c>
      <c r="L438" s="3">
        <f>+IFERROR(IF(J438="","",H438*K438),"")</f>
        <v/>
      </c>
    </row>
    <row r="439">
      <c r="A439" s="11" t="n"/>
      <c r="B439" s="7" t="n"/>
      <c r="C439" s="8" t="n"/>
      <c r="D439" s="9" t="n"/>
      <c r="E439" s="8" t="n"/>
      <c r="F439" s="9" t="n"/>
      <c r="G439" s="9" t="n"/>
      <c r="H439" s="3">
        <f>IF(AND(D439&lt;&gt;"",F439&lt;&gt;""),F439-D439-G439,"")</f>
        <v/>
      </c>
      <c r="I439" s="14">
        <f>IF(E439&lt;&gt;"", YEARFRAC(C439, E439) * 12, "")</f>
        <v/>
      </c>
      <c r="J439" s="2">
        <f>IF(I439="", "", IF(AND(A439="MF (Equity)", I439&gt;12), "Long Term", "Short Term"))</f>
        <v/>
      </c>
      <c r="K439" s="5">
        <f>IF(J439="", "", IF(J439="Long Term", 12.5%, 20%))</f>
        <v/>
      </c>
      <c r="L439" s="3">
        <f>+IFERROR(IF(J439="","",H439*K439),"")</f>
        <v/>
      </c>
    </row>
    <row r="440">
      <c r="A440" s="11" t="n"/>
      <c r="B440" s="7" t="n"/>
      <c r="C440" s="8" t="n"/>
      <c r="D440" s="9" t="n"/>
      <c r="E440" s="8" t="n"/>
      <c r="F440" s="9" t="n"/>
      <c r="G440" s="9" t="n"/>
      <c r="H440" s="3">
        <f>IF(AND(D440&lt;&gt;"",F440&lt;&gt;""),F440-D440-G440,"")</f>
        <v/>
      </c>
      <c r="I440" s="14">
        <f>IF(E440&lt;&gt;"", YEARFRAC(C440, E440) * 12, "")</f>
        <v/>
      </c>
      <c r="J440" s="2">
        <f>IF(I440="", "", IF(AND(A440="MF (Equity)", I440&gt;12), "Long Term", "Short Term"))</f>
        <v/>
      </c>
      <c r="K440" s="5">
        <f>IF(J440="", "", IF(J440="Long Term", 12.5%, 20%))</f>
        <v/>
      </c>
      <c r="L440" s="3">
        <f>+IFERROR(IF(J440="","",H440*K440),"")</f>
        <v/>
      </c>
    </row>
    <row r="441">
      <c r="A441" s="11" t="n"/>
      <c r="B441" s="7" t="n"/>
      <c r="C441" s="8" t="n"/>
      <c r="D441" s="9" t="n"/>
      <c r="E441" s="8" t="n"/>
      <c r="F441" s="9" t="n"/>
      <c r="G441" s="9" t="n"/>
      <c r="H441" s="3">
        <f>IF(AND(D441&lt;&gt;"",F441&lt;&gt;""),F441-D441-G441,"")</f>
        <v/>
      </c>
      <c r="I441" s="14">
        <f>IF(E441&lt;&gt;"", YEARFRAC(C441, E441) * 12, "")</f>
        <v/>
      </c>
      <c r="J441" s="2">
        <f>IF(I441="", "", IF(AND(A441="MF (Equity)", I441&gt;12), "Long Term", "Short Term"))</f>
        <v/>
      </c>
      <c r="K441" s="5">
        <f>IF(J441="", "", IF(J441="Long Term", 12.5%, 20%))</f>
        <v/>
      </c>
      <c r="L441" s="3">
        <f>+IFERROR(IF(J441="","",H441*K441),"")</f>
        <v/>
      </c>
    </row>
    <row r="442">
      <c r="A442" s="11" t="n"/>
      <c r="B442" s="7" t="n"/>
      <c r="C442" s="8" t="n"/>
      <c r="D442" s="9" t="n"/>
      <c r="E442" s="8" t="n"/>
      <c r="F442" s="9" t="n"/>
      <c r="G442" s="9" t="n"/>
      <c r="H442" s="3">
        <f>IF(AND(D442&lt;&gt;"",F442&lt;&gt;""),F442-D442-G442,"")</f>
        <v/>
      </c>
      <c r="I442" s="14">
        <f>IF(E442&lt;&gt;"", YEARFRAC(C442, E442) * 12, "")</f>
        <v/>
      </c>
      <c r="J442" s="2">
        <f>IF(I442="", "", IF(AND(A442="MF (Equity)", I442&gt;12), "Long Term", "Short Term"))</f>
        <v/>
      </c>
      <c r="K442" s="5">
        <f>IF(J442="", "", IF(J442="Long Term", 12.5%, 20%))</f>
        <v/>
      </c>
      <c r="L442" s="3">
        <f>+IFERROR(IF(J442="","",H442*K442),"")</f>
        <v/>
      </c>
    </row>
    <row r="443">
      <c r="A443" s="11" t="n"/>
      <c r="B443" s="7" t="n"/>
      <c r="C443" s="8" t="n"/>
      <c r="D443" s="9" t="n"/>
      <c r="E443" s="8" t="n"/>
      <c r="F443" s="9" t="n"/>
      <c r="G443" s="9" t="n"/>
      <c r="H443" s="3">
        <f>IF(AND(D443&lt;&gt;"",F443&lt;&gt;""),F443-D443-G443,"")</f>
        <v/>
      </c>
      <c r="I443" s="14">
        <f>IF(E443&lt;&gt;"", YEARFRAC(C443, E443) * 12, "")</f>
        <v/>
      </c>
      <c r="J443" s="2">
        <f>IF(I443="", "", IF(AND(A443="MF (Equity)", I443&gt;12), "Long Term", "Short Term"))</f>
        <v/>
      </c>
      <c r="K443" s="5">
        <f>IF(J443="", "", IF(J443="Long Term", 12.5%, 20%))</f>
        <v/>
      </c>
      <c r="L443" s="3">
        <f>+IFERROR(IF(J443="","",H443*K443),"")</f>
        <v/>
      </c>
    </row>
    <row r="444">
      <c r="A444" s="11" t="n"/>
      <c r="B444" s="7" t="n"/>
      <c r="C444" s="8" t="n"/>
      <c r="D444" s="9" t="n"/>
      <c r="E444" s="8" t="n"/>
      <c r="F444" s="9" t="n"/>
      <c r="G444" s="9" t="n"/>
      <c r="H444" s="3">
        <f>IF(AND(D444&lt;&gt;"",F444&lt;&gt;""),F444-D444-G444,"")</f>
        <v/>
      </c>
      <c r="I444" s="14">
        <f>IF(E444&lt;&gt;"", YEARFRAC(C444, E444) * 12, "")</f>
        <v/>
      </c>
      <c r="J444" s="2">
        <f>IF(I444="", "", IF(AND(A444="MF (Equity)", I444&gt;12), "Long Term", "Short Term"))</f>
        <v/>
      </c>
      <c r="K444" s="5">
        <f>IF(J444="", "", IF(J444="Long Term", 12.5%, 20%))</f>
        <v/>
      </c>
      <c r="L444" s="3">
        <f>+IFERROR(IF(J444="","",H444*K444),"")</f>
        <v/>
      </c>
    </row>
    <row r="445">
      <c r="A445" s="11" t="n"/>
      <c r="B445" s="7" t="n"/>
      <c r="C445" s="8" t="n"/>
      <c r="D445" s="9" t="n"/>
      <c r="E445" s="8" t="n"/>
      <c r="F445" s="9" t="n"/>
      <c r="G445" s="9" t="n"/>
      <c r="H445" s="3">
        <f>IF(AND(D445&lt;&gt;"",F445&lt;&gt;""),F445-D445-G445,"")</f>
        <v/>
      </c>
      <c r="I445" s="14">
        <f>IF(E445&lt;&gt;"", YEARFRAC(C445, E445) * 12, "")</f>
        <v/>
      </c>
      <c r="J445" s="2">
        <f>IF(I445="", "", IF(AND(A445="MF (Equity)", I445&gt;12), "Long Term", "Short Term"))</f>
        <v/>
      </c>
      <c r="K445" s="5">
        <f>IF(J445="", "", IF(J445="Long Term", 12.5%, 20%))</f>
        <v/>
      </c>
      <c r="L445" s="3">
        <f>+IFERROR(IF(J445="","",H445*K445),"")</f>
        <v/>
      </c>
    </row>
    <row r="446">
      <c r="A446" s="11" t="n"/>
      <c r="B446" s="7" t="n"/>
      <c r="C446" s="8" t="n"/>
      <c r="D446" s="9" t="n"/>
      <c r="E446" s="8" t="n"/>
      <c r="F446" s="9" t="n"/>
      <c r="G446" s="9" t="n"/>
      <c r="H446" s="3">
        <f>IF(AND(D446&lt;&gt;"",F446&lt;&gt;""),F446-D446-G446,"")</f>
        <v/>
      </c>
      <c r="I446" s="14">
        <f>IF(E446&lt;&gt;"", YEARFRAC(C446, E446) * 12, "")</f>
        <v/>
      </c>
      <c r="J446" s="2">
        <f>IF(I446="", "", IF(AND(A446="MF (Equity)", I446&gt;12), "Long Term", "Short Term"))</f>
        <v/>
      </c>
      <c r="K446" s="5">
        <f>IF(J446="", "", IF(J446="Long Term", 12.5%, 20%))</f>
        <v/>
      </c>
      <c r="L446" s="3">
        <f>+IFERROR(IF(J446="","",H446*K446),"")</f>
        <v/>
      </c>
    </row>
    <row r="447">
      <c r="A447" s="11" t="n"/>
      <c r="B447" s="7" t="n"/>
      <c r="C447" s="8" t="n"/>
      <c r="D447" s="9" t="n"/>
      <c r="E447" s="8" t="n"/>
      <c r="F447" s="9" t="n"/>
      <c r="G447" s="9" t="n"/>
      <c r="H447" s="3">
        <f>IF(AND(D447&lt;&gt;"",F447&lt;&gt;""),F447-D447-G447,"")</f>
        <v/>
      </c>
      <c r="I447" s="14">
        <f>IF(E447&lt;&gt;"", YEARFRAC(C447, E447) * 12, "")</f>
        <v/>
      </c>
      <c r="J447" s="2">
        <f>IF(I447="", "", IF(AND(A447="MF (Equity)", I447&gt;12), "Long Term", "Short Term"))</f>
        <v/>
      </c>
      <c r="K447" s="5">
        <f>IF(J447="", "", IF(J447="Long Term", 12.5%, 20%))</f>
        <v/>
      </c>
      <c r="L447" s="3">
        <f>+IFERROR(IF(J447="","",H447*K447),"")</f>
        <v/>
      </c>
    </row>
    <row r="448">
      <c r="A448" s="11" t="n"/>
      <c r="B448" s="7" t="n"/>
      <c r="C448" s="8" t="n"/>
      <c r="D448" s="9" t="n"/>
      <c r="E448" s="8" t="n"/>
      <c r="F448" s="9" t="n"/>
      <c r="G448" s="9" t="n"/>
      <c r="H448" s="3">
        <f>IF(AND(D448&lt;&gt;"",F448&lt;&gt;""),F448-D448-G448,"")</f>
        <v/>
      </c>
      <c r="I448" s="14">
        <f>IF(E448&lt;&gt;"", YEARFRAC(C448, E448) * 12, "")</f>
        <v/>
      </c>
      <c r="J448" s="2">
        <f>IF(I448="", "", IF(AND(A448="MF (Equity)", I448&gt;12), "Long Term", "Short Term"))</f>
        <v/>
      </c>
      <c r="K448" s="5">
        <f>IF(J448="", "", IF(J448="Long Term", 12.5%, 20%))</f>
        <v/>
      </c>
      <c r="L448" s="3">
        <f>+IFERROR(IF(J448="","",H448*K448),"")</f>
        <v/>
      </c>
    </row>
    <row r="449">
      <c r="A449" s="11" t="n"/>
      <c r="B449" s="7" t="n"/>
      <c r="C449" s="8" t="n"/>
      <c r="D449" s="9" t="n"/>
      <c r="E449" s="8" t="n"/>
      <c r="F449" s="9" t="n"/>
      <c r="G449" s="9" t="n"/>
      <c r="H449" s="3">
        <f>IF(AND(D449&lt;&gt;"",F449&lt;&gt;""),F449-D449-G449,"")</f>
        <v/>
      </c>
      <c r="I449" s="14">
        <f>IF(E449&lt;&gt;"", YEARFRAC(C449, E449) * 12, "")</f>
        <v/>
      </c>
      <c r="J449" s="2">
        <f>IF(I449="", "", IF(AND(A449="MF (Equity)", I449&gt;12), "Long Term", "Short Term"))</f>
        <v/>
      </c>
      <c r="K449" s="5">
        <f>IF(J449="", "", IF(J449="Long Term", 12.5%, 20%))</f>
        <v/>
      </c>
      <c r="L449" s="3">
        <f>+IFERROR(IF(J449="","",H449*K449),"")</f>
        <v/>
      </c>
    </row>
    <row r="450">
      <c r="A450" s="11" t="n"/>
      <c r="B450" s="7" t="n"/>
      <c r="C450" s="8" t="n"/>
      <c r="D450" s="9" t="n"/>
      <c r="E450" s="8" t="n"/>
      <c r="F450" s="9" t="n"/>
      <c r="G450" s="9" t="n"/>
      <c r="H450" s="3">
        <f>IF(AND(D450&lt;&gt;"",F450&lt;&gt;""),F450-D450-G450,"")</f>
        <v/>
      </c>
      <c r="I450" s="14">
        <f>IF(E450&lt;&gt;"", YEARFRAC(C450, E450) * 12, "")</f>
        <v/>
      </c>
      <c r="J450" s="2">
        <f>IF(I450="", "", IF(AND(A450="MF (Equity)", I450&gt;12), "Long Term", "Short Term"))</f>
        <v/>
      </c>
      <c r="K450" s="5">
        <f>IF(J450="", "", IF(J450="Long Term", 12.5%, 20%))</f>
        <v/>
      </c>
      <c r="L450" s="3">
        <f>+IFERROR(IF(J450="","",H450*K450),"")</f>
        <v/>
      </c>
    </row>
    <row r="451">
      <c r="A451" s="11" t="n"/>
      <c r="B451" s="7" t="n"/>
      <c r="C451" s="8" t="n"/>
      <c r="D451" s="9" t="n"/>
      <c r="E451" s="8" t="n"/>
      <c r="F451" s="9" t="n"/>
      <c r="G451" s="9" t="n"/>
      <c r="H451" s="3">
        <f>IF(AND(D451&lt;&gt;"",F451&lt;&gt;""),F451-D451-G451,"")</f>
        <v/>
      </c>
      <c r="I451" s="14">
        <f>IF(E451&lt;&gt;"", YEARFRAC(C451, E451) * 12, "")</f>
        <v/>
      </c>
      <c r="J451" s="2">
        <f>IF(I451="", "", IF(AND(A451="MF (Equity)", I451&gt;12), "Long Term", "Short Term"))</f>
        <v/>
      </c>
      <c r="K451" s="5">
        <f>IF(J451="", "", IF(J451="Long Term", 12.5%, 20%))</f>
        <v/>
      </c>
      <c r="L451" s="3">
        <f>+IFERROR(IF(J451="","",H451*K451),"")</f>
        <v/>
      </c>
    </row>
    <row r="452">
      <c r="A452" s="11" t="n"/>
      <c r="B452" s="7" t="n"/>
      <c r="C452" s="8" t="n"/>
      <c r="D452" s="9" t="n"/>
      <c r="E452" s="8" t="n"/>
      <c r="F452" s="9" t="n"/>
      <c r="G452" s="9" t="n"/>
      <c r="H452" s="3">
        <f>IF(AND(D452&lt;&gt;"",F452&lt;&gt;""),F452-D452-G452,"")</f>
        <v/>
      </c>
      <c r="I452" s="14">
        <f>IF(E452&lt;&gt;"", YEARFRAC(C452, E452) * 12, "")</f>
        <v/>
      </c>
      <c r="J452" s="2">
        <f>IF(I452="", "", IF(AND(A452="MF (Equity)", I452&gt;12), "Long Term", "Short Term"))</f>
        <v/>
      </c>
      <c r="K452" s="5">
        <f>IF(J452="", "", IF(J452="Long Term", 12.5%, 20%))</f>
        <v/>
      </c>
      <c r="L452" s="3">
        <f>+IFERROR(IF(J452="","",H452*K452),"")</f>
        <v/>
      </c>
    </row>
    <row r="453">
      <c r="A453" s="11" t="n"/>
      <c r="B453" s="7" t="n"/>
      <c r="C453" s="8" t="n"/>
      <c r="D453" s="9" t="n"/>
      <c r="E453" s="8" t="n"/>
      <c r="F453" s="9" t="n"/>
      <c r="G453" s="9" t="n"/>
      <c r="H453" s="3">
        <f>IF(AND(D453&lt;&gt;"",F453&lt;&gt;""),F453-D453-G453,"")</f>
        <v/>
      </c>
      <c r="I453" s="14">
        <f>IF(E453&lt;&gt;"", YEARFRAC(C453, E453) * 12, "")</f>
        <v/>
      </c>
      <c r="J453" s="2">
        <f>IF(I453="", "", IF(AND(A453="MF (Equity)", I453&gt;12), "Long Term", "Short Term"))</f>
        <v/>
      </c>
      <c r="K453" s="5">
        <f>IF(J453="", "", IF(J453="Long Term", 12.5%, 20%))</f>
        <v/>
      </c>
      <c r="L453" s="3">
        <f>+IFERROR(IF(J453="","",H453*K453),"")</f>
        <v/>
      </c>
    </row>
    <row r="454">
      <c r="A454" s="11" t="n"/>
      <c r="B454" s="7" t="n"/>
      <c r="C454" s="8" t="n"/>
      <c r="D454" s="9" t="n"/>
      <c r="E454" s="8" t="n"/>
      <c r="F454" s="9" t="n"/>
      <c r="G454" s="9" t="n"/>
      <c r="H454" s="3">
        <f>IF(AND(D454&lt;&gt;"",F454&lt;&gt;""),F454-D454-G454,"")</f>
        <v/>
      </c>
      <c r="I454" s="14">
        <f>IF(E454&lt;&gt;"", YEARFRAC(C454, E454) * 12, "")</f>
        <v/>
      </c>
      <c r="J454" s="2">
        <f>IF(I454="", "", IF(AND(A454="MF (Equity)", I454&gt;12), "Long Term", "Short Term"))</f>
        <v/>
      </c>
      <c r="K454" s="5">
        <f>IF(J454="", "", IF(J454="Long Term", 12.5%, 20%))</f>
        <v/>
      </c>
      <c r="L454" s="3">
        <f>+IFERROR(IF(J454="","",H454*K454),"")</f>
        <v/>
      </c>
    </row>
    <row r="455">
      <c r="A455" s="11" t="n"/>
      <c r="B455" s="7" t="n"/>
      <c r="C455" s="8" t="n"/>
      <c r="D455" s="9" t="n"/>
      <c r="E455" s="8" t="n"/>
      <c r="F455" s="9" t="n"/>
      <c r="G455" s="9" t="n"/>
      <c r="H455" s="3">
        <f>IF(AND(D455&lt;&gt;"",F455&lt;&gt;""),F455-D455-G455,"")</f>
        <v/>
      </c>
      <c r="I455" s="14">
        <f>IF(E455&lt;&gt;"", YEARFRAC(C455, E455) * 12, "")</f>
        <v/>
      </c>
      <c r="J455" s="2">
        <f>IF(I455="", "", IF(AND(A455="MF (Equity)", I455&gt;12), "Long Term", "Short Term"))</f>
        <v/>
      </c>
      <c r="K455" s="5">
        <f>IF(J455="", "", IF(J455="Long Term", 12.5%, 20%))</f>
        <v/>
      </c>
      <c r="L455" s="3">
        <f>+IFERROR(IF(J455="","",H455*K455),"")</f>
        <v/>
      </c>
    </row>
    <row r="456">
      <c r="A456" s="11" t="n"/>
      <c r="B456" s="7" t="n"/>
      <c r="C456" s="8" t="n"/>
      <c r="D456" s="9" t="n"/>
      <c r="E456" s="8" t="n"/>
      <c r="F456" s="9" t="n"/>
      <c r="G456" s="9" t="n"/>
      <c r="H456" s="3">
        <f>IF(AND(D456&lt;&gt;"",F456&lt;&gt;""),F456-D456-G456,"")</f>
        <v/>
      </c>
      <c r="I456" s="14">
        <f>IF(E456&lt;&gt;"", YEARFRAC(C456, E456) * 12, "")</f>
        <v/>
      </c>
      <c r="J456" s="2">
        <f>IF(I456="", "", IF(AND(A456="MF (Equity)", I456&gt;12), "Long Term", "Short Term"))</f>
        <v/>
      </c>
      <c r="K456" s="5">
        <f>IF(J456="", "", IF(J456="Long Term", 12.5%, 20%))</f>
        <v/>
      </c>
      <c r="L456" s="3">
        <f>+IFERROR(IF(J456="","",H456*K456),"")</f>
        <v/>
      </c>
    </row>
    <row r="457">
      <c r="A457" s="11" t="n"/>
      <c r="B457" s="7" t="n"/>
      <c r="C457" s="8" t="n"/>
      <c r="D457" s="9" t="n"/>
      <c r="E457" s="8" t="n"/>
      <c r="F457" s="9" t="n"/>
      <c r="G457" s="9" t="n"/>
      <c r="H457" s="3">
        <f>IF(AND(D457&lt;&gt;"",F457&lt;&gt;""),F457-D457-G457,"")</f>
        <v/>
      </c>
      <c r="I457" s="14">
        <f>IF(E457&lt;&gt;"", YEARFRAC(C457, E457) * 12, "")</f>
        <v/>
      </c>
      <c r="J457" s="2">
        <f>IF(I457="", "", IF(AND(A457="MF (Equity)", I457&gt;12), "Long Term", "Short Term"))</f>
        <v/>
      </c>
      <c r="K457" s="5">
        <f>IF(J457="", "", IF(J457="Long Term", 12.5%, 20%))</f>
        <v/>
      </c>
      <c r="L457" s="3">
        <f>+IFERROR(IF(J457="","",H457*K457),"")</f>
        <v/>
      </c>
    </row>
    <row r="458">
      <c r="A458" s="11" t="n"/>
      <c r="B458" s="7" t="n"/>
      <c r="C458" s="8" t="n"/>
      <c r="D458" s="9" t="n"/>
      <c r="E458" s="8" t="n"/>
      <c r="F458" s="9" t="n"/>
      <c r="G458" s="9" t="n"/>
      <c r="H458" s="3">
        <f>IF(AND(D458&lt;&gt;"",F458&lt;&gt;""),F458-D458-G458,"")</f>
        <v/>
      </c>
      <c r="I458" s="14">
        <f>IF(E458&lt;&gt;"", YEARFRAC(C458, E458) * 12, "")</f>
        <v/>
      </c>
      <c r="J458" s="2">
        <f>IF(I458="", "", IF(AND(A458="MF (Equity)", I458&gt;12), "Long Term", "Short Term"))</f>
        <v/>
      </c>
      <c r="K458" s="5">
        <f>IF(J458="", "", IF(J458="Long Term", 12.5%, 20%))</f>
        <v/>
      </c>
      <c r="L458" s="3">
        <f>+IFERROR(IF(J458="","",H458*K458),"")</f>
        <v/>
      </c>
    </row>
    <row r="459">
      <c r="A459" s="11" t="n"/>
      <c r="B459" s="7" t="n"/>
      <c r="C459" s="8" t="n"/>
      <c r="D459" s="9" t="n"/>
      <c r="E459" s="8" t="n"/>
      <c r="F459" s="9" t="n"/>
      <c r="G459" s="9" t="n"/>
      <c r="H459" s="3">
        <f>IF(AND(D459&lt;&gt;"",F459&lt;&gt;""),F459-D459-G459,"")</f>
        <v/>
      </c>
      <c r="I459" s="14">
        <f>IF(E459&lt;&gt;"", YEARFRAC(C459, E459) * 12, "")</f>
        <v/>
      </c>
      <c r="J459" s="2">
        <f>IF(I459="", "", IF(AND(A459="MF (Equity)", I459&gt;12), "Long Term", "Short Term"))</f>
        <v/>
      </c>
      <c r="K459" s="5">
        <f>IF(J459="", "", IF(J459="Long Term", 12.5%, 20%))</f>
        <v/>
      </c>
      <c r="L459" s="3">
        <f>+IFERROR(IF(J459="","",H459*K459),"")</f>
        <v/>
      </c>
    </row>
    <row r="460">
      <c r="A460" s="11" t="n"/>
      <c r="B460" s="7" t="n"/>
      <c r="C460" s="8" t="n"/>
      <c r="D460" s="9" t="n"/>
      <c r="E460" s="8" t="n"/>
      <c r="F460" s="9" t="n"/>
      <c r="G460" s="9" t="n"/>
      <c r="H460" s="3">
        <f>IF(AND(D460&lt;&gt;"",F460&lt;&gt;""),F460-D460-G460,"")</f>
        <v/>
      </c>
      <c r="I460" s="14">
        <f>IF(E460&lt;&gt;"", YEARFRAC(C460, E460) * 12, "")</f>
        <v/>
      </c>
      <c r="J460" s="2">
        <f>IF(I460="", "", IF(AND(A460="MF (Equity)", I460&gt;12), "Long Term", "Short Term"))</f>
        <v/>
      </c>
      <c r="K460" s="5">
        <f>IF(J460="", "", IF(J460="Long Term", 12.5%, 20%))</f>
        <v/>
      </c>
      <c r="L460" s="3">
        <f>+IFERROR(IF(J460="","",H460*K460),"")</f>
        <v/>
      </c>
    </row>
    <row r="461">
      <c r="A461" s="11" t="n"/>
      <c r="B461" s="7" t="n"/>
      <c r="C461" s="8" t="n"/>
      <c r="D461" s="9" t="n"/>
      <c r="E461" s="8" t="n"/>
      <c r="F461" s="9" t="n"/>
      <c r="G461" s="9" t="n"/>
      <c r="H461" s="3">
        <f>IF(AND(D461&lt;&gt;"",F461&lt;&gt;""),F461-D461-G461,"")</f>
        <v/>
      </c>
      <c r="I461" s="14">
        <f>IF(E461&lt;&gt;"", YEARFRAC(C461, E461) * 12, "")</f>
        <v/>
      </c>
      <c r="J461" s="2">
        <f>IF(I461="", "", IF(AND(A461="MF (Equity)", I461&gt;12), "Long Term", "Short Term"))</f>
        <v/>
      </c>
      <c r="K461" s="5">
        <f>IF(J461="", "", IF(J461="Long Term", 12.5%, 20%))</f>
        <v/>
      </c>
      <c r="L461" s="3">
        <f>+IFERROR(IF(J461="","",H461*K461),"")</f>
        <v/>
      </c>
    </row>
    <row r="462">
      <c r="A462" s="11" t="n"/>
      <c r="B462" s="7" t="n"/>
      <c r="C462" s="8" t="n"/>
      <c r="D462" s="9" t="n"/>
      <c r="E462" s="8" t="n"/>
      <c r="F462" s="9" t="n"/>
      <c r="G462" s="9" t="n"/>
      <c r="H462" s="3">
        <f>IF(AND(D462&lt;&gt;"",F462&lt;&gt;""),F462-D462-G462,"")</f>
        <v/>
      </c>
      <c r="I462" s="14">
        <f>IF(E462&lt;&gt;"", YEARFRAC(C462, E462) * 12, "")</f>
        <v/>
      </c>
      <c r="J462" s="2">
        <f>IF(I462="", "", IF(AND(A462="MF (Equity)", I462&gt;12), "Long Term", "Short Term"))</f>
        <v/>
      </c>
      <c r="K462" s="5">
        <f>IF(J462="", "", IF(J462="Long Term", 12.5%, 20%))</f>
        <v/>
      </c>
      <c r="L462" s="3">
        <f>+IFERROR(IF(J462="","",H462*K462),"")</f>
        <v/>
      </c>
    </row>
    <row r="463">
      <c r="A463" s="11" t="n"/>
      <c r="B463" s="7" t="n"/>
      <c r="C463" s="8" t="n"/>
      <c r="D463" s="9" t="n"/>
      <c r="E463" s="8" t="n"/>
      <c r="F463" s="9" t="n"/>
      <c r="G463" s="9" t="n"/>
      <c r="H463" s="3">
        <f>IF(AND(D463&lt;&gt;"",F463&lt;&gt;""),F463-D463-G463,"")</f>
        <v/>
      </c>
      <c r="I463" s="14">
        <f>IF(E463&lt;&gt;"", YEARFRAC(C463, E463) * 12, "")</f>
        <v/>
      </c>
      <c r="J463" s="2">
        <f>IF(I463="", "", IF(AND(A463="MF (Equity)", I463&gt;12), "Long Term", "Short Term"))</f>
        <v/>
      </c>
      <c r="K463" s="5">
        <f>IF(J463="", "", IF(J463="Long Term", 12.5%, 20%))</f>
        <v/>
      </c>
      <c r="L463" s="3">
        <f>+IFERROR(IF(J463="","",H463*K463),"")</f>
        <v/>
      </c>
    </row>
    <row r="464">
      <c r="A464" s="11" t="n"/>
      <c r="B464" s="7" t="n"/>
      <c r="C464" s="8" t="n"/>
      <c r="D464" s="9" t="n"/>
      <c r="E464" s="8" t="n"/>
      <c r="F464" s="9" t="n"/>
      <c r="G464" s="9" t="n"/>
      <c r="H464" s="3">
        <f>IF(AND(D464&lt;&gt;"",F464&lt;&gt;""),F464-D464-G464,"")</f>
        <v/>
      </c>
      <c r="I464" s="14">
        <f>IF(E464&lt;&gt;"", YEARFRAC(C464, E464) * 12, "")</f>
        <v/>
      </c>
      <c r="J464" s="2">
        <f>IF(I464="", "", IF(AND(A464="MF (Equity)", I464&gt;12), "Long Term", "Short Term"))</f>
        <v/>
      </c>
      <c r="K464" s="5">
        <f>IF(J464="", "", IF(J464="Long Term", 12.5%, 20%))</f>
        <v/>
      </c>
      <c r="L464" s="3">
        <f>+IFERROR(IF(J464="","",H464*K464),"")</f>
        <v/>
      </c>
    </row>
    <row r="465">
      <c r="A465" s="11" t="n"/>
      <c r="B465" s="7" t="n"/>
      <c r="C465" s="8" t="n"/>
      <c r="D465" s="9" t="n"/>
      <c r="E465" s="8" t="n"/>
      <c r="F465" s="9" t="n"/>
      <c r="G465" s="9" t="n"/>
      <c r="H465" s="3">
        <f>IF(AND(D465&lt;&gt;"",F465&lt;&gt;""),F465-D465-G465,"")</f>
        <v/>
      </c>
      <c r="I465" s="14">
        <f>IF(E465&lt;&gt;"", YEARFRAC(C465, E465) * 12, "")</f>
        <v/>
      </c>
      <c r="J465" s="2">
        <f>IF(I465="", "", IF(AND(A465="MF (Equity)", I465&gt;12), "Long Term", "Short Term"))</f>
        <v/>
      </c>
      <c r="K465" s="5">
        <f>IF(J465="", "", IF(J465="Long Term", 12.5%, 20%))</f>
        <v/>
      </c>
      <c r="L465" s="3">
        <f>+IFERROR(IF(J465="","",H465*K465),"")</f>
        <v/>
      </c>
    </row>
    <row r="466">
      <c r="A466" s="11" t="n"/>
      <c r="B466" s="7" t="n"/>
      <c r="C466" s="8" t="n"/>
      <c r="D466" s="9" t="n"/>
      <c r="E466" s="8" t="n"/>
      <c r="F466" s="9" t="n"/>
      <c r="G466" s="9" t="n"/>
      <c r="H466" s="3">
        <f>IF(AND(D466&lt;&gt;"",F466&lt;&gt;""),F466-D466-G466,"")</f>
        <v/>
      </c>
      <c r="I466" s="14">
        <f>IF(E466&lt;&gt;"", YEARFRAC(C466, E466) * 12, "")</f>
        <v/>
      </c>
      <c r="J466" s="2">
        <f>IF(I466="", "", IF(AND(A466="MF (Equity)", I466&gt;12), "Long Term", "Short Term"))</f>
        <v/>
      </c>
      <c r="K466" s="5">
        <f>IF(J466="", "", IF(J466="Long Term", 12.5%, 20%))</f>
        <v/>
      </c>
      <c r="L466" s="3">
        <f>+IFERROR(IF(J466="","",H466*K466),"")</f>
        <v/>
      </c>
    </row>
    <row r="467">
      <c r="A467" s="11" t="n"/>
      <c r="B467" s="7" t="n"/>
      <c r="C467" s="8" t="n"/>
      <c r="D467" s="9" t="n"/>
      <c r="E467" s="8" t="n"/>
      <c r="F467" s="9" t="n"/>
      <c r="G467" s="9" t="n"/>
      <c r="H467" s="3">
        <f>IF(AND(D467&lt;&gt;"",F467&lt;&gt;""),F467-D467-G467,"")</f>
        <v/>
      </c>
      <c r="I467" s="14">
        <f>IF(E467&lt;&gt;"", YEARFRAC(C467, E467) * 12, "")</f>
        <v/>
      </c>
      <c r="J467" s="2">
        <f>IF(I467="", "", IF(AND(A467="MF (Equity)", I467&gt;12), "Long Term", "Short Term"))</f>
        <v/>
      </c>
      <c r="K467" s="5">
        <f>IF(J467="", "", IF(J467="Long Term", 12.5%, 20%))</f>
        <v/>
      </c>
      <c r="L467" s="3">
        <f>+IFERROR(IF(J467="","",H467*K467),"")</f>
        <v/>
      </c>
    </row>
    <row r="468">
      <c r="A468" s="11" t="n"/>
      <c r="B468" s="7" t="n"/>
      <c r="C468" s="8" t="n"/>
      <c r="D468" s="9" t="n"/>
      <c r="E468" s="8" t="n"/>
      <c r="F468" s="9" t="n"/>
      <c r="G468" s="9" t="n"/>
      <c r="H468" s="3">
        <f>IF(AND(D468&lt;&gt;"",F468&lt;&gt;""),F468-D468-G468,"")</f>
        <v/>
      </c>
      <c r="I468" s="14">
        <f>IF(E468&lt;&gt;"", YEARFRAC(C468, E468) * 12, "")</f>
        <v/>
      </c>
      <c r="J468" s="2">
        <f>IF(I468="", "", IF(AND(A468="MF (Equity)", I468&gt;12), "Long Term", "Short Term"))</f>
        <v/>
      </c>
      <c r="K468" s="5">
        <f>IF(J468="", "", IF(J468="Long Term", 12.5%, 20%))</f>
        <v/>
      </c>
      <c r="L468" s="3">
        <f>+IFERROR(IF(J468="","",H468*K468),"")</f>
        <v/>
      </c>
    </row>
    <row r="469">
      <c r="A469" s="11" t="n"/>
      <c r="B469" s="7" t="n"/>
      <c r="C469" s="8" t="n"/>
      <c r="D469" s="9" t="n"/>
      <c r="E469" s="8" t="n"/>
      <c r="F469" s="9" t="n"/>
      <c r="G469" s="9" t="n"/>
      <c r="H469" s="3">
        <f>IF(AND(D469&lt;&gt;"",F469&lt;&gt;""),F469-D469-G469,"")</f>
        <v/>
      </c>
      <c r="I469" s="14">
        <f>IF(E469&lt;&gt;"", YEARFRAC(C469, E469) * 12, "")</f>
        <v/>
      </c>
      <c r="J469" s="2">
        <f>IF(I469="", "", IF(AND(A469="MF (Equity)", I469&gt;12), "Long Term", "Short Term"))</f>
        <v/>
      </c>
      <c r="K469" s="5">
        <f>IF(J469="", "", IF(J469="Long Term", 12.5%, 20%))</f>
        <v/>
      </c>
      <c r="L469" s="3">
        <f>+IFERROR(IF(J469="","",H469*K469),"")</f>
        <v/>
      </c>
    </row>
    <row r="470">
      <c r="A470" s="11" t="n"/>
      <c r="B470" s="7" t="n"/>
      <c r="C470" s="8" t="n"/>
      <c r="D470" s="9" t="n"/>
      <c r="E470" s="8" t="n"/>
      <c r="F470" s="9" t="n"/>
      <c r="G470" s="9" t="n"/>
      <c r="H470" s="3">
        <f>IF(AND(D470&lt;&gt;"",F470&lt;&gt;""),F470-D470-G470,"")</f>
        <v/>
      </c>
      <c r="I470" s="14">
        <f>IF(E470&lt;&gt;"", YEARFRAC(C470, E470) * 12, "")</f>
        <v/>
      </c>
      <c r="J470" s="2">
        <f>IF(I470="", "", IF(AND(A470="MF (Equity)", I470&gt;12), "Long Term", "Short Term"))</f>
        <v/>
      </c>
      <c r="K470" s="5">
        <f>IF(J470="", "", IF(J470="Long Term", 12.5%, 20%))</f>
        <v/>
      </c>
      <c r="L470" s="3">
        <f>+IFERROR(IF(J470="","",H470*K470),"")</f>
        <v/>
      </c>
    </row>
    <row r="471">
      <c r="A471" s="11" t="n"/>
      <c r="B471" s="7" t="n"/>
      <c r="C471" s="8" t="n"/>
      <c r="D471" s="9" t="n"/>
      <c r="E471" s="8" t="n"/>
      <c r="F471" s="9" t="n"/>
      <c r="G471" s="9" t="n"/>
      <c r="H471" s="3">
        <f>IF(AND(D471&lt;&gt;"",F471&lt;&gt;""),F471-D471-G471,"")</f>
        <v/>
      </c>
      <c r="I471" s="14">
        <f>IF(E471&lt;&gt;"", YEARFRAC(C471, E471) * 12, "")</f>
        <v/>
      </c>
      <c r="J471" s="2">
        <f>IF(I471="", "", IF(AND(A471="MF (Equity)", I471&gt;12), "Long Term", "Short Term"))</f>
        <v/>
      </c>
      <c r="K471" s="5">
        <f>IF(J471="", "", IF(J471="Long Term", 12.5%, 20%))</f>
        <v/>
      </c>
      <c r="L471" s="3">
        <f>+IFERROR(IF(J471="","",H471*K471),"")</f>
        <v/>
      </c>
    </row>
    <row r="472">
      <c r="A472" s="11" t="n"/>
      <c r="B472" s="7" t="n"/>
      <c r="C472" s="8" t="n"/>
      <c r="D472" s="9" t="n"/>
      <c r="E472" s="8" t="n"/>
      <c r="F472" s="9" t="n"/>
      <c r="G472" s="9" t="n"/>
      <c r="H472" s="3">
        <f>IF(AND(D472&lt;&gt;"",F472&lt;&gt;""),F472-D472-G472,"")</f>
        <v/>
      </c>
      <c r="I472" s="14">
        <f>IF(E472&lt;&gt;"", YEARFRAC(C472, E472) * 12, "")</f>
        <v/>
      </c>
      <c r="J472" s="2">
        <f>IF(I472="", "", IF(AND(A472="MF (Equity)", I472&gt;12), "Long Term", "Short Term"))</f>
        <v/>
      </c>
      <c r="K472" s="5">
        <f>IF(J472="", "", IF(J472="Long Term", 12.5%, 20%))</f>
        <v/>
      </c>
      <c r="L472" s="3">
        <f>+IFERROR(IF(J472="","",H472*K472),"")</f>
        <v/>
      </c>
    </row>
    <row r="473">
      <c r="A473" s="11" t="n"/>
      <c r="B473" s="7" t="n"/>
      <c r="C473" s="8" t="n"/>
      <c r="D473" s="9" t="n"/>
      <c r="E473" s="8" t="n"/>
      <c r="F473" s="9" t="n"/>
      <c r="G473" s="9" t="n"/>
      <c r="H473" s="3">
        <f>IF(AND(D473&lt;&gt;"",F473&lt;&gt;""),F473-D473-G473,"")</f>
        <v/>
      </c>
      <c r="I473" s="14">
        <f>IF(E473&lt;&gt;"", YEARFRAC(C473, E473) * 12, "")</f>
        <v/>
      </c>
      <c r="J473" s="2">
        <f>IF(I473="", "", IF(AND(A473="MF (Equity)", I473&gt;12), "Long Term", "Short Term"))</f>
        <v/>
      </c>
      <c r="K473" s="5">
        <f>IF(J473="", "", IF(J473="Long Term", 12.5%, 20%))</f>
        <v/>
      </c>
      <c r="L473" s="3">
        <f>+IFERROR(IF(J473="","",H473*K473),"")</f>
        <v/>
      </c>
    </row>
    <row r="474">
      <c r="A474" s="11" t="n"/>
      <c r="B474" s="7" t="n"/>
      <c r="C474" s="8" t="n"/>
      <c r="D474" s="9" t="n"/>
      <c r="E474" s="8" t="n"/>
      <c r="F474" s="9" t="n"/>
      <c r="G474" s="9" t="n"/>
      <c r="H474" s="3">
        <f>IF(AND(D474&lt;&gt;"",F474&lt;&gt;""),F474-D474-G474,"")</f>
        <v/>
      </c>
      <c r="I474" s="14">
        <f>IF(E474&lt;&gt;"", YEARFRAC(C474, E474) * 12, "")</f>
        <v/>
      </c>
      <c r="J474" s="2">
        <f>IF(I474="", "", IF(AND(A474="MF (Equity)", I474&gt;12), "Long Term", "Short Term"))</f>
        <v/>
      </c>
      <c r="K474" s="5">
        <f>IF(J474="", "", IF(J474="Long Term", 12.5%, 20%))</f>
        <v/>
      </c>
      <c r="L474" s="3">
        <f>+IFERROR(IF(J474="","",H474*K474),"")</f>
        <v/>
      </c>
    </row>
    <row r="475">
      <c r="A475" s="11" t="n"/>
      <c r="B475" s="7" t="n"/>
      <c r="C475" s="8" t="n"/>
      <c r="D475" s="9" t="n"/>
      <c r="E475" s="8" t="n"/>
      <c r="F475" s="9" t="n"/>
      <c r="G475" s="9" t="n"/>
      <c r="H475" s="3">
        <f>IF(AND(D475&lt;&gt;"",F475&lt;&gt;""),F475-D475-G475,"")</f>
        <v/>
      </c>
      <c r="I475" s="14">
        <f>IF(E475&lt;&gt;"", YEARFRAC(C475, E475) * 12, "")</f>
        <v/>
      </c>
      <c r="J475" s="2">
        <f>IF(I475="", "", IF(AND(A475="MF (Equity)", I475&gt;12), "Long Term", "Short Term"))</f>
        <v/>
      </c>
      <c r="K475" s="5">
        <f>IF(J475="", "", IF(J475="Long Term", 12.5%, 20%))</f>
        <v/>
      </c>
      <c r="L475" s="3">
        <f>+IFERROR(IF(J475="","",H475*K475),"")</f>
        <v/>
      </c>
    </row>
    <row r="476">
      <c r="A476" s="11" t="n"/>
      <c r="B476" s="7" t="n"/>
      <c r="C476" s="8" t="n"/>
      <c r="D476" s="9" t="n"/>
      <c r="E476" s="8" t="n"/>
      <c r="F476" s="9" t="n"/>
      <c r="G476" s="9" t="n"/>
      <c r="H476" s="3">
        <f>IF(AND(D476&lt;&gt;"",F476&lt;&gt;""),F476-D476-G476,"")</f>
        <v/>
      </c>
      <c r="I476" s="14">
        <f>IF(E476&lt;&gt;"", YEARFRAC(C476, E476) * 12, "")</f>
        <v/>
      </c>
      <c r="J476" s="2">
        <f>IF(I476="", "", IF(AND(A476="MF (Equity)", I476&gt;12), "Long Term", "Short Term"))</f>
        <v/>
      </c>
      <c r="K476" s="5">
        <f>IF(J476="", "", IF(J476="Long Term", 12.5%, 20%))</f>
        <v/>
      </c>
      <c r="L476" s="3">
        <f>+IFERROR(IF(J476="","",H476*K476),"")</f>
        <v/>
      </c>
    </row>
    <row r="477">
      <c r="A477" s="11" t="n"/>
      <c r="B477" s="7" t="n"/>
      <c r="C477" s="8" t="n"/>
      <c r="D477" s="9" t="n"/>
      <c r="E477" s="8" t="n"/>
      <c r="F477" s="9" t="n"/>
      <c r="G477" s="9" t="n"/>
      <c r="H477" s="3">
        <f>IF(AND(D477&lt;&gt;"",F477&lt;&gt;""),F477-D477-G477,"")</f>
        <v/>
      </c>
      <c r="I477" s="14">
        <f>IF(E477&lt;&gt;"", YEARFRAC(C477, E477) * 12, "")</f>
        <v/>
      </c>
      <c r="J477" s="2">
        <f>IF(I477="", "", IF(AND(A477="MF (Equity)", I477&gt;12), "Long Term", "Short Term"))</f>
        <v/>
      </c>
      <c r="K477" s="5">
        <f>IF(J477="", "", IF(J477="Long Term", 12.5%, 20%))</f>
        <v/>
      </c>
      <c r="L477" s="3">
        <f>+IFERROR(IF(J477="","",H477*K477),"")</f>
        <v/>
      </c>
    </row>
    <row r="478">
      <c r="A478" s="11" t="n"/>
      <c r="B478" s="7" t="n"/>
      <c r="C478" s="8" t="n"/>
      <c r="D478" s="9" t="n"/>
      <c r="E478" s="8" t="n"/>
      <c r="F478" s="9" t="n"/>
      <c r="G478" s="9" t="n"/>
      <c r="H478" s="3">
        <f>IF(AND(D478&lt;&gt;"",F478&lt;&gt;""),F478-D478-G478,"")</f>
        <v/>
      </c>
      <c r="I478" s="14">
        <f>IF(E478&lt;&gt;"", YEARFRAC(C478, E478) * 12, "")</f>
        <v/>
      </c>
      <c r="J478" s="2">
        <f>IF(I478="", "", IF(AND(A478="MF (Equity)", I478&gt;12), "Long Term", "Short Term"))</f>
        <v/>
      </c>
      <c r="K478" s="5">
        <f>IF(J478="", "", IF(J478="Long Term", 12.5%, 20%))</f>
        <v/>
      </c>
      <c r="L478" s="3">
        <f>+IFERROR(IF(J478="","",H478*K478),"")</f>
        <v/>
      </c>
    </row>
    <row r="479">
      <c r="A479" s="11" t="n"/>
      <c r="B479" s="7" t="n"/>
      <c r="C479" s="8" t="n"/>
      <c r="D479" s="9" t="n"/>
      <c r="E479" s="8" t="n"/>
      <c r="F479" s="9" t="n"/>
      <c r="G479" s="9" t="n"/>
      <c r="H479" s="3">
        <f>IF(AND(D479&lt;&gt;"",F479&lt;&gt;""),F479-D479-G479,"")</f>
        <v/>
      </c>
      <c r="I479" s="14">
        <f>IF(E479&lt;&gt;"", YEARFRAC(C479, E479) * 12, "")</f>
        <v/>
      </c>
      <c r="J479" s="2">
        <f>IF(I479="", "", IF(AND(A479="MF (Equity)", I479&gt;12), "Long Term", "Short Term"))</f>
        <v/>
      </c>
      <c r="K479" s="5">
        <f>IF(J479="", "", IF(J479="Long Term", 12.5%, 20%))</f>
        <v/>
      </c>
      <c r="L479" s="3">
        <f>+IFERROR(IF(J479="","",H479*K479),"")</f>
        <v/>
      </c>
    </row>
    <row r="480">
      <c r="A480" s="11" t="n"/>
      <c r="B480" s="7" t="n"/>
      <c r="C480" s="8" t="n"/>
      <c r="D480" s="9" t="n"/>
      <c r="E480" s="8" t="n"/>
      <c r="F480" s="9" t="n"/>
      <c r="G480" s="9" t="n"/>
      <c r="H480" s="3">
        <f>IF(AND(D480&lt;&gt;"",F480&lt;&gt;""),F480-D480-G480,"")</f>
        <v/>
      </c>
      <c r="I480" s="14">
        <f>IF(E480&lt;&gt;"", YEARFRAC(C480, E480) * 12, "")</f>
        <v/>
      </c>
      <c r="J480" s="2">
        <f>IF(I480="", "", IF(AND(A480="MF (Equity)", I480&gt;12), "Long Term", "Short Term"))</f>
        <v/>
      </c>
      <c r="K480" s="5">
        <f>IF(J480="", "", IF(J480="Long Term", 12.5%, 20%))</f>
        <v/>
      </c>
      <c r="L480" s="3">
        <f>+IFERROR(IF(J480="","",H480*K480),"")</f>
        <v/>
      </c>
    </row>
    <row r="481">
      <c r="A481" s="11" t="n"/>
      <c r="B481" s="7" t="n"/>
      <c r="C481" s="8" t="n"/>
      <c r="D481" s="9" t="n"/>
      <c r="E481" s="8" t="n"/>
      <c r="F481" s="9" t="n"/>
      <c r="G481" s="9" t="n"/>
      <c r="H481" s="3">
        <f>IF(AND(D481&lt;&gt;"",F481&lt;&gt;""),F481-D481-G481,"")</f>
        <v/>
      </c>
      <c r="I481" s="14">
        <f>IF(E481&lt;&gt;"", YEARFRAC(C481, E481) * 12, "")</f>
        <v/>
      </c>
      <c r="J481" s="2">
        <f>IF(I481="", "", IF(AND(A481="MF (Equity)", I481&gt;12), "Long Term", "Short Term"))</f>
        <v/>
      </c>
      <c r="K481" s="5">
        <f>IF(J481="", "", IF(J481="Long Term", 12.5%, 20%))</f>
        <v/>
      </c>
      <c r="L481" s="3">
        <f>+IFERROR(IF(J481="","",H481*K481),"")</f>
        <v/>
      </c>
    </row>
    <row r="482">
      <c r="A482" s="11" t="n"/>
      <c r="B482" s="7" t="n"/>
      <c r="C482" s="8" t="n"/>
      <c r="D482" s="9" t="n"/>
      <c r="E482" s="8" t="n"/>
      <c r="F482" s="9" t="n"/>
      <c r="G482" s="9" t="n"/>
      <c r="H482" s="3">
        <f>IF(AND(D482&lt;&gt;"",F482&lt;&gt;""),F482-D482-G482,"")</f>
        <v/>
      </c>
      <c r="I482" s="14">
        <f>IF(E482&lt;&gt;"", YEARFRAC(C482, E482) * 12, "")</f>
        <v/>
      </c>
      <c r="J482" s="2">
        <f>IF(I482="", "", IF(AND(A482="MF (Equity)", I482&gt;12), "Long Term", "Short Term"))</f>
        <v/>
      </c>
      <c r="K482" s="5">
        <f>IF(J482="", "", IF(J482="Long Term", 12.5%, 20%))</f>
        <v/>
      </c>
      <c r="L482" s="3">
        <f>+IFERROR(IF(J482="","",H482*K482),"")</f>
        <v/>
      </c>
    </row>
    <row r="483">
      <c r="A483" s="11" t="n"/>
      <c r="B483" s="7" t="n"/>
      <c r="C483" s="8" t="n"/>
      <c r="D483" s="9" t="n"/>
      <c r="E483" s="8" t="n"/>
      <c r="F483" s="9" t="n"/>
      <c r="G483" s="9" t="n"/>
      <c r="H483" s="3">
        <f>IF(AND(D483&lt;&gt;"",F483&lt;&gt;""),F483-D483-G483,"")</f>
        <v/>
      </c>
      <c r="I483" s="14">
        <f>IF(E483&lt;&gt;"", YEARFRAC(C483, E483) * 12, "")</f>
        <v/>
      </c>
      <c r="J483" s="2">
        <f>IF(I483="", "", IF(AND(A483="MF (Equity)", I483&gt;12), "Long Term", "Short Term"))</f>
        <v/>
      </c>
      <c r="K483" s="5">
        <f>IF(J483="", "", IF(J483="Long Term", 12.5%, 20%))</f>
        <v/>
      </c>
      <c r="L483" s="3">
        <f>+IFERROR(IF(J483="","",H483*K483),"")</f>
        <v/>
      </c>
    </row>
    <row r="484">
      <c r="A484" s="11" t="n"/>
      <c r="B484" s="7" t="n"/>
      <c r="C484" s="8" t="n"/>
      <c r="D484" s="9" t="n"/>
      <c r="E484" s="8" t="n"/>
      <c r="F484" s="9" t="n"/>
      <c r="G484" s="9" t="n"/>
      <c r="H484" s="3">
        <f>IF(AND(D484&lt;&gt;"",F484&lt;&gt;""),F484-D484-G484,"")</f>
        <v/>
      </c>
      <c r="I484" s="14">
        <f>IF(E484&lt;&gt;"", YEARFRAC(C484, E484) * 12, "")</f>
        <v/>
      </c>
      <c r="J484" s="2">
        <f>IF(I484="", "", IF(AND(A484="MF (Equity)", I484&gt;12), "Long Term", "Short Term"))</f>
        <v/>
      </c>
      <c r="K484" s="5">
        <f>IF(J484="", "", IF(J484="Long Term", 12.5%, 20%))</f>
        <v/>
      </c>
      <c r="L484" s="3">
        <f>+IFERROR(IF(J484="","",H484*K484),"")</f>
        <v/>
      </c>
    </row>
    <row r="485">
      <c r="A485" s="11" t="n"/>
      <c r="B485" s="7" t="n"/>
      <c r="C485" s="8" t="n"/>
      <c r="D485" s="9" t="n"/>
      <c r="E485" s="8" t="n"/>
      <c r="F485" s="9" t="n"/>
      <c r="G485" s="9" t="n"/>
      <c r="H485" s="3">
        <f>IF(AND(D485&lt;&gt;"",F485&lt;&gt;""),F485-D485-G485,"")</f>
        <v/>
      </c>
      <c r="I485" s="14">
        <f>IF(E485&lt;&gt;"", YEARFRAC(C485, E485) * 12, "")</f>
        <v/>
      </c>
      <c r="J485" s="2">
        <f>IF(I485="", "", IF(AND(A485="MF (Equity)", I485&gt;12), "Long Term", "Short Term"))</f>
        <v/>
      </c>
      <c r="K485" s="5">
        <f>IF(J485="", "", IF(J485="Long Term", 12.5%, 20%))</f>
        <v/>
      </c>
      <c r="L485" s="3">
        <f>+IFERROR(IF(J485="","",H485*K485),"")</f>
        <v/>
      </c>
    </row>
    <row r="486">
      <c r="A486" s="11" t="n"/>
      <c r="B486" s="7" t="n"/>
      <c r="C486" s="8" t="n"/>
      <c r="D486" s="9" t="n"/>
      <c r="E486" s="8" t="n"/>
      <c r="F486" s="9" t="n"/>
      <c r="G486" s="9" t="n"/>
      <c r="H486" s="3">
        <f>IF(AND(D486&lt;&gt;"",F486&lt;&gt;""),F486-D486-G486,"")</f>
        <v/>
      </c>
      <c r="I486" s="14">
        <f>IF(E486&lt;&gt;"", YEARFRAC(C486, E486) * 12, "")</f>
        <v/>
      </c>
      <c r="J486" s="2">
        <f>IF(I486="", "", IF(AND(A486="MF (Equity)", I486&gt;12), "Long Term", "Short Term"))</f>
        <v/>
      </c>
      <c r="K486" s="5">
        <f>IF(J486="", "", IF(J486="Long Term", 12.5%, 20%))</f>
        <v/>
      </c>
      <c r="L486" s="3">
        <f>+IFERROR(IF(J486="","",H486*K486),"")</f>
        <v/>
      </c>
    </row>
    <row r="487">
      <c r="A487" s="11" t="n"/>
      <c r="B487" s="7" t="n"/>
      <c r="C487" s="8" t="n"/>
      <c r="D487" s="9" t="n"/>
      <c r="E487" s="8" t="n"/>
      <c r="F487" s="9" t="n"/>
      <c r="G487" s="9" t="n"/>
      <c r="H487" s="3">
        <f>IF(AND(D487&lt;&gt;"",F487&lt;&gt;""),F487-D487-G487,"")</f>
        <v/>
      </c>
      <c r="I487" s="14">
        <f>IF(E487&lt;&gt;"", YEARFRAC(C487, E487) * 12, "")</f>
        <v/>
      </c>
      <c r="J487" s="2">
        <f>IF(I487="", "", IF(AND(A487="MF (Equity)", I487&gt;12), "Long Term", "Short Term"))</f>
        <v/>
      </c>
      <c r="K487" s="5">
        <f>IF(J487="", "", IF(J487="Long Term", 12.5%, 20%))</f>
        <v/>
      </c>
      <c r="L487" s="3">
        <f>+IFERROR(IF(J487="","",H487*K487),"")</f>
        <v/>
      </c>
    </row>
    <row r="488">
      <c r="A488" s="11" t="n"/>
      <c r="B488" s="7" t="n"/>
      <c r="C488" s="8" t="n"/>
      <c r="D488" s="9" t="n"/>
      <c r="E488" s="8" t="n"/>
      <c r="F488" s="9" t="n"/>
      <c r="G488" s="9" t="n"/>
      <c r="H488" s="3">
        <f>IF(AND(D488&lt;&gt;"",F488&lt;&gt;""),F488-D488-G488,"")</f>
        <v/>
      </c>
      <c r="I488" s="14">
        <f>IF(E488&lt;&gt;"", YEARFRAC(C488, E488) * 12, "")</f>
        <v/>
      </c>
      <c r="J488" s="2">
        <f>IF(I488="", "", IF(AND(A488="MF (Equity)", I488&gt;12), "Long Term", "Short Term"))</f>
        <v/>
      </c>
      <c r="K488" s="5">
        <f>IF(J488="", "", IF(J488="Long Term", 12.5%, 20%))</f>
        <v/>
      </c>
      <c r="L488" s="3">
        <f>+IFERROR(IF(J488="","",H488*K488),"")</f>
        <v/>
      </c>
    </row>
    <row r="489">
      <c r="A489" s="11" t="n"/>
      <c r="B489" s="7" t="n"/>
      <c r="C489" s="8" t="n"/>
      <c r="D489" s="9" t="n"/>
      <c r="E489" s="8" t="n"/>
      <c r="F489" s="9" t="n"/>
      <c r="G489" s="9" t="n"/>
      <c r="H489" s="3">
        <f>IF(AND(D489&lt;&gt;"",F489&lt;&gt;""),F489-D489-G489,"")</f>
        <v/>
      </c>
      <c r="I489" s="14">
        <f>IF(E489&lt;&gt;"", YEARFRAC(C489, E489) * 12, "")</f>
        <v/>
      </c>
      <c r="J489" s="2">
        <f>IF(I489="", "", IF(AND(A489="MF (Equity)", I489&gt;12), "Long Term", "Short Term"))</f>
        <v/>
      </c>
      <c r="K489" s="5">
        <f>IF(J489="", "", IF(J489="Long Term", 12.5%, 20%))</f>
        <v/>
      </c>
      <c r="L489" s="3">
        <f>+IFERROR(IF(J489="","",H489*K489),"")</f>
        <v/>
      </c>
    </row>
    <row r="490">
      <c r="A490" s="11" t="n"/>
      <c r="B490" s="7" t="n"/>
      <c r="C490" s="8" t="n"/>
      <c r="D490" s="9" t="n"/>
      <c r="E490" s="8" t="n"/>
      <c r="F490" s="9" t="n"/>
      <c r="G490" s="9" t="n"/>
      <c r="H490" s="3">
        <f>IF(AND(D490&lt;&gt;"",F490&lt;&gt;""),F490-D490-G490,"")</f>
        <v/>
      </c>
      <c r="I490" s="14">
        <f>IF(E490&lt;&gt;"", YEARFRAC(C490, E490) * 12, "")</f>
        <v/>
      </c>
      <c r="J490" s="2">
        <f>IF(I490="", "", IF(AND(A490="MF (Equity)", I490&gt;12), "Long Term", "Short Term"))</f>
        <v/>
      </c>
      <c r="K490" s="5">
        <f>IF(J490="", "", IF(J490="Long Term", 12.5%, 20%))</f>
        <v/>
      </c>
      <c r="L490" s="3">
        <f>+IFERROR(IF(J490="","",H490*K490),"")</f>
        <v/>
      </c>
    </row>
    <row r="491">
      <c r="A491" s="11" t="n"/>
      <c r="B491" s="7" t="n"/>
      <c r="C491" s="8" t="n"/>
      <c r="D491" s="9" t="n"/>
      <c r="E491" s="8" t="n"/>
      <c r="F491" s="9" t="n"/>
      <c r="G491" s="9" t="n"/>
      <c r="H491" s="3">
        <f>IF(AND(D491&lt;&gt;"",F491&lt;&gt;""),F491-D491-G491,"")</f>
        <v/>
      </c>
      <c r="I491" s="14">
        <f>IF(E491&lt;&gt;"", YEARFRAC(C491, E491) * 12, "")</f>
        <v/>
      </c>
      <c r="J491" s="2">
        <f>IF(I491="", "", IF(AND(A491="MF (Equity)", I491&gt;12), "Long Term", "Short Term"))</f>
        <v/>
      </c>
      <c r="K491" s="5">
        <f>IF(J491="", "", IF(J491="Long Term", 12.5%, 20%))</f>
        <v/>
      </c>
      <c r="L491" s="3">
        <f>+IFERROR(IF(J491="","",H491*K491),"")</f>
        <v/>
      </c>
    </row>
    <row r="492">
      <c r="A492" s="11" t="n"/>
      <c r="B492" s="7" t="n"/>
      <c r="C492" s="8" t="n"/>
      <c r="D492" s="9" t="n"/>
      <c r="E492" s="8" t="n"/>
      <c r="F492" s="9" t="n"/>
      <c r="G492" s="9" t="n"/>
      <c r="H492" s="3">
        <f>IF(AND(D492&lt;&gt;"",F492&lt;&gt;""),F492-D492-G492,"")</f>
        <v/>
      </c>
      <c r="I492" s="14">
        <f>IF(E492&lt;&gt;"", YEARFRAC(C492, E492) * 12, "")</f>
        <v/>
      </c>
      <c r="J492" s="2">
        <f>IF(I492="", "", IF(AND(A492="MF (Equity)", I492&gt;12), "Long Term", "Short Term"))</f>
        <v/>
      </c>
      <c r="K492" s="5">
        <f>IF(J492="", "", IF(J492="Long Term", 12.5%, 20%))</f>
        <v/>
      </c>
      <c r="L492" s="3">
        <f>+IFERROR(IF(J492="","",H492*K492),"")</f>
        <v/>
      </c>
    </row>
    <row r="493">
      <c r="A493" s="11" t="n"/>
      <c r="B493" s="7" t="n"/>
      <c r="C493" s="8" t="n"/>
      <c r="D493" s="9" t="n"/>
      <c r="E493" s="8" t="n"/>
      <c r="F493" s="9" t="n"/>
      <c r="G493" s="9" t="n"/>
      <c r="H493" s="3">
        <f>IF(AND(D493&lt;&gt;"",F493&lt;&gt;""),F493-D493-G493,"")</f>
        <v/>
      </c>
      <c r="I493" s="14">
        <f>IF(E493&lt;&gt;"", YEARFRAC(C493, E493) * 12, "")</f>
        <v/>
      </c>
      <c r="J493" s="2">
        <f>IF(I493="", "", IF(AND(A493="MF (Equity)", I493&gt;12), "Long Term", "Short Term"))</f>
        <v/>
      </c>
      <c r="K493" s="5">
        <f>IF(J493="", "", IF(J493="Long Term", 12.5%, 20%))</f>
        <v/>
      </c>
      <c r="L493" s="3">
        <f>+IFERROR(IF(J493="","",H493*K493),"")</f>
        <v/>
      </c>
    </row>
    <row r="494">
      <c r="A494" s="11" t="n"/>
      <c r="B494" s="7" t="n"/>
      <c r="C494" s="8" t="n"/>
      <c r="D494" s="9" t="n"/>
      <c r="E494" s="8" t="n"/>
      <c r="F494" s="9" t="n"/>
      <c r="G494" s="9" t="n"/>
      <c r="H494" s="3">
        <f>IF(AND(D494&lt;&gt;"",F494&lt;&gt;""),F494-D494-G494,"")</f>
        <v/>
      </c>
      <c r="I494" s="14">
        <f>IF(E494&lt;&gt;"", YEARFRAC(C494, E494) * 12, "")</f>
        <v/>
      </c>
      <c r="J494" s="2">
        <f>IF(I494="", "", IF(AND(A494="MF (Equity)", I494&gt;12), "Long Term", "Short Term"))</f>
        <v/>
      </c>
      <c r="K494" s="5">
        <f>IF(J494="", "", IF(J494="Long Term", 12.5%, 20%))</f>
        <v/>
      </c>
      <c r="L494" s="3">
        <f>+IFERROR(IF(J494="","",H494*K494),"")</f>
        <v/>
      </c>
    </row>
    <row r="495">
      <c r="A495" s="11" t="n"/>
      <c r="B495" s="7" t="n"/>
      <c r="C495" s="8" t="n"/>
      <c r="D495" s="9" t="n"/>
      <c r="E495" s="8" t="n"/>
      <c r="F495" s="9" t="n"/>
      <c r="G495" s="9" t="n"/>
      <c r="H495" s="3">
        <f>IF(AND(D495&lt;&gt;"",F495&lt;&gt;""),F495-D495-G495,"")</f>
        <v/>
      </c>
      <c r="I495" s="14">
        <f>IF(E495&lt;&gt;"", YEARFRAC(C495, E495) * 12, "")</f>
        <v/>
      </c>
      <c r="J495" s="2">
        <f>IF(I495="", "", IF(AND(A495="MF (Equity)", I495&gt;12), "Long Term", "Short Term"))</f>
        <v/>
      </c>
      <c r="K495" s="5">
        <f>IF(J495="", "", IF(J495="Long Term", 12.5%, 20%))</f>
        <v/>
      </c>
      <c r="L495" s="3">
        <f>+IFERROR(IF(J495="","",H495*K495),"")</f>
        <v/>
      </c>
    </row>
    <row r="496">
      <c r="A496" s="11" t="n"/>
      <c r="B496" s="7" t="n"/>
      <c r="C496" s="8" t="n"/>
      <c r="D496" s="9" t="n"/>
      <c r="E496" s="8" t="n"/>
      <c r="F496" s="9" t="n"/>
      <c r="G496" s="9" t="n"/>
      <c r="H496" s="3">
        <f>IF(AND(D496&lt;&gt;"",F496&lt;&gt;""),F496-D496-G496,"")</f>
        <v/>
      </c>
      <c r="I496" s="14">
        <f>IF(E496&lt;&gt;"", YEARFRAC(C496, E496) * 12, "")</f>
        <v/>
      </c>
      <c r="J496" s="2">
        <f>IF(I496="", "", IF(AND(A496="MF (Equity)", I496&gt;12), "Long Term", "Short Term"))</f>
        <v/>
      </c>
      <c r="K496" s="5">
        <f>IF(J496="", "", IF(J496="Long Term", 12.5%, 20%))</f>
        <v/>
      </c>
      <c r="L496" s="3">
        <f>+IFERROR(IF(J496="","",H496*K496),"")</f>
        <v/>
      </c>
    </row>
    <row r="497">
      <c r="A497" s="11" t="n"/>
      <c r="B497" s="7" t="n"/>
      <c r="C497" s="8" t="n"/>
      <c r="D497" s="9" t="n"/>
      <c r="E497" s="8" t="n"/>
      <c r="F497" s="9" t="n"/>
      <c r="G497" s="9" t="n"/>
      <c r="H497" s="3">
        <f>IF(AND(D497&lt;&gt;"",F497&lt;&gt;""),F497-D497-G497,"")</f>
        <v/>
      </c>
      <c r="I497" s="14">
        <f>IF(E497&lt;&gt;"", YEARFRAC(C497, E497) * 12, "")</f>
        <v/>
      </c>
      <c r="J497" s="2">
        <f>IF(I497="", "", IF(AND(A497="MF (Equity)", I497&gt;12), "Long Term", "Short Term"))</f>
        <v/>
      </c>
      <c r="K497" s="5">
        <f>IF(J497="", "", IF(J497="Long Term", 12.5%, 20%))</f>
        <v/>
      </c>
      <c r="L497" s="3">
        <f>+IFERROR(IF(J497="","",H497*K497),"")</f>
        <v/>
      </c>
    </row>
    <row r="498">
      <c r="A498" s="11" t="n"/>
      <c r="B498" s="7" t="n"/>
      <c r="C498" s="8" t="n"/>
      <c r="D498" s="9" t="n"/>
      <c r="E498" s="8" t="n"/>
      <c r="F498" s="9" t="n"/>
      <c r="G498" s="9" t="n"/>
      <c r="H498" s="3">
        <f>IF(AND(D498&lt;&gt;"",F498&lt;&gt;""),F498-D498-G498,"")</f>
        <v/>
      </c>
      <c r="I498" s="14">
        <f>IF(E498&lt;&gt;"", YEARFRAC(C498, E498) * 12, "")</f>
        <v/>
      </c>
      <c r="J498" s="2">
        <f>IF(I498="", "", IF(AND(A498="MF (Equity)", I498&gt;12), "Long Term", "Short Term"))</f>
        <v/>
      </c>
      <c r="K498" s="5">
        <f>IF(J498="", "", IF(J498="Long Term", 12.5%, 20%))</f>
        <v/>
      </c>
      <c r="L498" s="3">
        <f>+IFERROR(IF(J498="","",H498*K498),"")</f>
        <v/>
      </c>
    </row>
    <row r="499">
      <c r="A499" s="11" t="n"/>
      <c r="B499" s="7" t="n"/>
      <c r="C499" s="8" t="n"/>
      <c r="D499" s="9" t="n"/>
      <c r="E499" s="8" t="n"/>
      <c r="F499" s="9" t="n"/>
      <c r="G499" s="9" t="n"/>
      <c r="H499" s="3">
        <f>IF(AND(D499&lt;&gt;"",F499&lt;&gt;""),F499-D499-G499,"")</f>
        <v/>
      </c>
      <c r="I499" s="14">
        <f>IF(E499&lt;&gt;"", YEARFRAC(C499, E499) * 12, "")</f>
        <v/>
      </c>
      <c r="J499" s="2">
        <f>IF(I499="", "", IF(AND(A499="MF (Equity)", I499&gt;12), "Long Term", "Short Term"))</f>
        <v/>
      </c>
      <c r="K499" s="5">
        <f>IF(J499="", "", IF(J499="Long Term", 12.5%, 20%))</f>
        <v/>
      </c>
      <c r="L499" s="3">
        <f>+IFERROR(IF(J499="","",H499*K499),"")</f>
        <v/>
      </c>
    </row>
    <row r="500">
      <c r="A500" s="11" t="n"/>
      <c r="B500" s="7" t="n"/>
      <c r="C500" s="8" t="n"/>
      <c r="D500" s="9" t="n"/>
      <c r="E500" s="8" t="n"/>
      <c r="F500" s="9" t="n"/>
      <c r="G500" s="9" t="n"/>
      <c r="H500" s="3">
        <f>IF(AND(D500&lt;&gt;"",F500&lt;&gt;""),F500-D500-G500,"")</f>
        <v/>
      </c>
      <c r="I500" s="14">
        <f>IF(E500&lt;&gt;"", YEARFRAC(C500, E500) * 12, "")</f>
        <v/>
      </c>
      <c r="J500" s="2">
        <f>IF(I500="", "", IF(AND(A500="MF (Equity)", I500&gt;12), "Long Term", "Short Term"))</f>
        <v/>
      </c>
      <c r="K500" s="5">
        <f>IF(J500="", "", IF(J500="Long Term", 12.5%, 20%))</f>
        <v/>
      </c>
      <c r="L500" s="3">
        <f>+IFERROR(IF(J500="","",H500*K500),"")</f>
        <v/>
      </c>
    </row>
    <row r="501">
      <c r="A501" s="11" t="n"/>
      <c r="B501" s="7" t="n"/>
      <c r="C501" s="8" t="n"/>
      <c r="D501" s="9" t="n"/>
      <c r="E501" s="8" t="n"/>
      <c r="F501" s="9" t="n"/>
      <c r="G501" s="9" t="n"/>
      <c r="H501" s="3">
        <f>IF(AND(D501&lt;&gt;"",F501&lt;&gt;""),F501-D501-G501,"")</f>
        <v/>
      </c>
      <c r="I501" s="14">
        <f>IF(E501&lt;&gt;"", YEARFRAC(C501, E501) * 12, "")</f>
        <v/>
      </c>
      <c r="J501" s="2">
        <f>IF(I501="", "", IF(AND(A501="MF (Equity)", I501&gt;12), "Long Term", "Short Term"))</f>
        <v/>
      </c>
      <c r="K501" s="5">
        <f>IF(J501="", "", IF(J501="Long Term", 12.5%, 20%))</f>
        <v/>
      </c>
      <c r="L501" s="3">
        <f>+IFERROR(IF(J501="","",H501*K501),"")</f>
        <v/>
      </c>
    </row>
    <row r="502">
      <c r="A502" s="11" t="n"/>
      <c r="B502" s="7" t="n"/>
      <c r="C502" s="8" t="n"/>
      <c r="D502" s="9" t="n"/>
      <c r="E502" s="8" t="n"/>
      <c r="F502" s="9" t="n"/>
      <c r="G502" s="9" t="n"/>
      <c r="H502" s="3">
        <f>IF(AND(D502&lt;&gt;"",F502&lt;&gt;""),F502-D502-G502,"")</f>
        <v/>
      </c>
      <c r="I502" s="14">
        <f>IF(E502&lt;&gt;"", YEARFRAC(C502, E502) * 12, "")</f>
        <v/>
      </c>
      <c r="J502" s="2">
        <f>IF(I502="", "", IF(AND(A502="MF (Equity)", I502&gt;12), "Long Term", "Short Term"))</f>
        <v/>
      </c>
      <c r="K502" s="5">
        <f>IF(J502="", "", IF(J502="Long Term", 12.5%, 20%))</f>
        <v/>
      </c>
      <c r="L502" s="3">
        <f>+IFERROR(IF(J502="","",H502*K502),"")</f>
        <v/>
      </c>
    </row>
    <row r="503">
      <c r="A503" s="11" t="n"/>
      <c r="B503" s="7" t="n"/>
      <c r="C503" s="8" t="n"/>
      <c r="D503" s="9" t="n"/>
      <c r="E503" s="8" t="n"/>
      <c r="F503" s="9" t="n"/>
      <c r="G503" s="9" t="n"/>
      <c r="H503" s="3">
        <f>IF(AND(D503&lt;&gt;"",F503&lt;&gt;""),F503-D503-G503,"")</f>
        <v/>
      </c>
      <c r="I503" s="14">
        <f>IF(E503&lt;&gt;"", YEARFRAC(C503, E503) * 12, "")</f>
        <v/>
      </c>
      <c r="J503" s="2">
        <f>IF(I503="", "", IF(AND(A503="MF (Equity)", I503&gt;12), "Long Term", "Short Term"))</f>
        <v/>
      </c>
      <c r="K503" s="5">
        <f>IF(J503="", "", IF(J503="Long Term", 12.5%, 20%))</f>
        <v/>
      </c>
      <c r="L503" s="3">
        <f>+IFERROR(IF(J503="","",H503*K503),"")</f>
        <v/>
      </c>
    </row>
    <row r="504">
      <c r="A504" s="11" t="n"/>
      <c r="B504" s="7" t="n"/>
      <c r="C504" s="8" t="n"/>
      <c r="D504" s="9" t="n"/>
      <c r="E504" s="8" t="n"/>
      <c r="F504" s="9" t="n"/>
      <c r="G504" s="9" t="n"/>
      <c r="H504" s="3">
        <f>IF(AND(D504&lt;&gt;"",F504&lt;&gt;""),F504-D504-G504,"")</f>
        <v/>
      </c>
      <c r="I504" s="14">
        <f>IF(E504&lt;&gt;"", YEARFRAC(C504, E504) * 12, "")</f>
        <v/>
      </c>
      <c r="J504" s="2">
        <f>IF(I504="", "", IF(AND(A504="MF (Equity)", I504&gt;12), "Long Term", "Short Term"))</f>
        <v/>
      </c>
      <c r="K504" s="5">
        <f>IF(J504="", "", IF(J504="Long Term", 12.5%, 20%))</f>
        <v/>
      </c>
      <c r="L504" s="3">
        <f>+IFERROR(IF(J504="","",H504*K504),"")</f>
        <v/>
      </c>
    </row>
    <row r="505">
      <c r="A505" s="11" t="n"/>
      <c r="B505" s="7" t="n"/>
      <c r="C505" s="8" t="n"/>
      <c r="D505" s="9" t="n"/>
      <c r="E505" s="8" t="n"/>
      <c r="F505" s="9" t="n"/>
      <c r="G505" s="9" t="n"/>
      <c r="H505" s="3">
        <f>IF(AND(D505&lt;&gt;"",F505&lt;&gt;""),F505-D505-G505,"")</f>
        <v/>
      </c>
      <c r="I505" s="14">
        <f>IF(E505&lt;&gt;"", YEARFRAC(C505, E505) * 12, "")</f>
        <v/>
      </c>
      <c r="J505" s="2">
        <f>IF(I505="", "", IF(AND(A505="MF (Equity)", I505&gt;12), "Long Term", "Short Term"))</f>
        <v/>
      </c>
      <c r="K505" s="5">
        <f>IF(J505="", "", IF(J505="Long Term", 12.5%, 20%))</f>
        <v/>
      </c>
      <c r="L505" s="3">
        <f>+IFERROR(IF(J505="","",H505*K505),"")</f>
        <v/>
      </c>
    </row>
    <row r="506">
      <c r="A506" s="11" t="n"/>
      <c r="B506" s="7" t="n"/>
      <c r="C506" s="8" t="n"/>
      <c r="D506" s="9" t="n"/>
      <c r="E506" s="8" t="n"/>
      <c r="F506" s="9" t="n"/>
      <c r="G506" s="9" t="n"/>
      <c r="H506" s="3">
        <f>IF(AND(D506&lt;&gt;"",F506&lt;&gt;""),F506-D506-G506,"")</f>
        <v/>
      </c>
      <c r="I506" s="14">
        <f>IF(E506&lt;&gt;"", YEARFRAC(C506, E506) * 12, "")</f>
        <v/>
      </c>
      <c r="J506" s="2">
        <f>IF(I506="", "", IF(AND(A506="MF (Equity)", I506&gt;12), "Long Term", "Short Term"))</f>
        <v/>
      </c>
      <c r="K506" s="5">
        <f>IF(J506="", "", IF(J506="Long Term", 12.5%, 20%))</f>
        <v/>
      </c>
      <c r="L506" s="3">
        <f>+IFERROR(IF(J506="","",H506*K506),"")</f>
        <v/>
      </c>
    </row>
    <row r="507">
      <c r="A507" s="11" t="n"/>
      <c r="B507" s="7" t="n"/>
      <c r="C507" s="8" t="n"/>
      <c r="D507" s="9" t="n"/>
      <c r="E507" s="8" t="n"/>
      <c r="F507" s="9" t="n"/>
      <c r="G507" s="9" t="n"/>
      <c r="H507" s="3">
        <f>IF(AND(D507&lt;&gt;"",F507&lt;&gt;""),F507-D507-G507,"")</f>
        <v/>
      </c>
      <c r="I507" s="14">
        <f>IF(E507&lt;&gt;"", YEARFRAC(C507, E507) * 12, "")</f>
        <v/>
      </c>
      <c r="J507" s="2">
        <f>IF(I507="", "", IF(AND(A507="MF (Equity)", I507&gt;12), "Long Term", "Short Term"))</f>
        <v/>
      </c>
      <c r="K507" s="5">
        <f>IF(J507="", "", IF(J507="Long Term", 12.5%, 20%))</f>
        <v/>
      </c>
      <c r="L507" s="3">
        <f>+IFERROR(IF(J507="","",H507*K507),"")</f>
        <v/>
      </c>
    </row>
    <row r="508">
      <c r="A508" s="11" t="n"/>
      <c r="B508" s="7" t="n"/>
      <c r="C508" s="8" t="n"/>
      <c r="D508" s="9" t="n"/>
      <c r="E508" s="8" t="n"/>
      <c r="F508" s="9" t="n"/>
      <c r="G508" s="9" t="n"/>
      <c r="H508" s="3">
        <f>IF(AND(D508&lt;&gt;"",F508&lt;&gt;""),F508-D508-G508,"")</f>
        <v/>
      </c>
      <c r="I508" s="14">
        <f>IF(E508&lt;&gt;"", YEARFRAC(C508, E508) * 12, "")</f>
        <v/>
      </c>
      <c r="J508" s="2">
        <f>IF(I508="", "", IF(AND(A508="MF (Equity)", I508&gt;12), "Long Term", "Short Term"))</f>
        <v/>
      </c>
      <c r="K508" s="5">
        <f>IF(J508="", "", IF(J508="Long Term", 12.5%, 20%))</f>
        <v/>
      </c>
      <c r="L508" s="3">
        <f>+IFERROR(IF(J508="","",H508*K508),"")</f>
        <v/>
      </c>
    </row>
    <row r="509">
      <c r="A509" s="11" t="n"/>
      <c r="B509" s="7" t="n"/>
      <c r="C509" s="8" t="n"/>
      <c r="D509" s="9" t="n"/>
      <c r="E509" s="8" t="n"/>
      <c r="F509" s="9" t="n"/>
      <c r="G509" s="9" t="n"/>
      <c r="H509" s="3">
        <f>IF(AND(D509&lt;&gt;"",F509&lt;&gt;""),F509-D509-G509,"")</f>
        <v/>
      </c>
      <c r="I509" s="14">
        <f>IF(E509&lt;&gt;"", YEARFRAC(C509, E509) * 12, "")</f>
        <v/>
      </c>
      <c r="J509" s="2">
        <f>IF(I509="", "", IF(AND(A509="MF (Equity)", I509&gt;12), "Long Term", "Short Term"))</f>
        <v/>
      </c>
      <c r="K509" s="5">
        <f>IF(J509="", "", IF(J509="Long Term", 12.5%, 20%))</f>
        <v/>
      </c>
      <c r="L509" s="3">
        <f>+IFERROR(IF(J509="","",H509*K509),"")</f>
        <v/>
      </c>
    </row>
    <row r="510">
      <c r="A510" s="11" t="n"/>
      <c r="B510" s="7" t="n"/>
      <c r="C510" s="8" t="n"/>
      <c r="D510" s="9" t="n"/>
      <c r="E510" s="8" t="n"/>
      <c r="F510" s="9" t="n"/>
      <c r="G510" s="9" t="n"/>
      <c r="H510" s="3">
        <f>IF(AND(D510&lt;&gt;"",F510&lt;&gt;""),F510-D510-G510,"")</f>
        <v/>
      </c>
      <c r="I510" s="14">
        <f>IF(E510&lt;&gt;"", YEARFRAC(C510, E510) * 12, "")</f>
        <v/>
      </c>
      <c r="J510" s="2">
        <f>IF(I510="", "", IF(AND(A510="MF (Equity)", I510&gt;12), "Long Term", "Short Term"))</f>
        <v/>
      </c>
      <c r="K510" s="5">
        <f>IF(J510="", "", IF(J510="Long Term", 12.5%, 20%))</f>
        <v/>
      </c>
      <c r="L510" s="3">
        <f>+IFERROR(IF(J510="","",H510*K510),"")</f>
        <v/>
      </c>
    </row>
    <row r="511">
      <c r="A511" s="11" t="n"/>
      <c r="B511" s="7" t="n"/>
      <c r="C511" s="8" t="n"/>
      <c r="D511" s="9" t="n"/>
      <c r="E511" s="8" t="n"/>
      <c r="F511" s="9" t="n"/>
      <c r="G511" s="9" t="n"/>
      <c r="H511" s="3">
        <f>IF(AND(D511&lt;&gt;"",F511&lt;&gt;""),F511-D511-G511,"")</f>
        <v/>
      </c>
      <c r="I511" s="14">
        <f>IF(E511&lt;&gt;"", YEARFRAC(C511, E511) * 12, "")</f>
        <v/>
      </c>
      <c r="J511" s="2">
        <f>IF(I511="", "", IF(AND(A511="MF (Equity)", I511&gt;12), "Long Term", "Short Term"))</f>
        <v/>
      </c>
      <c r="K511" s="5">
        <f>IF(J511="", "", IF(J511="Long Term", 12.5%, 20%))</f>
        <v/>
      </c>
      <c r="L511" s="3">
        <f>+IFERROR(IF(J511="","",H511*K511),"")</f>
        <v/>
      </c>
    </row>
    <row r="512">
      <c r="A512" s="11" t="n"/>
      <c r="B512" s="7" t="n"/>
      <c r="C512" s="8" t="n"/>
      <c r="D512" s="9" t="n"/>
      <c r="E512" s="8" t="n"/>
      <c r="F512" s="9" t="n"/>
      <c r="G512" s="9" t="n"/>
      <c r="H512" s="3">
        <f>IF(AND(D512&lt;&gt;"",F512&lt;&gt;""),F512-D512-G512,"")</f>
        <v/>
      </c>
      <c r="I512" s="14">
        <f>IF(E512&lt;&gt;"", YEARFRAC(C512, E512) * 12, "")</f>
        <v/>
      </c>
      <c r="J512" s="2">
        <f>IF(I512="", "", IF(AND(A512="MF (Equity)", I512&gt;12), "Long Term", "Short Term"))</f>
        <v/>
      </c>
      <c r="K512" s="5">
        <f>IF(J512="", "", IF(J512="Long Term", 12.5%, 20%))</f>
        <v/>
      </c>
      <c r="L512" s="3">
        <f>+IFERROR(IF(J512="","",H512*K512),"")</f>
        <v/>
      </c>
    </row>
    <row r="513">
      <c r="A513" s="11" t="n"/>
      <c r="B513" s="7" t="n"/>
      <c r="C513" s="8" t="n"/>
      <c r="D513" s="9" t="n"/>
      <c r="E513" s="8" t="n"/>
      <c r="F513" s="9" t="n"/>
      <c r="G513" s="9" t="n"/>
      <c r="H513" s="3">
        <f>IF(AND(D513&lt;&gt;"",F513&lt;&gt;""),F513-D513-G513,"")</f>
        <v/>
      </c>
      <c r="I513" s="14">
        <f>IF(E513&lt;&gt;"", YEARFRAC(C513, E513) * 12, "")</f>
        <v/>
      </c>
      <c r="J513" s="2">
        <f>IF(I513="", "", IF(AND(A513="MF (Equity)", I513&gt;12), "Long Term", "Short Term"))</f>
        <v/>
      </c>
      <c r="K513" s="5">
        <f>IF(J513="", "", IF(J513="Long Term", 12.5%, 20%))</f>
        <v/>
      </c>
      <c r="L513" s="3">
        <f>+IFERROR(IF(J513="","",H513*K513),"")</f>
        <v/>
      </c>
    </row>
    <row r="514">
      <c r="A514" s="11" t="n"/>
      <c r="B514" s="7" t="n"/>
      <c r="C514" s="8" t="n"/>
      <c r="D514" s="9" t="n"/>
      <c r="E514" s="8" t="n"/>
      <c r="F514" s="9" t="n"/>
      <c r="G514" s="9" t="n"/>
      <c r="H514" s="3">
        <f>IF(AND(D514&lt;&gt;"",F514&lt;&gt;""),F514-D514-G514,"")</f>
        <v/>
      </c>
      <c r="I514" s="14">
        <f>IF(E514&lt;&gt;"", YEARFRAC(C514, E514) * 12, "")</f>
        <v/>
      </c>
      <c r="J514" s="2">
        <f>IF(I514="", "", IF(AND(A514="MF (Equity)", I514&gt;12), "Long Term", "Short Term"))</f>
        <v/>
      </c>
      <c r="K514" s="5">
        <f>IF(J514="", "", IF(J514="Long Term", 12.5%, 20%))</f>
        <v/>
      </c>
      <c r="L514" s="3">
        <f>+IFERROR(IF(J514="","",H514*K514),"")</f>
        <v/>
      </c>
    </row>
    <row r="515">
      <c r="A515" s="11" t="n"/>
      <c r="B515" s="7" t="n"/>
      <c r="C515" s="8" t="n"/>
      <c r="D515" s="9" t="n"/>
      <c r="E515" s="8" t="n"/>
      <c r="F515" s="9" t="n"/>
      <c r="G515" s="9" t="n"/>
      <c r="H515" s="3">
        <f>IF(AND(D515&lt;&gt;"",F515&lt;&gt;""),F515-D515-G515,"")</f>
        <v/>
      </c>
      <c r="I515" s="14">
        <f>IF(E515&lt;&gt;"", YEARFRAC(C515, E515) * 12, "")</f>
        <v/>
      </c>
      <c r="J515" s="2">
        <f>IF(I515="", "", IF(AND(A515="MF (Equity)", I515&gt;12), "Long Term", "Short Term"))</f>
        <v/>
      </c>
      <c r="K515" s="5">
        <f>IF(J515="", "", IF(J515="Long Term", 12.5%, 20%))</f>
        <v/>
      </c>
      <c r="L515" s="3">
        <f>+IFERROR(IF(J515="","",H515*K515),"")</f>
        <v/>
      </c>
    </row>
    <row r="516">
      <c r="A516" s="11" t="n"/>
      <c r="B516" s="7" t="n"/>
      <c r="C516" s="8" t="n"/>
      <c r="D516" s="9" t="n"/>
      <c r="E516" s="8" t="n"/>
      <c r="F516" s="9" t="n"/>
      <c r="G516" s="9" t="n"/>
      <c r="H516" s="3">
        <f>IF(AND(D516&lt;&gt;"",F516&lt;&gt;""),F516-D516-G516,"")</f>
        <v/>
      </c>
      <c r="I516" s="14">
        <f>IF(E516&lt;&gt;"", YEARFRAC(C516, E516) * 12, "")</f>
        <v/>
      </c>
      <c r="J516" s="2">
        <f>IF(I516="", "", IF(AND(A516="MF (Equity)", I516&gt;12), "Long Term", "Short Term"))</f>
        <v/>
      </c>
      <c r="K516" s="5">
        <f>IF(J516="", "", IF(J516="Long Term", 12.5%, 20%))</f>
        <v/>
      </c>
      <c r="L516" s="3">
        <f>+IFERROR(IF(J516="","",H516*K516),"")</f>
        <v/>
      </c>
    </row>
    <row r="517">
      <c r="A517" s="11" t="n"/>
      <c r="B517" s="7" t="n"/>
      <c r="C517" s="8" t="n"/>
      <c r="D517" s="9" t="n"/>
      <c r="E517" s="8" t="n"/>
      <c r="F517" s="9" t="n"/>
      <c r="G517" s="9" t="n"/>
      <c r="H517" s="3">
        <f>IF(AND(D517&lt;&gt;"",F517&lt;&gt;""),F517-D517-G517,"")</f>
        <v/>
      </c>
      <c r="I517" s="14">
        <f>IF(E517&lt;&gt;"", YEARFRAC(C517, E517) * 12, "")</f>
        <v/>
      </c>
      <c r="J517" s="2">
        <f>IF(I517="", "", IF(AND(A517="MF (Equity)", I517&gt;12), "Long Term", "Short Term"))</f>
        <v/>
      </c>
      <c r="K517" s="5">
        <f>IF(J517="", "", IF(J517="Long Term", 12.5%, 20%))</f>
        <v/>
      </c>
      <c r="L517" s="3">
        <f>+IFERROR(IF(J517="","",H517*K517),"")</f>
        <v/>
      </c>
    </row>
    <row r="518">
      <c r="A518" s="11" t="n"/>
      <c r="B518" s="7" t="n"/>
      <c r="C518" s="8" t="n"/>
      <c r="D518" s="9" t="n"/>
      <c r="E518" s="8" t="n"/>
      <c r="F518" s="9" t="n"/>
      <c r="G518" s="9" t="n"/>
      <c r="H518" s="3">
        <f>IF(AND(D518&lt;&gt;"",F518&lt;&gt;""),F518-D518-G518,"")</f>
        <v/>
      </c>
      <c r="I518" s="14">
        <f>IF(E518&lt;&gt;"", YEARFRAC(C518, E518) * 12, "")</f>
        <v/>
      </c>
      <c r="J518" s="2">
        <f>IF(I518="", "", IF(AND(A518="MF (Equity)", I518&gt;12), "Long Term", "Short Term"))</f>
        <v/>
      </c>
      <c r="K518" s="5">
        <f>IF(J518="", "", IF(J518="Long Term", 12.5%, 20%))</f>
        <v/>
      </c>
      <c r="L518" s="3">
        <f>+IFERROR(IF(J518="","",H518*K518),"")</f>
        <v/>
      </c>
    </row>
    <row r="519">
      <c r="A519" s="11" t="n"/>
      <c r="B519" s="7" t="n"/>
      <c r="C519" s="8" t="n"/>
      <c r="D519" s="9" t="n"/>
      <c r="E519" s="8" t="n"/>
      <c r="F519" s="9" t="n"/>
      <c r="G519" s="9" t="n"/>
      <c r="H519" s="3">
        <f>IF(AND(D519&lt;&gt;"",F519&lt;&gt;""),F519-D519-G519,"")</f>
        <v/>
      </c>
      <c r="I519" s="14">
        <f>IF(E519&lt;&gt;"", YEARFRAC(C519, E519) * 12, "")</f>
        <v/>
      </c>
      <c r="J519" s="2">
        <f>IF(I519="", "", IF(AND(A519="MF (Equity)", I519&gt;12), "Long Term", "Short Term"))</f>
        <v/>
      </c>
      <c r="K519" s="5">
        <f>IF(J519="", "", IF(J519="Long Term", 12.5%, 20%))</f>
        <v/>
      </c>
      <c r="L519" s="3">
        <f>+IFERROR(IF(J519="","",H519*K519),"")</f>
        <v/>
      </c>
    </row>
    <row r="520">
      <c r="A520" s="11" t="n"/>
      <c r="B520" s="7" t="n"/>
      <c r="C520" s="8" t="n"/>
      <c r="D520" s="9" t="n"/>
      <c r="E520" s="8" t="n"/>
      <c r="F520" s="9" t="n"/>
      <c r="G520" s="9" t="n"/>
      <c r="H520" s="3">
        <f>IF(AND(D520&lt;&gt;"",F520&lt;&gt;""),F520-D520-G520,"")</f>
        <v/>
      </c>
      <c r="I520" s="14">
        <f>IF(E520&lt;&gt;"", YEARFRAC(C520, E520) * 12, "")</f>
        <v/>
      </c>
      <c r="J520" s="2">
        <f>IF(I520="", "", IF(AND(A520="MF (Equity)", I520&gt;12), "Long Term", "Short Term"))</f>
        <v/>
      </c>
      <c r="K520" s="5">
        <f>IF(J520="", "", IF(J520="Long Term", 12.5%, 20%))</f>
        <v/>
      </c>
      <c r="L520" s="3">
        <f>+IFERROR(IF(J520="","",H520*K520),"")</f>
        <v/>
      </c>
    </row>
    <row r="521">
      <c r="A521" s="11" t="n"/>
      <c r="B521" s="7" t="n"/>
      <c r="C521" s="8" t="n"/>
      <c r="D521" s="9" t="n"/>
      <c r="E521" s="8" t="n"/>
      <c r="F521" s="9" t="n"/>
      <c r="G521" s="9" t="n"/>
      <c r="H521" s="3">
        <f>IF(AND(D521&lt;&gt;"",F521&lt;&gt;""),F521-D521-G521,"")</f>
        <v/>
      </c>
      <c r="I521" s="14">
        <f>IF(E521&lt;&gt;"", YEARFRAC(C521, E521) * 12, "")</f>
        <v/>
      </c>
      <c r="J521" s="2">
        <f>IF(I521="", "", IF(AND(A521="MF (Equity)", I521&gt;12), "Long Term", "Short Term"))</f>
        <v/>
      </c>
      <c r="K521" s="5">
        <f>IF(J521="", "", IF(J521="Long Term", 12.5%, 20%))</f>
        <v/>
      </c>
      <c r="L521" s="3">
        <f>+IFERROR(IF(J521="","",H521*K521),"")</f>
        <v/>
      </c>
    </row>
    <row r="522">
      <c r="A522" s="11" t="n"/>
      <c r="B522" s="7" t="n"/>
      <c r="C522" s="8" t="n"/>
      <c r="D522" s="9" t="n"/>
      <c r="E522" s="8" t="n"/>
      <c r="F522" s="9" t="n"/>
      <c r="G522" s="9" t="n"/>
      <c r="H522" s="3">
        <f>IF(AND(D522&lt;&gt;"",F522&lt;&gt;""),F522-D522-G522,"")</f>
        <v/>
      </c>
      <c r="I522" s="14">
        <f>IF(E522&lt;&gt;"", YEARFRAC(C522, E522) * 12, "")</f>
        <v/>
      </c>
      <c r="J522" s="2">
        <f>IF(I522="", "", IF(AND(A522="MF (Equity)", I522&gt;12), "Long Term", "Short Term"))</f>
        <v/>
      </c>
      <c r="K522" s="5">
        <f>IF(J522="", "", IF(J522="Long Term", 12.5%, 20%))</f>
        <v/>
      </c>
      <c r="L522" s="3">
        <f>+IFERROR(IF(J522="","",H522*K522),"")</f>
        <v/>
      </c>
    </row>
    <row r="523">
      <c r="A523" s="11" t="n"/>
      <c r="B523" s="7" t="n"/>
      <c r="C523" s="8" t="n"/>
      <c r="D523" s="9" t="n"/>
      <c r="E523" s="8" t="n"/>
      <c r="F523" s="9" t="n"/>
      <c r="G523" s="9" t="n"/>
      <c r="H523" s="3">
        <f>IF(AND(D523&lt;&gt;"",F523&lt;&gt;""),F523-D523-G523,"")</f>
        <v/>
      </c>
      <c r="I523" s="14">
        <f>IF(E523&lt;&gt;"", YEARFRAC(C523, E523) * 12, "")</f>
        <v/>
      </c>
      <c r="J523" s="2">
        <f>IF(I523="", "", IF(AND(A523="MF (Equity)", I523&gt;12), "Long Term", "Short Term"))</f>
        <v/>
      </c>
      <c r="K523" s="5">
        <f>IF(J523="", "", IF(J523="Long Term", 12.5%, 20%))</f>
        <v/>
      </c>
      <c r="L523" s="3">
        <f>+IFERROR(IF(J523="","",H523*K523),"")</f>
        <v/>
      </c>
    </row>
    <row r="524">
      <c r="A524" s="11" t="n"/>
      <c r="B524" s="7" t="n"/>
      <c r="C524" s="8" t="n"/>
      <c r="D524" s="9" t="n"/>
      <c r="E524" s="8" t="n"/>
      <c r="F524" s="9" t="n"/>
      <c r="G524" s="9" t="n"/>
      <c r="H524" s="3">
        <f>IF(AND(D524&lt;&gt;"",F524&lt;&gt;""),F524-D524-G524,"")</f>
        <v/>
      </c>
      <c r="I524" s="14">
        <f>IF(E524&lt;&gt;"", YEARFRAC(C524, E524) * 12, "")</f>
        <v/>
      </c>
      <c r="J524" s="2">
        <f>IF(I524="", "", IF(AND(A524="MF (Equity)", I524&gt;12), "Long Term", "Short Term"))</f>
        <v/>
      </c>
      <c r="K524" s="5">
        <f>IF(J524="", "", IF(J524="Long Term", 12.5%, 20%))</f>
        <v/>
      </c>
      <c r="L524" s="3">
        <f>+IFERROR(IF(J524="","",H524*K524),"")</f>
        <v/>
      </c>
    </row>
    <row r="525">
      <c r="A525" s="11" t="n"/>
      <c r="B525" s="7" t="n"/>
      <c r="C525" s="8" t="n"/>
      <c r="D525" s="9" t="n"/>
      <c r="E525" s="8" t="n"/>
      <c r="F525" s="9" t="n"/>
      <c r="G525" s="9" t="n"/>
      <c r="H525" s="3">
        <f>IF(AND(D525&lt;&gt;"",F525&lt;&gt;""),F525-D525-G525,"")</f>
        <v/>
      </c>
      <c r="I525" s="14">
        <f>IF(E525&lt;&gt;"", YEARFRAC(C525, E525) * 12, "")</f>
        <v/>
      </c>
      <c r="J525" s="2">
        <f>IF(I525="", "", IF(AND(A525="MF (Equity)", I525&gt;12), "Long Term", "Short Term"))</f>
        <v/>
      </c>
      <c r="K525" s="5">
        <f>IF(J525="", "", IF(J525="Long Term", 12.5%, 20%))</f>
        <v/>
      </c>
      <c r="L525" s="3">
        <f>+IFERROR(IF(J525="","",H525*K525),"")</f>
        <v/>
      </c>
    </row>
    <row r="526">
      <c r="A526" s="11" t="n"/>
      <c r="B526" s="7" t="n"/>
      <c r="C526" s="8" t="n"/>
      <c r="D526" s="9" t="n"/>
      <c r="E526" s="8" t="n"/>
      <c r="F526" s="9" t="n"/>
      <c r="G526" s="9" t="n"/>
      <c r="H526" s="3">
        <f>IF(AND(D526&lt;&gt;"",F526&lt;&gt;""),F526-D526-G526,"")</f>
        <v/>
      </c>
      <c r="I526" s="14">
        <f>IF(E526&lt;&gt;"", YEARFRAC(C526, E526) * 12, "")</f>
        <v/>
      </c>
      <c r="J526" s="2">
        <f>IF(I526="", "", IF(AND(A526="MF (Equity)", I526&gt;12), "Long Term", "Short Term"))</f>
        <v/>
      </c>
      <c r="K526" s="5">
        <f>IF(J526="", "", IF(J526="Long Term", 12.5%, 20%))</f>
        <v/>
      </c>
      <c r="L526" s="3">
        <f>+IFERROR(IF(J526="","",H526*K526),"")</f>
        <v/>
      </c>
    </row>
    <row r="527">
      <c r="A527" s="11" t="n"/>
      <c r="B527" s="7" t="n"/>
      <c r="C527" s="8" t="n"/>
      <c r="D527" s="9" t="n"/>
      <c r="E527" s="8" t="n"/>
      <c r="F527" s="9" t="n"/>
      <c r="G527" s="9" t="n"/>
      <c r="H527" s="3">
        <f>IF(AND(D527&lt;&gt;"",F527&lt;&gt;""),F527-D527-G527,"")</f>
        <v/>
      </c>
      <c r="I527" s="14">
        <f>IF(E527&lt;&gt;"", YEARFRAC(C527, E527) * 12, "")</f>
        <v/>
      </c>
      <c r="J527" s="2">
        <f>IF(I527="", "", IF(AND(A527="MF (Equity)", I527&gt;12), "Long Term", "Short Term"))</f>
        <v/>
      </c>
      <c r="K527" s="5">
        <f>IF(J527="", "", IF(J527="Long Term", 12.5%, 20%))</f>
        <v/>
      </c>
      <c r="L527" s="3">
        <f>+IFERROR(IF(J527="","",H527*K527),"")</f>
        <v/>
      </c>
    </row>
    <row r="528">
      <c r="A528" s="11" t="n"/>
      <c r="B528" s="7" t="n"/>
      <c r="C528" s="8" t="n"/>
      <c r="D528" s="9" t="n"/>
      <c r="E528" s="8" t="n"/>
      <c r="F528" s="9" t="n"/>
      <c r="G528" s="9" t="n"/>
      <c r="H528" s="3">
        <f>IF(AND(D528&lt;&gt;"",F528&lt;&gt;""),F528-D528-G528,"")</f>
        <v/>
      </c>
      <c r="I528" s="14">
        <f>IF(E528&lt;&gt;"", YEARFRAC(C528, E528) * 12, "")</f>
        <v/>
      </c>
      <c r="J528" s="2">
        <f>IF(I528="", "", IF(AND(A528="MF (Equity)", I528&gt;12), "Long Term", "Short Term"))</f>
        <v/>
      </c>
      <c r="K528" s="5">
        <f>IF(J528="", "", IF(J528="Long Term", 12.5%, 20%))</f>
        <v/>
      </c>
      <c r="L528" s="3">
        <f>+IFERROR(IF(J528="","",H528*K528),"")</f>
        <v/>
      </c>
    </row>
    <row r="529">
      <c r="A529" s="11" t="n"/>
      <c r="B529" s="7" t="n"/>
      <c r="C529" s="8" t="n"/>
      <c r="D529" s="9" t="n"/>
      <c r="E529" s="8" t="n"/>
      <c r="F529" s="9" t="n"/>
      <c r="G529" s="9" t="n"/>
      <c r="H529" s="3">
        <f>IF(AND(D529&lt;&gt;"",F529&lt;&gt;""),F529-D529-G529,"")</f>
        <v/>
      </c>
      <c r="I529" s="14">
        <f>IF(E529&lt;&gt;"", YEARFRAC(C529, E529) * 12, "")</f>
        <v/>
      </c>
      <c r="J529" s="2">
        <f>IF(I529="", "", IF(AND(A529="MF (Equity)", I529&gt;12), "Long Term", "Short Term"))</f>
        <v/>
      </c>
      <c r="K529" s="5">
        <f>IF(J529="", "", IF(J529="Long Term", 12.5%, 20%))</f>
        <v/>
      </c>
      <c r="L529" s="3">
        <f>+IFERROR(IF(J529="","",H529*K529),"")</f>
        <v/>
      </c>
    </row>
    <row r="530">
      <c r="A530" s="11" t="n"/>
      <c r="B530" s="7" t="n"/>
      <c r="C530" s="8" t="n"/>
      <c r="D530" s="9" t="n"/>
      <c r="E530" s="8" t="n"/>
      <c r="F530" s="9" t="n"/>
      <c r="G530" s="9" t="n"/>
      <c r="H530" s="3">
        <f>IF(AND(D530&lt;&gt;"",F530&lt;&gt;""),F530-D530-G530,"")</f>
        <v/>
      </c>
      <c r="I530" s="14">
        <f>IF(E530&lt;&gt;"", YEARFRAC(C530, E530) * 12, "")</f>
        <v/>
      </c>
      <c r="J530" s="2">
        <f>IF(I530="", "", IF(AND(A530="MF (Equity)", I530&gt;12), "Long Term", "Short Term"))</f>
        <v/>
      </c>
      <c r="K530" s="5">
        <f>IF(J530="", "", IF(J530="Long Term", 12.5%, 20%))</f>
        <v/>
      </c>
      <c r="L530" s="3">
        <f>+IFERROR(IF(J530="","",H530*K530),"")</f>
        <v/>
      </c>
    </row>
    <row r="531">
      <c r="A531" s="11" t="n"/>
      <c r="B531" s="7" t="n"/>
      <c r="C531" s="8" t="n"/>
      <c r="D531" s="9" t="n"/>
      <c r="E531" s="8" t="n"/>
      <c r="F531" s="9" t="n"/>
      <c r="G531" s="9" t="n"/>
      <c r="H531" s="3">
        <f>IF(AND(D531&lt;&gt;"",F531&lt;&gt;""),F531-D531-G531,"")</f>
        <v/>
      </c>
      <c r="I531" s="14">
        <f>IF(E531&lt;&gt;"", YEARFRAC(C531, E531) * 12, "")</f>
        <v/>
      </c>
      <c r="J531" s="2">
        <f>IF(I531="", "", IF(AND(A531="MF (Equity)", I531&gt;12), "Long Term", "Short Term"))</f>
        <v/>
      </c>
      <c r="K531" s="5">
        <f>IF(J531="", "", IF(J531="Long Term", 12.5%, 20%))</f>
        <v/>
      </c>
      <c r="L531" s="3">
        <f>+IFERROR(IF(J531="","",H531*K531),"")</f>
        <v/>
      </c>
    </row>
    <row r="532">
      <c r="A532" s="11" t="n"/>
      <c r="B532" s="7" t="n"/>
      <c r="C532" s="8" t="n"/>
      <c r="D532" s="9" t="n"/>
      <c r="E532" s="8" t="n"/>
      <c r="F532" s="9" t="n"/>
      <c r="G532" s="9" t="n"/>
      <c r="H532" s="3">
        <f>IF(AND(D532&lt;&gt;"",F532&lt;&gt;""),F532-D532-G532,"")</f>
        <v/>
      </c>
      <c r="I532" s="14">
        <f>IF(E532&lt;&gt;"", YEARFRAC(C532, E532) * 12, "")</f>
        <v/>
      </c>
      <c r="J532" s="2">
        <f>IF(I532="", "", IF(AND(A532="MF (Equity)", I532&gt;12), "Long Term", "Short Term"))</f>
        <v/>
      </c>
      <c r="K532" s="5">
        <f>IF(J532="", "", IF(J532="Long Term", 12.5%, 20%))</f>
        <v/>
      </c>
      <c r="L532" s="3">
        <f>+IFERROR(IF(J532="","",H532*K532),"")</f>
        <v/>
      </c>
    </row>
    <row r="533">
      <c r="A533" s="11" t="n"/>
      <c r="B533" s="7" t="n"/>
      <c r="C533" s="8" t="n"/>
      <c r="D533" s="9" t="n"/>
      <c r="E533" s="8" t="n"/>
      <c r="F533" s="9" t="n"/>
      <c r="G533" s="9" t="n"/>
      <c r="H533" s="3">
        <f>IF(AND(D533&lt;&gt;"",F533&lt;&gt;""),F533-D533-G533,"")</f>
        <v/>
      </c>
      <c r="I533" s="14">
        <f>IF(E533&lt;&gt;"", YEARFRAC(C533, E533) * 12, "")</f>
        <v/>
      </c>
      <c r="J533" s="2">
        <f>IF(I533="", "", IF(AND(A533="MF (Equity)", I533&gt;12), "Long Term", "Short Term"))</f>
        <v/>
      </c>
      <c r="K533" s="5">
        <f>IF(J533="", "", IF(J533="Long Term", 12.5%, 20%))</f>
        <v/>
      </c>
      <c r="L533" s="3">
        <f>+IFERROR(IF(J533="","",H533*K533),"")</f>
        <v/>
      </c>
    </row>
    <row r="534">
      <c r="A534" s="11" t="n"/>
      <c r="B534" s="7" t="n"/>
      <c r="C534" s="8" t="n"/>
      <c r="D534" s="9" t="n"/>
      <c r="E534" s="8" t="n"/>
      <c r="F534" s="9" t="n"/>
      <c r="G534" s="9" t="n"/>
      <c r="H534" s="3">
        <f>IF(AND(D534&lt;&gt;"",F534&lt;&gt;""),F534-D534-G534,"")</f>
        <v/>
      </c>
      <c r="I534" s="14">
        <f>IF(E534&lt;&gt;"", YEARFRAC(C534, E534) * 12, "")</f>
        <v/>
      </c>
      <c r="J534" s="2">
        <f>IF(I534="", "", IF(AND(A534="MF (Equity)", I534&gt;12), "Long Term", "Short Term"))</f>
        <v/>
      </c>
      <c r="K534" s="5">
        <f>IF(J534="", "", IF(J534="Long Term", 12.5%, 20%))</f>
        <v/>
      </c>
      <c r="L534" s="3">
        <f>+IFERROR(IF(J534="","",H534*K534),"")</f>
        <v/>
      </c>
    </row>
    <row r="535">
      <c r="A535" s="11" t="n"/>
      <c r="B535" s="7" t="n"/>
      <c r="C535" s="8" t="n"/>
      <c r="D535" s="9" t="n"/>
      <c r="E535" s="8" t="n"/>
      <c r="F535" s="9" t="n"/>
      <c r="G535" s="9" t="n"/>
      <c r="H535" s="3">
        <f>IF(AND(D535&lt;&gt;"",F535&lt;&gt;""),F535-D535-G535,"")</f>
        <v/>
      </c>
      <c r="I535" s="14">
        <f>IF(E535&lt;&gt;"", YEARFRAC(C535, E535) * 12, "")</f>
        <v/>
      </c>
      <c r="J535" s="2">
        <f>IF(I535="", "", IF(AND(A535="MF (Equity)", I535&gt;12), "Long Term", "Short Term"))</f>
        <v/>
      </c>
      <c r="K535" s="5">
        <f>IF(J535="", "", IF(J535="Long Term", 12.5%, 20%))</f>
        <v/>
      </c>
      <c r="L535" s="3">
        <f>+IFERROR(IF(J535="","",H535*K535),"")</f>
        <v/>
      </c>
    </row>
    <row r="536">
      <c r="A536" s="11" t="n"/>
      <c r="B536" s="7" t="n"/>
      <c r="C536" s="8" t="n"/>
      <c r="D536" s="9" t="n"/>
      <c r="E536" s="8" t="n"/>
      <c r="F536" s="9" t="n"/>
      <c r="G536" s="9" t="n"/>
      <c r="H536" s="3">
        <f>IF(AND(D536&lt;&gt;"",F536&lt;&gt;""),F536-D536-G536,"")</f>
        <v/>
      </c>
      <c r="I536" s="14">
        <f>IF(E536&lt;&gt;"", YEARFRAC(C536, E536) * 12, "")</f>
        <v/>
      </c>
      <c r="J536" s="2">
        <f>IF(I536="", "", IF(AND(A536="MF (Equity)", I536&gt;12), "Long Term", "Short Term"))</f>
        <v/>
      </c>
      <c r="K536" s="5">
        <f>IF(J536="", "", IF(J536="Long Term", 12.5%, 20%))</f>
        <v/>
      </c>
      <c r="L536" s="3">
        <f>+IFERROR(IF(J536="","",H536*K536),"")</f>
        <v/>
      </c>
    </row>
    <row r="537">
      <c r="A537" s="11" t="n"/>
      <c r="B537" s="7" t="n"/>
      <c r="C537" s="8" t="n"/>
      <c r="D537" s="9" t="n"/>
      <c r="E537" s="8" t="n"/>
      <c r="F537" s="9" t="n"/>
      <c r="G537" s="9" t="n"/>
      <c r="H537" s="3">
        <f>IF(AND(D537&lt;&gt;"",F537&lt;&gt;""),F537-D537-G537,"")</f>
        <v/>
      </c>
      <c r="I537" s="14">
        <f>IF(E537&lt;&gt;"", YEARFRAC(C537, E537) * 12, "")</f>
        <v/>
      </c>
      <c r="J537" s="2">
        <f>IF(I537="", "", IF(AND(A537="MF (Equity)", I537&gt;12), "Long Term", "Short Term"))</f>
        <v/>
      </c>
      <c r="K537" s="5">
        <f>IF(J537="", "", IF(J537="Long Term", 12.5%, 20%))</f>
        <v/>
      </c>
      <c r="L537" s="3">
        <f>+IFERROR(IF(J537="","",H537*K537),"")</f>
        <v/>
      </c>
    </row>
    <row r="538">
      <c r="A538" s="11" t="n"/>
      <c r="B538" s="7" t="n"/>
      <c r="C538" s="8" t="n"/>
      <c r="D538" s="9" t="n"/>
      <c r="E538" s="8" t="n"/>
      <c r="F538" s="9" t="n"/>
      <c r="G538" s="9" t="n"/>
      <c r="H538" s="3">
        <f>IF(AND(D538&lt;&gt;"",F538&lt;&gt;""),F538-D538-G538,"")</f>
        <v/>
      </c>
      <c r="I538" s="14">
        <f>IF(E538&lt;&gt;"", YEARFRAC(C538, E538) * 12, "")</f>
        <v/>
      </c>
      <c r="J538" s="2">
        <f>IF(I538="", "", IF(AND(A538="MF (Equity)", I538&gt;12), "Long Term", "Short Term"))</f>
        <v/>
      </c>
      <c r="K538" s="5">
        <f>IF(J538="", "", IF(J538="Long Term", 12.5%, 20%))</f>
        <v/>
      </c>
      <c r="L538" s="3">
        <f>+IFERROR(IF(J538="","",H538*K538),"")</f>
        <v/>
      </c>
    </row>
    <row r="539">
      <c r="A539" s="11" t="n"/>
      <c r="B539" s="7" t="n"/>
      <c r="C539" s="8" t="n"/>
      <c r="D539" s="9" t="n"/>
      <c r="E539" s="8" t="n"/>
      <c r="F539" s="9" t="n"/>
      <c r="G539" s="9" t="n"/>
      <c r="H539" s="3">
        <f>IF(AND(D539&lt;&gt;"",F539&lt;&gt;""),F539-D539-G539,"")</f>
        <v/>
      </c>
      <c r="I539" s="14">
        <f>IF(E539&lt;&gt;"", YEARFRAC(C539, E539) * 12, "")</f>
        <v/>
      </c>
      <c r="J539" s="2">
        <f>IF(I539="", "", IF(AND(A539="MF (Equity)", I539&gt;12), "Long Term", "Short Term"))</f>
        <v/>
      </c>
      <c r="K539" s="5">
        <f>IF(J539="", "", IF(J539="Long Term", 12.5%, 20%))</f>
        <v/>
      </c>
      <c r="L539" s="3">
        <f>+IFERROR(IF(J539="","",H539*K539),"")</f>
        <v/>
      </c>
    </row>
    <row r="540">
      <c r="A540" s="11" t="n"/>
      <c r="B540" s="7" t="n"/>
      <c r="C540" s="8" t="n"/>
      <c r="D540" s="9" t="n"/>
      <c r="E540" s="8" t="n"/>
      <c r="F540" s="9" t="n"/>
      <c r="G540" s="9" t="n"/>
      <c r="H540" s="3">
        <f>IF(AND(D540&lt;&gt;"",F540&lt;&gt;""),F540-D540-G540,"")</f>
        <v/>
      </c>
      <c r="I540" s="14">
        <f>IF(E540&lt;&gt;"", YEARFRAC(C540, E540) * 12, "")</f>
        <v/>
      </c>
      <c r="J540" s="2">
        <f>IF(I540="", "", IF(AND(A540="MF (Equity)", I540&gt;12), "Long Term", "Short Term"))</f>
        <v/>
      </c>
      <c r="K540" s="5">
        <f>IF(J540="", "", IF(J540="Long Term", 12.5%, 20%))</f>
        <v/>
      </c>
      <c r="L540" s="3">
        <f>+IFERROR(IF(J540="","",H540*K540),"")</f>
        <v/>
      </c>
    </row>
    <row r="541">
      <c r="A541" s="11" t="n"/>
      <c r="B541" s="7" t="n"/>
      <c r="C541" s="8" t="n"/>
      <c r="D541" s="9" t="n"/>
      <c r="E541" s="8" t="n"/>
      <c r="F541" s="9" t="n"/>
      <c r="G541" s="9" t="n"/>
      <c r="H541" s="3">
        <f>IF(AND(D541&lt;&gt;"",F541&lt;&gt;""),F541-D541-G541,"")</f>
        <v/>
      </c>
      <c r="I541" s="14">
        <f>IF(E541&lt;&gt;"", YEARFRAC(C541, E541) * 12, "")</f>
        <v/>
      </c>
      <c r="J541" s="2">
        <f>IF(I541="", "", IF(AND(A541="MF (Equity)", I541&gt;12), "Long Term", "Short Term"))</f>
        <v/>
      </c>
      <c r="K541" s="5">
        <f>IF(J541="", "", IF(J541="Long Term", 12.5%, 20%))</f>
        <v/>
      </c>
      <c r="L541" s="3">
        <f>+IFERROR(IF(J541="","",H541*K541),"")</f>
        <v/>
      </c>
    </row>
    <row r="542">
      <c r="A542" s="11" t="n"/>
      <c r="B542" s="7" t="n"/>
      <c r="C542" s="8" t="n"/>
      <c r="D542" s="9" t="n"/>
      <c r="E542" s="8" t="n"/>
      <c r="F542" s="9" t="n"/>
      <c r="G542" s="9" t="n"/>
      <c r="H542" s="3">
        <f>IF(AND(D542&lt;&gt;"",F542&lt;&gt;""),F542-D542-G542,"")</f>
        <v/>
      </c>
      <c r="I542" s="14">
        <f>IF(E542&lt;&gt;"", YEARFRAC(C542, E542) * 12, "")</f>
        <v/>
      </c>
      <c r="J542" s="2">
        <f>IF(I542="", "", IF(AND(A542="MF (Equity)", I542&gt;12), "Long Term", "Short Term"))</f>
        <v/>
      </c>
      <c r="K542" s="5">
        <f>IF(J542="", "", IF(J542="Long Term", 12.5%, 20%))</f>
        <v/>
      </c>
      <c r="L542" s="3">
        <f>+IFERROR(IF(J542="","",H542*K542),"")</f>
        <v/>
      </c>
    </row>
    <row r="543">
      <c r="A543" s="11" t="n"/>
      <c r="B543" s="7" t="n"/>
      <c r="C543" s="8" t="n"/>
      <c r="D543" s="9" t="n"/>
      <c r="E543" s="8" t="n"/>
      <c r="F543" s="9" t="n"/>
      <c r="G543" s="9" t="n"/>
      <c r="H543" s="3">
        <f>IF(AND(D543&lt;&gt;"",F543&lt;&gt;""),F543-D543-G543,"")</f>
        <v/>
      </c>
      <c r="I543" s="14">
        <f>IF(E543&lt;&gt;"", YEARFRAC(C543, E543) * 12, "")</f>
        <v/>
      </c>
      <c r="J543" s="2">
        <f>IF(I543="", "", IF(AND(A543="MF (Equity)", I543&gt;12), "Long Term", "Short Term"))</f>
        <v/>
      </c>
      <c r="K543" s="5">
        <f>IF(J543="", "", IF(J543="Long Term", 12.5%, 20%))</f>
        <v/>
      </c>
      <c r="L543" s="3">
        <f>+IFERROR(IF(J543="","",H543*K543),"")</f>
        <v/>
      </c>
    </row>
    <row r="544">
      <c r="A544" s="11" t="n"/>
      <c r="B544" s="7" t="n"/>
      <c r="C544" s="8" t="n"/>
      <c r="D544" s="9" t="n"/>
      <c r="E544" s="8" t="n"/>
      <c r="F544" s="9" t="n"/>
      <c r="G544" s="9" t="n"/>
      <c r="H544" s="3">
        <f>IF(AND(D544&lt;&gt;"",F544&lt;&gt;""),F544-D544-G544,"")</f>
        <v/>
      </c>
      <c r="I544" s="14">
        <f>IF(E544&lt;&gt;"", YEARFRAC(C544, E544) * 12, "")</f>
        <v/>
      </c>
      <c r="J544" s="2">
        <f>IF(I544="", "", IF(AND(A544="MF (Equity)", I544&gt;12), "Long Term", "Short Term"))</f>
        <v/>
      </c>
      <c r="K544" s="5">
        <f>IF(J544="", "", IF(J544="Long Term", 12.5%, 20%))</f>
        <v/>
      </c>
      <c r="L544" s="3">
        <f>+IFERROR(IF(J544="","",H544*K544),"")</f>
        <v/>
      </c>
    </row>
    <row r="545">
      <c r="A545" s="11" t="n"/>
      <c r="B545" s="7" t="n"/>
      <c r="C545" s="8" t="n"/>
      <c r="D545" s="9" t="n"/>
      <c r="E545" s="8" t="n"/>
      <c r="F545" s="9" t="n"/>
      <c r="G545" s="9" t="n"/>
      <c r="H545" s="3">
        <f>IF(AND(D545&lt;&gt;"",F545&lt;&gt;""),F545-D545-G545,"")</f>
        <v/>
      </c>
      <c r="I545" s="14">
        <f>IF(E545&lt;&gt;"", YEARFRAC(C545, E545) * 12, "")</f>
        <v/>
      </c>
      <c r="J545" s="2">
        <f>IF(I545="", "", IF(AND(A545="MF (Equity)", I545&gt;12), "Long Term", "Short Term"))</f>
        <v/>
      </c>
      <c r="K545" s="5">
        <f>IF(J545="", "", IF(J545="Long Term", 12.5%, 20%))</f>
        <v/>
      </c>
      <c r="L545" s="3">
        <f>+IFERROR(IF(J545="","",H545*K545),"")</f>
        <v/>
      </c>
    </row>
    <row r="546">
      <c r="A546" s="11" t="n"/>
      <c r="B546" s="7" t="n"/>
      <c r="C546" s="8" t="n"/>
      <c r="D546" s="9" t="n"/>
      <c r="E546" s="8" t="n"/>
      <c r="F546" s="9" t="n"/>
      <c r="G546" s="9" t="n"/>
      <c r="H546" s="3">
        <f>IF(AND(D546&lt;&gt;"",F546&lt;&gt;""),F546-D546-G546,"")</f>
        <v/>
      </c>
      <c r="I546" s="14">
        <f>IF(E546&lt;&gt;"", YEARFRAC(C546, E546) * 12, "")</f>
        <v/>
      </c>
      <c r="J546" s="2">
        <f>IF(I546="", "", IF(AND(A546="MF (Equity)", I546&gt;12), "Long Term", "Short Term"))</f>
        <v/>
      </c>
      <c r="K546" s="5">
        <f>IF(J546="", "", IF(J546="Long Term", 12.5%, 20%))</f>
        <v/>
      </c>
      <c r="L546" s="3">
        <f>+IFERROR(IF(J546="","",H546*K546),"")</f>
        <v/>
      </c>
    </row>
    <row r="547">
      <c r="A547" s="11" t="n"/>
      <c r="B547" s="7" t="n"/>
      <c r="C547" s="8" t="n"/>
      <c r="D547" s="9" t="n"/>
      <c r="E547" s="8" t="n"/>
      <c r="F547" s="9" t="n"/>
      <c r="G547" s="9" t="n"/>
      <c r="H547" s="3">
        <f>IF(AND(D547&lt;&gt;"",F547&lt;&gt;""),F547-D547-G547,"")</f>
        <v/>
      </c>
      <c r="I547" s="14">
        <f>IF(E547&lt;&gt;"", YEARFRAC(C547, E547) * 12, "")</f>
        <v/>
      </c>
      <c r="J547" s="2">
        <f>IF(I547="", "", IF(AND(A547="MF (Equity)", I547&gt;12), "Long Term", "Short Term"))</f>
        <v/>
      </c>
      <c r="K547" s="5">
        <f>IF(J547="", "", IF(J547="Long Term", 12.5%, 20%))</f>
        <v/>
      </c>
      <c r="L547" s="3">
        <f>+IFERROR(IF(J547="","",H547*K547),"")</f>
        <v/>
      </c>
    </row>
    <row r="548">
      <c r="A548" s="11" t="n"/>
      <c r="B548" s="7" t="n"/>
      <c r="C548" s="8" t="n"/>
      <c r="D548" s="9" t="n"/>
      <c r="E548" s="8" t="n"/>
      <c r="F548" s="9" t="n"/>
      <c r="G548" s="9" t="n"/>
      <c r="H548" s="3">
        <f>IF(AND(D548&lt;&gt;"",F548&lt;&gt;""),F548-D548-G548,"")</f>
        <v/>
      </c>
      <c r="I548" s="14">
        <f>IF(E548&lt;&gt;"", YEARFRAC(C548, E548) * 12, "")</f>
        <v/>
      </c>
      <c r="J548" s="2">
        <f>IF(I548="", "", IF(AND(A548="MF (Equity)", I548&gt;12), "Long Term", "Short Term"))</f>
        <v/>
      </c>
      <c r="K548" s="5">
        <f>IF(J548="", "", IF(J548="Long Term", 12.5%, 20%))</f>
        <v/>
      </c>
      <c r="L548" s="3">
        <f>+IFERROR(IF(J548="","",H548*K548),"")</f>
        <v/>
      </c>
    </row>
    <row r="549">
      <c r="A549" s="11" t="n"/>
      <c r="B549" s="7" t="n"/>
      <c r="C549" s="8" t="n"/>
      <c r="D549" s="9" t="n"/>
      <c r="E549" s="8" t="n"/>
      <c r="F549" s="9" t="n"/>
      <c r="G549" s="9" t="n"/>
      <c r="H549" s="3">
        <f>IF(AND(D549&lt;&gt;"",F549&lt;&gt;""),F549-D549-G549,"")</f>
        <v/>
      </c>
      <c r="I549" s="14">
        <f>IF(E549&lt;&gt;"", YEARFRAC(C549, E549) * 12, "")</f>
        <v/>
      </c>
      <c r="J549" s="2">
        <f>IF(I549="", "", IF(AND(A549="MF (Equity)", I549&gt;12), "Long Term", "Short Term"))</f>
        <v/>
      </c>
      <c r="K549" s="5">
        <f>IF(J549="", "", IF(J549="Long Term", 12.5%, 20%))</f>
        <v/>
      </c>
      <c r="L549" s="3">
        <f>+IFERROR(IF(J549="","",H549*K549),"")</f>
        <v/>
      </c>
    </row>
    <row r="550">
      <c r="A550" s="11" t="n"/>
      <c r="B550" s="7" t="n"/>
      <c r="C550" s="8" t="n"/>
      <c r="D550" s="9" t="n"/>
      <c r="E550" s="8" t="n"/>
      <c r="F550" s="9" t="n"/>
      <c r="G550" s="9" t="n"/>
      <c r="H550" s="3">
        <f>IF(AND(D550&lt;&gt;"",F550&lt;&gt;""),F550-D550-G550,"")</f>
        <v/>
      </c>
      <c r="I550" s="14">
        <f>IF(E550&lt;&gt;"", YEARFRAC(C550, E550) * 12, "")</f>
        <v/>
      </c>
      <c r="J550" s="2">
        <f>IF(I550="", "", IF(AND(A550="MF (Equity)", I550&gt;12), "Long Term", "Short Term"))</f>
        <v/>
      </c>
      <c r="K550" s="5">
        <f>IF(J550="", "", IF(J550="Long Term", 12.5%, 20%))</f>
        <v/>
      </c>
      <c r="L550" s="3">
        <f>+IFERROR(IF(J550="","",H550*K550),"")</f>
        <v/>
      </c>
    </row>
    <row r="551">
      <c r="A551" s="11" t="n"/>
      <c r="B551" s="7" t="n"/>
      <c r="C551" s="8" t="n"/>
      <c r="D551" s="9" t="n"/>
      <c r="E551" s="8" t="n"/>
      <c r="F551" s="9" t="n"/>
      <c r="G551" s="9" t="n"/>
      <c r="H551" s="3">
        <f>IF(AND(D551&lt;&gt;"",F551&lt;&gt;""),F551-D551-G551,"")</f>
        <v/>
      </c>
      <c r="I551" s="14">
        <f>IF(E551&lt;&gt;"", YEARFRAC(C551, E551) * 12, "")</f>
        <v/>
      </c>
      <c r="J551" s="2">
        <f>IF(I551="", "", IF(AND(A551="MF (Equity)", I551&gt;12), "Long Term", "Short Term"))</f>
        <v/>
      </c>
      <c r="K551" s="5">
        <f>IF(J551="", "", IF(J551="Long Term", 12.5%, 20%))</f>
        <v/>
      </c>
      <c r="L551" s="3">
        <f>+IFERROR(IF(J551="","",H551*K551),"")</f>
        <v/>
      </c>
    </row>
    <row r="552">
      <c r="A552" s="11" t="n"/>
      <c r="B552" s="7" t="n"/>
      <c r="C552" s="8" t="n"/>
      <c r="D552" s="9" t="n"/>
      <c r="E552" s="8" t="n"/>
      <c r="F552" s="9" t="n"/>
      <c r="G552" s="9" t="n"/>
      <c r="H552" s="3">
        <f>IF(AND(D552&lt;&gt;"",F552&lt;&gt;""),F552-D552-G552,"")</f>
        <v/>
      </c>
      <c r="I552" s="14">
        <f>IF(E552&lt;&gt;"", YEARFRAC(C552, E552) * 12, "")</f>
        <v/>
      </c>
      <c r="J552" s="2">
        <f>IF(I552="", "", IF(AND(A552="MF (Equity)", I552&gt;12), "Long Term", "Short Term"))</f>
        <v/>
      </c>
      <c r="K552" s="5">
        <f>IF(J552="", "", IF(J552="Long Term", 12.5%, 20%))</f>
        <v/>
      </c>
      <c r="L552" s="3">
        <f>+IFERROR(IF(J552="","",H552*K552),"")</f>
        <v/>
      </c>
    </row>
    <row r="553">
      <c r="A553" s="11" t="n"/>
      <c r="B553" s="7" t="n"/>
      <c r="C553" s="8" t="n"/>
      <c r="D553" s="9" t="n"/>
      <c r="E553" s="8" t="n"/>
      <c r="F553" s="9" t="n"/>
      <c r="G553" s="9" t="n"/>
      <c r="H553" s="3">
        <f>IF(AND(D553&lt;&gt;"",F553&lt;&gt;""),F553-D553-G553,"")</f>
        <v/>
      </c>
      <c r="I553" s="14">
        <f>IF(E553&lt;&gt;"", YEARFRAC(C553, E553) * 12, "")</f>
        <v/>
      </c>
      <c r="J553" s="2">
        <f>IF(I553="", "", IF(AND(A553="MF (Equity)", I553&gt;12), "Long Term", "Short Term"))</f>
        <v/>
      </c>
      <c r="K553" s="5">
        <f>IF(J553="", "", IF(J553="Long Term", 12.5%, 20%))</f>
        <v/>
      </c>
      <c r="L553" s="3">
        <f>+IFERROR(IF(J553="","",H553*K553),"")</f>
        <v/>
      </c>
    </row>
    <row r="554">
      <c r="A554" s="11" t="n"/>
      <c r="B554" s="7" t="n"/>
      <c r="C554" s="8" t="n"/>
      <c r="D554" s="9" t="n"/>
      <c r="E554" s="8" t="n"/>
      <c r="F554" s="9" t="n"/>
      <c r="G554" s="9" t="n"/>
      <c r="H554" s="3">
        <f>IF(AND(D554&lt;&gt;"",F554&lt;&gt;""),F554-D554-G554,"")</f>
        <v/>
      </c>
      <c r="I554" s="14">
        <f>IF(E554&lt;&gt;"", YEARFRAC(C554, E554) * 12, "")</f>
        <v/>
      </c>
      <c r="J554" s="2">
        <f>IF(I554="", "", IF(AND(A554="MF (Equity)", I554&gt;12), "Long Term", "Short Term"))</f>
        <v/>
      </c>
      <c r="K554" s="5">
        <f>IF(J554="", "", IF(J554="Long Term", 12.5%, 20%))</f>
        <v/>
      </c>
      <c r="L554" s="3">
        <f>+IFERROR(IF(J554="","",H554*K554),"")</f>
        <v/>
      </c>
    </row>
    <row r="555">
      <c r="A555" s="11" t="n"/>
      <c r="B555" s="7" t="n"/>
      <c r="C555" s="8" t="n"/>
      <c r="D555" s="9" t="n"/>
      <c r="E555" s="8" t="n"/>
      <c r="F555" s="9" t="n"/>
      <c r="G555" s="9" t="n"/>
      <c r="H555" s="3">
        <f>IF(AND(D555&lt;&gt;"",F555&lt;&gt;""),F555-D555-G555,"")</f>
        <v/>
      </c>
      <c r="I555" s="14">
        <f>IF(E555&lt;&gt;"", YEARFRAC(C555, E555) * 12, "")</f>
        <v/>
      </c>
      <c r="J555" s="2">
        <f>IF(I555="", "", IF(AND(A555="MF (Equity)", I555&gt;12), "Long Term", "Short Term"))</f>
        <v/>
      </c>
      <c r="K555" s="5">
        <f>IF(J555="", "", IF(J555="Long Term", 12.5%, 20%))</f>
        <v/>
      </c>
      <c r="L555" s="3">
        <f>+IFERROR(IF(J555="","",H555*K555),"")</f>
        <v/>
      </c>
    </row>
    <row r="556">
      <c r="A556" s="11" t="n"/>
      <c r="B556" s="7" t="n"/>
      <c r="C556" s="8" t="n"/>
      <c r="D556" s="9" t="n"/>
      <c r="E556" s="8" t="n"/>
      <c r="F556" s="9" t="n"/>
      <c r="G556" s="9" t="n"/>
      <c r="H556" s="3">
        <f>IF(AND(D556&lt;&gt;"",F556&lt;&gt;""),F556-D556-G556,"")</f>
        <v/>
      </c>
      <c r="I556" s="14">
        <f>IF(E556&lt;&gt;"", YEARFRAC(C556, E556) * 12, "")</f>
        <v/>
      </c>
      <c r="J556" s="2">
        <f>IF(I556="", "", IF(AND(A556="MF (Equity)", I556&gt;12), "Long Term", "Short Term"))</f>
        <v/>
      </c>
      <c r="K556" s="5">
        <f>IF(J556="", "", IF(J556="Long Term", 12.5%, 20%))</f>
        <v/>
      </c>
      <c r="L556" s="3">
        <f>+IFERROR(IF(J556="","",H556*K556),"")</f>
        <v/>
      </c>
    </row>
    <row r="557">
      <c r="A557" s="11" t="n"/>
      <c r="B557" s="7" t="n"/>
      <c r="C557" s="8" t="n"/>
      <c r="D557" s="9" t="n"/>
      <c r="E557" s="8" t="n"/>
      <c r="F557" s="9" t="n"/>
      <c r="G557" s="9" t="n"/>
      <c r="H557" s="3">
        <f>IF(AND(D557&lt;&gt;"",F557&lt;&gt;""),F557-D557-G557,"")</f>
        <v/>
      </c>
      <c r="I557" s="14">
        <f>IF(E557&lt;&gt;"", YEARFRAC(C557, E557) * 12, "")</f>
        <v/>
      </c>
      <c r="J557" s="2">
        <f>IF(I557="", "", IF(AND(A557="MF (Equity)", I557&gt;12), "Long Term", "Short Term"))</f>
        <v/>
      </c>
      <c r="K557" s="5">
        <f>IF(J557="", "", IF(J557="Long Term", 12.5%, 20%))</f>
        <v/>
      </c>
      <c r="L557" s="3">
        <f>+IFERROR(IF(J557="","",H557*K557),"")</f>
        <v/>
      </c>
    </row>
    <row r="558">
      <c r="A558" s="11" t="n"/>
      <c r="B558" s="7" t="n"/>
      <c r="C558" s="8" t="n"/>
      <c r="D558" s="9" t="n"/>
      <c r="E558" s="8" t="n"/>
      <c r="F558" s="9" t="n"/>
      <c r="G558" s="9" t="n"/>
      <c r="H558" s="3">
        <f>IF(AND(D558&lt;&gt;"",F558&lt;&gt;""),F558-D558-G558,"")</f>
        <v/>
      </c>
      <c r="I558" s="14">
        <f>IF(E558&lt;&gt;"", YEARFRAC(C558, E558) * 12, "")</f>
        <v/>
      </c>
      <c r="J558" s="2">
        <f>IF(I558="", "", IF(AND(A558="MF (Equity)", I558&gt;12), "Long Term", "Short Term"))</f>
        <v/>
      </c>
      <c r="K558" s="5">
        <f>IF(J558="", "", IF(J558="Long Term", 12.5%, 20%))</f>
        <v/>
      </c>
      <c r="L558" s="3">
        <f>+IFERROR(IF(J558="","",H558*K558),"")</f>
        <v/>
      </c>
    </row>
    <row r="559">
      <c r="A559" s="11" t="n"/>
      <c r="B559" s="7" t="n"/>
      <c r="C559" s="8" t="n"/>
      <c r="D559" s="9" t="n"/>
      <c r="E559" s="8" t="n"/>
      <c r="F559" s="9" t="n"/>
      <c r="G559" s="9" t="n"/>
      <c r="H559" s="3">
        <f>IF(AND(D559&lt;&gt;"",F559&lt;&gt;""),F559-D559-G559,"")</f>
        <v/>
      </c>
      <c r="I559" s="14">
        <f>IF(E559&lt;&gt;"", YEARFRAC(C559, E559) * 12, "")</f>
        <v/>
      </c>
      <c r="J559" s="2">
        <f>IF(I559="", "", IF(AND(A559="MF (Equity)", I559&gt;12), "Long Term", "Short Term"))</f>
        <v/>
      </c>
      <c r="K559" s="5">
        <f>IF(J559="", "", IF(J559="Long Term", 12.5%, 20%))</f>
        <v/>
      </c>
      <c r="L559" s="3">
        <f>+IFERROR(IF(J559="","",H559*K559),"")</f>
        <v/>
      </c>
    </row>
    <row r="560">
      <c r="A560" s="11" t="n"/>
      <c r="B560" s="7" t="n"/>
      <c r="C560" s="8" t="n"/>
      <c r="D560" s="9" t="n"/>
      <c r="E560" s="8" t="n"/>
      <c r="F560" s="9" t="n"/>
      <c r="G560" s="9" t="n"/>
      <c r="H560" s="3">
        <f>IF(AND(D560&lt;&gt;"",F560&lt;&gt;""),F560-D560-G560,"")</f>
        <v/>
      </c>
      <c r="I560" s="14">
        <f>IF(E560&lt;&gt;"", YEARFRAC(C560, E560) * 12, "")</f>
        <v/>
      </c>
      <c r="J560" s="2">
        <f>IF(I560="", "", IF(AND(A560="MF (Equity)", I560&gt;12), "Long Term", "Short Term"))</f>
        <v/>
      </c>
      <c r="K560" s="5">
        <f>IF(J560="", "", IF(J560="Long Term", 12.5%, 20%))</f>
        <v/>
      </c>
      <c r="L560" s="3">
        <f>+IFERROR(IF(J560="","",H560*K560),"")</f>
        <v/>
      </c>
    </row>
    <row r="561">
      <c r="A561" s="11" t="n"/>
      <c r="B561" s="7" t="n"/>
      <c r="C561" s="8" t="n"/>
      <c r="D561" s="9" t="n"/>
      <c r="E561" s="8" t="n"/>
      <c r="F561" s="9" t="n"/>
      <c r="G561" s="9" t="n"/>
      <c r="H561" s="3">
        <f>IF(AND(D561&lt;&gt;"",F561&lt;&gt;""),F561-D561-G561,"")</f>
        <v/>
      </c>
      <c r="I561" s="14">
        <f>IF(E561&lt;&gt;"", YEARFRAC(C561, E561) * 12, "")</f>
        <v/>
      </c>
      <c r="J561" s="2">
        <f>IF(I561="", "", IF(AND(A561="MF (Equity)", I561&gt;12), "Long Term", "Short Term"))</f>
        <v/>
      </c>
      <c r="K561" s="5">
        <f>IF(J561="", "", IF(J561="Long Term", 12.5%, 20%))</f>
        <v/>
      </c>
      <c r="L561" s="3">
        <f>+IFERROR(IF(J561="","",H561*K561),"")</f>
        <v/>
      </c>
    </row>
    <row r="562">
      <c r="A562" s="11" t="n"/>
      <c r="B562" s="7" t="n"/>
      <c r="C562" s="8" t="n"/>
      <c r="D562" s="9" t="n"/>
      <c r="E562" s="8" t="n"/>
      <c r="F562" s="9" t="n"/>
      <c r="G562" s="9" t="n"/>
      <c r="H562" s="3">
        <f>IF(AND(D562&lt;&gt;"",F562&lt;&gt;""),F562-D562-G562,"")</f>
        <v/>
      </c>
      <c r="I562" s="14">
        <f>IF(E562&lt;&gt;"", YEARFRAC(C562, E562) * 12, "")</f>
        <v/>
      </c>
      <c r="J562" s="2">
        <f>IF(I562="", "", IF(AND(A562="MF (Equity)", I562&gt;12), "Long Term", "Short Term"))</f>
        <v/>
      </c>
      <c r="K562" s="5">
        <f>IF(J562="", "", IF(J562="Long Term", 12.5%, 20%))</f>
        <v/>
      </c>
      <c r="L562" s="3">
        <f>+IFERROR(IF(J562="","",H562*K562),"")</f>
        <v/>
      </c>
    </row>
    <row r="563">
      <c r="A563" s="11" t="n"/>
      <c r="B563" s="7" t="n"/>
      <c r="C563" s="8" t="n"/>
      <c r="D563" s="9" t="n"/>
      <c r="E563" s="8" t="n"/>
      <c r="F563" s="9" t="n"/>
      <c r="G563" s="9" t="n"/>
      <c r="H563" s="3">
        <f>IF(AND(D563&lt;&gt;"",F563&lt;&gt;""),F563-D563-G563,"")</f>
        <v/>
      </c>
      <c r="I563" s="14">
        <f>IF(E563&lt;&gt;"", YEARFRAC(C563, E563) * 12, "")</f>
        <v/>
      </c>
      <c r="J563" s="2">
        <f>IF(I563="", "", IF(AND(A563="MF (Equity)", I563&gt;12), "Long Term", "Short Term"))</f>
        <v/>
      </c>
      <c r="K563" s="5">
        <f>IF(J563="", "", IF(J563="Long Term", 12.5%, 20%))</f>
        <v/>
      </c>
      <c r="L563" s="3">
        <f>+IFERROR(IF(J563="","",H563*K563),"")</f>
        <v/>
      </c>
    </row>
    <row r="564">
      <c r="A564" s="11" t="n"/>
      <c r="B564" s="7" t="n"/>
      <c r="C564" s="8" t="n"/>
      <c r="D564" s="9" t="n"/>
      <c r="E564" s="8" t="n"/>
      <c r="F564" s="9" t="n"/>
      <c r="G564" s="9" t="n"/>
      <c r="H564" s="3">
        <f>IF(AND(D564&lt;&gt;"",F564&lt;&gt;""),F564-D564-G564,"")</f>
        <v/>
      </c>
      <c r="I564" s="14">
        <f>IF(E564&lt;&gt;"", YEARFRAC(C564, E564) * 12, "")</f>
        <v/>
      </c>
      <c r="J564" s="2">
        <f>IF(I564="", "", IF(AND(A564="MF (Equity)", I564&gt;12), "Long Term", "Short Term"))</f>
        <v/>
      </c>
      <c r="K564" s="5">
        <f>IF(J564="", "", IF(J564="Long Term", 12.5%, 20%))</f>
        <v/>
      </c>
      <c r="L564" s="3">
        <f>+IFERROR(IF(J564="","",H564*K564),"")</f>
        <v/>
      </c>
    </row>
    <row r="565">
      <c r="A565" s="11" t="n"/>
      <c r="B565" s="7" t="n"/>
      <c r="C565" s="8" t="n"/>
      <c r="D565" s="9" t="n"/>
      <c r="E565" s="8" t="n"/>
      <c r="F565" s="9" t="n"/>
      <c r="G565" s="9" t="n"/>
      <c r="H565" s="3">
        <f>IF(AND(D565&lt;&gt;"",F565&lt;&gt;""),F565-D565-G565,"")</f>
        <v/>
      </c>
      <c r="I565" s="14">
        <f>IF(E565&lt;&gt;"", YEARFRAC(C565, E565) * 12, "")</f>
        <v/>
      </c>
      <c r="J565" s="2">
        <f>IF(I565="", "", IF(AND(A565="MF (Equity)", I565&gt;12), "Long Term", "Short Term"))</f>
        <v/>
      </c>
      <c r="K565" s="5">
        <f>IF(J565="", "", IF(J565="Long Term", 12.5%, 20%))</f>
        <v/>
      </c>
      <c r="L565" s="3">
        <f>+IFERROR(IF(J565="","",H565*K565),"")</f>
        <v/>
      </c>
    </row>
    <row r="566">
      <c r="A566" s="11" t="n"/>
      <c r="B566" s="7" t="n"/>
      <c r="C566" s="8" t="n"/>
      <c r="D566" s="9" t="n"/>
      <c r="E566" s="8" t="n"/>
      <c r="F566" s="9" t="n"/>
      <c r="G566" s="9" t="n"/>
      <c r="H566" s="3">
        <f>IF(AND(D566&lt;&gt;"",F566&lt;&gt;""),F566-D566-G566,"")</f>
        <v/>
      </c>
      <c r="I566" s="14">
        <f>IF(E566&lt;&gt;"", YEARFRAC(C566, E566) * 12, "")</f>
        <v/>
      </c>
      <c r="J566" s="2">
        <f>IF(I566="", "", IF(AND(A566="MF (Equity)", I566&gt;12), "Long Term", "Short Term"))</f>
        <v/>
      </c>
      <c r="K566" s="5">
        <f>IF(J566="", "", IF(J566="Long Term", 12.5%, 20%))</f>
        <v/>
      </c>
      <c r="L566" s="3">
        <f>+IFERROR(IF(J566="","",H566*K566),"")</f>
        <v/>
      </c>
    </row>
    <row r="567">
      <c r="A567" s="11" t="n"/>
      <c r="B567" s="7" t="n"/>
      <c r="C567" s="8" t="n"/>
      <c r="D567" s="9" t="n"/>
      <c r="E567" s="8" t="n"/>
      <c r="F567" s="9" t="n"/>
      <c r="G567" s="9" t="n"/>
      <c r="H567" s="3">
        <f>IF(AND(D567&lt;&gt;"",F567&lt;&gt;""),F567-D567-G567,"")</f>
        <v/>
      </c>
      <c r="I567" s="14">
        <f>IF(E567&lt;&gt;"", YEARFRAC(C567, E567) * 12, "")</f>
        <v/>
      </c>
      <c r="J567" s="2">
        <f>IF(I567="", "", IF(AND(A567="MF (Equity)", I567&gt;12), "Long Term", "Short Term"))</f>
        <v/>
      </c>
      <c r="K567" s="5">
        <f>IF(J567="", "", IF(J567="Long Term", 12.5%, 20%))</f>
        <v/>
      </c>
      <c r="L567" s="3">
        <f>+IFERROR(IF(J567="","",H567*K567),"")</f>
        <v/>
      </c>
    </row>
    <row r="568">
      <c r="A568" s="11" t="n"/>
      <c r="B568" s="7" t="n"/>
      <c r="C568" s="8" t="n"/>
      <c r="D568" s="9" t="n"/>
      <c r="E568" s="8" t="n"/>
      <c r="F568" s="9" t="n"/>
      <c r="G568" s="9" t="n"/>
      <c r="H568" s="3">
        <f>IF(AND(D568&lt;&gt;"",F568&lt;&gt;""),F568-D568-G568,"")</f>
        <v/>
      </c>
      <c r="I568" s="14">
        <f>IF(E568&lt;&gt;"", YEARFRAC(C568, E568) * 12, "")</f>
        <v/>
      </c>
      <c r="J568" s="2">
        <f>IF(I568="", "", IF(AND(A568="MF (Equity)", I568&gt;12), "Long Term", "Short Term"))</f>
        <v/>
      </c>
      <c r="K568" s="5">
        <f>IF(J568="", "", IF(J568="Long Term", 12.5%, 20%))</f>
        <v/>
      </c>
      <c r="L568" s="3">
        <f>+IFERROR(IF(J568="","",H568*K568),"")</f>
        <v/>
      </c>
    </row>
    <row r="569">
      <c r="A569" s="11" t="n"/>
      <c r="B569" s="7" t="n"/>
      <c r="C569" s="8" t="n"/>
      <c r="D569" s="9" t="n"/>
      <c r="E569" s="8" t="n"/>
      <c r="F569" s="9" t="n"/>
      <c r="G569" s="9" t="n"/>
      <c r="H569" s="3">
        <f>IF(AND(D569&lt;&gt;"",F569&lt;&gt;""),F569-D569-G569,"")</f>
        <v/>
      </c>
      <c r="I569" s="14">
        <f>IF(E569&lt;&gt;"", YEARFRAC(C569, E569) * 12, "")</f>
        <v/>
      </c>
      <c r="J569" s="2">
        <f>IF(I569="", "", IF(AND(A569="MF (Equity)", I569&gt;12), "Long Term", "Short Term"))</f>
        <v/>
      </c>
      <c r="K569" s="5">
        <f>IF(J569="", "", IF(J569="Long Term", 12.5%, 20%))</f>
        <v/>
      </c>
      <c r="L569" s="3">
        <f>+IFERROR(IF(J569="","",H569*K569),"")</f>
        <v/>
      </c>
    </row>
    <row r="570">
      <c r="A570" s="11" t="n"/>
      <c r="B570" s="7" t="n"/>
      <c r="C570" s="8" t="n"/>
      <c r="D570" s="9" t="n"/>
      <c r="E570" s="8" t="n"/>
      <c r="F570" s="9" t="n"/>
      <c r="G570" s="9" t="n"/>
      <c r="H570" s="3">
        <f>IF(AND(D570&lt;&gt;"",F570&lt;&gt;""),F570-D570-G570,"")</f>
        <v/>
      </c>
      <c r="I570" s="14">
        <f>IF(E570&lt;&gt;"", YEARFRAC(C570, E570) * 12, "")</f>
        <v/>
      </c>
      <c r="J570" s="2">
        <f>IF(I570="", "", IF(AND(A570="MF (Equity)", I570&gt;12), "Long Term", "Short Term"))</f>
        <v/>
      </c>
      <c r="K570" s="5">
        <f>IF(J570="", "", IF(J570="Long Term", 12.5%, 20%))</f>
        <v/>
      </c>
      <c r="L570" s="3">
        <f>+IFERROR(IF(J570="","",H570*K570),"")</f>
        <v/>
      </c>
    </row>
    <row r="571">
      <c r="A571" s="11" t="n"/>
      <c r="B571" s="7" t="n"/>
      <c r="C571" s="8" t="n"/>
      <c r="D571" s="9" t="n"/>
      <c r="E571" s="8" t="n"/>
      <c r="F571" s="9" t="n"/>
      <c r="G571" s="9" t="n"/>
      <c r="H571" s="3">
        <f>IF(AND(D571&lt;&gt;"",F571&lt;&gt;""),F571-D571-G571,"")</f>
        <v/>
      </c>
      <c r="I571" s="14">
        <f>IF(E571&lt;&gt;"", YEARFRAC(C571, E571) * 12, "")</f>
        <v/>
      </c>
      <c r="J571" s="2">
        <f>IF(I571="", "", IF(AND(A571="MF (Equity)", I571&gt;12), "Long Term", "Short Term"))</f>
        <v/>
      </c>
      <c r="K571" s="5">
        <f>IF(J571="", "", IF(J571="Long Term", 12.5%, 20%))</f>
        <v/>
      </c>
      <c r="L571" s="3">
        <f>+IFERROR(IF(J571="","",H571*K571),"")</f>
        <v/>
      </c>
    </row>
    <row r="572">
      <c r="A572" s="11" t="n"/>
      <c r="B572" s="7" t="n"/>
      <c r="C572" s="8" t="n"/>
      <c r="D572" s="9" t="n"/>
      <c r="E572" s="8" t="n"/>
      <c r="F572" s="9" t="n"/>
      <c r="G572" s="9" t="n"/>
      <c r="H572" s="3">
        <f>IF(AND(D572&lt;&gt;"",F572&lt;&gt;""),F572-D572-G572,"")</f>
        <v/>
      </c>
      <c r="I572" s="14">
        <f>IF(E572&lt;&gt;"", YEARFRAC(C572, E572) * 12, "")</f>
        <v/>
      </c>
      <c r="J572" s="2">
        <f>IF(I572="", "", IF(AND(A572="MF (Equity)", I572&gt;12), "Long Term", "Short Term"))</f>
        <v/>
      </c>
      <c r="K572" s="5">
        <f>IF(J572="", "", IF(J572="Long Term", 12.5%, 20%))</f>
        <v/>
      </c>
      <c r="L572" s="3">
        <f>+IFERROR(IF(J572="","",H572*K572),"")</f>
        <v/>
      </c>
    </row>
    <row r="573">
      <c r="A573" s="11" t="n"/>
      <c r="B573" s="7" t="n"/>
      <c r="C573" s="8" t="n"/>
      <c r="D573" s="9" t="n"/>
      <c r="E573" s="8" t="n"/>
      <c r="F573" s="9" t="n"/>
      <c r="G573" s="9" t="n"/>
      <c r="H573" s="3">
        <f>IF(AND(D573&lt;&gt;"",F573&lt;&gt;""),F573-D573-G573,"")</f>
        <v/>
      </c>
      <c r="I573" s="14">
        <f>IF(E573&lt;&gt;"", YEARFRAC(C573, E573) * 12, "")</f>
        <v/>
      </c>
      <c r="J573" s="2">
        <f>IF(I573="", "", IF(AND(A573="MF (Equity)", I573&gt;12), "Long Term", "Short Term"))</f>
        <v/>
      </c>
      <c r="K573" s="5">
        <f>IF(J573="", "", IF(J573="Long Term", 12.5%, 20%))</f>
        <v/>
      </c>
      <c r="L573" s="3">
        <f>+IFERROR(IF(J573="","",H573*K573),"")</f>
        <v/>
      </c>
    </row>
    <row r="574">
      <c r="A574" s="11" t="n"/>
      <c r="B574" s="7" t="n"/>
      <c r="C574" s="8" t="n"/>
      <c r="D574" s="9" t="n"/>
      <c r="E574" s="8" t="n"/>
      <c r="F574" s="9" t="n"/>
      <c r="G574" s="9" t="n"/>
      <c r="H574" s="3">
        <f>IF(AND(D574&lt;&gt;"",F574&lt;&gt;""),F574-D574-G574,"")</f>
        <v/>
      </c>
      <c r="I574" s="14">
        <f>IF(E574&lt;&gt;"", YEARFRAC(C574, E574) * 12, "")</f>
        <v/>
      </c>
      <c r="J574" s="2">
        <f>IF(I574="", "", IF(AND(A574="MF (Equity)", I574&gt;12), "Long Term", "Short Term"))</f>
        <v/>
      </c>
      <c r="K574" s="5">
        <f>IF(J574="", "", IF(J574="Long Term", 12.5%, 20%))</f>
        <v/>
      </c>
      <c r="L574" s="3">
        <f>+IFERROR(IF(J574="","",H574*K574),"")</f>
        <v/>
      </c>
    </row>
    <row r="575">
      <c r="A575" s="11" t="n"/>
      <c r="B575" s="7" t="n"/>
      <c r="C575" s="8" t="n"/>
      <c r="D575" s="9" t="n"/>
      <c r="E575" s="8" t="n"/>
      <c r="F575" s="9" t="n"/>
      <c r="G575" s="9" t="n"/>
      <c r="H575" s="3">
        <f>IF(AND(D575&lt;&gt;"",F575&lt;&gt;""),F575-D575-G575,"")</f>
        <v/>
      </c>
      <c r="I575" s="14">
        <f>IF(E575&lt;&gt;"", YEARFRAC(C575, E575) * 12, "")</f>
        <v/>
      </c>
      <c r="J575" s="2">
        <f>IF(I575="", "", IF(AND(A575="MF (Equity)", I575&gt;12), "Long Term", "Short Term"))</f>
        <v/>
      </c>
      <c r="K575" s="5">
        <f>IF(J575="", "", IF(J575="Long Term", 12.5%, 20%))</f>
        <v/>
      </c>
      <c r="L575" s="3">
        <f>+IFERROR(IF(J575="","",H575*K575),"")</f>
        <v/>
      </c>
    </row>
    <row r="576">
      <c r="A576" s="11" t="n"/>
      <c r="B576" s="7" t="n"/>
      <c r="C576" s="8" t="n"/>
      <c r="D576" s="9" t="n"/>
      <c r="E576" s="8" t="n"/>
      <c r="F576" s="9" t="n"/>
      <c r="G576" s="9" t="n"/>
      <c r="H576" s="3">
        <f>IF(AND(D576&lt;&gt;"",F576&lt;&gt;""),F576-D576-G576,"")</f>
        <v/>
      </c>
      <c r="I576" s="14">
        <f>IF(E576&lt;&gt;"", YEARFRAC(C576, E576) * 12, "")</f>
        <v/>
      </c>
      <c r="J576" s="2">
        <f>IF(I576="", "", IF(AND(A576="MF (Equity)", I576&gt;12), "Long Term", "Short Term"))</f>
        <v/>
      </c>
      <c r="K576" s="5">
        <f>IF(J576="", "", IF(J576="Long Term", 12.5%, 20%))</f>
        <v/>
      </c>
      <c r="L576" s="3">
        <f>+IFERROR(IF(J576="","",H576*K576),"")</f>
        <v/>
      </c>
    </row>
    <row r="577">
      <c r="A577" s="11" t="n"/>
      <c r="B577" s="7" t="n"/>
      <c r="C577" s="8" t="n"/>
      <c r="D577" s="9" t="n"/>
      <c r="E577" s="8" t="n"/>
      <c r="F577" s="9" t="n"/>
      <c r="G577" s="9" t="n"/>
      <c r="H577" s="3">
        <f>IF(AND(D577&lt;&gt;"",F577&lt;&gt;""),F577-D577-G577,"")</f>
        <v/>
      </c>
      <c r="I577" s="14">
        <f>IF(E577&lt;&gt;"", YEARFRAC(C577, E577) * 12, "")</f>
        <v/>
      </c>
      <c r="J577" s="2">
        <f>IF(I577="", "", IF(AND(A577="MF (Equity)", I577&gt;12), "Long Term", "Short Term"))</f>
        <v/>
      </c>
      <c r="K577" s="5">
        <f>IF(J577="", "", IF(J577="Long Term", 12.5%, 20%))</f>
        <v/>
      </c>
      <c r="L577" s="3">
        <f>+IFERROR(IF(J577="","",H577*K577),"")</f>
        <v/>
      </c>
    </row>
    <row r="578">
      <c r="A578" s="11" t="n"/>
      <c r="B578" s="7" t="n"/>
      <c r="C578" s="8" t="n"/>
      <c r="D578" s="9" t="n"/>
      <c r="E578" s="8" t="n"/>
      <c r="F578" s="9" t="n"/>
      <c r="G578" s="9" t="n"/>
      <c r="H578" s="3">
        <f>IF(AND(D578&lt;&gt;"",F578&lt;&gt;""),F578-D578-G578,"")</f>
        <v/>
      </c>
      <c r="I578" s="14">
        <f>IF(E578&lt;&gt;"", YEARFRAC(C578, E578) * 12, "")</f>
        <v/>
      </c>
      <c r="J578" s="2">
        <f>IF(I578="", "", IF(AND(A578="MF (Equity)", I578&gt;12), "Long Term", "Short Term"))</f>
        <v/>
      </c>
      <c r="K578" s="5">
        <f>IF(J578="", "", IF(J578="Long Term", 12.5%, 20%))</f>
        <v/>
      </c>
      <c r="L578" s="3">
        <f>+IFERROR(IF(J578="","",H578*K578),"")</f>
        <v/>
      </c>
    </row>
    <row r="579">
      <c r="A579" s="11" t="n"/>
      <c r="B579" s="7" t="n"/>
      <c r="C579" s="8" t="n"/>
      <c r="D579" s="9" t="n"/>
      <c r="E579" s="8" t="n"/>
      <c r="F579" s="9" t="n"/>
      <c r="G579" s="9" t="n"/>
      <c r="H579" s="3">
        <f>IF(AND(D579&lt;&gt;"",F579&lt;&gt;""),F579-D579-G579,"")</f>
        <v/>
      </c>
      <c r="I579" s="14">
        <f>IF(E579&lt;&gt;"", YEARFRAC(C579, E579) * 12, "")</f>
        <v/>
      </c>
      <c r="J579" s="2">
        <f>IF(I579="", "", IF(AND(A579="MF (Equity)", I579&gt;12), "Long Term", "Short Term"))</f>
        <v/>
      </c>
      <c r="K579" s="5">
        <f>IF(J579="", "", IF(J579="Long Term", 12.5%, 20%))</f>
        <v/>
      </c>
      <c r="L579" s="3">
        <f>+IFERROR(IF(J579="","",H579*K579),"")</f>
        <v/>
      </c>
    </row>
    <row r="580">
      <c r="A580" s="11" t="n"/>
      <c r="B580" s="7" t="n"/>
      <c r="C580" s="8" t="n"/>
      <c r="D580" s="9" t="n"/>
      <c r="E580" s="8" t="n"/>
      <c r="F580" s="9" t="n"/>
      <c r="G580" s="9" t="n"/>
      <c r="H580" s="3">
        <f>IF(AND(D580&lt;&gt;"",F580&lt;&gt;""),F580-D580-G580,"")</f>
        <v/>
      </c>
      <c r="I580" s="14">
        <f>IF(E580&lt;&gt;"", YEARFRAC(C580, E580) * 12, "")</f>
        <v/>
      </c>
      <c r="J580" s="2">
        <f>IF(I580="", "", IF(AND(A580="MF (Equity)", I580&gt;12), "Long Term", "Short Term"))</f>
        <v/>
      </c>
      <c r="K580" s="5">
        <f>IF(J580="", "", IF(J580="Long Term", 12.5%, 20%))</f>
        <v/>
      </c>
      <c r="L580" s="3">
        <f>+IFERROR(IF(J580="","",H580*K580),"")</f>
        <v/>
      </c>
    </row>
    <row r="581">
      <c r="A581" s="11" t="n"/>
      <c r="B581" s="7" t="n"/>
      <c r="C581" s="8" t="n"/>
      <c r="D581" s="9" t="n"/>
      <c r="E581" s="8" t="n"/>
      <c r="F581" s="9" t="n"/>
      <c r="G581" s="9" t="n"/>
      <c r="H581" s="3">
        <f>IF(AND(D581&lt;&gt;"",F581&lt;&gt;""),F581-D581-G581,"")</f>
        <v/>
      </c>
      <c r="I581" s="14">
        <f>IF(E581&lt;&gt;"", YEARFRAC(C581, E581) * 12, "")</f>
        <v/>
      </c>
      <c r="J581" s="2">
        <f>IF(I581="", "", IF(AND(A581="MF (Equity)", I581&gt;12), "Long Term", "Short Term"))</f>
        <v/>
      </c>
      <c r="K581" s="5">
        <f>IF(J581="", "", IF(J581="Long Term", 12.5%, 20%))</f>
        <v/>
      </c>
      <c r="L581" s="3">
        <f>+IFERROR(IF(J581="","",H581*K581),"")</f>
        <v/>
      </c>
    </row>
    <row r="582">
      <c r="A582" s="11" t="n"/>
      <c r="B582" s="7" t="n"/>
      <c r="C582" s="8" t="n"/>
      <c r="D582" s="9" t="n"/>
      <c r="E582" s="8" t="n"/>
      <c r="F582" s="9" t="n"/>
      <c r="G582" s="9" t="n"/>
      <c r="H582" s="3">
        <f>IF(AND(D582&lt;&gt;"",F582&lt;&gt;""),F582-D582-G582,"")</f>
        <v/>
      </c>
      <c r="I582" s="14">
        <f>IF(E582&lt;&gt;"", YEARFRAC(C582, E582) * 12, "")</f>
        <v/>
      </c>
      <c r="J582" s="2">
        <f>IF(I582="", "", IF(AND(A582="MF (Equity)", I582&gt;12), "Long Term", "Short Term"))</f>
        <v/>
      </c>
      <c r="K582" s="5">
        <f>IF(J582="", "", IF(J582="Long Term", 12.5%, 20%))</f>
        <v/>
      </c>
      <c r="L582" s="3">
        <f>+IFERROR(IF(J582="","",H582*K582),"")</f>
        <v/>
      </c>
    </row>
    <row r="583">
      <c r="A583" s="11" t="n"/>
      <c r="B583" s="7" t="n"/>
      <c r="C583" s="8" t="n"/>
      <c r="D583" s="9" t="n"/>
      <c r="E583" s="8" t="n"/>
      <c r="F583" s="9" t="n"/>
      <c r="G583" s="9" t="n"/>
      <c r="H583" s="3">
        <f>IF(AND(D583&lt;&gt;"",F583&lt;&gt;""),F583-D583-G583,"")</f>
        <v/>
      </c>
      <c r="I583" s="14">
        <f>IF(E583&lt;&gt;"", YEARFRAC(C583, E583) * 12, "")</f>
        <v/>
      </c>
      <c r="J583" s="2">
        <f>IF(I583="", "", IF(AND(A583="MF (Equity)", I583&gt;12), "Long Term", "Short Term"))</f>
        <v/>
      </c>
      <c r="K583" s="5">
        <f>IF(J583="", "", IF(J583="Long Term", 12.5%, 20%))</f>
        <v/>
      </c>
      <c r="L583" s="3">
        <f>+IFERROR(IF(J583="","",H583*K583),"")</f>
        <v/>
      </c>
    </row>
    <row r="584">
      <c r="A584" s="11" t="n"/>
      <c r="B584" s="7" t="n"/>
      <c r="C584" s="8" t="n"/>
      <c r="D584" s="9" t="n"/>
      <c r="E584" s="8" t="n"/>
      <c r="F584" s="9" t="n"/>
      <c r="G584" s="9" t="n"/>
      <c r="H584" s="3">
        <f>IF(AND(D584&lt;&gt;"",F584&lt;&gt;""),F584-D584-G584,"")</f>
        <v/>
      </c>
      <c r="I584" s="14">
        <f>IF(E584&lt;&gt;"", YEARFRAC(C584, E584) * 12, "")</f>
        <v/>
      </c>
      <c r="J584" s="2">
        <f>IF(I584="", "", IF(AND(A584="MF (Equity)", I584&gt;12), "Long Term", "Short Term"))</f>
        <v/>
      </c>
      <c r="K584" s="5">
        <f>IF(J584="", "", IF(J584="Long Term", 12.5%, 20%))</f>
        <v/>
      </c>
      <c r="L584" s="3">
        <f>+IFERROR(IF(J584="","",H584*K584),"")</f>
        <v/>
      </c>
    </row>
    <row r="585">
      <c r="A585" s="11" t="n"/>
      <c r="B585" s="7" t="n"/>
      <c r="C585" s="8" t="n"/>
      <c r="D585" s="9" t="n"/>
      <c r="E585" s="8" t="n"/>
      <c r="F585" s="9" t="n"/>
      <c r="G585" s="9" t="n"/>
      <c r="H585" s="3">
        <f>IF(AND(D585&lt;&gt;"",F585&lt;&gt;""),F585-D585-G585,"")</f>
        <v/>
      </c>
      <c r="I585" s="14">
        <f>IF(E585&lt;&gt;"", YEARFRAC(C585, E585) * 12, "")</f>
        <v/>
      </c>
      <c r="J585" s="2">
        <f>IF(I585="", "", IF(AND(A585="MF (Equity)", I585&gt;12), "Long Term", "Short Term"))</f>
        <v/>
      </c>
      <c r="K585" s="5">
        <f>IF(J585="", "", IF(J585="Long Term", 12.5%, 20%))</f>
        <v/>
      </c>
      <c r="L585" s="3">
        <f>+IFERROR(IF(J585="","",H585*K585),"")</f>
        <v/>
      </c>
    </row>
    <row r="586">
      <c r="A586" s="11" t="n"/>
      <c r="B586" s="7" t="n"/>
      <c r="C586" s="8" t="n"/>
      <c r="D586" s="9" t="n"/>
      <c r="E586" s="8" t="n"/>
      <c r="F586" s="9" t="n"/>
      <c r="G586" s="9" t="n"/>
      <c r="H586" s="3">
        <f>IF(AND(D586&lt;&gt;"",F586&lt;&gt;""),F586-D586-G586,"")</f>
        <v/>
      </c>
      <c r="I586" s="14">
        <f>IF(E586&lt;&gt;"", YEARFRAC(C586, E586) * 12, "")</f>
        <v/>
      </c>
      <c r="J586" s="2">
        <f>IF(I586="", "", IF(AND(A586="MF (Equity)", I586&gt;12), "Long Term", "Short Term"))</f>
        <v/>
      </c>
      <c r="K586" s="5">
        <f>IF(J586="", "", IF(J586="Long Term", 12.5%, 20%))</f>
        <v/>
      </c>
      <c r="L586" s="3">
        <f>+IFERROR(IF(J586="","",H586*K586),"")</f>
        <v/>
      </c>
    </row>
    <row r="587">
      <c r="A587" s="11" t="n"/>
      <c r="B587" s="7" t="n"/>
      <c r="C587" s="8" t="n"/>
      <c r="D587" s="9" t="n"/>
      <c r="E587" s="8" t="n"/>
      <c r="F587" s="9" t="n"/>
      <c r="G587" s="9" t="n"/>
      <c r="H587" s="3">
        <f>IF(AND(D587&lt;&gt;"",F587&lt;&gt;""),F587-D587-G587,"")</f>
        <v/>
      </c>
      <c r="I587" s="14">
        <f>IF(E587&lt;&gt;"", YEARFRAC(C587, E587) * 12, "")</f>
        <v/>
      </c>
      <c r="J587" s="2">
        <f>IF(I587="", "", IF(AND(A587="MF (Equity)", I587&gt;12), "Long Term", "Short Term"))</f>
        <v/>
      </c>
      <c r="K587" s="5">
        <f>IF(J587="", "", IF(J587="Long Term", 12.5%, 20%))</f>
        <v/>
      </c>
      <c r="L587" s="3">
        <f>+IFERROR(IF(J587="","",H587*K587),"")</f>
        <v/>
      </c>
    </row>
    <row r="588">
      <c r="A588" s="11" t="n"/>
      <c r="B588" s="7" t="n"/>
      <c r="C588" s="8" t="n"/>
      <c r="D588" s="9" t="n"/>
      <c r="E588" s="8" t="n"/>
      <c r="F588" s="9" t="n"/>
      <c r="G588" s="9" t="n"/>
      <c r="H588" s="3">
        <f>IF(AND(D588&lt;&gt;"",F588&lt;&gt;""),F588-D588-G588,"")</f>
        <v/>
      </c>
      <c r="I588" s="14">
        <f>IF(E588&lt;&gt;"", YEARFRAC(C588, E588) * 12, "")</f>
        <v/>
      </c>
      <c r="J588" s="2">
        <f>IF(I588="", "", IF(AND(A588="MF (Equity)", I588&gt;12), "Long Term", "Short Term"))</f>
        <v/>
      </c>
      <c r="K588" s="5">
        <f>IF(J588="", "", IF(J588="Long Term", 12.5%, 20%))</f>
        <v/>
      </c>
      <c r="L588" s="3">
        <f>+IFERROR(IF(J588="","",H588*K588),"")</f>
        <v/>
      </c>
    </row>
    <row r="589">
      <c r="A589" s="11" t="n"/>
      <c r="B589" s="7" t="n"/>
      <c r="C589" s="8" t="n"/>
      <c r="D589" s="9" t="n"/>
      <c r="E589" s="8" t="n"/>
      <c r="F589" s="9" t="n"/>
      <c r="G589" s="9" t="n"/>
      <c r="H589" s="3">
        <f>IF(AND(D589&lt;&gt;"",F589&lt;&gt;""),F589-D589-G589,"")</f>
        <v/>
      </c>
      <c r="I589" s="14">
        <f>IF(E589&lt;&gt;"", YEARFRAC(C589, E589) * 12, "")</f>
        <v/>
      </c>
      <c r="J589" s="2">
        <f>IF(I589="", "", IF(AND(A589="MF (Equity)", I589&gt;12), "Long Term", "Short Term"))</f>
        <v/>
      </c>
      <c r="K589" s="5">
        <f>IF(J589="", "", IF(J589="Long Term", 12.5%, 20%))</f>
        <v/>
      </c>
      <c r="L589" s="3">
        <f>+IFERROR(IF(J589="","",H589*K589),"")</f>
        <v/>
      </c>
    </row>
    <row r="590">
      <c r="A590" s="11" t="n"/>
      <c r="B590" s="7" t="n"/>
      <c r="C590" s="8" t="n"/>
      <c r="D590" s="9" t="n"/>
      <c r="E590" s="8" t="n"/>
      <c r="F590" s="9" t="n"/>
      <c r="G590" s="9" t="n"/>
      <c r="H590" s="3">
        <f>IF(AND(D590&lt;&gt;"",F590&lt;&gt;""),F590-D590-G590,"")</f>
        <v/>
      </c>
      <c r="I590" s="14">
        <f>IF(E590&lt;&gt;"", YEARFRAC(C590, E590) * 12, "")</f>
        <v/>
      </c>
      <c r="J590" s="2">
        <f>IF(I590="", "", IF(AND(A590="MF (Equity)", I590&gt;12), "Long Term", "Short Term"))</f>
        <v/>
      </c>
      <c r="K590" s="5">
        <f>IF(J590="", "", IF(J590="Long Term", 12.5%, 20%))</f>
        <v/>
      </c>
      <c r="L590" s="3">
        <f>+IFERROR(IF(J590="","",H590*K590),"")</f>
        <v/>
      </c>
    </row>
    <row r="591">
      <c r="A591" s="11" t="n"/>
      <c r="B591" s="7" t="n"/>
      <c r="C591" s="8" t="n"/>
      <c r="D591" s="9" t="n"/>
      <c r="E591" s="8" t="n"/>
      <c r="F591" s="9" t="n"/>
      <c r="G591" s="9" t="n"/>
      <c r="H591" s="3">
        <f>IF(AND(D591&lt;&gt;"",F591&lt;&gt;""),F591-D591-G591,"")</f>
        <v/>
      </c>
      <c r="I591" s="14">
        <f>IF(E591&lt;&gt;"", YEARFRAC(C591, E591) * 12, "")</f>
        <v/>
      </c>
      <c r="J591" s="2">
        <f>IF(I591="", "", IF(AND(A591="MF (Equity)", I591&gt;12), "Long Term", "Short Term"))</f>
        <v/>
      </c>
      <c r="K591" s="5">
        <f>IF(J591="", "", IF(J591="Long Term", 12.5%, 20%))</f>
        <v/>
      </c>
      <c r="L591" s="3">
        <f>+IFERROR(IF(J591="","",H591*K591),"")</f>
        <v/>
      </c>
    </row>
    <row r="592">
      <c r="A592" s="11" t="n"/>
      <c r="B592" s="7" t="n"/>
      <c r="C592" s="8" t="n"/>
      <c r="D592" s="9" t="n"/>
      <c r="E592" s="8" t="n"/>
      <c r="F592" s="9" t="n"/>
      <c r="G592" s="9" t="n"/>
      <c r="H592" s="3">
        <f>IF(AND(D592&lt;&gt;"",F592&lt;&gt;""),F592-D592-G592,"")</f>
        <v/>
      </c>
      <c r="I592" s="14">
        <f>IF(E592&lt;&gt;"", YEARFRAC(C592, E592) * 12, "")</f>
        <v/>
      </c>
      <c r="J592" s="2">
        <f>IF(I592="", "", IF(AND(A592="MF (Equity)", I592&gt;12), "Long Term", "Short Term"))</f>
        <v/>
      </c>
      <c r="K592" s="5">
        <f>IF(J592="", "", IF(J592="Long Term", 12.5%, 20%))</f>
        <v/>
      </c>
      <c r="L592" s="3">
        <f>+IFERROR(IF(J592="","",H592*K592),"")</f>
        <v/>
      </c>
    </row>
    <row r="593">
      <c r="A593" s="11" t="n"/>
      <c r="B593" s="7" t="n"/>
      <c r="C593" s="8" t="n"/>
      <c r="D593" s="9" t="n"/>
      <c r="E593" s="8" t="n"/>
      <c r="F593" s="9" t="n"/>
      <c r="G593" s="9" t="n"/>
      <c r="H593" s="3">
        <f>IF(AND(D593&lt;&gt;"",F593&lt;&gt;""),F593-D593-G593,"")</f>
        <v/>
      </c>
      <c r="I593" s="14">
        <f>IF(E593&lt;&gt;"", YEARFRAC(C593, E593) * 12, "")</f>
        <v/>
      </c>
      <c r="J593" s="2">
        <f>IF(I593="", "", IF(AND(A593="MF (Equity)", I593&gt;12), "Long Term", "Short Term"))</f>
        <v/>
      </c>
      <c r="K593" s="5">
        <f>IF(J593="", "", IF(J593="Long Term", 12.5%, 20%))</f>
        <v/>
      </c>
      <c r="L593" s="3">
        <f>+IFERROR(IF(J593="","",H593*K593),"")</f>
        <v/>
      </c>
    </row>
    <row r="594">
      <c r="A594" s="11" t="n"/>
      <c r="B594" s="7" t="n"/>
      <c r="C594" s="8" t="n"/>
      <c r="D594" s="9" t="n"/>
      <c r="E594" s="8" t="n"/>
      <c r="F594" s="9" t="n"/>
      <c r="G594" s="9" t="n"/>
      <c r="H594" s="3">
        <f>IF(AND(D594&lt;&gt;"",F594&lt;&gt;""),F594-D594-G594,"")</f>
        <v/>
      </c>
      <c r="I594" s="14">
        <f>IF(E594&lt;&gt;"", YEARFRAC(C594, E594) * 12, "")</f>
        <v/>
      </c>
      <c r="J594" s="2">
        <f>IF(I594="", "", IF(AND(A594="MF (Equity)", I594&gt;12), "Long Term", "Short Term"))</f>
        <v/>
      </c>
      <c r="K594" s="5">
        <f>IF(J594="", "", IF(J594="Long Term", 12.5%, 20%))</f>
        <v/>
      </c>
      <c r="L594" s="3">
        <f>+IFERROR(IF(J594="","",H594*K594),"")</f>
        <v/>
      </c>
    </row>
    <row r="595">
      <c r="A595" s="11" t="n"/>
      <c r="B595" s="7" t="n"/>
      <c r="C595" s="8" t="n"/>
      <c r="D595" s="9" t="n"/>
      <c r="E595" s="8" t="n"/>
      <c r="F595" s="9" t="n"/>
      <c r="G595" s="9" t="n"/>
      <c r="H595" s="3">
        <f>IF(AND(D595&lt;&gt;"",F595&lt;&gt;""),F595-D595-G595,"")</f>
        <v/>
      </c>
      <c r="I595" s="14">
        <f>IF(E595&lt;&gt;"", YEARFRAC(C595, E595) * 12, "")</f>
        <v/>
      </c>
      <c r="J595" s="2">
        <f>IF(I595="", "", IF(AND(A595="MF (Equity)", I595&gt;12), "Long Term", "Short Term"))</f>
        <v/>
      </c>
      <c r="K595" s="5">
        <f>IF(J595="", "", IF(J595="Long Term", 12.5%, 20%))</f>
        <v/>
      </c>
      <c r="L595" s="3">
        <f>+IFERROR(IF(J595="","",H595*K595),"")</f>
        <v/>
      </c>
    </row>
    <row r="596">
      <c r="A596" s="11" t="n"/>
      <c r="B596" s="7" t="n"/>
      <c r="C596" s="8" t="n"/>
      <c r="D596" s="9" t="n"/>
      <c r="E596" s="8" t="n"/>
      <c r="F596" s="9" t="n"/>
      <c r="G596" s="9" t="n"/>
      <c r="H596" s="3">
        <f>IF(AND(D596&lt;&gt;"",F596&lt;&gt;""),F596-D596-G596,"")</f>
        <v/>
      </c>
      <c r="I596" s="14">
        <f>IF(E596&lt;&gt;"", YEARFRAC(C596, E596) * 12, "")</f>
        <v/>
      </c>
      <c r="J596" s="2">
        <f>IF(I596="", "", IF(AND(A596="MF (Equity)", I596&gt;12), "Long Term", "Short Term"))</f>
        <v/>
      </c>
      <c r="K596" s="5">
        <f>IF(J596="", "", IF(J596="Long Term", 12.5%, 20%))</f>
        <v/>
      </c>
      <c r="L596" s="3">
        <f>+IFERROR(IF(J596="","",H596*K596),"")</f>
        <v/>
      </c>
    </row>
    <row r="597">
      <c r="A597" s="11" t="n"/>
      <c r="B597" s="7" t="n"/>
      <c r="C597" s="8" t="n"/>
      <c r="D597" s="9" t="n"/>
      <c r="E597" s="8" t="n"/>
      <c r="F597" s="9" t="n"/>
      <c r="G597" s="9" t="n"/>
      <c r="H597" s="3">
        <f>IF(AND(D597&lt;&gt;"",F597&lt;&gt;""),F597-D597-G597,"")</f>
        <v/>
      </c>
      <c r="I597" s="14">
        <f>IF(E597&lt;&gt;"", YEARFRAC(C597, E597) * 12, "")</f>
        <v/>
      </c>
      <c r="J597" s="2">
        <f>IF(I597="", "", IF(AND(A597="MF (Equity)", I597&gt;12), "Long Term", "Short Term"))</f>
        <v/>
      </c>
      <c r="K597" s="5">
        <f>IF(J597="", "", IF(J597="Long Term", 12.5%, 20%))</f>
        <v/>
      </c>
      <c r="L597" s="3">
        <f>+IFERROR(IF(J597="","",H597*K597),"")</f>
        <v/>
      </c>
    </row>
    <row r="598">
      <c r="A598" s="11" t="n"/>
      <c r="B598" s="7" t="n"/>
      <c r="C598" s="8" t="n"/>
      <c r="D598" s="9" t="n"/>
      <c r="E598" s="8" t="n"/>
      <c r="F598" s="9" t="n"/>
      <c r="G598" s="9" t="n"/>
      <c r="H598" s="3">
        <f>IF(AND(D598&lt;&gt;"",F598&lt;&gt;""),F598-D598-G598,"")</f>
        <v/>
      </c>
      <c r="I598" s="14">
        <f>IF(E598&lt;&gt;"", YEARFRAC(C598, E598) * 12, "")</f>
        <v/>
      </c>
      <c r="J598" s="2">
        <f>IF(I598="", "", IF(AND(A598="MF (Equity)", I598&gt;12), "Long Term", "Short Term"))</f>
        <v/>
      </c>
      <c r="K598" s="5">
        <f>IF(J598="", "", IF(J598="Long Term", 12.5%, 20%))</f>
        <v/>
      </c>
      <c r="L598" s="3">
        <f>+IFERROR(IF(J598="","",H598*K598),"")</f>
        <v/>
      </c>
    </row>
    <row r="599">
      <c r="A599" s="11" t="n"/>
      <c r="B599" s="7" t="n"/>
      <c r="C599" s="8" t="n"/>
      <c r="D599" s="9" t="n"/>
      <c r="E599" s="8" t="n"/>
      <c r="F599" s="9" t="n"/>
      <c r="G599" s="9" t="n"/>
      <c r="H599" s="3">
        <f>IF(AND(D599&lt;&gt;"",F599&lt;&gt;""),F599-D599-G599,"")</f>
        <v/>
      </c>
      <c r="I599" s="14">
        <f>IF(E599&lt;&gt;"", YEARFRAC(C599, E599) * 12, "")</f>
        <v/>
      </c>
      <c r="J599" s="2">
        <f>IF(I599="", "", IF(AND(A599="MF (Equity)", I599&gt;12), "Long Term", "Short Term"))</f>
        <v/>
      </c>
      <c r="K599" s="5">
        <f>IF(J599="", "", IF(J599="Long Term", 12.5%, 20%))</f>
        <v/>
      </c>
      <c r="L599" s="3">
        <f>+IFERROR(IF(J599="","",H599*K599),"")</f>
        <v/>
      </c>
    </row>
    <row r="600">
      <c r="A600" s="11" t="n"/>
      <c r="B600" s="7" t="n"/>
      <c r="C600" s="8" t="n"/>
      <c r="D600" s="9" t="n"/>
      <c r="E600" s="8" t="n"/>
      <c r="F600" s="9" t="n"/>
      <c r="G600" s="9" t="n"/>
      <c r="H600" s="3">
        <f>IF(AND(D600&lt;&gt;"",F600&lt;&gt;""),F600-D600-G600,"")</f>
        <v/>
      </c>
      <c r="I600" s="14">
        <f>IF(E600&lt;&gt;"", YEARFRAC(C600, E600) * 12, "")</f>
        <v/>
      </c>
      <c r="J600" s="2">
        <f>IF(I600="", "", IF(AND(A600="MF (Equity)", I600&gt;12), "Long Term", "Short Term"))</f>
        <v/>
      </c>
      <c r="K600" s="5">
        <f>IF(J600="", "", IF(J600="Long Term", 12.5%, 20%))</f>
        <v/>
      </c>
      <c r="L600" s="3">
        <f>+IFERROR(IF(J600="","",H600*K600),"")</f>
        <v/>
      </c>
    </row>
    <row r="601">
      <c r="A601" s="11" t="n"/>
      <c r="B601" s="7" t="n"/>
      <c r="C601" s="8" t="n"/>
      <c r="D601" s="9" t="n"/>
      <c r="E601" s="8" t="n"/>
      <c r="F601" s="9" t="n"/>
      <c r="G601" s="9" t="n"/>
      <c r="H601" s="3">
        <f>IF(AND(D601&lt;&gt;"",F601&lt;&gt;""),F601-D601-G601,"")</f>
        <v/>
      </c>
      <c r="I601" s="14">
        <f>IF(E601&lt;&gt;"", YEARFRAC(C601, E601) * 12, "")</f>
        <v/>
      </c>
      <c r="J601" s="2">
        <f>IF(I601="", "", IF(AND(A601="MF (Equity)", I601&gt;12), "Long Term", "Short Term"))</f>
        <v/>
      </c>
      <c r="K601" s="5">
        <f>IF(J601="", "", IF(J601="Long Term", 12.5%, 20%))</f>
        <v/>
      </c>
      <c r="L601" s="3">
        <f>+IFERROR(IF(J601="","",H601*K601),"")</f>
        <v/>
      </c>
    </row>
    <row r="602">
      <c r="A602" s="11" t="n"/>
      <c r="B602" s="7" t="n"/>
      <c r="C602" s="8" t="n"/>
      <c r="D602" s="9" t="n"/>
      <c r="E602" s="8" t="n"/>
      <c r="F602" s="9" t="n"/>
      <c r="G602" s="9" t="n"/>
      <c r="H602" s="3">
        <f>IF(AND(D602&lt;&gt;"",F602&lt;&gt;""),F602-D602-G602,"")</f>
        <v/>
      </c>
      <c r="I602" s="14">
        <f>IF(E602&lt;&gt;"", YEARFRAC(C602, E602) * 12, "")</f>
        <v/>
      </c>
      <c r="J602" s="2">
        <f>IF(I602="", "", IF(AND(A602="MF (Equity)", I602&gt;12), "Long Term", "Short Term"))</f>
        <v/>
      </c>
      <c r="K602" s="5">
        <f>IF(J602="", "", IF(J602="Long Term", 12.5%, 20%))</f>
        <v/>
      </c>
      <c r="L602" s="3">
        <f>+IFERROR(IF(J602="","",H602*K602),"")</f>
        <v/>
      </c>
    </row>
    <row r="603">
      <c r="A603" s="11" t="n"/>
      <c r="B603" s="7" t="n"/>
      <c r="C603" s="8" t="n"/>
      <c r="D603" s="9" t="n"/>
      <c r="E603" s="8" t="n"/>
      <c r="F603" s="9" t="n"/>
      <c r="G603" s="9" t="n"/>
      <c r="H603" s="3">
        <f>IF(AND(D603&lt;&gt;"",F603&lt;&gt;""),F603-D603-G603,"")</f>
        <v/>
      </c>
      <c r="I603" s="14">
        <f>IF(E603&lt;&gt;"", YEARFRAC(C603, E603) * 12, "")</f>
        <v/>
      </c>
      <c r="J603" s="2">
        <f>IF(I603="", "", IF(AND(A603="MF (Equity)", I603&gt;12), "Long Term", "Short Term"))</f>
        <v/>
      </c>
      <c r="K603" s="5">
        <f>IF(J603="", "", IF(J603="Long Term", 12.5%, 20%))</f>
        <v/>
      </c>
      <c r="L603" s="3">
        <f>+IFERROR(IF(J603="","",H603*K603),"")</f>
        <v/>
      </c>
    </row>
    <row r="604">
      <c r="A604" s="11" t="n"/>
      <c r="B604" s="7" t="n"/>
      <c r="C604" s="8" t="n"/>
      <c r="D604" s="9" t="n"/>
      <c r="E604" s="8" t="n"/>
      <c r="F604" s="9" t="n"/>
      <c r="G604" s="9" t="n"/>
      <c r="H604" s="3">
        <f>IF(AND(D604&lt;&gt;"",F604&lt;&gt;""),F604-D604-G604,"")</f>
        <v/>
      </c>
      <c r="I604" s="14">
        <f>IF(E604&lt;&gt;"", YEARFRAC(C604, E604) * 12, "")</f>
        <v/>
      </c>
      <c r="J604" s="2">
        <f>IF(I604="", "", IF(AND(A604="MF (Equity)", I604&gt;12), "Long Term", "Short Term"))</f>
        <v/>
      </c>
      <c r="K604" s="5">
        <f>IF(J604="", "", IF(J604="Long Term", 12.5%, 20%))</f>
        <v/>
      </c>
      <c r="L604" s="3">
        <f>+IFERROR(IF(J604="","",H604*K604),"")</f>
        <v/>
      </c>
    </row>
    <row r="605">
      <c r="A605" s="11" t="n"/>
      <c r="B605" s="7" t="n"/>
      <c r="C605" s="8" t="n"/>
      <c r="D605" s="9" t="n"/>
      <c r="E605" s="8" t="n"/>
      <c r="F605" s="9" t="n"/>
      <c r="G605" s="9" t="n"/>
      <c r="H605" s="3">
        <f>IF(AND(D605&lt;&gt;"",F605&lt;&gt;""),F605-D605-G605,"")</f>
        <v/>
      </c>
      <c r="I605" s="14">
        <f>IF(E605&lt;&gt;"", YEARFRAC(C605, E605) * 12, "")</f>
        <v/>
      </c>
      <c r="J605" s="2">
        <f>IF(I605="", "", IF(AND(A605="MF (Equity)", I605&gt;12), "Long Term", "Short Term"))</f>
        <v/>
      </c>
      <c r="K605" s="5">
        <f>IF(J605="", "", IF(J605="Long Term", 12.5%, 20%))</f>
        <v/>
      </c>
      <c r="L605" s="3">
        <f>+IFERROR(IF(J605="","",H605*K605),"")</f>
        <v/>
      </c>
    </row>
    <row r="606">
      <c r="A606" s="11" t="n"/>
      <c r="B606" s="7" t="n"/>
      <c r="C606" s="8" t="n"/>
      <c r="D606" s="9" t="n"/>
      <c r="E606" s="8" t="n"/>
      <c r="F606" s="9" t="n"/>
      <c r="G606" s="9" t="n"/>
      <c r="H606" s="3">
        <f>IF(AND(D606&lt;&gt;"",F606&lt;&gt;""),F606-D606-G606,"")</f>
        <v/>
      </c>
      <c r="I606" s="14">
        <f>IF(E606&lt;&gt;"", YEARFRAC(C606, E606) * 12, "")</f>
        <v/>
      </c>
      <c r="J606" s="2">
        <f>IF(I606="", "", IF(AND(A606="MF (Equity)", I606&gt;12), "Long Term", "Short Term"))</f>
        <v/>
      </c>
      <c r="K606" s="5">
        <f>IF(J606="", "", IF(J606="Long Term", 12.5%, 20%))</f>
        <v/>
      </c>
      <c r="L606" s="3">
        <f>+IFERROR(IF(J606="","",H606*K606),"")</f>
        <v/>
      </c>
    </row>
    <row r="607">
      <c r="A607" s="11" t="n"/>
      <c r="B607" s="7" t="n"/>
      <c r="C607" s="8" t="n"/>
      <c r="D607" s="9" t="n"/>
      <c r="E607" s="8" t="n"/>
      <c r="F607" s="9" t="n"/>
      <c r="G607" s="9" t="n"/>
      <c r="H607" s="3">
        <f>IF(AND(D607&lt;&gt;"",F607&lt;&gt;""),F607-D607-G607,"")</f>
        <v/>
      </c>
      <c r="I607" s="14">
        <f>IF(E607&lt;&gt;"", YEARFRAC(C607, E607) * 12, "")</f>
        <v/>
      </c>
      <c r="J607" s="2">
        <f>IF(I607="", "", IF(AND(A607="MF (Equity)", I607&gt;12), "Long Term", "Short Term"))</f>
        <v/>
      </c>
      <c r="K607" s="5">
        <f>IF(J607="", "", IF(J607="Long Term", 12.5%, 20%))</f>
        <v/>
      </c>
      <c r="L607" s="3">
        <f>+IFERROR(IF(J607="","",H607*K607),"")</f>
        <v/>
      </c>
    </row>
    <row r="608">
      <c r="A608" s="11" t="n"/>
      <c r="B608" s="7" t="n"/>
      <c r="C608" s="8" t="n"/>
      <c r="D608" s="9" t="n"/>
      <c r="E608" s="8" t="n"/>
      <c r="F608" s="9" t="n"/>
      <c r="G608" s="9" t="n"/>
      <c r="H608" s="3">
        <f>IF(AND(D608&lt;&gt;"",F608&lt;&gt;""),F608-D608-G608,"")</f>
        <v/>
      </c>
      <c r="I608" s="14">
        <f>IF(E608&lt;&gt;"", YEARFRAC(C608, E608) * 12, "")</f>
        <v/>
      </c>
      <c r="J608" s="2">
        <f>IF(I608="", "", IF(AND(A608="MF (Equity)", I608&gt;12), "Long Term", "Short Term"))</f>
        <v/>
      </c>
      <c r="K608" s="5">
        <f>IF(J608="", "", IF(J608="Long Term", 12.5%, 20%))</f>
        <v/>
      </c>
      <c r="L608" s="3">
        <f>+IFERROR(IF(J608="","",H608*K608),"")</f>
        <v/>
      </c>
    </row>
    <row r="609">
      <c r="A609" s="11" t="n"/>
      <c r="B609" s="7" t="n"/>
      <c r="C609" s="8" t="n"/>
      <c r="D609" s="9" t="n"/>
      <c r="E609" s="8" t="n"/>
      <c r="F609" s="9" t="n"/>
      <c r="G609" s="9" t="n"/>
      <c r="H609" s="3">
        <f>IF(AND(D609&lt;&gt;"",F609&lt;&gt;""),F609-D609-G609,"")</f>
        <v/>
      </c>
      <c r="I609" s="14">
        <f>IF(E609&lt;&gt;"", YEARFRAC(C609, E609) * 12, "")</f>
        <v/>
      </c>
      <c r="J609" s="2">
        <f>IF(I609="", "", IF(AND(A609="MF (Equity)", I609&gt;12), "Long Term", "Short Term"))</f>
        <v/>
      </c>
      <c r="K609" s="5">
        <f>IF(J609="", "", IF(J609="Long Term", 12.5%, 20%))</f>
        <v/>
      </c>
      <c r="L609" s="3">
        <f>+IFERROR(IF(J609="","",H609*K609),"")</f>
        <v/>
      </c>
    </row>
    <row r="610">
      <c r="A610" s="11" t="n"/>
      <c r="B610" s="7" t="n"/>
      <c r="C610" s="8" t="n"/>
      <c r="D610" s="9" t="n"/>
      <c r="E610" s="8" t="n"/>
      <c r="F610" s="9" t="n"/>
      <c r="G610" s="9" t="n"/>
      <c r="H610" s="3">
        <f>IF(AND(D610&lt;&gt;"",F610&lt;&gt;""),F610-D610-G610,"")</f>
        <v/>
      </c>
      <c r="I610" s="14">
        <f>IF(E610&lt;&gt;"", YEARFRAC(C610, E610) * 12, "")</f>
        <v/>
      </c>
      <c r="J610" s="2">
        <f>IF(I610="", "", IF(AND(A610="MF (Equity)", I610&gt;12), "Long Term", "Short Term"))</f>
        <v/>
      </c>
      <c r="K610" s="5">
        <f>IF(J610="", "", IF(J610="Long Term", 12.5%, 20%))</f>
        <v/>
      </c>
      <c r="L610" s="3">
        <f>+IFERROR(IF(J610="","",H610*K610),"")</f>
        <v/>
      </c>
    </row>
    <row r="611">
      <c r="A611" s="11" t="n"/>
      <c r="B611" s="7" t="n"/>
      <c r="C611" s="8" t="n"/>
      <c r="D611" s="9" t="n"/>
      <c r="E611" s="8" t="n"/>
      <c r="F611" s="9" t="n"/>
      <c r="G611" s="9" t="n"/>
      <c r="H611" s="3">
        <f>IF(AND(D611&lt;&gt;"",F611&lt;&gt;""),F611-D611-G611,"")</f>
        <v/>
      </c>
      <c r="I611" s="14">
        <f>IF(E611&lt;&gt;"", YEARFRAC(C611, E611) * 12, "")</f>
        <v/>
      </c>
      <c r="J611" s="2">
        <f>IF(I611="", "", IF(AND(A611="MF (Equity)", I611&gt;12), "Long Term", "Short Term"))</f>
        <v/>
      </c>
      <c r="K611" s="5">
        <f>IF(J611="", "", IF(J611="Long Term", 12.5%, 20%))</f>
        <v/>
      </c>
      <c r="L611" s="3">
        <f>+IFERROR(IF(J611="","",H611*K611),"")</f>
        <v/>
      </c>
    </row>
    <row r="612">
      <c r="A612" s="11" t="n"/>
      <c r="B612" s="7" t="n"/>
      <c r="C612" s="8" t="n"/>
      <c r="D612" s="9" t="n"/>
      <c r="E612" s="8" t="n"/>
      <c r="F612" s="9" t="n"/>
      <c r="G612" s="9" t="n"/>
      <c r="H612" s="3">
        <f>IF(AND(D612&lt;&gt;"",F612&lt;&gt;""),F612-D612-G612,"")</f>
        <v/>
      </c>
      <c r="I612" s="14">
        <f>IF(E612&lt;&gt;"", YEARFRAC(C612, E612) * 12, "")</f>
        <v/>
      </c>
      <c r="J612" s="2">
        <f>IF(I612="", "", IF(AND(A612="MF (Equity)", I612&gt;12), "Long Term", "Short Term"))</f>
        <v/>
      </c>
      <c r="K612" s="5">
        <f>IF(J612="", "", IF(J612="Long Term", 12.5%, 20%))</f>
        <v/>
      </c>
      <c r="L612" s="3">
        <f>+IFERROR(IF(J612="","",H612*K612),"")</f>
        <v/>
      </c>
    </row>
    <row r="613">
      <c r="A613" s="11" t="n"/>
      <c r="B613" s="7" t="n"/>
      <c r="C613" s="8" t="n"/>
      <c r="D613" s="9" t="n"/>
      <c r="E613" s="8" t="n"/>
      <c r="F613" s="9" t="n"/>
      <c r="G613" s="9" t="n"/>
      <c r="H613" s="3">
        <f>IF(AND(D613&lt;&gt;"",F613&lt;&gt;""),F613-D613-G613,"")</f>
        <v/>
      </c>
      <c r="I613" s="14">
        <f>IF(E613&lt;&gt;"", YEARFRAC(C613, E613) * 12, "")</f>
        <v/>
      </c>
      <c r="J613" s="2">
        <f>IF(I613="", "", IF(AND(A613="MF (Equity)", I613&gt;12), "Long Term", "Short Term"))</f>
        <v/>
      </c>
      <c r="K613" s="5">
        <f>IF(J613="", "", IF(J613="Long Term", 12.5%, 20%))</f>
        <v/>
      </c>
      <c r="L613" s="3">
        <f>+IFERROR(IF(J613="","",H613*K613),"")</f>
        <v/>
      </c>
    </row>
    <row r="614">
      <c r="A614" s="11" t="n"/>
      <c r="B614" s="7" t="n"/>
      <c r="C614" s="8" t="n"/>
      <c r="D614" s="9" t="n"/>
      <c r="E614" s="8" t="n"/>
      <c r="F614" s="9" t="n"/>
      <c r="G614" s="9" t="n"/>
      <c r="H614" s="3">
        <f>IF(AND(D614&lt;&gt;"",F614&lt;&gt;""),F614-D614-G614,"")</f>
        <v/>
      </c>
      <c r="I614" s="14">
        <f>IF(E614&lt;&gt;"", YEARFRAC(C614, E614) * 12, "")</f>
        <v/>
      </c>
      <c r="J614" s="2">
        <f>IF(I614="", "", IF(AND(A614="MF (Equity)", I614&gt;12), "Long Term", "Short Term"))</f>
        <v/>
      </c>
      <c r="K614" s="5">
        <f>IF(J614="", "", IF(J614="Long Term", 12.5%, 20%))</f>
        <v/>
      </c>
      <c r="L614" s="3">
        <f>+IFERROR(IF(J614="","",H614*K614),"")</f>
        <v/>
      </c>
    </row>
    <row r="615">
      <c r="A615" s="11" t="n"/>
      <c r="B615" s="7" t="n"/>
      <c r="C615" s="8" t="n"/>
      <c r="D615" s="9" t="n"/>
      <c r="E615" s="8" t="n"/>
      <c r="F615" s="9" t="n"/>
      <c r="G615" s="9" t="n"/>
      <c r="H615" s="3">
        <f>IF(AND(D615&lt;&gt;"",F615&lt;&gt;""),F615-D615-G615,"")</f>
        <v/>
      </c>
      <c r="I615" s="14">
        <f>IF(E615&lt;&gt;"", YEARFRAC(C615, E615) * 12, "")</f>
        <v/>
      </c>
      <c r="J615" s="2">
        <f>IF(I615="", "", IF(AND(A615="MF (Equity)", I615&gt;12), "Long Term", "Short Term"))</f>
        <v/>
      </c>
      <c r="K615" s="5">
        <f>IF(J615="", "", IF(J615="Long Term", 12.5%, 20%))</f>
        <v/>
      </c>
      <c r="L615" s="3">
        <f>+IFERROR(IF(J615="","",H615*K615),"")</f>
        <v/>
      </c>
    </row>
    <row r="616">
      <c r="A616" s="11" t="n"/>
      <c r="B616" s="7" t="n"/>
      <c r="C616" s="8" t="n"/>
      <c r="D616" s="9" t="n"/>
      <c r="E616" s="8" t="n"/>
      <c r="F616" s="9" t="n"/>
      <c r="G616" s="9" t="n"/>
      <c r="H616" s="3">
        <f>IF(AND(D616&lt;&gt;"",F616&lt;&gt;""),F616-D616-G616,"")</f>
        <v/>
      </c>
      <c r="I616" s="14">
        <f>IF(E616&lt;&gt;"", YEARFRAC(C616, E616) * 12, "")</f>
        <v/>
      </c>
      <c r="J616" s="2">
        <f>IF(I616="", "", IF(AND(A616="MF (Equity)", I616&gt;12), "Long Term", "Short Term"))</f>
        <v/>
      </c>
      <c r="K616" s="5">
        <f>IF(J616="", "", IF(J616="Long Term", 12.5%, 20%))</f>
        <v/>
      </c>
      <c r="L616" s="3">
        <f>+IFERROR(IF(J616="","",H616*K616),"")</f>
        <v/>
      </c>
    </row>
    <row r="617">
      <c r="A617" s="11" t="n"/>
      <c r="B617" s="7" t="n"/>
      <c r="C617" s="8" t="n"/>
      <c r="D617" s="9" t="n"/>
      <c r="E617" s="8" t="n"/>
      <c r="F617" s="9" t="n"/>
      <c r="G617" s="9" t="n"/>
      <c r="H617" s="3">
        <f>IF(AND(D617&lt;&gt;"",F617&lt;&gt;""),F617-D617-G617,"")</f>
        <v/>
      </c>
      <c r="I617" s="14">
        <f>IF(E617&lt;&gt;"", YEARFRAC(C617, E617) * 12, "")</f>
        <v/>
      </c>
      <c r="J617" s="2">
        <f>IF(I617="", "", IF(AND(A617="MF (Equity)", I617&gt;12), "Long Term", "Short Term"))</f>
        <v/>
      </c>
      <c r="K617" s="5">
        <f>IF(J617="", "", IF(J617="Long Term", 12.5%, 20%))</f>
        <v/>
      </c>
      <c r="L617" s="3">
        <f>+IFERROR(IF(J617="","",H617*K617),"")</f>
        <v/>
      </c>
    </row>
    <row r="618">
      <c r="A618" s="11" t="n"/>
      <c r="B618" s="7" t="n"/>
      <c r="C618" s="8" t="n"/>
      <c r="D618" s="9" t="n"/>
      <c r="E618" s="8" t="n"/>
      <c r="F618" s="9" t="n"/>
      <c r="G618" s="9" t="n"/>
      <c r="H618" s="3">
        <f>IF(AND(D618&lt;&gt;"",F618&lt;&gt;""),F618-D618-G618,"")</f>
        <v/>
      </c>
      <c r="I618" s="14">
        <f>IF(E618&lt;&gt;"", YEARFRAC(C618, E618) * 12, "")</f>
        <v/>
      </c>
      <c r="J618" s="2">
        <f>IF(I618="", "", IF(AND(A618="MF (Equity)", I618&gt;12), "Long Term", "Short Term"))</f>
        <v/>
      </c>
      <c r="K618" s="5">
        <f>IF(J618="", "", IF(J618="Long Term", 12.5%, 20%))</f>
        <v/>
      </c>
      <c r="L618" s="3">
        <f>+IFERROR(IF(J618="","",H618*K618),"")</f>
        <v/>
      </c>
    </row>
    <row r="619">
      <c r="A619" s="11" t="n"/>
      <c r="B619" s="7" t="n"/>
      <c r="C619" s="8" t="n"/>
      <c r="D619" s="9" t="n"/>
      <c r="E619" s="8" t="n"/>
      <c r="F619" s="9" t="n"/>
      <c r="G619" s="9" t="n"/>
      <c r="H619" s="3">
        <f>IF(AND(D619&lt;&gt;"",F619&lt;&gt;""),F619-D619-G619,"")</f>
        <v/>
      </c>
      <c r="I619" s="14">
        <f>IF(E619&lt;&gt;"", YEARFRAC(C619, E619) * 12, "")</f>
        <v/>
      </c>
      <c r="J619" s="2">
        <f>IF(I619="", "", IF(AND(A619="MF (Equity)", I619&gt;12), "Long Term", "Short Term"))</f>
        <v/>
      </c>
      <c r="K619" s="5">
        <f>IF(J619="", "", IF(J619="Long Term", 12.5%, 20%))</f>
        <v/>
      </c>
      <c r="L619" s="3">
        <f>+IFERROR(IF(J619="","",H619*K619),"")</f>
        <v/>
      </c>
    </row>
    <row r="620">
      <c r="A620" s="11" t="n"/>
      <c r="B620" s="7" t="n"/>
      <c r="C620" s="8" t="n"/>
      <c r="D620" s="9" t="n"/>
      <c r="E620" s="8" t="n"/>
      <c r="F620" s="9" t="n"/>
      <c r="G620" s="9" t="n"/>
      <c r="H620" s="3">
        <f>IF(AND(D620&lt;&gt;"",F620&lt;&gt;""),F620-D620-G620,"")</f>
        <v/>
      </c>
      <c r="I620" s="14">
        <f>IF(E620&lt;&gt;"", YEARFRAC(C620, E620) * 12, "")</f>
        <v/>
      </c>
      <c r="J620" s="2">
        <f>IF(I620="", "", IF(AND(A620="MF (Equity)", I620&gt;12), "Long Term", "Short Term"))</f>
        <v/>
      </c>
      <c r="K620" s="5">
        <f>IF(J620="", "", IF(J620="Long Term", 12.5%, 20%))</f>
        <v/>
      </c>
      <c r="L620" s="3">
        <f>+IFERROR(IF(J620="","",H620*K620),"")</f>
        <v/>
      </c>
    </row>
    <row r="621">
      <c r="A621" s="11" t="n"/>
      <c r="B621" s="7" t="n"/>
      <c r="C621" s="8" t="n"/>
      <c r="D621" s="9" t="n"/>
      <c r="E621" s="8" t="n"/>
      <c r="F621" s="9" t="n"/>
      <c r="G621" s="9" t="n"/>
      <c r="H621" s="3">
        <f>IF(AND(D621&lt;&gt;"",F621&lt;&gt;""),F621-D621-G621,"")</f>
        <v/>
      </c>
      <c r="I621" s="14">
        <f>IF(E621&lt;&gt;"", YEARFRAC(C621, E621) * 12, "")</f>
        <v/>
      </c>
      <c r="J621" s="2">
        <f>IF(I621="", "", IF(AND(A621="MF (Equity)", I621&gt;12), "Long Term", "Short Term"))</f>
        <v/>
      </c>
      <c r="K621" s="5">
        <f>IF(J621="", "", IF(J621="Long Term", 12.5%, 20%))</f>
        <v/>
      </c>
      <c r="L621" s="3">
        <f>+IFERROR(IF(J621="","",H621*K621),"")</f>
        <v/>
      </c>
    </row>
    <row r="622">
      <c r="A622" s="11" t="n"/>
      <c r="B622" s="7" t="n"/>
      <c r="C622" s="8" t="n"/>
      <c r="D622" s="9" t="n"/>
      <c r="E622" s="8" t="n"/>
      <c r="F622" s="9" t="n"/>
      <c r="G622" s="9" t="n"/>
      <c r="H622" s="3">
        <f>IF(AND(D622&lt;&gt;"",F622&lt;&gt;""),F622-D622-G622,"")</f>
        <v/>
      </c>
      <c r="I622" s="14">
        <f>IF(E622&lt;&gt;"", YEARFRAC(C622, E622) * 12, "")</f>
        <v/>
      </c>
      <c r="J622" s="2">
        <f>IF(I622="", "", IF(AND(A622="MF (Equity)", I622&gt;12), "Long Term", "Short Term"))</f>
        <v/>
      </c>
      <c r="K622" s="5">
        <f>IF(J622="", "", IF(J622="Long Term", 12.5%, 20%))</f>
        <v/>
      </c>
      <c r="L622" s="3">
        <f>+IFERROR(IF(J622="","",H622*K622),"")</f>
        <v/>
      </c>
    </row>
    <row r="623">
      <c r="A623" s="11" t="n"/>
      <c r="B623" s="7" t="n"/>
      <c r="C623" s="8" t="n"/>
      <c r="D623" s="9" t="n"/>
      <c r="E623" s="8" t="n"/>
      <c r="F623" s="9" t="n"/>
      <c r="G623" s="9" t="n"/>
      <c r="H623" s="3">
        <f>IF(AND(D623&lt;&gt;"",F623&lt;&gt;""),F623-D623-G623,"")</f>
        <v/>
      </c>
      <c r="I623" s="14">
        <f>IF(E623&lt;&gt;"", YEARFRAC(C623, E623) * 12, "")</f>
        <v/>
      </c>
      <c r="J623" s="2">
        <f>IF(I623="", "", IF(AND(A623="MF (Equity)", I623&gt;12), "Long Term", "Short Term"))</f>
        <v/>
      </c>
      <c r="K623" s="5">
        <f>IF(J623="", "", IF(J623="Long Term", 12.5%, 20%))</f>
        <v/>
      </c>
      <c r="L623" s="3">
        <f>+IFERROR(IF(J623="","",H623*K623),"")</f>
        <v/>
      </c>
    </row>
    <row r="624">
      <c r="A624" s="11" t="n"/>
      <c r="B624" s="7" t="n"/>
      <c r="C624" s="8" t="n"/>
      <c r="D624" s="9" t="n"/>
      <c r="E624" s="8" t="n"/>
      <c r="F624" s="9" t="n"/>
      <c r="G624" s="9" t="n"/>
      <c r="H624" s="3">
        <f>IF(AND(D624&lt;&gt;"",F624&lt;&gt;""),F624-D624-G624,"")</f>
        <v/>
      </c>
      <c r="I624" s="14">
        <f>IF(E624&lt;&gt;"", YEARFRAC(C624, E624) * 12, "")</f>
        <v/>
      </c>
      <c r="J624" s="2">
        <f>IF(I624="", "", IF(AND(A624="MF (Equity)", I624&gt;12), "Long Term", "Short Term"))</f>
        <v/>
      </c>
      <c r="K624" s="5">
        <f>IF(J624="", "", IF(J624="Long Term", 12.5%, 20%))</f>
        <v/>
      </c>
      <c r="L624" s="3">
        <f>+IFERROR(IF(J624="","",H624*K624),"")</f>
        <v/>
      </c>
    </row>
    <row r="625">
      <c r="A625" s="11" t="n"/>
      <c r="B625" s="7" t="n"/>
      <c r="C625" s="8" t="n"/>
      <c r="D625" s="9" t="n"/>
      <c r="E625" s="8" t="n"/>
      <c r="F625" s="9" t="n"/>
      <c r="G625" s="9" t="n"/>
      <c r="H625" s="3">
        <f>IF(AND(D625&lt;&gt;"",F625&lt;&gt;""),F625-D625-G625,"")</f>
        <v/>
      </c>
      <c r="I625" s="14">
        <f>IF(E625&lt;&gt;"", YEARFRAC(C625, E625) * 12, "")</f>
        <v/>
      </c>
      <c r="J625" s="2">
        <f>IF(I625="", "", IF(AND(A625="MF (Equity)", I625&gt;12), "Long Term", "Short Term"))</f>
        <v/>
      </c>
      <c r="K625" s="5">
        <f>IF(J625="", "", IF(J625="Long Term", 12.5%, 20%))</f>
        <v/>
      </c>
      <c r="L625" s="3">
        <f>+IFERROR(IF(J625="","",H625*K625),"")</f>
        <v/>
      </c>
    </row>
    <row r="626">
      <c r="A626" s="11" t="n"/>
      <c r="B626" s="7" t="n"/>
      <c r="C626" s="8" t="n"/>
      <c r="D626" s="9" t="n"/>
      <c r="E626" s="8" t="n"/>
      <c r="F626" s="9" t="n"/>
      <c r="G626" s="9" t="n"/>
      <c r="H626" s="3">
        <f>IF(AND(D626&lt;&gt;"",F626&lt;&gt;""),F626-D626-G626,"")</f>
        <v/>
      </c>
      <c r="I626" s="14">
        <f>IF(E626&lt;&gt;"", YEARFRAC(C626, E626) * 12, "")</f>
        <v/>
      </c>
      <c r="J626" s="2">
        <f>IF(I626="", "", IF(AND(A626="MF (Equity)", I626&gt;12), "Long Term", "Short Term"))</f>
        <v/>
      </c>
      <c r="K626" s="5">
        <f>IF(J626="", "", IF(J626="Long Term", 12.5%, 20%))</f>
        <v/>
      </c>
      <c r="L626" s="3">
        <f>+IFERROR(IF(J626="","",H626*K626),"")</f>
        <v/>
      </c>
    </row>
    <row r="627">
      <c r="A627" s="11" t="n"/>
      <c r="B627" s="7" t="n"/>
      <c r="C627" s="8" t="n"/>
      <c r="D627" s="9" t="n"/>
      <c r="E627" s="8" t="n"/>
      <c r="F627" s="9" t="n"/>
      <c r="G627" s="9" t="n"/>
      <c r="H627" s="3">
        <f>IF(AND(D627&lt;&gt;"",F627&lt;&gt;""),F627-D627-G627,"")</f>
        <v/>
      </c>
      <c r="I627" s="14">
        <f>IF(E627&lt;&gt;"", YEARFRAC(C627, E627) * 12, "")</f>
        <v/>
      </c>
      <c r="J627" s="2">
        <f>IF(I627="", "", IF(AND(A627="MF (Equity)", I627&gt;12), "Long Term", "Short Term"))</f>
        <v/>
      </c>
      <c r="K627" s="5">
        <f>IF(J627="", "", IF(J627="Long Term", 12.5%, 20%))</f>
        <v/>
      </c>
      <c r="L627" s="3">
        <f>+IFERROR(IF(J627="","",H627*K627),"")</f>
        <v/>
      </c>
    </row>
    <row r="628">
      <c r="A628" s="11" t="n"/>
      <c r="B628" s="7" t="n"/>
      <c r="C628" s="8" t="n"/>
      <c r="D628" s="9" t="n"/>
      <c r="E628" s="8" t="n"/>
      <c r="F628" s="9" t="n"/>
      <c r="G628" s="9" t="n"/>
      <c r="H628" s="3">
        <f>IF(AND(D628&lt;&gt;"",F628&lt;&gt;""),F628-D628-G628,"")</f>
        <v/>
      </c>
      <c r="I628" s="14">
        <f>IF(E628&lt;&gt;"", YEARFRAC(C628, E628) * 12, "")</f>
        <v/>
      </c>
      <c r="J628" s="2">
        <f>IF(I628="", "", IF(AND(A628="MF (Equity)", I628&gt;12), "Long Term", "Short Term"))</f>
        <v/>
      </c>
      <c r="K628" s="5">
        <f>IF(J628="", "", IF(J628="Long Term", 12.5%, 20%))</f>
        <v/>
      </c>
      <c r="L628" s="3">
        <f>+IFERROR(IF(J628="","",H628*K628),"")</f>
        <v/>
      </c>
    </row>
    <row r="629">
      <c r="A629" s="11" t="n"/>
      <c r="B629" s="7" t="n"/>
      <c r="C629" s="8" t="n"/>
      <c r="D629" s="9" t="n"/>
      <c r="E629" s="8" t="n"/>
      <c r="F629" s="9" t="n"/>
      <c r="G629" s="9" t="n"/>
      <c r="H629" s="3">
        <f>IF(AND(D629&lt;&gt;"",F629&lt;&gt;""),F629-D629-G629,"")</f>
        <v/>
      </c>
      <c r="I629" s="14">
        <f>IF(E629&lt;&gt;"", YEARFRAC(C629, E629) * 12, "")</f>
        <v/>
      </c>
      <c r="J629" s="2">
        <f>IF(I629="", "", IF(AND(A629="MF (Equity)", I629&gt;12), "Long Term", "Short Term"))</f>
        <v/>
      </c>
      <c r="K629" s="5">
        <f>IF(J629="", "", IF(J629="Long Term", 12.5%, 20%))</f>
        <v/>
      </c>
      <c r="L629" s="3">
        <f>+IFERROR(IF(J629="","",H629*K629),"")</f>
        <v/>
      </c>
    </row>
    <row r="630">
      <c r="A630" s="11" t="n"/>
      <c r="B630" s="7" t="n"/>
      <c r="C630" s="8" t="n"/>
      <c r="D630" s="9" t="n"/>
      <c r="E630" s="8" t="n"/>
      <c r="F630" s="9" t="n"/>
      <c r="G630" s="9" t="n"/>
      <c r="H630" s="3">
        <f>IF(AND(D630&lt;&gt;"",F630&lt;&gt;""),F630-D630-G630,"")</f>
        <v/>
      </c>
      <c r="I630" s="14">
        <f>IF(E630&lt;&gt;"", YEARFRAC(C630, E630) * 12, "")</f>
        <v/>
      </c>
      <c r="J630" s="2">
        <f>IF(I630="", "", IF(AND(A630="MF (Equity)", I630&gt;12), "Long Term", "Short Term"))</f>
        <v/>
      </c>
      <c r="K630" s="5">
        <f>IF(J630="", "", IF(J630="Long Term", 12.5%, 20%))</f>
        <v/>
      </c>
      <c r="L630" s="3">
        <f>+IFERROR(IF(J630="","",H630*K630),"")</f>
        <v/>
      </c>
    </row>
    <row r="631">
      <c r="A631" s="11" t="n"/>
      <c r="B631" s="7" t="n"/>
      <c r="C631" s="8" t="n"/>
      <c r="D631" s="9" t="n"/>
      <c r="E631" s="8" t="n"/>
      <c r="F631" s="9" t="n"/>
      <c r="G631" s="9" t="n"/>
      <c r="H631" s="3">
        <f>IF(AND(D631&lt;&gt;"",F631&lt;&gt;""),F631-D631-G631,"")</f>
        <v/>
      </c>
      <c r="I631" s="14">
        <f>IF(E631&lt;&gt;"", YEARFRAC(C631, E631) * 12, "")</f>
        <v/>
      </c>
      <c r="J631" s="2">
        <f>IF(I631="", "", IF(AND(A631="MF (Equity)", I631&gt;12), "Long Term", "Short Term"))</f>
        <v/>
      </c>
      <c r="K631" s="5">
        <f>IF(J631="", "", IF(J631="Long Term", 12.5%, 20%))</f>
        <v/>
      </c>
      <c r="L631" s="3">
        <f>+IFERROR(IF(J631="","",H631*K631),"")</f>
        <v/>
      </c>
    </row>
    <row r="632">
      <c r="A632" s="11" t="n"/>
      <c r="B632" s="7" t="n"/>
      <c r="C632" s="8" t="n"/>
      <c r="D632" s="9" t="n"/>
      <c r="E632" s="8" t="n"/>
      <c r="F632" s="9" t="n"/>
      <c r="G632" s="9" t="n"/>
      <c r="H632" s="3">
        <f>IF(AND(D632&lt;&gt;"",F632&lt;&gt;""),F632-D632-G632,"")</f>
        <v/>
      </c>
      <c r="I632" s="14">
        <f>IF(E632&lt;&gt;"", YEARFRAC(C632, E632) * 12, "")</f>
        <v/>
      </c>
      <c r="J632" s="2">
        <f>IF(I632="", "", IF(AND(A632="MF (Equity)", I632&gt;12), "Long Term", "Short Term"))</f>
        <v/>
      </c>
      <c r="K632" s="5">
        <f>IF(J632="", "", IF(J632="Long Term", 12.5%, 20%))</f>
        <v/>
      </c>
      <c r="L632" s="3">
        <f>+IFERROR(IF(J632="","",H632*K632),"")</f>
        <v/>
      </c>
    </row>
    <row r="633">
      <c r="A633" s="11" t="n"/>
      <c r="B633" s="7" t="n"/>
      <c r="C633" s="8" t="n"/>
      <c r="D633" s="9" t="n"/>
      <c r="E633" s="8" t="n"/>
      <c r="F633" s="9" t="n"/>
      <c r="G633" s="9" t="n"/>
      <c r="H633" s="3">
        <f>IF(AND(D633&lt;&gt;"",F633&lt;&gt;""),F633-D633-G633,"")</f>
        <v/>
      </c>
      <c r="I633" s="14">
        <f>IF(E633&lt;&gt;"", YEARFRAC(C633, E633) * 12, "")</f>
        <v/>
      </c>
      <c r="J633" s="2">
        <f>IF(I633="", "", IF(AND(A633="MF (Equity)", I633&gt;12), "Long Term", "Short Term"))</f>
        <v/>
      </c>
      <c r="K633" s="5">
        <f>IF(J633="", "", IF(J633="Long Term", 12.5%, 20%))</f>
        <v/>
      </c>
      <c r="L633" s="3">
        <f>+IFERROR(IF(J633="","",H633*K633),"")</f>
        <v/>
      </c>
    </row>
    <row r="634">
      <c r="A634" s="11" t="n"/>
      <c r="B634" s="7" t="n"/>
      <c r="C634" s="8" t="n"/>
      <c r="D634" s="9" t="n"/>
      <c r="E634" s="8" t="n"/>
      <c r="F634" s="9" t="n"/>
      <c r="G634" s="9" t="n"/>
      <c r="H634" s="3">
        <f>IF(AND(D634&lt;&gt;"",F634&lt;&gt;""),F634-D634-G634,"")</f>
        <v/>
      </c>
      <c r="I634" s="14">
        <f>IF(E634&lt;&gt;"", YEARFRAC(C634, E634) * 12, "")</f>
        <v/>
      </c>
      <c r="J634" s="2">
        <f>IF(I634="", "", IF(AND(A634="MF (Equity)", I634&gt;12), "Long Term", "Short Term"))</f>
        <v/>
      </c>
      <c r="K634" s="5">
        <f>IF(J634="", "", IF(J634="Long Term", 12.5%, 20%))</f>
        <v/>
      </c>
      <c r="L634" s="3">
        <f>+IFERROR(IF(J634="","",H634*K634),"")</f>
        <v/>
      </c>
    </row>
    <row r="635">
      <c r="A635" s="11" t="n"/>
      <c r="B635" s="7" t="n"/>
      <c r="C635" s="8" t="n"/>
      <c r="D635" s="9" t="n"/>
      <c r="E635" s="8" t="n"/>
      <c r="F635" s="9" t="n"/>
      <c r="G635" s="9" t="n"/>
      <c r="H635" s="3">
        <f>IF(AND(D635&lt;&gt;"",F635&lt;&gt;""),F635-D635-G635,"")</f>
        <v/>
      </c>
      <c r="I635" s="14">
        <f>IF(E635&lt;&gt;"", YEARFRAC(C635, E635) * 12, "")</f>
        <v/>
      </c>
      <c r="J635" s="2">
        <f>IF(I635="", "", IF(AND(A635="MF (Equity)", I635&gt;12), "Long Term", "Short Term"))</f>
        <v/>
      </c>
      <c r="K635" s="5">
        <f>IF(J635="", "", IF(J635="Long Term", 12.5%, 20%))</f>
        <v/>
      </c>
      <c r="L635" s="3">
        <f>+IFERROR(IF(J635="","",H635*K635),"")</f>
        <v/>
      </c>
    </row>
    <row r="636">
      <c r="A636" s="11" t="n"/>
      <c r="B636" s="7" t="n"/>
      <c r="C636" s="8" t="n"/>
      <c r="D636" s="9" t="n"/>
      <c r="E636" s="8" t="n"/>
      <c r="F636" s="9" t="n"/>
      <c r="G636" s="9" t="n"/>
      <c r="H636" s="3">
        <f>IF(AND(D636&lt;&gt;"",F636&lt;&gt;""),F636-D636-G636,"")</f>
        <v/>
      </c>
      <c r="I636" s="14">
        <f>IF(E636&lt;&gt;"", YEARFRAC(C636, E636) * 12, "")</f>
        <v/>
      </c>
      <c r="J636" s="2">
        <f>IF(I636="", "", IF(AND(A636="MF (Equity)", I636&gt;12), "Long Term", "Short Term"))</f>
        <v/>
      </c>
      <c r="K636" s="5">
        <f>IF(J636="", "", IF(J636="Long Term", 12.5%, 20%))</f>
        <v/>
      </c>
      <c r="L636" s="3">
        <f>+IFERROR(IF(J636="","",H636*K636),"")</f>
        <v/>
      </c>
    </row>
    <row r="637">
      <c r="A637" s="11" t="n"/>
      <c r="B637" s="7" t="n"/>
      <c r="C637" s="8" t="n"/>
      <c r="D637" s="9" t="n"/>
      <c r="E637" s="8" t="n"/>
      <c r="F637" s="9" t="n"/>
      <c r="G637" s="9" t="n"/>
      <c r="H637" s="3">
        <f>IF(AND(D637&lt;&gt;"",F637&lt;&gt;""),F637-D637-G637,"")</f>
        <v/>
      </c>
      <c r="I637" s="14">
        <f>IF(E637&lt;&gt;"", YEARFRAC(C637, E637) * 12, "")</f>
        <v/>
      </c>
      <c r="J637" s="2">
        <f>IF(I637="", "", IF(AND(A637="MF (Equity)", I637&gt;12), "Long Term", "Short Term"))</f>
        <v/>
      </c>
      <c r="K637" s="5">
        <f>IF(J637="", "", IF(J637="Long Term", 12.5%, 20%))</f>
        <v/>
      </c>
      <c r="L637" s="3">
        <f>+IFERROR(IF(J637="","",H637*K637),"")</f>
        <v/>
      </c>
    </row>
    <row r="638">
      <c r="A638" s="11" t="n"/>
      <c r="B638" s="7" t="n"/>
      <c r="C638" s="8" t="n"/>
      <c r="D638" s="9" t="n"/>
      <c r="E638" s="8" t="n"/>
      <c r="F638" s="9" t="n"/>
      <c r="G638" s="9" t="n"/>
      <c r="H638" s="3">
        <f>IF(AND(D638&lt;&gt;"",F638&lt;&gt;""),F638-D638-G638,"")</f>
        <v/>
      </c>
      <c r="I638" s="14">
        <f>IF(E638&lt;&gt;"", YEARFRAC(C638, E638) * 12, "")</f>
        <v/>
      </c>
      <c r="J638" s="2">
        <f>IF(I638="", "", IF(AND(A638="MF (Equity)", I638&gt;12), "Long Term", "Short Term"))</f>
        <v/>
      </c>
      <c r="K638" s="5">
        <f>IF(J638="", "", IF(J638="Long Term", 12.5%, 20%))</f>
        <v/>
      </c>
      <c r="L638" s="3">
        <f>+IFERROR(IF(J638="","",H638*K638),"")</f>
        <v/>
      </c>
    </row>
    <row r="639">
      <c r="A639" s="11" t="n"/>
      <c r="B639" s="7" t="n"/>
      <c r="C639" s="8" t="n"/>
      <c r="D639" s="9" t="n"/>
      <c r="E639" s="8" t="n"/>
      <c r="F639" s="9" t="n"/>
      <c r="G639" s="9" t="n"/>
      <c r="H639" s="3">
        <f>IF(AND(D639&lt;&gt;"",F639&lt;&gt;""),F639-D639-G639,"")</f>
        <v/>
      </c>
      <c r="I639" s="14">
        <f>IF(E639&lt;&gt;"", YEARFRAC(C639, E639) * 12, "")</f>
        <v/>
      </c>
      <c r="J639" s="2">
        <f>IF(I639="", "", IF(AND(A639="MF (Equity)", I639&gt;12), "Long Term", "Short Term"))</f>
        <v/>
      </c>
      <c r="K639" s="5">
        <f>IF(J639="", "", IF(J639="Long Term", 12.5%, 20%))</f>
        <v/>
      </c>
      <c r="L639" s="3">
        <f>+IFERROR(IF(J639="","",H639*K639),"")</f>
        <v/>
      </c>
    </row>
    <row r="640">
      <c r="A640" s="11" t="n"/>
      <c r="B640" s="7" t="n"/>
      <c r="C640" s="8" t="n"/>
      <c r="D640" s="9" t="n"/>
      <c r="E640" s="8" t="n"/>
      <c r="F640" s="9" t="n"/>
      <c r="G640" s="9" t="n"/>
      <c r="H640" s="3">
        <f>IF(AND(D640&lt;&gt;"",F640&lt;&gt;""),F640-D640-G640,"")</f>
        <v/>
      </c>
      <c r="I640" s="14">
        <f>IF(E640&lt;&gt;"", YEARFRAC(C640, E640) * 12, "")</f>
        <v/>
      </c>
      <c r="J640" s="2">
        <f>IF(I640="", "", IF(AND(A640="MF (Equity)", I640&gt;12), "Long Term", "Short Term"))</f>
        <v/>
      </c>
      <c r="K640" s="5">
        <f>IF(J640="", "", IF(J640="Long Term", 12.5%, 20%))</f>
        <v/>
      </c>
      <c r="L640" s="3">
        <f>+IFERROR(IF(J640="","",H640*K640),"")</f>
        <v/>
      </c>
    </row>
    <row r="641">
      <c r="A641" s="11" t="n"/>
      <c r="B641" s="7" t="n"/>
      <c r="C641" s="8" t="n"/>
      <c r="D641" s="9" t="n"/>
      <c r="E641" s="8" t="n"/>
      <c r="F641" s="9" t="n"/>
      <c r="G641" s="9" t="n"/>
      <c r="H641" s="3">
        <f>IF(AND(D641&lt;&gt;"",F641&lt;&gt;""),F641-D641-G641,"")</f>
        <v/>
      </c>
      <c r="I641" s="14">
        <f>IF(E641&lt;&gt;"", YEARFRAC(C641, E641) * 12, "")</f>
        <v/>
      </c>
      <c r="J641" s="2">
        <f>IF(I641="", "", IF(AND(A641="MF (Equity)", I641&gt;12), "Long Term", "Short Term"))</f>
        <v/>
      </c>
      <c r="K641" s="5">
        <f>IF(J641="", "", IF(J641="Long Term", 12.5%, 20%))</f>
        <v/>
      </c>
      <c r="L641" s="3">
        <f>+IFERROR(IF(J641="","",H641*K641),"")</f>
        <v/>
      </c>
    </row>
    <row r="642">
      <c r="A642" s="11" t="n"/>
      <c r="B642" s="7" t="n"/>
      <c r="C642" s="8" t="n"/>
      <c r="D642" s="9" t="n"/>
      <c r="E642" s="8" t="n"/>
      <c r="F642" s="9" t="n"/>
      <c r="G642" s="9" t="n"/>
      <c r="H642" s="3">
        <f>IF(AND(D642&lt;&gt;"",F642&lt;&gt;""),F642-D642-G642,"")</f>
        <v/>
      </c>
      <c r="I642" s="14">
        <f>IF(E642&lt;&gt;"", YEARFRAC(C642, E642) * 12, "")</f>
        <v/>
      </c>
      <c r="J642" s="2">
        <f>IF(I642="", "", IF(AND(A642="MF (Equity)", I642&gt;12), "Long Term", "Short Term"))</f>
        <v/>
      </c>
      <c r="K642" s="5">
        <f>IF(J642="", "", IF(J642="Long Term", 12.5%, 20%))</f>
        <v/>
      </c>
      <c r="L642" s="3">
        <f>+IFERROR(IF(J642="","",H642*K642),"")</f>
        <v/>
      </c>
    </row>
    <row r="643">
      <c r="A643" s="11" t="n"/>
      <c r="B643" s="7" t="n"/>
      <c r="C643" s="8" t="n"/>
      <c r="D643" s="9" t="n"/>
      <c r="E643" s="8" t="n"/>
      <c r="F643" s="9" t="n"/>
      <c r="G643" s="9" t="n"/>
      <c r="H643" s="3">
        <f>IF(AND(D643&lt;&gt;"",F643&lt;&gt;""),F643-D643-G643,"")</f>
        <v/>
      </c>
      <c r="I643" s="14">
        <f>IF(E643&lt;&gt;"", YEARFRAC(C643, E643) * 12, "")</f>
        <v/>
      </c>
      <c r="J643" s="2">
        <f>IF(I643="", "", IF(AND(A643="MF (Equity)", I643&gt;12), "Long Term", "Short Term"))</f>
        <v/>
      </c>
      <c r="K643" s="5">
        <f>IF(J643="", "", IF(J643="Long Term", 12.5%, 20%))</f>
        <v/>
      </c>
      <c r="L643" s="3">
        <f>+IFERROR(IF(J643="","",H643*K643),"")</f>
        <v/>
      </c>
    </row>
    <row r="644">
      <c r="A644" s="11" t="n"/>
      <c r="B644" s="7" t="n"/>
      <c r="C644" s="8" t="n"/>
      <c r="D644" s="9" t="n"/>
      <c r="E644" s="8" t="n"/>
      <c r="F644" s="9" t="n"/>
      <c r="G644" s="9" t="n"/>
      <c r="H644" s="3">
        <f>IF(AND(D644&lt;&gt;"",F644&lt;&gt;""),F644-D644-G644,"")</f>
        <v/>
      </c>
      <c r="I644" s="14">
        <f>IF(E644&lt;&gt;"", YEARFRAC(C644, E644) * 12, "")</f>
        <v/>
      </c>
      <c r="J644" s="2">
        <f>IF(I644="", "", IF(AND(A644="MF (Equity)", I644&gt;12), "Long Term", "Short Term"))</f>
        <v/>
      </c>
      <c r="K644" s="5">
        <f>IF(J644="", "", IF(J644="Long Term", 12.5%, 20%))</f>
        <v/>
      </c>
      <c r="L644" s="3">
        <f>+IFERROR(IF(J644="","",H644*K644),"")</f>
        <v/>
      </c>
    </row>
    <row r="645">
      <c r="A645" s="11" t="n"/>
      <c r="B645" s="7" t="n"/>
      <c r="C645" s="8" t="n"/>
      <c r="D645" s="9" t="n"/>
      <c r="E645" s="8" t="n"/>
      <c r="F645" s="9" t="n"/>
      <c r="G645" s="9" t="n"/>
      <c r="H645" s="3">
        <f>IF(AND(D645&lt;&gt;"",F645&lt;&gt;""),F645-D645-G645,"")</f>
        <v/>
      </c>
      <c r="I645" s="14">
        <f>IF(E645&lt;&gt;"", YEARFRAC(C645, E645) * 12, "")</f>
        <v/>
      </c>
      <c r="J645" s="2">
        <f>IF(I645="", "", IF(AND(A645="MF (Equity)", I645&gt;12), "Long Term", "Short Term"))</f>
        <v/>
      </c>
      <c r="K645" s="5">
        <f>IF(J645="", "", IF(J645="Long Term", 12.5%, 20%))</f>
        <v/>
      </c>
      <c r="L645" s="3">
        <f>+IFERROR(IF(J645="","",H645*K645),"")</f>
        <v/>
      </c>
    </row>
    <row r="646">
      <c r="A646" s="11" t="n"/>
      <c r="B646" s="7" t="n"/>
      <c r="C646" s="8" t="n"/>
      <c r="D646" s="9" t="n"/>
      <c r="E646" s="8" t="n"/>
      <c r="F646" s="9" t="n"/>
      <c r="G646" s="9" t="n"/>
      <c r="H646" s="3">
        <f>IF(AND(D646&lt;&gt;"",F646&lt;&gt;""),F646-D646-G646,"")</f>
        <v/>
      </c>
      <c r="I646" s="14">
        <f>IF(E646&lt;&gt;"", YEARFRAC(C646, E646) * 12, "")</f>
        <v/>
      </c>
      <c r="J646" s="2">
        <f>IF(I646="", "", IF(AND(A646="MF (Equity)", I646&gt;12), "Long Term", "Short Term"))</f>
        <v/>
      </c>
      <c r="K646" s="5">
        <f>IF(J646="", "", IF(J646="Long Term", 12.5%, 20%))</f>
        <v/>
      </c>
      <c r="L646" s="3">
        <f>+IFERROR(IF(J646="","",H646*K646),"")</f>
        <v/>
      </c>
    </row>
    <row r="647">
      <c r="A647" s="11" t="n"/>
      <c r="B647" s="7" t="n"/>
      <c r="C647" s="8" t="n"/>
      <c r="D647" s="9" t="n"/>
      <c r="E647" s="8" t="n"/>
      <c r="F647" s="9" t="n"/>
      <c r="G647" s="9" t="n"/>
      <c r="H647" s="3">
        <f>IF(AND(D647&lt;&gt;"",F647&lt;&gt;""),F647-D647-G647,"")</f>
        <v/>
      </c>
      <c r="I647" s="14">
        <f>IF(E647&lt;&gt;"", YEARFRAC(C647, E647) * 12, "")</f>
        <v/>
      </c>
      <c r="J647" s="2">
        <f>IF(I647="", "", IF(AND(A647="MF (Equity)", I647&gt;12), "Long Term", "Short Term"))</f>
        <v/>
      </c>
      <c r="K647" s="5">
        <f>IF(J647="", "", IF(J647="Long Term", 12.5%, 20%))</f>
        <v/>
      </c>
      <c r="L647" s="3">
        <f>+IFERROR(IF(J647="","",H647*K647),"")</f>
        <v/>
      </c>
    </row>
    <row r="648">
      <c r="A648" s="11" t="n"/>
      <c r="B648" s="7" t="n"/>
      <c r="C648" s="8" t="n"/>
      <c r="D648" s="9" t="n"/>
      <c r="E648" s="8" t="n"/>
      <c r="F648" s="9" t="n"/>
      <c r="G648" s="9" t="n"/>
      <c r="H648" s="3">
        <f>IF(AND(D648&lt;&gt;"",F648&lt;&gt;""),F648-D648-G648,"")</f>
        <v/>
      </c>
      <c r="I648" s="14">
        <f>IF(E648&lt;&gt;"", YEARFRAC(C648, E648) * 12, "")</f>
        <v/>
      </c>
      <c r="J648" s="2">
        <f>IF(I648="", "", IF(AND(A648="MF (Equity)", I648&gt;12), "Long Term", "Short Term"))</f>
        <v/>
      </c>
      <c r="K648" s="5">
        <f>IF(J648="", "", IF(J648="Long Term", 12.5%, 20%))</f>
        <v/>
      </c>
      <c r="L648" s="3">
        <f>+IFERROR(IF(J648="","",H648*K648),"")</f>
        <v/>
      </c>
    </row>
    <row r="649">
      <c r="A649" s="11" t="n"/>
      <c r="B649" s="7" t="n"/>
      <c r="C649" s="8" t="n"/>
      <c r="D649" s="9" t="n"/>
      <c r="E649" s="8" t="n"/>
      <c r="F649" s="9" t="n"/>
      <c r="G649" s="9" t="n"/>
      <c r="H649" s="3">
        <f>IF(AND(D649&lt;&gt;"",F649&lt;&gt;""),F649-D649-G649,"")</f>
        <v/>
      </c>
      <c r="I649" s="14">
        <f>IF(E649&lt;&gt;"", YEARFRAC(C649, E649) * 12, "")</f>
        <v/>
      </c>
      <c r="J649" s="2">
        <f>IF(I649="", "", IF(AND(A649="MF (Equity)", I649&gt;12), "Long Term", "Short Term"))</f>
        <v/>
      </c>
      <c r="K649" s="5">
        <f>IF(J649="", "", IF(J649="Long Term", 12.5%, 20%))</f>
        <v/>
      </c>
      <c r="L649" s="3">
        <f>+IFERROR(IF(J649="","",H649*K649),"")</f>
        <v/>
      </c>
    </row>
    <row r="650">
      <c r="A650" s="11" t="n"/>
      <c r="B650" s="7" t="n"/>
      <c r="C650" s="8" t="n"/>
      <c r="D650" s="9" t="n"/>
      <c r="E650" s="8" t="n"/>
      <c r="F650" s="9" t="n"/>
      <c r="G650" s="9" t="n"/>
      <c r="H650" s="3">
        <f>IF(AND(D650&lt;&gt;"",F650&lt;&gt;""),F650-D650-G650,"")</f>
        <v/>
      </c>
      <c r="I650" s="14">
        <f>IF(E650&lt;&gt;"", YEARFRAC(C650, E650) * 12, "")</f>
        <v/>
      </c>
      <c r="J650" s="2">
        <f>IF(I650="", "", IF(AND(A650="MF (Equity)", I650&gt;12), "Long Term", "Short Term"))</f>
        <v/>
      </c>
      <c r="K650" s="5">
        <f>IF(J650="", "", IF(J650="Long Term", 12.5%, 20%))</f>
        <v/>
      </c>
      <c r="L650" s="3">
        <f>+IFERROR(IF(J650="","",H650*K650),"")</f>
        <v/>
      </c>
    </row>
    <row r="651">
      <c r="A651" s="11" t="n"/>
      <c r="B651" s="7" t="n"/>
      <c r="C651" s="8" t="n"/>
      <c r="D651" s="9" t="n"/>
      <c r="E651" s="8" t="n"/>
      <c r="F651" s="9" t="n"/>
      <c r="G651" s="9" t="n"/>
      <c r="H651" s="3">
        <f>IF(AND(D651&lt;&gt;"",F651&lt;&gt;""),F651-D651-G651,"")</f>
        <v/>
      </c>
      <c r="I651" s="14">
        <f>IF(E651&lt;&gt;"", YEARFRAC(C651, E651) * 12, "")</f>
        <v/>
      </c>
      <c r="J651" s="2">
        <f>IF(I651="", "", IF(AND(A651="MF (Equity)", I651&gt;12), "Long Term", "Short Term"))</f>
        <v/>
      </c>
      <c r="K651" s="5">
        <f>IF(J651="", "", IF(J651="Long Term", 12.5%, 20%))</f>
        <v/>
      </c>
      <c r="L651" s="3">
        <f>+IFERROR(IF(J651="","",H651*K651),"")</f>
        <v/>
      </c>
    </row>
    <row r="652">
      <c r="A652" s="11" t="n"/>
      <c r="B652" s="7" t="n"/>
      <c r="C652" s="8" t="n"/>
      <c r="D652" s="9" t="n"/>
      <c r="E652" s="8" t="n"/>
      <c r="F652" s="9" t="n"/>
      <c r="G652" s="9" t="n"/>
      <c r="H652" s="3">
        <f>IF(AND(D652&lt;&gt;"",F652&lt;&gt;""),F652-D652-G652,"")</f>
        <v/>
      </c>
      <c r="I652" s="14">
        <f>IF(E652&lt;&gt;"", YEARFRAC(C652, E652) * 12, "")</f>
        <v/>
      </c>
      <c r="J652" s="2">
        <f>IF(I652="", "", IF(AND(A652="MF (Equity)", I652&gt;12), "Long Term", "Short Term"))</f>
        <v/>
      </c>
      <c r="K652" s="5">
        <f>IF(J652="", "", IF(J652="Long Term", 12.5%, 20%))</f>
        <v/>
      </c>
      <c r="L652" s="3">
        <f>+IFERROR(IF(J652="","",H652*K652),"")</f>
        <v/>
      </c>
    </row>
    <row r="653">
      <c r="A653" s="11" t="n"/>
      <c r="B653" s="7" t="n"/>
      <c r="C653" s="8" t="n"/>
      <c r="D653" s="9" t="n"/>
      <c r="E653" s="8" t="n"/>
      <c r="F653" s="9" t="n"/>
      <c r="G653" s="9" t="n"/>
      <c r="H653" s="3">
        <f>IF(AND(D653&lt;&gt;"",F653&lt;&gt;""),F653-D653-G653,"")</f>
        <v/>
      </c>
      <c r="I653" s="14">
        <f>IF(E653&lt;&gt;"", YEARFRAC(C653, E653) * 12, "")</f>
        <v/>
      </c>
      <c r="J653" s="2">
        <f>IF(I653="", "", IF(AND(A653="MF (Equity)", I653&gt;12), "Long Term", "Short Term"))</f>
        <v/>
      </c>
      <c r="K653" s="5">
        <f>IF(J653="", "", IF(J653="Long Term", 12.5%, 20%))</f>
        <v/>
      </c>
      <c r="L653" s="3">
        <f>+IFERROR(IF(J653="","",H653*K653),"")</f>
        <v/>
      </c>
    </row>
    <row r="654">
      <c r="A654" s="11" t="n"/>
      <c r="B654" s="7" t="n"/>
      <c r="C654" s="8" t="n"/>
      <c r="D654" s="9" t="n"/>
      <c r="E654" s="8" t="n"/>
      <c r="F654" s="9" t="n"/>
      <c r="G654" s="9" t="n"/>
      <c r="H654" s="3">
        <f>IF(AND(D654&lt;&gt;"",F654&lt;&gt;""),F654-D654-G654,"")</f>
        <v/>
      </c>
      <c r="I654" s="14">
        <f>IF(E654&lt;&gt;"", YEARFRAC(C654, E654) * 12, "")</f>
        <v/>
      </c>
      <c r="J654" s="2">
        <f>IF(I654="", "", IF(AND(A654="MF (Equity)", I654&gt;12), "Long Term", "Short Term"))</f>
        <v/>
      </c>
      <c r="K654" s="5">
        <f>IF(J654="", "", IF(J654="Long Term", 12.5%, 20%))</f>
        <v/>
      </c>
      <c r="L654" s="3">
        <f>+IFERROR(IF(J654="","",H654*K654),"")</f>
        <v/>
      </c>
    </row>
    <row r="655">
      <c r="A655" s="11" t="n"/>
      <c r="B655" s="7" t="n"/>
      <c r="C655" s="8" t="n"/>
      <c r="D655" s="9" t="n"/>
      <c r="E655" s="8" t="n"/>
      <c r="F655" s="9" t="n"/>
      <c r="G655" s="9" t="n"/>
      <c r="H655" s="3">
        <f>IF(AND(D655&lt;&gt;"",F655&lt;&gt;""),F655-D655-G655,"")</f>
        <v/>
      </c>
      <c r="I655" s="14">
        <f>IF(E655&lt;&gt;"", YEARFRAC(C655, E655) * 12, "")</f>
        <v/>
      </c>
      <c r="J655" s="2">
        <f>IF(I655="", "", IF(AND(A655="MF (Equity)", I655&gt;12), "Long Term", "Short Term"))</f>
        <v/>
      </c>
      <c r="K655" s="5">
        <f>IF(J655="", "", IF(J655="Long Term", 12.5%, 20%))</f>
        <v/>
      </c>
      <c r="L655" s="3">
        <f>+IFERROR(IF(J655="","",H655*K655),"")</f>
        <v/>
      </c>
    </row>
    <row r="656">
      <c r="A656" s="11" t="n"/>
      <c r="B656" s="7" t="n"/>
      <c r="C656" s="8" t="n"/>
      <c r="D656" s="9" t="n"/>
      <c r="E656" s="8" t="n"/>
      <c r="F656" s="9" t="n"/>
      <c r="G656" s="9" t="n"/>
      <c r="H656" s="3">
        <f>IF(AND(D656&lt;&gt;"",F656&lt;&gt;""),F656-D656-G656,"")</f>
        <v/>
      </c>
      <c r="I656" s="14">
        <f>IF(E656&lt;&gt;"", YEARFRAC(C656, E656) * 12, "")</f>
        <v/>
      </c>
      <c r="J656" s="2">
        <f>IF(I656="", "", IF(AND(A656="MF (Equity)", I656&gt;12), "Long Term", "Short Term"))</f>
        <v/>
      </c>
      <c r="K656" s="5">
        <f>IF(J656="", "", IF(J656="Long Term", 12.5%, 20%))</f>
        <v/>
      </c>
      <c r="L656" s="3">
        <f>+IFERROR(IF(J656="","",H656*K656),"")</f>
        <v/>
      </c>
    </row>
    <row r="657">
      <c r="A657" s="11" t="n"/>
      <c r="B657" s="7" t="n"/>
      <c r="C657" s="8" t="n"/>
      <c r="D657" s="9" t="n"/>
      <c r="E657" s="8" t="n"/>
      <c r="F657" s="9" t="n"/>
      <c r="G657" s="9" t="n"/>
      <c r="H657" s="3">
        <f>IF(AND(D657&lt;&gt;"",F657&lt;&gt;""),F657-D657-G657,"")</f>
        <v/>
      </c>
      <c r="I657" s="14">
        <f>IF(E657&lt;&gt;"", YEARFRAC(C657, E657) * 12, "")</f>
        <v/>
      </c>
      <c r="J657" s="2">
        <f>IF(I657="", "", IF(AND(A657="MF (Equity)", I657&gt;12), "Long Term", "Short Term"))</f>
        <v/>
      </c>
      <c r="K657" s="5">
        <f>IF(J657="", "", IF(J657="Long Term", 12.5%, 20%))</f>
        <v/>
      </c>
      <c r="L657" s="3">
        <f>+IFERROR(IF(J657="","",H657*K657),"")</f>
        <v/>
      </c>
    </row>
    <row r="658">
      <c r="A658" s="11" t="n"/>
      <c r="B658" s="7" t="n"/>
      <c r="C658" s="8" t="n"/>
      <c r="D658" s="9" t="n"/>
      <c r="E658" s="8" t="n"/>
      <c r="F658" s="9" t="n"/>
      <c r="G658" s="9" t="n"/>
      <c r="H658" s="3">
        <f>IF(AND(D658&lt;&gt;"",F658&lt;&gt;""),F658-D658-G658,"")</f>
        <v/>
      </c>
      <c r="I658" s="14">
        <f>IF(E658&lt;&gt;"", YEARFRAC(C658, E658) * 12, "")</f>
        <v/>
      </c>
      <c r="J658" s="2">
        <f>IF(I658="", "", IF(AND(A658="MF (Equity)", I658&gt;12), "Long Term", "Short Term"))</f>
        <v/>
      </c>
      <c r="K658" s="5">
        <f>IF(J658="", "", IF(J658="Long Term", 12.5%, 20%))</f>
        <v/>
      </c>
      <c r="L658" s="3">
        <f>+IFERROR(IF(J658="","",H658*K658),"")</f>
        <v/>
      </c>
    </row>
    <row r="659">
      <c r="A659" s="11" t="n"/>
      <c r="B659" s="7" t="n"/>
      <c r="C659" s="8" t="n"/>
      <c r="D659" s="9" t="n"/>
      <c r="E659" s="8" t="n"/>
      <c r="F659" s="9" t="n"/>
      <c r="G659" s="9" t="n"/>
      <c r="H659" s="3">
        <f>IF(AND(D659&lt;&gt;"",F659&lt;&gt;""),F659-D659-G659,"")</f>
        <v/>
      </c>
      <c r="I659" s="14">
        <f>IF(E659&lt;&gt;"", YEARFRAC(C659, E659) * 12, "")</f>
        <v/>
      </c>
      <c r="J659" s="2">
        <f>IF(I659="", "", IF(AND(A659="MF (Equity)", I659&gt;12), "Long Term", "Short Term"))</f>
        <v/>
      </c>
      <c r="K659" s="5">
        <f>IF(J659="", "", IF(J659="Long Term", 12.5%, 20%))</f>
        <v/>
      </c>
      <c r="L659" s="3">
        <f>+IFERROR(IF(J659="","",H659*K659),"")</f>
        <v/>
      </c>
    </row>
    <row r="660">
      <c r="A660" s="11" t="n"/>
      <c r="B660" s="7" t="n"/>
      <c r="C660" s="8" t="n"/>
      <c r="D660" s="9" t="n"/>
      <c r="E660" s="8" t="n"/>
      <c r="F660" s="9" t="n"/>
      <c r="G660" s="9" t="n"/>
      <c r="H660" s="3">
        <f>IF(AND(D660&lt;&gt;"",F660&lt;&gt;""),F660-D660-G660,"")</f>
        <v/>
      </c>
      <c r="I660" s="14">
        <f>IF(E660&lt;&gt;"", YEARFRAC(C660, E660) * 12, "")</f>
        <v/>
      </c>
      <c r="J660" s="2">
        <f>IF(I660="", "", IF(AND(A660="MF (Equity)", I660&gt;12), "Long Term", "Short Term"))</f>
        <v/>
      </c>
      <c r="K660" s="5">
        <f>IF(J660="", "", IF(J660="Long Term", 12.5%, 20%))</f>
        <v/>
      </c>
      <c r="L660" s="3">
        <f>+IFERROR(IF(J660="","",H660*K660),"")</f>
        <v/>
      </c>
    </row>
    <row r="661">
      <c r="A661" s="11" t="n"/>
      <c r="B661" s="7" t="n"/>
      <c r="C661" s="8" t="n"/>
      <c r="D661" s="9" t="n"/>
      <c r="E661" s="8" t="n"/>
      <c r="F661" s="9" t="n"/>
      <c r="G661" s="9" t="n"/>
      <c r="H661" s="3">
        <f>IF(AND(D661&lt;&gt;"",F661&lt;&gt;""),F661-D661-G661,"")</f>
        <v/>
      </c>
      <c r="I661" s="14">
        <f>IF(E661&lt;&gt;"", YEARFRAC(C661, E661) * 12, "")</f>
        <v/>
      </c>
      <c r="J661" s="2">
        <f>IF(I661="", "", IF(AND(A661="MF (Equity)", I661&gt;12), "Long Term", "Short Term"))</f>
        <v/>
      </c>
      <c r="K661" s="5">
        <f>IF(J661="", "", IF(J661="Long Term", 12.5%, 20%))</f>
        <v/>
      </c>
      <c r="L661" s="3">
        <f>+IFERROR(IF(J661="","",H661*K661),"")</f>
        <v/>
      </c>
    </row>
    <row r="662">
      <c r="A662" s="11" t="n"/>
      <c r="B662" s="7" t="n"/>
      <c r="C662" s="8" t="n"/>
      <c r="D662" s="9" t="n"/>
      <c r="E662" s="8" t="n"/>
      <c r="F662" s="9" t="n"/>
      <c r="G662" s="9" t="n"/>
      <c r="H662" s="3">
        <f>IF(AND(D662&lt;&gt;"",F662&lt;&gt;""),F662-D662-G662,"")</f>
        <v/>
      </c>
      <c r="I662" s="14">
        <f>IF(E662&lt;&gt;"", YEARFRAC(C662, E662) * 12, "")</f>
        <v/>
      </c>
      <c r="J662" s="2">
        <f>IF(I662="", "", IF(AND(A662="MF (Equity)", I662&gt;12), "Long Term", "Short Term"))</f>
        <v/>
      </c>
      <c r="K662" s="5">
        <f>IF(J662="", "", IF(J662="Long Term", 12.5%, 20%))</f>
        <v/>
      </c>
      <c r="L662" s="3">
        <f>+IFERROR(IF(J662="","",H662*K662),"")</f>
        <v/>
      </c>
    </row>
    <row r="663">
      <c r="A663" s="11" t="n"/>
      <c r="B663" s="7" t="n"/>
      <c r="C663" s="8" t="n"/>
      <c r="D663" s="9" t="n"/>
      <c r="E663" s="8" t="n"/>
      <c r="F663" s="9" t="n"/>
      <c r="G663" s="9" t="n"/>
      <c r="H663" s="3">
        <f>IF(AND(D663&lt;&gt;"",F663&lt;&gt;""),F663-D663-G663,"")</f>
        <v/>
      </c>
      <c r="I663" s="14">
        <f>IF(E663&lt;&gt;"", YEARFRAC(C663, E663) * 12, "")</f>
        <v/>
      </c>
      <c r="J663" s="2">
        <f>IF(I663="", "", IF(AND(A663="MF (Equity)", I663&gt;12), "Long Term", "Short Term"))</f>
        <v/>
      </c>
      <c r="K663" s="5">
        <f>IF(J663="", "", IF(J663="Long Term", 12.5%, 20%))</f>
        <v/>
      </c>
      <c r="L663" s="3">
        <f>+IFERROR(IF(J663="","",H663*K663),"")</f>
        <v/>
      </c>
    </row>
    <row r="664">
      <c r="A664" s="11" t="n"/>
      <c r="B664" s="7" t="n"/>
      <c r="C664" s="8" t="n"/>
      <c r="D664" s="9" t="n"/>
      <c r="E664" s="8" t="n"/>
      <c r="F664" s="9" t="n"/>
      <c r="G664" s="9" t="n"/>
      <c r="H664" s="3">
        <f>IF(AND(D664&lt;&gt;"",F664&lt;&gt;""),F664-D664-G664,"")</f>
        <v/>
      </c>
      <c r="I664" s="14">
        <f>IF(E664&lt;&gt;"", YEARFRAC(C664, E664) * 12, "")</f>
        <v/>
      </c>
      <c r="J664" s="2">
        <f>IF(I664="", "", IF(AND(A664="MF (Equity)", I664&gt;12), "Long Term", "Short Term"))</f>
        <v/>
      </c>
      <c r="K664" s="5">
        <f>IF(J664="", "", IF(J664="Long Term", 12.5%, 20%))</f>
        <v/>
      </c>
      <c r="L664" s="3">
        <f>+IFERROR(IF(J664="","",H664*K664),"")</f>
        <v/>
      </c>
    </row>
    <row r="665">
      <c r="A665" s="11" t="n"/>
      <c r="B665" s="7" t="n"/>
      <c r="C665" s="8" t="n"/>
      <c r="D665" s="9" t="n"/>
      <c r="E665" s="8" t="n"/>
      <c r="F665" s="9" t="n"/>
      <c r="G665" s="9" t="n"/>
      <c r="H665" s="3">
        <f>IF(AND(D665&lt;&gt;"",F665&lt;&gt;""),F665-D665-G665,"")</f>
        <v/>
      </c>
      <c r="I665" s="14">
        <f>IF(E665&lt;&gt;"", YEARFRAC(C665, E665) * 12, "")</f>
        <v/>
      </c>
      <c r="J665" s="2">
        <f>IF(I665="", "", IF(AND(A665="MF (Equity)", I665&gt;12), "Long Term", "Short Term"))</f>
        <v/>
      </c>
      <c r="K665" s="5">
        <f>IF(J665="", "", IF(J665="Long Term", 12.5%, 20%))</f>
        <v/>
      </c>
      <c r="L665" s="3">
        <f>+IFERROR(IF(J665="","",H665*K665),"")</f>
        <v/>
      </c>
    </row>
    <row r="666">
      <c r="A666" s="11" t="n"/>
      <c r="B666" s="7" t="n"/>
      <c r="C666" s="8" t="n"/>
      <c r="D666" s="9" t="n"/>
      <c r="E666" s="8" t="n"/>
      <c r="F666" s="9" t="n"/>
      <c r="G666" s="9" t="n"/>
      <c r="H666" s="3">
        <f>IF(AND(D666&lt;&gt;"",F666&lt;&gt;""),F666-D666-G666,"")</f>
        <v/>
      </c>
      <c r="I666" s="14">
        <f>IF(E666&lt;&gt;"", YEARFRAC(C666, E666) * 12, "")</f>
        <v/>
      </c>
      <c r="J666" s="2">
        <f>IF(I666="", "", IF(AND(A666="MF (Equity)", I666&gt;12), "Long Term", "Short Term"))</f>
        <v/>
      </c>
      <c r="K666" s="5">
        <f>IF(J666="", "", IF(J666="Long Term", 12.5%, 20%))</f>
        <v/>
      </c>
      <c r="L666" s="3">
        <f>+IFERROR(IF(J666="","",H666*K666),"")</f>
        <v/>
      </c>
    </row>
    <row r="667">
      <c r="A667" s="11" t="n"/>
      <c r="B667" s="7" t="n"/>
      <c r="C667" s="8" t="n"/>
      <c r="D667" s="9" t="n"/>
      <c r="E667" s="8" t="n"/>
      <c r="F667" s="9" t="n"/>
      <c r="G667" s="9" t="n"/>
      <c r="H667" s="3">
        <f>IF(AND(D667&lt;&gt;"",F667&lt;&gt;""),F667-D667-G667,"")</f>
        <v/>
      </c>
      <c r="I667" s="14">
        <f>IF(E667&lt;&gt;"", YEARFRAC(C667, E667) * 12, "")</f>
        <v/>
      </c>
      <c r="J667" s="2">
        <f>IF(I667="", "", IF(AND(A667="MF (Equity)", I667&gt;12), "Long Term", "Short Term"))</f>
        <v/>
      </c>
      <c r="K667" s="5">
        <f>IF(J667="", "", IF(J667="Long Term", 12.5%, 20%))</f>
        <v/>
      </c>
      <c r="L667" s="3">
        <f>+IFERROR(IF(J667="","",H667*K667),"")</f>
        <v/>
      </c>
    </row>
    <row r="668">
      <c r="A668" s="11" t="n"/>
      <c r="B668" s="7" t="n"/>
      <c r="C668" s="8" t="n"/>
      <c r="D668" s="9" t="n"/>
      <c r="E668" s="8" t="n"/>
      <c r="F668" s="9" t="n"/>
      <c r="G668" s="9" t="n"/>
      <c r="H668" s="3">
        <f>IF(AND(D668&lt;&gt;"",F668&lt;&gt;""),F668-D668-G668,"")</f>
        <v/>
      </c>
      <c r="I668" s="14">
        <f>IF(E668&lt;&gt;"", YEARFRAC(C668, E668) * 12, "")</f>
        <v/>
      </c>
      <c r="J668" s="2">
        <f>IF(I668="", "", IF(AND(A668="MF (Equity)", I668&gt;12), "Long Term", "Short Term"))</f>
        <v/>
      </c>
      <c r="K668" s="5">
        <f>IF(J668="", "", IF(J668="Long Term", 12.5%, 20%))</f>
        <v/>
      </c>
      <c r="L668" s="3">
        <f>+IFERROR(IF(J668="","",H668*K668),"")</f>
        <v/>
      </c>
    </row>
    <row r="669">
      <c r="A669" s="11" t="n"/>
      <c r="B669" s="7" t="n"/>
      <c r="C669" s="8" t="n"/>
      <c r="D669" s="9" t="n"/>
      <c r="E669" s="8" t="n"/>
      <c r="F669" s="9" t="n"/>
      <c r="G669" s="9" t="n"/>
      <c r="H669" s="3">
        <f>IF(AND(D669&lt;&gt;"",F669&lt;&gt;""),F669-D669-G669,"")</f>
        <v/>
      </c>
      <c r="I669" s="14">
        <f>IF(E669&lt;&gt;"", YEARFRAC(C669, E669) * 12, "")</f>
        <v/>
      </c>
      <c r="J669" s="2">
        <f>IF(I669="", "", IF(AND(A669="MF (Equity)", I669&gt;12), "Long Term", "Short Term"))</f>
        <v/>
      </c>
      <c r="K669" s="5">
        <f>IF(J669="", "", IF(J669="Long Term", 12.5%, 20%))</f>
        <v/>
      </c>
      <c r="L669" s="3">
        <f>+IFERROR(IF(J669="","",H669*K669),"")</f>
        <v/>
      </c>
    </row>
    <row r="670">
      <c r="A670" s="11" t="n"/>
      <c r="B670" s="7" t="n"/>
      <c r="C670" s="8" t="n"/>
      <c r="D670" s="9" t="n"/>
      <c r="E670" s="8" t="n"/>
      <c r="F670" s="9" t="n"/>
      <c r="G670" s="9" t="n"/>
      <c r="H670" s="3">
        <f>IF(AND(D670&lt;&gt;"",F670&lt;&gt;""),F670-D670-G670,"")</f>
        <v/>
      </c>
      <c r="I670" s="14">
        <f>IF(E670&lt;&gt;"", YEARFRAC(C670, E670) * 12, "")</f>
        <v/>
      </c>
      <c r="J670" s="2">
        <f>IF(I670="", "", IF(AND(A670="MF (Equity)", I670&gt;12), "Long Term", "Short Term"))</f>
        <v/>
      </c>
      <c r="K670" s="5">
        <f>IF(J670="", "", IF(J670="Long Term", 12.5%, 20%))</f>
        <v/>
      </c>
      <c r="L670" s="3">
        <f>+IFERROR(IF(J670="","",H670*K670),"")</f>
        <v/>
      </c>
    </row>
    <row r="671">
      <c r="A671" s="11" t="n"/>
      <c r="B671" s="7" t="n"/>
      <c r="C671" s="8" t="n"/>
      <c r="D671" s="9" t="n"/>
      <c r="E671" s="8" t="n"/>
      <c r="F671" s="9" t="n"/>
      <c r="G671" s="9" t="n"/>
      <c r="H671" s="3">
        <f>IF(AND(D671&lt;&gt;"",F671&lt;&gt;""),F671-D671-G671,"")</f>
        <v/>
      </c>
      <c r="I671" s="14">
        <f>IF(E671&lt;&gt;"", YEARFRAC(C671, E671) * 12, "")</f>
        <v/>
      </c>
      <c r="J671" s="2">
        <f>IF(I671="", "", IF(AND(A671="MF (Equity)", I671&gt;12), "Long Term", "Short Term"))</f>
        <v/>
      </c>
      <c r="K671" s="5">
        <f>IF(J671="", "", IF(J671="Long Term", 12.5%, 20%))</f>
        <v/>
      </c>
      <c r="L671" s="3">
        <f>+IFERROR(IF(J671="","",H671*K671),"")</f>
        <v/>
      </c>
    </row>
    <row r="672">
      <c r="A672" s="11" t="n"/>
      <c r="B672" s="7" t="n"/>
      <c r="C672" s="8" t="n"/>
      <c r="D672" s="9" t="n"/>
      <c r="E672" s="8" t="n"/>
      <c r="F672" s="9" t="n"/>
      <c r="G672" s="9" t="n"/>
      <c r="H672" s="3">
        <f>IF(AND(D672&lt;&gt;"",F672&lt;&gt;""),F672-D672-G672,"")</f>
        <v/>
      </c>
      <c r="I672" s="14">
        <f>IF(E672&lt;&gt;"", YEARFRAC(C672, E672) * 12, "")</f>
        <v/>
      </c>
      <c r="J672" s="2">
        <f>IF(I672="", "", IF(AND(A672="MF (Equity)", I672&gt;12), "Long Term", "Short Term"))</f>
        <v/>
      </c>
      <c r="K672" s="5">
        <f>IF(J672="", "", IF(J672="Long Term", 12.5%, 20%))</f>
        <v/>
      </c>
      <c r="L672" s="3">
        <f>+IFERROR(IF(J672="","",H672*K672),"")</f>
        <v/>
      </c>
    </row>
    <row r="673">
      <c r="A673" s="11" t="n"/>
      <c r="B673" s="7" t="n"/>
      <c r="C673" s="8" t="n"/>
      <c r="D673" s="9" t="n"/>
      <c r="E673" s="8" t="n"/>
      <c r="F673" s="9" t="n"/>
      <c r="G673" s="9" t="n"/>
      <c r="H673" s="3">
        <f>IF(AND(D673&lt;&gt;"",F673&lt;&gt;""),F673-D673-G673,"")</f>
        <v/>
      </c>
      <c r="I673" s="14">
        <f>IF(E673&lt;&gt;"", YEARFRAC(C673, E673) * 12, "")</f>
        <v/>
      </c>
      <c r="J673" s="2">
        <f>IF(I673="", "", IF(AND(A673="MF (Equity)", I673&gt;12), "Long Term", "Short Term"))</f>
        <v/>
      </c>
      <c r="K673" s="5">
        <f>IF(J673="", "", IF(J673="Long Term", 12.5%, 20%))</f>
        <v/>
      </c>
      <c r="L673" s="3">
        <f>+IFERROR(IF(J673="","",H673*K673),"")</f>
        <v/>
      </c>
    </row>
    <row r="674">
      <c r="A674" s="11" t="n"/>
      <c r="B674" s="7" t="n"/>
      <c r="C674" s="8" t="n"/>
      <c r="D674" s="9" t="n"/>
      <c r="E674" s="8" t="n"/>
      <c r="F674" s="9" t="n"/>
      <c r="G674" s="9" t="n"/>
      <c r="H674" s="3">
        <f>IF(AND(D674&lt;&gt;"",F674&lt;&gt;""),F674-D674-G674,"")</f>
        <v/>
      </c>
      <c r="I674" s="14">
        <f>IF(E674&lt;&gt;"", YEARFRAC(C674, E674) * 12, "")</f>
        <v/>
      </c>
      <c r="J674" s="2">
        <f>IF(I674="", "", IF(AND(A674="MF (Equity)", I674&gt;12), "Long Term", "Short Term"))</f>
        <v/>
      </c>
      <c r="K674" s="5">
        <f>IF(J674="", "", IF(J674="Long Term", 12.5%, 20%))</f>
        <v/>
      </c>
      <c r="L674" s="3">
        <f>+IFERROR(IF(J674="","",H674*K674),"")</f>
        <v/>
      </c>
    </row>
    <row r="675">
      <c r="A675" s="11" t="n"/>
      <c r="B675" s="7" t="n"/>
      <c r="C675" s="8" t="n"/>
      <c r="D675" s="9" t="n"/>
      <c r="E675" s="8" t="n"/>
      <c r="F675" s="9" t="n"/>
      <c r="G675" s="9" t="n"/>
      <c r="H675" s="3">
        <f>IF(AND(D675&lt;&gt;"",F675&lt;&gt;""),F675-D675-G675,"")</f>
        <v/>
      </c>
      <c r="I675" s="14">
        <f>IF(E675&lt;&gt;"", YEARFRAC(C675, E675) * 12, "")</f>
        <v/>
      </c>
      <c r="J675" s="2">
        <f>IF(I675="", "", IF(AND(A675="MF (Equity)", I675&gt;12), "Long Term", "Short Term"))</f>
        <v/>
      </c>
      <c r="K675" s="5">
        <f>IF(J675="", "", IF(J675="Long Term", 12.5%, 20%))</f>
        <v/>
      </c>
      <c r="L675" s="3">
        <f>+IFERROR(IF(J675="","",H675*K675),"")</f>
        <v/>
      </c>
    </row>
    <row r="676">
      <c r="A676" s="11" t="n"/>
      <c r="B676" s="7" t="n"/>
      <c r="C676" s="8" t="n"/>
      <c r="D676" s="9" t="n"/>
      <c r="E676" s="8" t="n"/>
      <c r="F676" s="9" t="n"/>
      <c r="G676" s="9" t="n"/>
      <c r="H676" s="3">
        <f>IF(AND(D676&lt;&gt;"",F676&lt;&gt;""),F676-D676-G676,"")</f>
        <v/>
      </c>
      <c r="I676" s="14">
        <f>IF(E676&lt;&gt;"", YEARFRAC(C676, E676) * 12, "")</f>
        <v/>
      </c>
      <c r="J676" s="2">
        <f>IF(I676="", "", IF(AND(A676="MF (Equity)", I676&gt;12), "Long Term", "Short Term"))</f>
        <v/>
      </c>
      <c r="K676" s="5">
        <f>IF(J676="", "", IF(J676="Long Term", 12.5%, 20%))</f>
        <v/>
      </c>
      <c r="L676" s="3">
        <f>+IFERROR(IF(J676="","",H676*K676),"")</f>
        <v/>
      </c>
    </row>
    <row r="677">
      <c r="A677" s="11" t="n"/>
      <c r="B677" s="7" t="n"/>
      <c r="C677" s="8" t="n"/>
      <c r="D677" s="9" t="n"/>
      <c r="E677" s="8" t="n"/>
      <c r="F677" s="9" t="n"/>
      <c r="G677" s="9" t="n"/>
      <c r="H677" s="3">
        <f>IF(AND(D677&lt;&gt;"",F677&lt;&gt;""),F677-D677-G677,"")</f>
        <v/>
      </c>
      <c r="I677" s="14">
        <f>IF(E677&lt;&gt;"", YEARFRAC(C677, E677) * 12, "")</f>
        <v/>
      </c>
      <c r="J677" s="2">
        <f>IF(I677="", "", IF(AND(A677="MF (Equity)", I677&gt;12), "Long Term", "Short Term"))</f>
        <v/>
      </c>
      <c r="K677" s="5">
        <f>IF(J677="", "", IF(J677="Long Term", 12.5%, 20%))</f>
        <v/>
      </c>
      <c r="L677" s="3">
        <f>+IFERROR(IF(J677="","",H677*K677),"")</f>
        <v/>
      </c>
    </row>
    <row r="678">
      <c r="A678" s="11" t="n"/>
      <c r="B678" s="7" t="n"/>
      <c r="C678" s="8" t="n"/>
      <c r="D678" s="9" t="n"/>
      <c r="E678" s="8" t="n"/>
      <c r="F678" s="9" t="n"/>
      <c r="G678" s="9" t="n"/>
      <c r="H678" s="3">
        <f>IF(AND(D678&lt;&gt;"",F678&lt;&gt;""),F678-D678-G678,"")</f>
        <v/>
      </c>
      <c r="I678" s="14">
        <f>IF(E678&lt;&gt;"", YEARFRAC(C678, E678) * 12, "")</f>
        <v/>
      </c>
      <c r="J678" s="2">
        <f>IF(I678="", "", IF(AND(A678="MF (Equity)", I678&gt;12), "Long Term", "Short Term"))</f>
        <v/>
      </c>
      <c r="K678" s="5">
        <f>IF(J678="", "", IF(J678="Long Term", 12.5%, 20%))</f>
        <v/>
      </c>
      <c r="L678" s="3">
        <f>+IFERROR(IF(J678="","",H678*K678),"")</f>
        <v/>
      </c>
    </row>
    <row r="679">
      <c r="A679" s="11" t="n"/>
      <c r="B679" s="7" t="n"/>
      <c r="C679" s="8" t="n"/>
      <c r="D679" s="9" t="n"/>
      <c r="E679" s="8" t="n"/>
      <c r="F679" s="9" t="n"/>
      <c r="G679" s="9" t="n"/>
      <c r="H679" s="3">
        <f>IF(AND(D679&lt;&gt;"",F679&lt;&gt;""),F679-D679-G679,"")</f>
        <v/>
      </c>
      <c r="I679" s="14">
        <f>IF(E679&lt;&gt;"", YEARFRAC(C679, E679) * 12, "")</f>
        <v/>
      </c>
      <c r="J679" s="2">
        <f>IF(I679="", "", IF(AND(A679="MF (Equity)", I679&gt;12), "Long Term", "Short Term"))</f>
        <v/>
      </c>
      <c r="K679" s="5">
        <f>IF(J679="", "", IF(J679="Long Term", 12.5%, 20%))</f>
        <v/>
      </c>
      <c r="L679" s="3">
        <f>+IFERROR(IF(J679="","",H679*K679),"")</f>
        <v/>
      </c>
    </row>
    <row r="680">
      <c r="A680" s="11" t="n"/>
      <c r="B680" s="7" t="n"/>
      <c r="C680" s="8" t="n"/>
      <c r="D680" s="9" t="n"/>
      <c r="E680" s="8" t="n"/>
      <c r="F680" s="9" t="n"/>
      <c r="G680" s="9" t="n"/>
      <c r="H680" s="3">
        <f>IF(AND(D680&lt;&gt;"",F680&lt;&gt;""),F680-D680-G680,"")</f>
        <v/>
      </c>
      <c r="I680" s="14">
        <f>IF(E680&lt;&gt;"", YEARFRAC(C680, E680) * 12, "")</f>
        <v/>
      </c>
      <c r="J680" s="2">
        <f>IF(I680="", "", IF(AND(A680="MF (Equity)", I680&gt;12), "Long Term", "Short Term"))</f>
        <v/>
      </c>
      <c r="K680" s="5">
        <f>IF(J680="", "", IF(J680="Long Term", 12.5%, 20%))</f>
        <v/>
      </c>
      <c r="L680" s="3">
        <f>+IFERROR(IF(J680="","",H680*K680),"")</f>
        <v/>
      </c>
    </row>
    <row r="681">
      <c r="A681" s="11" t="n"/>
      <c r="B681" s="7" t="n"/>
      <c r="C681" s="8" t="n"/>
      <c r="D681" s="9" t="n"/>
      <c r="E681" s="8" t="n"/>
      <c r="F681" s="9" t="n"/>
      <c r="G681" s="9" t="n"/>
      <c r="H681" s="3">
        <f>IF(AND(D681&lt;&gt;"",F681&lt;&gt;""),F681-D681-G681,"")</f>
        <v/>
      </c>
      <c r="I681" s="14">
        <f>IF(E681&lt;&gt;"", YEARFRAC(C681, E681) * 12, "")</f>
        <v/>
      </c>
      <c r="J681" s="2">
        <f>IF(I681="", "", IF(AND(A681="MF (Equity)", I681&gt;12), "Long Term", "Short Term"))</f>
        <v/>
      </c>
      <c r="K681" s="5">
        <f>IF(J681="", "", IF(J681="Long Term", 12.5%, 20%))</f>
        <v/>
      </c>
      <c r="L681" s="3">
        <f>+IFERROR(IF(J681="","",H681*K681),"")</f>
        <v/>
      </c>
    </row>
    <row r="682">
      <c r="A682" s="11" t="n"/>
      <c r="B682" s="7" t="n"/>
      <c r="C682" s="8" t="n"/>
      <c r="D682" s="9" t="n"/>
      <c r="E682" s="8" t="n"/>
      <c r="F682" s="9" t="n"/>
      <c r="G682" s="9" t="n"/>
      <c r="H682" s="3">
        <f>IF(AND(D682&lt;&gt;"",F682&lt;&gt;""),F682-D682-G682,"")</f>
        <v/>
      </c>
      <c r="I682" s="14">
        <f>IF(E682&lt;&gt;"", YEARFRAC(C682, E682) * 12, "")</f>
        <v/>
      </c>
      <c r="J682" s="2">
        <f>IF(I682="", "", IF(AND(A682="MF (Equity)", I682&gt;12), "Long Term", "Short Term"))</f>
        <v/>
      </c>
      <c r="K682" s="5">
        <f>IF(J682="", "", IF(J682="Long Term", 12.5%, 20%))</f>
        <v/>
      </c>
      <c r="L682" s="3">
        <f>+IFERROR(IF(J682="","",H682*K682),"")</f>
        <v/>
      </c>
    </row>
    <row r="683">
      <c r="A683" s="11" t="n"/>
      <c r="B683" s="7" t="n"/>
      <c r="C683" s="8" t="n"/>
      <c r="D683" s="9" t="n"/>
      <c r="E683" s="8" t="n"/>
      <c r="F683" s="9" t="n"/>
      <c r="G683" s="9" t="n"/>
      <c r="H683" s="3">
        <f>IF(AND(D683&lt;&gt;"",F683&lt;&gt;""),F683-D683-G683,"")</f>
        <v/>
      </c>
      <c r="I683" s="14">
        <f>IF(E683&lt;&gt;"", YEARFRAC(C683, E683) * 12, "")</f>
        <v/>
      </c>
      <c r="J683" s="2">
        <f>IF(I683="", "", IF(AND(A683="MF (Equity)", I683&gt;12), "Long Term", "Short Term"))</f>
        <v/>
      </c>
      <c r="K683" s="5">
        <f>IF(J683="", "", IF(J683="Long Term", 12.5%, 20%))</f>
        <v/>
      </c>
      <c r="L683" s="3">
        <f>+IFERROR(IF(J683="","",H683*K683),"")</f>
        <v/>
      </c>
    </row>
    <row r="684">
      <c r="A684" s="11" t="n"/>
      <c r="B684" s="7" t="n"/>
      <c r="C684" s="8" t="n"/>
      <c r="D684" s="9" t="n"/>
      <c r="E684" s="8" t="n"/>
      <c r="F684" s="9" t="n"/>
      <c r="G684" s="9" t="n"/>
      <c r="H684" s="3">
        <f>IF(AND(D684&lt;&gt;"",F684&lt;&gt;""),F684-D684-G684,"")</f>
        <v/>
      </c>
      <c r="I684" s="14">
        <f>IF(E684&lt;&gt;"", YEARFRAC(C684, E684) * 12, "")</f>
        <v/>
      </c>
      <c r="J684" s="2">
        <f>IF(I684="", "", IF(AND(A684="MF (Equity)", I684&gt;12), "Long Term", "Short Term"))</f>
        <v/>
      </c>
      <c r="K684" s="5">
        <f>IF(J684="", "", IF(J684="Long Term", 12.5%, 20%))</f>
        <v/>
      </c>
      <c r="L684" s="3">
        <f>+IFERROR(IF(J684="","",H684*K684),"")</f>
        <v/>
      </c>
    </row>
    <row r="685">
      <c r="A685" s="11" t="n"/>
      <c r="B685" s="7" t="n"/>
      <c r="C685" s="8" t="n"/>
      <c r="D685" s="9" t="n"/>
      <c r="E685" s="8" t="n"/>
      <c r="F685" s="9" t="n"/>
      <c r="G685" s="9" t="n"/>
      <c r="H685" s="3">
        <f>IF(AND(D685&lt;&gt;"",F685&lt;&gt;""),F685-D685-G685,"")</f>
        <v/>
      </c>
      <c r="I685" s="14">
        <f>IF(E685&lt;&gt;"", YEARFRAC(C685, E685) * 12, "")</f>
        <v/>
      </c>
      <c r="J685" s="2">
        <f>IF(I685="", "", IF(AND(A685="MF (Equity)", I685&gt;12), "Long Term", "Short Term"))</f>
        <v/>
      </c>
      <c r="K685" s="5">
        <f>IF(J685="", "", IF(J685="Long Term", 12.5%, 20%))</f>
        <v/>
      </c>
      <c r="L685" s="3">
        <f>+IFERROR(IF(J685="","",H685*K685),"")</f>
        <v/>
      </c>
    </row>
    <row r="686">
      <c r="A686" s="11" t="n"/>
      <c r="B686" s="7" t="n"/>
      <c r="C686" s="8" t="n"/>
      <c r="D686" s="9" t="n"/>
      <c r="E686" s="8" t="n"/>
      <c r="F686" s="9" t="n"/>
      <c r="G686" s="9" t="n"/>
      <c r="H686" s="3">
        <f>IF(AND(D686&lt;&gt;"",F686&lt;&gt;""),F686-D686-G686,"")</f>
        <v/>
      </c>
      <c r="I686" s="14">
        <f>IF(E686&lt;&gt;"", YEARFRAC(C686, E686) * 12, "")</f>
        <v/>
      </c>
      <c r="J686" s="2">
        <f>IF(I686="", "", IF(AND(A686="MF (Equity)", I686&gt;12), "Long Term", "Short Term"))</f>
        <v/>
      </c>
      <c r="K686" s="5">
        <f>IF(J686="", "", IF(J686="Long Term", 12.5%, 20%))</f>
        <v/>
      </c>
      <c r="L686" s="3">
        <f>+IFERROR(IF(J686="","",H686*K686),"")</f>
        <v/>
      </c>
    </row>
    <row r="687">
      <c r="A687" s="11" t="n"/>
      <c r="B687" s="7" t="n"/>
      <c r="C687" s="8" t="n"/>
      <c r="D687" s="9" t="n"/>
      <c r="E687" s="8" t="n"/>
      <c r="F687" s="9" t="n"/>
      <c r="G687" s="9" t="n"/>
      <c r="H687" s="3">
        <f>IF(AND(D687&lt;&gt;"",F687&lt;&gt;""),F687-D687-G687,"")</f>
        <v/>
      </c>
      <c r="I687" s="14">
        <f>IF(E687&lt;&gt;"", YEARFRAC(C687, E687) * 12, "")</f>
        <v/>
      </c>
      <c r="J687" s="2">
        <f>IF(I687="", "", IF(AND(A687="MF (Equity)", I687&gt;12), "Long Term", "Short Term"))</f>
        <v/>
      </c>
      <c r="K687" s="5">
        <f>IF(J687="", "", IF(J687="Long Term", 12.5%, 20%))</f>
        <v/>
      </c>
      <c r="L687" s="3">
        <f>+IFERROR(IF(J687="","",H687*K687),"")</f>
        <v/>
      </c>
    </row>
    <row r="688">
      <c r="A688" s="11" t="n"/>
      <c r="B688" s="7" t="n"/>
      <c r="C688" s="8" t="n"/>
      <c r="D688" s="9" t="n"/>
      <c r="E688" s="8" t="n"/>
      <c r="F688" s="9" t="n"/>
      <c r="G688" s="9" t="n"/>
      <c r="H688" s="3">
        <f>IF(AND(D688&lt;&gt;"",F688&lt;&gt;""),F688-D688-G688,"")</f>
        <v/>
      </c>
      <c r="I688" s="14">
        <f>IF(E688&lt;&gt;"", YEARFRAC(C688, E688) * 12, "")</f>
        <v/>
      </c>
      <c r="J688" s="2">
        <f>IF(I688="", "", IF(AND(A688="MF (Equity)", I688&gt;12), "Long Term", "Short Term"))</f>
        <v/>
      </c>
      <c r="K688" s="5">
        <f>IF(J688="", "", IF(J688="Long Term", 12.5%, 20%))</f>
        <v/>
      </c>
      <c r="L688" s="3">
        <f>+IFERROR(IF(J688="","",H688*K688),"")</f>
        <v/>
      </c>
    </row>
    <row r="689">
      <c r="A689" s="11" t="n"/>
      <c r="B689" s="7" t="n"/>
      <c r="C689" s="8" t="n"/>
      <c r="D689" s="9" t="n"/>
      <c r="E689" s="8" t="n"/>
      <c r="F689" s="9" t="n"/>
      <c r="G689" s="9" t="n"/>
      <c r="H689" s="3">
        <f>IF(AND(D689&lt;&gt;"",F689&lt;&gt;""),F689-D689-G689,"")</f>
        <v/>
      </c>
      <c r="I689" s="14">
        <f>IF(E689&lt;&gt;"", YEARFRAC(C689, E689) * 12, "")</f>
        <v/>
      </c>
      <c r="J689" s="2">
        <f>IF(I689="", "", IF(AND(A689="MF (Equity)", I689&gt;12), "Long Term", "Short Term"))</f>
        <v/>
      </c>
      <c r="K689" s="5">
        <f>IF(J689="", "", IF(J689="Long Term", 12.5%, 20%))</f>
        <v/>
      </c>
      <c r="L689" s="3">
        <f>+IFERROR(IF(J689="","",H689*K689),"")</f>
        <v/>
      </c>
    </row>
    <row r="690">
      <c r="A690" s="11" t="n"/>
      <c r="B690" s="7" t="n"/>
      <c r="C690" s="8" t="n"/>
      <c r="D690" s="9" t="n"/>
      <c r="E690" s="8" t="n"/>
      <c r="F690" s="9" t="n"/>
      <c r="G690" s="9" t="n"/>
      <c r="H690" s="3">
        <f>IF(AND(D690&lt;&gt;"",F690&lt;&gt;""),F690-D690-G690,"")</f>
        <v/>
      </c>
      <c r="I690" s="14">
        <f>IF(E690&lt;&gt;"", YEARFRAC(C690, E690) * 12, "")</f>
        <v/>
      </c>
      <c r="J690" s="2">
        <f>IF(I690="", "", IF(AND(A690="MF (Equity)", I690&gt;12), "Long Term", "Short Term"))</f>
        <v/>
      </c>
      <c r="K690" s="5">
        <f>IF(J690="", "", IF(J690="Long Term", 12.5%, 20%))</f>
        <v/>
      </c>
      <c r="L690" s="3">
        <f>+IFERROR(IF(J690="","",H690*K690),"")</f>
        <v/>
      </c>
    </row>
    <row r="691">
      <c r="A691" s="11" t="n"/>
      <c r="B691" s="7" t="n"/>
      <c r="C691" s="8" t="n"/>
      <c r="D691" s="9" t="n"/>
      <c r="E691" s="8" t="n"/>
      <c r="F691" s="9" t="n"/>
      <c r="G691" s="9" t="n"/>
      <c r="H691" s="3">
        <f>IF(AND(D691&lt;&gt;"",F691&lt;&gt;""),F691-D691-G691,"")</f>
        <v/>
      </c>
      <c r="I691" s="14">
        <f>IF(E691&lt;&gt;"", YEARFRAC(C691, E691) * 12, "")</f>
        <v/>
      </c>
      <c r="J691" s="2">
        <f>IF(I691="", "", IF(AND(A691="MF (Equity)", I691&gt;12), "Long Term", "Short Term"))</f>
        <v/>
      </c>
      <c r="K691" s="5">
        <f>IF(J691="", "", IF(J691="Long Term", 12.5%, 20%))</f>
        <v/>
      </c>
      <c r="L691" s="3">
        <f>+IFERROR(IF(J691="","",H691*K691),"")</f>
        <v/>
      </c>
    </row>
    <row r="692">
      <c r="A692" s="11" t="n"/>
      <c r="B692" s="7" t="n"/>
      <c r="C692" s="8" t="n"/>
      <c r="D692" s="9" t="n"/>
      <c r="E692" s="8" t="n"/>
      <c r="F692" s="9" t="n"/>
      <c r="G692" s="9" t="n"/>
      <c r="H692" s="3">
        <f>IF(AND(D692&lt;&gt;"",F692&lt;&gt;""),F692-D692-G692,"")</f>
        <v/>
      </c>
      <c r="I692" s="14">
        <f>IF(E692&lt;&gt;"", YEARFRAC(C692, E692) * 12, "")</f>
        <v/>
      </c>
      <c r="J692" s="2">
        <f>IF(I692="", "", IF(AND(A692="MF (Equity)", I692&gt;12), "Long Term", "Short Term"))</f>
        <v/>
      </c>
      <c r="K692" s="5">
        <f>IF(J692="", "", IF(J692="Long Term", 12.5%, 20%))</f>
        <v/>
      </c>
      <c r="L692" s="3">
        <f>+IFERROR(IF(J692="","",H692*K692),"")</f>
        <v/>
      </c>
    </row>
    <row r="693">
      <c r="A693" s="11" t="n"/>
      <c r="B693" s="7" t="n"/>
      <c r="C693" s="8" t="n"/>
      <c r="D693" s="9" t="n"/>
      <c r="E693" s="8" t="n"/>
      <c r="F693" s="9" t="n"/>
      <c r="G693" s="9" t="n"/>
      <c r="H693" s="3">
        <f>IF(AND(D693&lt;&gt;"",F693&lt;&gt;""),F693-D693-G693,"")</f>
        <v/>
      </c>
      <c r="I693" s="14">
        <f>IF(E693&lt;&gt;"", YEARFRAC(C693, E693) * 12, "")</f>
        <v/>
      </c>
      <c r="J693" s="2">
        <f>IF(I693="", "", IF(AND(A693="MF (Equity)", I693&gt;12), "Long Term", "Short Term"))</f>
        <v/>
      </c>
      <c r="K693" s="5">
        <f>IF(J693="", "", IF(J693="Long Term", 12.5%, 20%))</f>
        <v/>
      </c>
      <c r="L693" s="3">
        <f>+IFERROR(IF(J693="","",H693*K693),"")</f>
        <v/>
      </c>
    </row>
    <row r="694">
      <c r="A694" s="11" t="n"/>
      <c r="B694" s="7" t="n"/>
      <c r="C694" s="8" t="n"/>
      <c r="D694" s="9" t="n"/>
      <c r="E694" s="8" t="n"/>
      <c r="F694" s="9" t="n"/>
      <c r="G694" s="9" t="n"/>
      <c r="H694" s="3">
        <f>IF(AND(D694&lt;&gt;"",F694&lt;&gt;""),F694-D694-G694,"")</f>
        <v/>
      </c>
      <c r="I694" s="14">
        <f>IF(E694&lt;&gt;"", YEARFRAC(C694, E694) * 12, "")</f>
        <v/>
      </c>
      <c r="J694" s="2">
        <f>IF(I694="", "", IF(AND(A694="MF (Equity)", I694&gt;12), "Long Term", "Short Term"))</f>
        <v/>
      </c>
      <c r="K694" s="5">
        <f>IF(J694="", "", IF(J694="Long Term", 12.5%, 20%))</f>
        <v/>
      </c>
      <c r="L694" s="3">
        <f>+IFERROR(IF(J694="","",H694*K694),"")</f>
        <v/>
      </c>
    </row>
    <row r="695">
      <c r="A695" s="11" t="n"/>
      <c r="B695" s="7" t="n"/>
      <c r="C695" s="8" t="n"/>
      <c r="D695" s="9" t="n"/>
      <c r="E695" s="8" t="n"/>
      <c r="F695" s="9" t="n"/>
      <c r="G695" s="9" t="n"/>
      <c r="H695" s="3">
        <f>IF(AND(D695&lt;&gt;"",F695&lt;&gt;""),F695-D695-G695,"")</f>
        <v/>
      </c>
      <c r="I695" s="14">
        <f>IF(E695&lt;&gt;"", YEARFRAC(C695, E695) * 12, "")</f>
        <v/>
      </c>
      <c r="J695" s="2">
        <f>IF(I695="", "", IF(AND(A695="MF (Equity)", I695&gt;12), "Long Term", "Short Term"))</f>
        <v/>
      </c>
      <c r="K695" s="5">
        <f>IF(J695="", "", IF(J695="Long Term", 12.5%, 20%))</f>
        <v/>
      </c>
      <c r="L695" s="3">
        <f>+IFERROR(IF(J695="","",H695*K695),"")</f>
        <v/>
      </c>
    </row>
    <row r="696">
      <c r="A696" s="11" t="n"/>
      <c r="B696" s="7" t="n"/>
      <c r="C696" s="8" t="n"/>
      <c r="D696" s="9" t="n"/>
      <c r="E696" s="8" t="n"/>
      <c r="F696" s="9" t="n"/>
      <c r="G696" s="9" t="n"/>
      <c r="H696" s="3">
        <f>IF(AND(D696&lt;&gt;"",F696&lt;&gt;""),F696-D696-G696,"")</f>
        <v/>
      </c>
      <c r="I696" s="14">
        <f>IF(E696&lt;&gt;"", YEARFRAC(C696, E696) * 12, "")</f>
        <v/>
      </c>
      <c r="J696" s="2">
        <f>IF(I696="", "", IF(AND(A696="MF (Equity)", I696&gt;12), "Long Term", "Short Term"))</f>
        <v/>
      </c>
      <c r="K696" s="5">
        <f>IF(J696="", "", IF(J696="Long Term", 12.5%, 20%))</f>
        <v/>
      </c>
      <c r="L696" s="3">
        <f>+IFERROR(IF(J696="","",H696*K696),"")</f>
        <v/>
      </c>
    </row>
    <row r="697">
      <c r="A697" s="11" t="n"/>
      <c r="B697" s="7" t="n"/>
      <c r="C697" s="8" t="n"/>
      <c r="D697" s="9" t="n"/>
      <c r="E697" s="8" t="n"/>
      <c r="F697" s="9" t="n"/>
      <c r="G697" s="9" t="n"/>
      <c r="H697" s="3">
        <f>IF(AND(D697&lt;&gt;"",F697&lt;&gt;""),F697-D697-G697,"")</f>
        <v/>
      </c>
      <c r="I697" s="14">
        <f>IF(E697&lt;&gt;"", YEARFRAC(C697, E697) * 12, "")</f>
        <v/>
      </c>
      <c r="J697" s="2">
        <f>IF(I697="", "", IF(AND(A697="MF (Equity)", I697&gt;12), "Long Term", "Short Term"))</f>
        <v/>
      </c>
      <c r="K697" s="5">
        <f>IF(J697="", "", IF(J697="Long Term", 12.5%, 20%))</f>
        <v/>
      </c>
      <c r="L697" s="3">
        <f>+IFERROR(IF(J697="","",H697*K697),"")</f>
        <v/>
      </c>
    </row>
    <row r="698">
      <c r="A698" s="11" t="n"/>
      <c r="B698" s="7" t="n"/>
      <c r="C698" s="8" t="n"/>
      <c r="D698" s="9" t="n"/>
      <c r="E698" s="8" t="n"/>
      <c r="F698" s="9" t="n"/>
      <c r="G698" s="9" t="n"/>
      <c r="H698" s="3">
        <f>IF(AND(D698&lt;&gt;"",F698&lt;&gt;""),F698-D698-G698,"")</f>
        <v/>
      </c>
      <c r="I698" s="14">
        <f>IF(E698&lt;&gt;"", YEARFRAC(C698, E698) * 12, "")</f>
        <v/>
      </c>
      <c r="J698" s="2">
        <f>IF(I698="", "", IF(AND(A698="MF (Equity)", I698&gt;12), "Long Term", "Short Term"))</f>
        <v/>
      </c>
      <c r="K698" s="5">
        <f>IF(J698="", "", IF(J698="Long Term", 12.5%, 20%))</f>
        <v/>
      </c>
      <c r="L698" s="3">
        <f>+IFERROR(IF(J698="","",H698*K698),"")</f>
        <v/>
      </c>
    </row>
    <row r="699">
      <c r="A699" s="11" t="n"/>
      <c r="B699" s="7" t="n"/>
      <c r="C699" s="8" t="n"/>
      <c r="D699" s="9" t="n"/>
      <c r="E699" s="8" t="n"/>
      <c r="F699" s="9" t="n"/>
      <c r="G699" s="9" t="n"/>
      <c r="H699" s="3">
        <f>IF(AND(D699&lt;&gt;"",F699&lt;&gt;""),F699-D699-G699,"")</f>
        <v/>
      </c>
      <c r="I699" s="14">
        <f>IF(E699&lt;&gt;"", YEARFRAC(C699, E699) * 12, "")</f>
        <v/>
      </c>
      <c r="J699" s="2">
        <f>IF(I699="", "", IF(AND(A699="MF (Equity)", I699&gt;12), "Long Term", "Short Term"))</f>
        <v/>
      </c>
      <c r="K699" s="5">
        <f>IF(J699="", "", IF(J699="Long Term", 12.5%, 20%))</f>
        <v/>
      </c>
      <c r="L699" s="3">
        <f>+IFERROR(IF(J699="","",H699*K699),"")</f>
        <v/>
      </c>
    </row>
    <row r="700">
      <c r="A700" s="11" t="n"/>
      <c r="B700" s="7" t="n"/>
      <c r="C700" s="8" t="n"/>
      <c r="D700" s="9" t="n"/>
      <c r="E700" s="8" t="n"/>
      <c r="F700" s="9" t="n"/>
      <c r="G700" s="9" t="n"/>
      <c r="H700" s="3">
        <f>IF(AND(D700&lt;&gt;"",F700&lt;&gt;""),F700-D700-G700,"")</f>
        <v/>
      </c>
      <c r="I700" s="14">
        <f>IF(E700&lt;&gt;"", YEARFRAC(C700, E700) * 12, "")</f>
        <v/>
      </c>
      <c r="J700" s="2">
        <f>IF(I700="", "", IF(AND(A700="MF (Equity)", I700&gt;12), "Long Term", "Short Term"))</f>
        <v/>
      </c>
      <c r="K700" s="5">
        <f>IF(J700="", "", IF(J700="Long Term", 12.5%, 20%))</f>
        <v/>
      </c>
      <c r="L700" s="3">
        <f>+IFERROR(IF(J700="","",H700*K700),"")</f>
        <v/>
      </c>
    </row>
    <row r="701">
      <c r="A701" s="11" t="n"/>
      <c r="B701" s="7" t="n"/>
      <c r="C701" s="8" t="n"/>
      <c r="D701" s="9" t="n"/>
      <c r="E701" s="8" t="n"/>
      <c r="F701" s="9" t="n"/>
      <c r="G701" s="9" t="n"/>
      <c r="H701" s="3">
        <f>IF(AND(D701&lt;&gt;"",F701&lt;&gt;""),F701-D701-G701,"")</f>
        <v/>
      </c>
      <c r="I701" s="14">
        <f>IF(E701&lt;&gt;"", YEARFRAC(C701, E701) * 12, "")</f>
        <v/>
      </c>
      <c r="J701" s="2">
        <f>IF(I701="", "", IF(AND(A701="MF (Equity)", I701&gt;12), "Long Term", "Short Term"))</f>
        <v/>
      </c>
      <c r="K701" s="5">
        <f>IF(J701="", "", IF(J701="Long Term", 12.5%, 20%))</f>
        <v/>
      </c>
      <c r="L701" s="3">
        <f>+IFERROR(IF(J701="","",H701*K701),"")</f>
        <v/>
      </c>
    </row>
    <row r="702">
      <c r="A702" s="11" t="n"/>
      <c r="B702" s="7" t="n"/>
      <c r="C702" s="8" t="n"/>
      <c r="D702" s="9" t="n"/>
      <c r="E702" s="8" t="n"/>
      <c r="F702" s="9" t="n"/>
      <c r="G702" s="9" t="n"/>
      <c r="H702" s="3">
        <f>IF(AND(D702&lt;&gt;"",F702&lt;&gt;""),F702-D702-G702,"")</f>
        <v/>
      </c>
      <c r="I702" s="14">
        <f>IF(E702&lt;&gt;"", YEARFRAC(C702, E702) * 12, "")</f>
        <v/>
      </c>
      <c r="J702" s="2">
        <f>IF(I702="", "", IF(AND(A702="MF (Equity)", I702&gt;12), "Long Term", "Short Term"))</f>
        <v/>
      </c>
      <c r="K702" s="5">
        <f>IF(J702="", "", IF(J702="Long Term", 12.5%, 20%))</f>
        <v/>
      </c>
      <c r="L702" s="3">
        <f>+IFERROR(IF(J702="","",H702*K702),"")</f>
        <v/>
      </c>
    </row>
    <row r="703">
      <c r="A703" s="11" t="n"/>
      <c r="B703" s="7" t="n"/>
      <c r="C703" s="8" t="n"/>
      <c r="D703" s="9" t="n"/>
      <c r="E703" s="8" t="n"/>
      <c r="F703" s="9" t="n"/>
      <c r="G703" s="9" t="n"/>
      <c r="H703" s="3">
        <f>IF(AND(D703&lt;&gt;"",F703&lt;&gt;""),F703-D703-G703,"")</f>
        <v/>
      </c>
      <c r="I703" s="14">
        <f>IF(E703&lt;&gt;"", YEARFRAC(C703, E703) * 12, "")</f>
        <v/>
      </c>
      <c r="J703" s="2">
        <f>IF(I703="", "", IF(AND(A703="MF (Equity)", I703&gt;12), "Long Term", "Short Term"))</f>
        <v/>
      </c>
      <c r="K703" s="5">
        <f>IF(J703="", "", IF(J703="Long Term", 12.5%, 20%))</f>
        <v/>
      </c>
      <c r="L703" s="3">
        <f>+IFERROR(IF(J703="","",H703*K703),"")</f>
        <v/>
      </c>
    </row>
    <row r="704">
      <c r="A704" s="11" t="n"/>
      <c r="B704" s="7" t="n"/>
      <c r="C704" s="8" t="n"/>
      <c r="D704" s="9" t="n"/>
      <c r="E704" s="8" t="n"/>
      <c r="F704" s="9" t="n"/>
      <c r="G704" s="9" t="n"/>
      <c r="H704" s="3">
        <f>IF(AND(D704&lt;&gt;"",F704&lt;&gt;""),F704-D704-G704,"")</f>
        <v/>
      </c>
      <c r="I704" s="14">
        <f>IF(E704&lt;&gt;"", YEARFRAC(C704, E704) * 12, "")</f>
        <v/>
      </c>
      <c r="J704" s="2">
        <f>IF(I704="", "", IF(AND(A704="MF (Equity)", I704&gt;12), "Long Term", "Short Term"))</f>
        <v/>
      </c>
      <c r="K704" s="5">
        <f>IF(J704="", "", IF(J704="Long Term", 12.5%, 20%))</f>
        <v/>
      </c>
      <c r="L704" s="3">
        <f>+IFERROR(IF(J704="","",H704*K704),"")</f>
        <v/>
      </c>
    </row>
    <row r="705">
      <c r="A705" s="11" t="n"/>
      <c r="B705" s="7" t="n"/>
      <c r="C705" s="8" t="n"/>
      <c r="D705" s="9" t="n"/>
      <c r="E705" s="8" t="n"/>
      <c r="F705" s="9" t="n"/>
      <c r="G705" s="9" t="n"/>
      <c r="H705" s="3">
        <f>IF(AND(D705&lt;&gt;"",F705&lt;&gt;""),F705-D705-G705,"")</f>
        <v/>
      </c>
      <c r="I705" s="14">
        <f>IF(E705&lt;&gt;"", YEARFRAC(C705, E705) * 12, "")</f>
        <v/>
      </c>
      <c r="J705" s="2">
        <f>IF(I705="", "", IF(AND(A705="MF (Equity)", I705&gt;12), "Long Term", "Short Term"))</f>
        <v/>
      </c>
      <c r="K705" s="5">
        <f>IF(J705="", "", IF(J705="Long Term", 12.5%, 20%))</f>
        <v/>
      </c>
      <c r="L705" s="3">
        <f>+IFERROR(IF(J705="","",H705*K705),"")</f>
        <v/>
      </c>
    </row>
    <row r="706">
      <c r="A706" s="11" t="n"/>
      <c r="B706" s="7" t="n"/>
      <c r="C706" s="8" t="n"/>
      <c r="D706" s="9" t="n"/>
      <c r="E706" s="8" t="n"/>
      <c r="F706" s="9" t="n"/>
      <c r="G706" s="9" t="n"/>
      <c r="H706" s="3">
        <f>IF(AND(D706&lt;&gt;"",F706&lt;&gt;""),F706-D706-G706,"")</f>
        <v/>
      </c>
      <c r="I706" s="14">
        <f>IF(E706&lt;&gt;"", YEARFRAC(C706, E706) * 12, "")</f>
        <v/>
      </c>
      <c r="J706" s="2">
        <f>IF(I706="", "", IF(AND(A706="MF (Equity)", I706&gt;12), "Long Term", "Short Term"))</f>
        <v/>
      </c>
      <c r="K706" s="5">
        <f>IF(J706="", "", IF(J706="Long Term", 12.5%, 20%))</f>
        <v/>
      </c>
      <c r="L706" s="3">
        <f>+IFERROR(IF(J706="","",H706*K706),"")</f>
        <v/>
      </c>
    </row>
    <row r="707">
      <c r="A707" s="11" t="n"/>
      <c r="B707" s="7" t="n"/>
      <c r="C707" s="8" t="n"/>
      <c r="D707" s="9" t="n"/>
      <c r="E707" s="8" t="n"/>
      <c r="F707" s="9" t="n"/>
      <c r="G707" s="9" t="n"/>
      <c r="H707" s="3">
        <f>IF(AND(D707&lt;&gt;"",F707&lt;&gt;""),F707-D707-G707,"")</f>
        <v/>
      </c>
      <c r="I707" s="14">
        <f>IF(E707&lt;&gt;"", YEARFRAC(C707, E707) * 12, "")</f>
        <v/>
      </c>
      <c r="J707" s="2">
        <f>IF(I707="", "", IF(AND(A707="MF (Equity)", I707&gt;12), "Long Term", "Short Term"))</f>
        <v/>
      </c>
      <c r="K707" s="5">
        <f>IF(J707="", "", IF(J707="Long Term", 12.5%, 20%))</f>
        <v/>
      </c>
      <c r="L707" s="3">
        <f>+IFERROR(IF(J707="","",H707*K707),"")</f>
        <v/>
      </c>
    </row>
    <row r="708">
      <c r="A708" s="11" t="n"/>
      <c r="B708" s="7" t="n"/>
      <c r="C708" s="8" t="n"/>
      <c r="D708" s="9" t="n"/>
      <c r="E708" s="8" t="n"/>
      <c r="F708" s="9" t="n"/>
      <c r="G708" s="9" t="n"/>
      <c r="H708" s="3">
        <f>IF(AND(D708&lt;&gt;"",F708&lt;&gt;""),F708-D708-G708,"")</f>
        <v/>
      </c>
      <c r="I708" s="14">
        <f>IF(E708&lt;&gt;"", YEARFRAC(C708, E708) * 12, "")</f>
        <v/>
      </c>
      <c r="J708" s="2">
        <f>IF(I708="", "", IF(AND(A708="MF (Equity)", I708&gt;12), "Long Term", "Short Term"))</f>
        <v/>
      </c>
      <c r="K708" s="5">
        <f>IF(J708="", "", IF(J708="Long Term", 12.5%, 20%))</f>
        <v/>
      </c>
      <c r="L708" s="3">
        <f>+IFERROR(IF(J708="","",H708*K708),"")</f>
        <v/>
      </c>
    </row>
    <row r="709">
      <c r="A709" s="11" t="n"/>
      <c r="B709" s="7" t="n"/>
      <c r="C709" s="8" t="n"/>
      <c r="D709" s="9" t="n"/>
      <c r="E709" s="8" t="n"/>
      <c r="F709" s="9" t="n"/>
      <c r="G709" s="9" t="n"/>
      <c r="H709" s="3">
        <f>IF(AND(D709&lt;&gt;"",F709&lt;&gt;""),F709-D709-G709,"")</f>
        <v/>
      </c>
      <c r="I709" s="14">
        <f>IF(E709&lt;&gt;"", YEARFRAC(C709, E709) * 12, "")</f>
        <v/>
      </c>
      <c r="J709" s="2">
        <f>IF(I709="", "", IF(AND(A709="MF (Equity)", I709&gt;12), "Long Term", "Short Term"))</f>
        <v/>
      </c>
      <c r="K709" s="5">
        <f>IF(J709="", "", IF(J709="Long Term", 12.5%, 20%))</f>
        <v/>
      </c>
      <c r="L709" s="3">
        <f>+IFERROR(IF(J709="","",H709*K709),"")</f>
        <v/>
      </c>
    </row>
    <row r="710">
      <c r="A710" s="11" t="n"/>
      <c r="B710" s="7" t="n"/>
      <c r="C710" s="8" t="n"/>
      <c r="D710" s="9" t="n"/>
      <c r="E710" s="8" t="n"/>
      <c r="F710" s="9" t="n"/>
      <c r="G710" s="9" t="n"/>
      <c r="H710" s="3">
        <f>IF(AND(D710&lt;&gt;"",F710&lt;&gt;""),F710-D710-G710,"")</f>
        <v/>
      </c>
      <c r="I710" s="14">
        <f>IF(E710&lt;&gt;"", YEARFRAC(C710, E710) * 12, "")</f>
        <v/>
      </c>
      <c r="J710" s="2">
        <f>IF(I710="", "", IF(AND(A710="MF (Equity)", I710&gt;12), "Long Term", "Short Term"))</f>
        <v/>
      </c>
      <c r="K710" s="5">
        <f>IF(J710="", "", IF(J710="Long Term", 12.5%, 20%))</f>
        <v/>
      </c>
      <c r="L710" s="3">
        <f>+IFERROR(IF(J710="","",H710*K710),"")</f>
        <v/>
      </c>
    </row>
    <row r="711">
      <c r="A711" s="11" t="n"/>
      <c r="B711" s="7" t="n"/>
      <c r="C711" s="8" t="n"/>
      <c r="D711" s="9" t="n"/>
      <c r="E711" s="8" t="n"/>
      <c r="F711" s="9" t="n"/>
      <c r="G711" s="9" t="n"/>
      <c r="H711" s="3">
        <f>IF(AND(D711&lt;&gt;"",F711&lt;&gt;""),F711-D711-G711,"")</f>
        <v/>
      </c>
      <c r="I711" s="14">
        <f>IF(E711&lt;&gt;"", YEARFRAC(C711, E711) * 12, "")</f>
        <v/>
      </c>
      <c r="J711" s="2">
        <f>IF(I711="", "", IF(AND(A711="MF (Equity)", I711&gt;12), "Long Term", "Short Term"))</f>
        <v/>
      </c>
      <c r="K711" s="5">
        <f>IF(J711="", "", IF(J711="Long Term", 12.5%, 20%))</f>
        <v/>
      </c>
      <c r="L711" s="3">
        <f>+IFERROR(IF(J711="","",H711*K711),"")</f>
        <v/>
      </c>
    </row>
    <row r="712">
      <c r="A712" s="11" t="n"/>
      <c r="B712" s="7" t="n"/>
      <c r="C712" s="8" t="n"/>
      <c r="D712" s="9" t="n"/>
      <c r="E712" s="8" t="n"/>
      <c r="F712" s="9" t="n"/>
      <c r="G712" s="9" t="n"/>
      <c r="H712" s="3">
        <f>IF(AND(D712&lt;&gt;"",F712&lt;&gt;""),F712-D712-G712,"")</f>
        <v/>
      </c>
      <c r="I712" s="14">
        <f>IF(E712&lt;&gt;"", YEARFRAC(C712, E712) * 12, "")</f>
        <v/>
      </c>
      <c r="J712" s="2">
        <f>IF(I712="", "", IF(AND(A712="MF (Equity)", I712&gt;12), "Long Term", "Short Term"))</f>
        <v/>
      </c>
      <c r="K712" s="5">
        <f>IF(J712="", "", IF(J712="Long Term", 12.5%, 20%))</f>
        <v/>
      </c>
      <c r="L712" s="3">
        <f>+IFERROR(IF(J712="","",H712*K712),"")</f>
        <v/>
      </c>
    </row>
    <row r="713">
      <c r="A713" s="11" t="n"/>
      <c r="B713" s="7" t="n"/>
      <c r="C713" s="8" t="n"/>
      <c r="D713" s="9" t="n"/>
      <c r="E713" s="8" t="n"/>
      <c r="F713" s="9" t="n"/>
      <c r="G713" s="9" t="n"/>
      <c r="H713" s="3">
        <f>IF(AND(D713&lt;&gt;"",F713&lt;&gt;""),F713-D713-G713,"")</f>
        <v/>
      </c>
      <c r="I713" s="14">
        <f>IF(E713&lt;&gt;"", YEARFRAC(C713, E713) * 12, "")</f>
        <v/>
      </c>
      <c r="J713" s="2">
        <f>IF(I713="", "", IF(AND(A713="MF (Equity)", I713&gt;12), "Long Term", "Short Term"))</f>
        <v/>
      </c>
      <c r="K713" s="5">
        <f>IF(J713="", "", IF(J713="Long Term", 12.5%, 20%))</f>
        <v/>
      </c>
      <c r="L713" s="3">
        <f>+IFERROR(IF(J713="","",H713*K713),"")</f>
        <v/>
      </c>
    </row>
    <row r="714">
      <c r="A714" s="11" t="n"/>
      <c r="B714" s="7" t="n"/>
      <c r="C714" s="8" t="n"/>
      <c r="D714" s="9" t="n"/>
      <c r="E714" s="8" t="n"/>
      <c r="F714" s="9" t="n"/>
      <c r="G714" s="9" t="n"/>
      <c r="H714" s="3">
        <f>IF(AND(D714&lt;&gt;"",F714&lt;&gt;""),F714-D714-G714,"")</f>
        <v/>
      </c>
      <c r="I714" s="14">
        <f>IF(E714&lt;&gt;"", YEARFRAC(C714, E714) * 12, "")</f>
        <v/>
      </c>
      <c r="J714" s="2">
        <f>IF(I714="", "", IF(AND(A714="MF (Equity)", I714&gt;12), "Long Term", "Short Term"))</f>
        <v/>
      </c>
      <c r="K714" s="5">
        <f>IF(J714="", "", IF(J714="Long Term", 12.5%, 20%))</f>
        <v/>
      </c>
      <c r="L714" s="3">
        <f>+IFERROR(IF(J714="","",H714*K714),"")</f>
        <v/>
      </c>
    </row>
    <row r="715">
      <c r="A715" s="11" t="n"/>
      <c r="B715" s="7" t="n"/>
      <c r="C715" s="8" t="n"/>
      <c r="D715" s="9" t="n"/>
      <c r="E715" s="8" t="n"/>
      <c r="F715" s="9" t="n"/>
      <c r="G715" s="9" t="n"/>
      <c r="H715" s="3">
        <f>IF(AND(D715&lt;&gt;"",F715&lt;&gt;""),F715-D715-G715,"")</f>
        <v/>
      </c>
      <c r="I715" s="14">
        <f>IF(E715&lt;&gt;"", YEARFRAC(C715, E715) * 12, "")</f>
        <v/>
      </c>
      <c r="J715" s="2">
        <f>IF(I715="", "", IF(AND(A715="MF (Equity)", I715&gt;12), "Long Term", "Short Term"))</f>
        <v/>
      </c>
      <c r="K715" s="5">
        <f>IF(J715="", "", IF(J715="Long Term", 12.5%, 20%))</f>
        <v/>
      </c>
      <c r="L715" s="3">
        <f>+IFERROR(IF(J715="","",H715*K715),"")</f>
        <v/>
      </c>
    </row>
    <row r="716">
      <c r="A716" s="11" t="n"/>
      <c r="B716" s="7" t="n"/>
      <c r="C716" s="8" t="n"/>
      <c r="D716" s="9" t="n"/>
      <c r="E716" s="8" t="n"/>
      <c r="F716" s="9" t="n"/>
      <c r="G716" s="9" t="n"/>
      <c r="H716" s="3">
        <f>IF(AND(D716&lt;&gt;"",F716&lt;&gt;""),F716-D716-G716,"")</f>
        <v/>
      </c>
      <c r="I716" s="14">
        <f>IF(E716&lt;&gt;"", YEARFRAC(C716, E716) * 12, "")</f>
        <v/>
      </c>
      <c r="J716" s="2">
        <f>IF(I716="", "", IF(AND(A716="MF (Equity)", I716&gt;12), "Long Term", "Short Term"))</f>
        <v/>
      </c>
      <c r="K716" s="5">
        <f>IF(J716="", "", IF(J716="Long Term", 12.5%, 20%))</f>
        <v/>
      </c>
      <c r="L716" s="3">
        <f>+IFERROR(IF(J716="","",H716*K716),"")</f>
        <v/>
      </c>
    </row>
    <row r="717">
      <c r="A717" s="11" t="n"/>
      <c r="B717" s="7" t="n"/>
      <c r="C717" s="8" t="n"/>
      <c r="D717" s="9" t="n"/>
      <c r="E717" s="8" t="n"/>
      <c r="F717" s="9" t="n"/>
      <c r="G717" s="9" t="n"/>
      <c r="H717" s="3">
        <f>IF(AND(D717&lt;&gt;"",F717&lt;&gt;""),F717-D717-G717,"")</f>
        <v/>
      </c>
      <c r="I717" s="14">
        <f>IF(E717&lt;&gt;"", YEARFRAC(C717, E717) * 12, "")</f>
        <v/>
      </c>
      <c r="J717" s="2">
        <f>IF(I717="", "", IF(AND(A717="MF (Equity)", I717&gt;12), "Long Term", "Short Term"))</f>
        <v/>
      </c>
      <c r="K717" s="5">
        <f>IF(J717="", "", IF(J717="Long Term", 12.5%, 20%))</f>
        <v/>
      </c>
      <c r="L717" s="3">
        <f>+IFERROR(IF(J717="","",H717*K717),"")</f>
        <v/>
      </c>
    </row>
    <row r="718">
      <c r="A718" s="11" t="n"/>
      <c r="B718" s="7" t="n"/>
      <c r="C718" s="8" t="n"/>
      <c r="D718" s="9" t="n"/>
      <c r="E718" s="8" t="n"/>
      <c r="F718" s="9" t="n"/>
      <c r="G718" s="9" t="n"/>
      <c r="H718" s="3">
        <f>IF(AND(D718&lt;&gt;"",F718&lt;&gt;""),F718-D718-G718,"")</f>
        <v/>
      </c>
      <c r="I718" s="14">
        <f>IF(E718&lt;&gt;"", YEARFRAC(C718, E718) * 12, "")</f>
        <v/>
      </c>
      <c r="J718" s="2">
        <f>IF(I718="", "", IF(AND(A718="MF (Equity)", I718&gt;12), "Long Term", "Short Term"))</f>
        <v/>
      </c>
      <c r="K718" s="5">
        <f>IF(J718="", "", IF(J718="Long Term", 12.5%, 20%))</f>
        <v/>
      </c>
      <c r="L718" s="3">
        <f>+IFERROR(IF(J718="","",H718*K718),"")</f>
        <v/>
      </c>
    </row>
    <row r="719">
      <c r="A719" s="11" t="n"/>
      <c r="B719" s="7" t="n"/>
      <c r="C719" s="8" t="n"/>
      <c r="D719" s="9" t="n"/>
      <c r="E719" s="8" t="n"/>
      <c r="F719" s="9" t="n"/>
      <c r="G719" s="9" t="n"/>
      <c r="H719" s="3">
        <f>IF(AND(D719&lt;&gt;"",F719&lt;&gt;""),F719-D719-G719,"")</f>
        <v/>
      </c>
      <c r="I719" s="14">
        <f>IF(E719&lt;&gt;"", YEARFRAC(C719, E719) * 12, "")</f>
        <v/>
      </c>
      <c r="J719" s="2">
        <f>IF(I719="", "", IF(AND(A719="MF (Equity)", I719&gt;12), "Long Term", "Short Term"))</f>
        <v/>
      </c>
      <c r="K719" s="5">
        <f>IF(J719="", "", IF(J719="Long Term", 12.5%, 20%))</f>
        <v/>
      </c>
      <c r="L719" s="3">
        <f>+IFERROR(IF(J719="","",H719*K719),"")</f>
        <v/>
      </c>
    </row>
    <row r="720">
      <c r="A720" s="11" t="n"/>
      <c r="B720" s="7" t="n"/>
      <c r="C720" s="8" t="n"/>
      <c r="D720" s="9" t="n"/>
      <c r="E720" s="8" t="n"/>
      <c r="F720" s="9" t="n"/>
      <c r="G720" s="9" t="n"/>
      <c r="H720" s="3">
        <f>IF(AND(D720&lt;&gt;"",F720&lt;&gt;""),F720-D720-G720,"")</f>
        <v/>
      </c>
      <c r="I720" s="14">
        <f>IF(E720&lt;&gt;"", YEARFRAC(C720, E720) * 12, "")</f>
        <v/>
      </c>
      <c r="J720" s="2">
        <f>IF(I720="", "", IF(AND(A720="MF (Equity)", I720&gt;12), "Long Term", "Short Term"))</f>
        <v/>
      </c>
      <c r="K720" s="5">
        <f>IF(J720="", "", IF(J720="Long Term", 12.5%, 20%))</f>
        <v/>
      </c>
      <c r="L720" s="3">
        <f>+IFERROR(IF(J720="","",H720*K720),"")</f>
        <v/>
      </c>
    </row>
    <row r="721">
      <c r="A721" s="11" t="n"/>
      <c r="B721" s="7" t="n"/>
      <c r="C721" s="8" t="n"/>
      <c r="D721" s="9" t="n"/>
      <c r="E721" s="8" t="n"/>
      <c r="F721" s="9" t="n"/>
      <c r="G721" s="9" t="n"/>
      <c r="H721" s="3">
        <f>IF(AND(D721&lt;&gt;"",F721&lt;&gt;""),F721-D721-G721,"")</f>
        <v/>
      </c>
      <c r="I721" s="14">
        <f>IF(E721&lt;&gt;"", YEARFRAC(C721, E721) * 12, "")</f>
        <v/>
      </c>
      <c r="J721" s="2">
        <f>IF(I721="", "", IF(AND(A721="MF (Equity)", I721&gt;12), "Long Term", "Short Term"))</f>
        <v/>
      </c>
      <c r="K721" s="5">
        <f>IF(J721="", "", IF(J721="Long Term", 12.5%, 20%))</f>
        <v/>
      </c>
      <c r="L721" s="3">
        <f>+IFERROR(IF(J721="","",H721*K721),"")</f>
        <v/>
      </c>
    </row>
    <row r="722">
      <c r="A722" s="11" t="n"/>
      <c r="B722" s="7" t="n"/>
      <c r="C722" s="8" t="n"/>
      <c r="D722" s="9" t="n"/>
      <c r="E722" s="8" t="n"/>
      <c r="F722" s="9" t="n"/>
      <c r="G722" s="9" t="n"/>
      <c r="H722" s="3">
        <f>IF(AND(D722&lt;&gt;"",F722&lt;&gt;""),F722-D722-G722,"")</f>
        <v/>
      </c>
      <c r="I722" s="14">
        <f>IF(E722&lt;&gt;"", YEARFRAC(C722, E722) * 12, "")</f>
        <v/>
      </c>
      <c r="J722" s="2">
        <f>IF(I722="", "", IF(AND(A722="MF (Equity)", I722&gt;12), "Long Term", "Short Term"))</f>
        <v/>
      </c>
      <c r="K722" s="5">
        <f>IF(J722="", "", IF(J722="Long Term", 12.5%, 20%))</f>
        <v/>
      </c>
      <c r="L722" s="3">
        <f>+IFERROR(IF(J722="","",H722*K722),"")</f>
        <v/>
      </c>
    </row>
    <row r="723">
      <c r="A723" s="11" t="n"/>
      <c r="B723" s="7" t="n"/>
      <c r="C723" s="8" t="n"/>
      <c r="D723" s="9" t="n"/>
      <c r="E723" s="8" t="n"/>
      <c r="F723" s="9" t="n"/>
      <c r="G723" s="9" t="n"/>
      <c r="H723" s="3">
        <f>IF(AND(D723&lt;&gt;"",F723&lt;&gt;""),F723-D723-G723,"")</f>
        <v/>
      </c>
      <c r="I723" s="14">
        <f>IF(E723&lt;&gt;"", YEARFRAC(C723, E723) * 12, "")</f>
        <v/>
      </c>
      <c r="J723" s="2">
        <f>IF(I723="", "", IF(AND(A723="MF (Equity)", I723&gt;12), "Long Term", "Short Term"))</f>
        <v/>
      </c>
      <c r="K723" s="5">
        <f>IF(J723="", "", IF(J723="Long Term", 12.5%, 20%))</f>
        <v/>
      </c>
      <c r="L723" s="3">
        <f>+IFERROR(IF(J723="","",H723*K723),"")</f>
        <v/>
      </c>
    </row>
    <row r="724">
      <c r="A724" s="11" t="n"/>
      <c r="B724" s="7" t="n"/>
      <c r="C724" s="8" t="n"/>
      <c r="D724" s="9" t="n"/>
      <c r="E724" s="8" t="n"/>
      <c r="F724" s="9" t="n"/>
      <c r="G724" s="9" t="n"/>
      <c r="H724" s="3">
        <f>IF(AND(D724&lt;&gt;"",F724&lt;&gt;""),F724-D724-G724,"")</f>
        <v/>
      </c>
      <c r="I724" s="14">
        <f>IF(E724&lt;&gt;"", YEARFRAC(C724, E724) * 12, "")</f>
        <v/>
      </c>
      <c r="J724" s="2">
        <f>IF(I724="", "", IF(AND(A724="MF (Equity)", I724&gt;12), "Long Term", "Short Term"))</f>
        <v/>
      </c>
      <c r="K724" s="5">
        <f>IF(J724="", "", IF(J724="Long Term", 12.5%, 20%))</f>
        <v/>
      </c>
      <c r="L724" s="3">
        <f>+IFERROR(IF(J724="","",H724*K724),"")</f>
        <v/>
      </c>
    </row>
    <row r="725">
      <c r="A725" s="11" t="n"/>
      <c r="B725" s="7" t="n"/>
      <c r="C725" s="8" t="n"/>
      <c r="D725" s="9" t="n"/>
      <c r="E725" s="8" t="n"/>
      <c r="F725" s="9" t="n"/>
      <c r="G725" s="9" t="n"/>
      <c r="H725" s="3">
        <f>IF(AND(D725&lt;&gt;"",F725&lt;&gt;""),F725-D725-G725,"")</f>
        <v/>
      </c>
      <c r="I725" s="14">
        <f>IF(E725&lt;&gt;"", YEARFRAC(C725, E725) * 12, "")</f>
        <v/>
      </c>
      <c r="J725" s="2">
        <f>IF(I725="", "", IF(AND(A725="MF (Equity)", I725&gt;12), "Long Term", "Short Term"))</f>
        <v/>
      </c>
      <c r="K725" s="5">
        <f>IF(J725="", "", IF(J725="Long Term", 12.5%, 20%))</f>
        <v/>
      </c>
      <c r="L725" s="3">
        <f>+IFERROR(IF(J725="","",H725*K725),"")</f>
        <v/>
      </c>
    </row>
    <row r="726">
      <c r="A726" s="11" t="n"/>
      <c r="B726" s="7" t="n"/>
      <c r="C726" s="8" t="n"/>
      <c r="D726" s="9" t="n"/>
      <c r="E726" s="8" t="n"/>
      <c r="F726" s="9" t="n"/>
      <c r="G726" s="9" t="n"/>
      <c r="H726" s="3">
        <f>IF(AND(D726&lt;&gt;"",F726&lt;&gt;""),F726-D726-G726,"")</f>
        <v/>
      </c>
      <c r="I726" s="14">
        <f>IF(E726&lt;&gt;"", YEARFRAC(C726, E726) * 12, "")</f>
        <v/>
      </c>
      <c r="J726" s="2">
        <f>IF(I726="", "", IF(AND(A726="MF (Equity)", I726&gt;12), "Long Term", "Short Term"))</f>
        <v/>
      </c>
      <c r="K726" s="5">
        <f>IF(J726="", "", IF(J726="Long Term", 12.5%, 20%))</f>
        <v/>
      </c>
      <c r="L726" s="3">
        <f>+IFERROR(IF(J726="","",H726*K726),"")</f>
        <v/>
      </c>
    </row>
    <row r="727">
      <c r="A727" s="11" t="n"/>
      <c r="B727" s="7" t="n"/>
      <c r="C727" s="8" t="n"/>
      <c r="D727" s="9" t="n"/>
      <c r="E727" s="8" t="n"/>
      <c r="F727" s="9" t="n"/>
      <c r="G727" s="9" t="n"/>
      <c r="H727" s="3">
        <f>IF(AND(D727&lt;&gt;"",F727&lt;&gt;""),F727-D727-G727,"")</f>
        <v/>
      </c>
      <c r="I727" s="14">
        <f>IF(E727&lt;&gt;"", YEARFRAC(C727, E727) * 12, "")</f>
        <v/>
      </c>
      <c r="J727" s="2">
        <f>IF(I727="", "", IF(AND(A727="MF (Equity)", I727&gt;12), "Long Term", "Short Term"))</f>
        <v/>
      </c>
      <c r="K727" s="5">
        <f>IF(J727="", "", IF(J727="Long Term", 12.5%, 20%))</f>
        <v/>
      </c>
      <c r="L727" s="3">
        <f>+IFERROR(IF(J727="","",H727*K727),"")</f>
        <v/>
      </c>
    </row>
    <row r="728">
      <c r="A728" s="11" t="n"/>
      <c r="B728" s="7" t="n"/>
      <c r="C728" s="8" t="n"/>
      <c r="D728" s="9" t="n"/>
      <c r="E728" s="8" t="n"/>
      <c r="F728" s="9" t="n"/>
      <c r="G728" s="9" t="n"/>
      <c r="H728" s="3">
        <f>IF(AND(D728&lt;&gt;"",F728&lt;&gt;""),F728-D728-G728,"")</f>
        <v/>
      </c>
      <c r="I728" s="14">
        <f>IF(E728&lt;&gt;"", YEARFRAC(C728, E728) * 12, "")</f>
        <v/>
      </c>
      <c r="J728" s="2">
        <f>IF(I728="", "", IF(AND(A728="MF (Equity)", I728&gt;12), "Long Term", "Short Term"))</f>
        <v/>
      </c>
      <c r="K728" s="5">
        <f>IF(J728="", "", IF(J728="Long Term", 12.5%, 20%))</f>
        <v/>
      </c>
      <c r="L728" s="3">
        <f>+IFERROR(IF(J728="","",H728*K728),"")</f>
        <v/>
      </c>
    </row>
    <row r="729">
      <c r="A729" s="11" t="n"/>
      <c r="B729" s="7" t="n"/>
      <c r="C729" s="8" t="n"/>
      <c r="D729" s="9" t="n"/>
      <c r="E729" s="8" t="n"/>
      <c r="F729" s="9" t="n"/>
      <c r="G729" s="9" t="n"/>
      <c r="H729" s="3">
        <f>IF(AND(D729&lt;&gt;"",F729&lt;&gt;""),F729-D729-G729,"")</f>
        <v/>
      </c>
      <c r="I729" s="14">
        <f>IF(E729&lt;&gt;"", YEARFRAC(C729, E729) * 12, "")</f>
        <v/>
      </c>
      <c r="J729" s="2">
        <f>IF(I729="", "", IF(AND(A729="MF (Equity)", I729&gt;12), "Long Term", "Short Term"))</f>
        <v/>
      </c>
      <c r="K729" s="5">
        <f>IF(J729="", "", IF(J729="Long Term", 12.5%, 20%))</f>
        <v/>
      </c>
      <c r="L729" s="3">
        <f>+IFERROR(IF(J729="","",H729*K729),"")</f>
        <v/>
      </c>
    </row>
    <row r="730">
      <c r="A730" s="11" t="n"/>
      <c r="B730" s="7" t="n"/>
      <c r="C730" s="8" t="n"/>
      <c r="D730" s="9" t="n"/>
      <c r="E730" s="8" t="n"/>
      <c r="F730" s="9" t="n"/>
      <c r="G730" s="9" t="n"/>
      <c r="H730" s="3">
        <f>IF(AND(D730&lt;&gt;"",F730&lt;&gt;""),F730-D730-G730,"")</f>
        <v/>
      </c>
      <c r="I730" s="14">
        <f>IF(E730&lt;&gt;"", YEARFRAC(C730, E730) * 12, "")</f>
        <v/>
      </c>
      <c r="J730" s="2">
        <f>IF(I730="", "", IF(AND(A730="MF (Equity)", I730&gt;12), "Long Term", "Short Term"))</f>
        <v/>
      </c>
      <c r="K730" s="5">
        <f>IF(J730="", "", IF(J730="Long Term", 12.5%, 20%))</f>
        <v/>
      </c>
      <c r="L730" s="3">
        <f>+IFERROR(IF(J730="","",H730*K730),"")</f>
        <v/>
      </c>
    </row>
    <row r="731">
      <c r="A731" s="11" t="n"/>
      <c r="B731" s="7" t="n"/>
      <c r="C731" s="8" t="n"/>
      <c r="D731" s="9" t="n"/>
      <c r="E731" s="8" t="n"/>
      <c r="F731" s="9" t="n"/>
      <c r="G731" s="9" t="n"/>
      <c r="H731" s="3">
        <f>IF(AND(D731&lt;&gt;"",F731&lt;&gt;""),F731-D731-G731,"")</f>
        <v/>
      </c>
      <c r="I731" s="14">
        <f>IF(E731&lt;&gt;"", YEARFRAC(C731, E731) * 12, "")</f>
        <v/>
      </c>
      <c r="J731" s="2">
        <f>IF(I731="", "", IF(AND(A731="MF (Equity)", I731&gt;12), "Long Term", "Short Term"))</f>
        <v/>
      </c>
      <c r="K731" s="5">
        <f>IF(J731="", "", IF(J731="Long Term", 12.5%, 20%))</f>
        <v/>
      </c>
      <c r="L731" s="3">
        <f>+IFERROR(IF(J731="","",H731*K731),"")</f>
        <v/>
      </c>
    </row>
    <row r="732">
      <c r="A732" s="11" t="n"/>
      <c r="B732" s="7" t="n"/>
      <c r="C732" s="8" t="n"/>
      <c r="D732" s="9" t="n"/>
      <c r="E732" s="8" t="n"/>
      <c r="F732" s="9" t="n"/>
      <c r="G732" s="9" t="n"/>
      <c r="H732" s="3">
        <f>IF(AND(D732&lt;&gt;"",F732&lt;&gt;""),F732-D732-G732,"")</f>
        <v/>
      </c>
      <c r="I732" s="14">
        <f>IF(E732&lt;&gt;"", YEARFRAC(C732, E732) * 12, "")</f>
        <v/>
      </c>
      <c r="J732" s="2">
        <f>IF(I732="", "", IF(AND(A732="MF (Equity)", I732&gt;12), "Long Term", "Short Term"))</f>
        <v/>
      </c>
      <c r="K732" s="5">
        <f>IF(J732="", "", IF(J732="Long Term", 12.5%, 20%))</f>
        <v/>
      </c>
      <c r="L732" s="3">
        <f>+IFERROR(IF(J732="","",H732*K732),"")</f>
        <v/>
      </c>
    </row>
    <row r="733">
      <c r="A733" s="11" t="n"/>
      <c r="B733" s="7" t="n"/>
      <c r="C733" s="8" t="n"/>
      <c r="D733" s="9" t="n"/>
      <c r="E733" s="8" t="n"/>
      <c r="F733" s="9" t="n"/>
      <c r="G733" s="9" t="n"/>
      <c r="H733" s="3">
        <f>IF(AND(D733&lt;&gt;"",F733&lt;&gt;""),F733-D733-G733,"")</f>
        <v/>
      </c>
      <c r="I733" s="14">
        <f>IF(E733&lt;&gt;"", YEARFRAC(C733, E733) * 12, "")</f>
        <v/>
      </c>
      <c r="J733" s="2">
        <f>IF(I733="", "", IF(AND(A733="MF (Equity)", I733&gt;12), "Long Term", "Short Term"))</f>
        <v/>
      </c>
      <c r="K733" s="5">
        <f>IF(J733="", "", IF(J733="Long Term", 12.5%, 20%))</f>
        <v/>
      </c>
      <c r="L733" s="3">
        <f>+IFERROR(IF(J733="","",H733*K733),"")</f>
        <v/>
      </c>
    </row>
    <row r="734">
      <c r="A734" s="11" t="n"/>
      <c r="B734" s="7" t="n"/>
      <c r="C734" s="8" t="n"/>
      <c r="D734" s="9" t="n"/>
      <c r="E734" s="8" t="n"/>
      <c r="F734" s="9" t="n"/>
      <c r="G734" s="9" t="n"/>
      <c r="H734" s="3">
        <f>IF(AND(D734&lt;&gt;"",F734&lt;&gt;""),F734-D734-G734,"")</f>
        <v/>
      </c>
      <c r="I734" s="14">
        <f>IF(E734&lt;&gt;"", YEARFRAC(C734, E734) * 12, "")</f>
        <v/>
      </c>
      <c r="J734" s="2">
        <f>IF(I734="", "", IF(AND(A734="MF (Equity)", I734&gt;12), "Long Term", "Short Term"))</f>
        <v/>
      </c>
      <c r="K734" s="5">
        <f>IF(J734="", "", IF(J734="Long Term", 12.5%, 20%))</f>
        <v/>
      </c>
      <c r="L734" s="3">
        <f>+IFERROR(IF(J734="","",H734*K734),"")</f>
        <v/>
      </c>
    </row>
    <row r="735">
      <c r="A735" s="11" t="n"/>
      <c r="B735" s="7" t="n"/>
      <c r="C735" s="8" t="n"/>
      <c r="D735" s="9" t="n"/>
      <c r="E735" s="8" t="n"/>
      <c r="F735" s="9" t="n"/>
      <c r="G735" s="9" t="n"/>
      <c r="H735" s="3">
        <f>IF(AND(D735&lt;&gt;"",F735&lt;&gt;""),F735-D735-G735,"")</f>
        <v/>
      </c>
      <c r="I735" s="14">
        <f>IF(E735&lt;&gt;"", YEARFRAC(C735, E735) * 12, "")</f>
        <v/>
      </c>
      <c r="J735" s="2">
        <f>IF(I735="", "", IF(AND(A735="MF (Equity)", I735&gt;12), "Long Term", "Short Term"))</f>
        <v/>
      </c>
      <c r="K735" s="5">
        <f>IF(J735="", "", IF(J735="Long Term", 12.5%, 20%))</f>
        <v/>
      </c>
      <c r="L735" s="3">
        <f>+IFERROR(IF(J735="","",H735*K735),"")</f>
        <v/>
      </c>
    </row>
    <row r="736">
      <c r="A736" s="11" t="n"/>
      <c r="B736" s="7" t="n"/>
      <c r="C736" s="8" t="n"/>
      <c r="D736" s="9" t="n"/>
      <c r="E736" s="8" t="n"/>
      <c r="F736" s="9" t="n"/>
      <c r="G736" s="9" t="n"/>
      <c r="H736" s="3">
        <f>IF(AND(D736&lt;&gt;"",F736&lt;&gt;""),F736-D736-G736,"")</f>
        <v/>
      </c>
      <c r="I736" s="14">
        <f>IF(E736&lt;&gt;"", YEARFRAC(C736, E736) * 12, "")</f>
        <v/>
      </c>
      <c r="J736" s="2">
        <f>IF(I736="", "", IF(AND(A736="MF (Equity)", I736&gt;12), "Long Term", "Short Term"))</f>
        <v/>
      </c>
      <c r="K736" s="5">
        <f>IF(J736="", "", IF(J736="Long Term", 12.5%, 20%))</f>
        <v/>
      </c>
      <c r="L736" s="3">
        <f>+IFERROR(IF(J736="","",H736*K736),"")</f>
        <v/>
      </c>
    </row>
    <row r="737">
      <c r="A737" s="11" t="n"/>
      <c r="B737" s="7" t="n"/>
      <c r="C737" s="8" t="n"/>
      <c r="D737" s="9" t="n"/>
      <c r="E737" s="8" t="n"/>
      <c r="F737" s="9" t="n"/>
      <c r="G737" s="9" t="n"/>
      <c r="H737" s="3">
        <f>IF(AND(D737&lt;&gt;"",F737&lt;&gt;""),F737-D737-G737,"")</f>
        <v/>
      </c>
      <c r="I737" s="14">
        <f>IF(E737&lt;&gt;"", YEARFRAC(C737, E737) * 12, "")</f>
        <v/>
      </c>
      <c r="J737" s="2">
        <f>IF(I737="", "", IF(AND(A737="MF (Equity)", I737&gt;12), "Long Term", "Short Term"))</f>
        <v/>
      </c>
      <c r="K737" s="5">
        <f>IF(J737="", "", IF(J737="Long Term", 12.5%, 20%))</f>
        <v/>
      </c>
      <c r="L737" s="3">
        <f>+IFERROR(IF(J737="","",H737*K737),"")</f>
        <v/>
      </c>
    </row>
    <row r="738">
      <c r="A738" s="11" t="n"/>
      <c r="B738" s="7" t="n"/>
      <c r="C738" s="8" t="n"/>
      <c r="D738" s="9" t="n"/>
      <c r="E738" s="8" t="n"/>
      <c r="F738" s="9" t="n"/>
      <c r="G738" s="9" t="n"/>
      <c r="H738" s="3">
        <f>IF(AND(D738&lt;&gt;"",F738&lt;&gt;""),F738-D738-G738,"")</f>
        <v/>
      </c>
      <c r="I738" s="14">
        <f>IF(E738&lt;&gt;"", YEARFRAC(C738, E738) * 12, "")</f>
        <v/>
      </c>
      <c r="J738" s="2">
        <f>IF(I738="", "", IF(AND(A738="MF (Equity)", I738&gt;12), "Long Term", "Short Term"))</f>
        <v/>
      </c>
      <c r="K738" s="5">
        <f>IF(J738="", "", IF(J738="Long Term", 12.5%, 20%))</f>
        <v/>
      </c>
      <c r="L738" s="3">
        <f>+IFERROR(IF(J738="","",H738*K738),"")</f>
        <v/>
      </c>
    </row>
    <row r="739">
      <c r="A739" s="11" t="n"/>
      <c r="B739" s="7" t="n"/>
      <c r="C739" s="8" t="n"/>
      <c r="D739" s="9" t="n"/>
      <c r="E739" s="8" t="n"/>
      <c r="F739" s="9" t="n"/>
      <c r="G739" s="9" t="n"/>
      <c r="H739" s="3">
        <f>IF(AND(D739&lt;&gt;"",F739&lt;&gt;""),F739-D739-G739,"")</f>
        <v/>
      </c>
      <c r="I739" s="14">
        <f>IF(E739&lt;&gt;"", YEARFRAC(C739, E739) * 12, "")</f>
        <v/>
      </c>
      <c r="J739" s="2">
        <f>IF(I739="", "", IF(AND(A739="MF (Equity)", I739&gt;12), "Long Term", "Short Term"))</f>
        <v/>
      </c>
      <c r="K739" s="5">
        <f>IF(J739="", "", IF(J739="Long Term", 12.5%, 20%))</f>
        <v/>
      </c>
      <c r="L739" s="3">
        <f>+IFERROR(IF(J739="","",H739*K739),"")</f>
        <v/>
      </c>
    </row>
    <row r="740">
      <c r="A740" s="11" t="n"/>
      <c r="B740" s="7" t="n"/>
      <c r="C740" s="8" t="n"/>
      <c r="D740" s="9" t="n"/>
      <c r="E740" s="8" t="n"/>
      <c r="F740" s="9" t="n"/>
      <c r="G740" s="9" t="n"/>
      <c r="H740" s="3">
        <f>IF(AND(D740&lt;&gt;"",F740&lt;&gt;""),F740-D740-G740,"")</f>
        <v/>
      </c>
      <c r="I740" s="14">
        <f>IF(E740&lt;&gt;"", YEARFRAC(C740, E740) * 12, "")</f>
        <v/>
      </c>
      <c r="J740" s="2">
        <f>IF(I740="", "", IF(AND(A740="MF (Equity)", I740&gt;12), "Long Term", "Short Term"))</f>
        <v/>
      </c>
      <c r="K740" s="5">
        <f>IF(J740="", "", IF(J740="Long Term", 12.5%, 20%))</f>
        <v/>
      </c>
      <c r="L740" s="3">
        <f>+IFERROR(IF(J740="","",H740*K740),"")</f>
        <v/>
      </c>
    </row>
    <row r="741">
      <c r="A741" s="11" t="n"/>
      <c r="B741" s="7" t="n"/>
      <c r="C741" s="8" t="n"/>
      <c r="D741" s="9" t="n"/>
      <c r="E741" s="8" t="n"/>
      <c r="F741" s="9" t="n"/>
      <c r="G741" s="9" t="n"/>
      <c r="H741" s="3">
        <f>IF(AND(D741&lt;&gt;"",F741&lt;&gt;""),F741-D741-G741,"")</f>
        <v/>
      </c>
      <c r="I741" s="14">
        <f>IF(E741&lt;&gt;"", YEARFRAC(C741, E741) * 12, "")</f>
        <v/>
      </c>
      <c r="J741" s="2">
        <f>IF(I741="", "", IF(AND(A741="MF (Equity)", I741&gt;12), "Long Term", "Short Term"))</f>
        <v/>
      </c>
      <c r="K741" s="5">
        <f>IF(J741="", "", IF(J741="Long Term", 12.5%, 20%))</f>
        <v/>
      </c>
      <c r="L741" s="3">
        <f>+IFERROR(IF(J741="","",H741*K741),"")</f>
        <v/>
      </c>
    </row>
    <row r="742">
      <c r="A742" s="11" t="n"/>
      <c r="B742" s="7" t="n"/>
      <c r="C742" s="8" t="n"/>
      <c r="D742" s="9" t="n"/>
      <c r="E742" s="8" t="n"/>
      <c r="F742" s="9" t="n"/>
      <c r="G742" s="9" t="n"/>
      <c r="H742" s="3">
        <f>IF(AND(D742&lt;&gt;"",F742&lt;&gt;""),F742-D742-G742,"")</f>
        <v/>
      </c>
      <c r="I742" s="14">
        <f>IF(E742&lt;&gt;"", YEARFRAC(C742, E742) * 12, "")</f>
        <v/>
      </c>
      <c r="J742" s="2">
        <f>IF(I742="", "", IF(AND(A742="MF (Equity)", I742&gt;12), "Long Term", "Short Term"))</f>
        <v/>
      </c>
      <c r="K742" s="5">
        <f>IF(J742="", "", IF(J742="Long Term", 12.5%, 20%))</f>
        <v/>
      </c>
      <c r="L742" s="3">
        <f>+IFERROR(IF(J742="","",H742*K742),"")</f>
        <v/>
      </c>
    </row>
    <row r="743">
      <c r="A743" s="11" t="n"/>
      <c r="B743" s="7" t="n"/>
      <c r="C743" s="8" t="n"/>
      <c r="D743" s="9" t="n"/>
      <c r="E743" s="8" t="n"/>
      <c r="F743" s="9" t="n"/>
      <c r="G743" s="9" t="n"/>
      <c r="H743" s="3">
        <f>IF(AND(D743&lt;&gt;"",F743&lt;&gt;""),F743-D743-G743,"")</f>
        <v/>
      </c>
      <c r="I743" s="14">
        <f>IF(E743&lt;&gt;"", YEARFRAC(C743, E743) * 12, "")</f>
        <v/>
      </c>
      <c r="J743" s="2">
        <f>IF(I743="", "", IF(AND(A743="MF (Equity)", I743&gt;12), "Long Term", "Short Term"))</f>
        <v/>
      </c>
      <c r="K743" s="5">
        <f>IF(J743="", "", IF(J743="Long Term", 12.5%, 20%))</f>
        <v/>
      </c>
      <c r="L743" s="3">
        <f>+IFERROR(IF(J743="","",H743*K743),"")</f>
        <v/>
      </c>
    </row>
    <row r="744">
      <c r="A744" s="11" t="n"/>
      <c r="B744" s="7" t="n"/>
      <c r="C744" s="8" t="n"/>
      <c r="D744" s="9" t="n"/>
      <c r="E744" s="8" t="n"/>
      <c r="F744" s="9" t="n"/>
      <c r="G744" s="9" t="n"/>
      <c r="H744" s="3">
        <f>IF(AND(D744&lt;&gt;"",F744&lt;&gt;""),F744-D744-G744,"")</f>
        <v/>
      </c>
      <c r="I744" s="14">
        <f>IF(E744&lt;&gt;"", YEARFRAC(C744, E744) * 12, "")</f>
        <v/>
      </c>
      <c r="J744" s="2">
        <f>IF(I744="", "", IF(AND(A744="MF (Equity)", I744&gt;12), "Long Term", "Short Term"))</f>
        <v/>
      </c>
      <c r="K744" s="5">
        <f>IF(J744="", "", IF(J744="Long Term", 12.5%, 20%))</f>
        <v/>
      </c>
      <c r="L744" s="3">
        <f>+IFERROR(IF(J744="","",H744*K744),"")</f>
        <v/>
      </c>
    </row>
    <row r="745">
      <c r="A745" s="11" t="n"/>
      <c r="B745" s="7" t="n"/>
      <c r="C745" s="8" t="n"/>
      <c r="D745" s="9" t="n"/>
      <c r="E745" s="8" t="n"/>
      <c r="F745" s="9" t="n"/>
      <c r="G745" s="9" t="n"/>
      <c r="H745" s="3">
        <f>IF(AND(D745&lt;&gt;"",F745&lt;&gt;""),F745-D745-G745,"")</f>
        <v/>
      </c>
      <c r="I745" s="14">
        <f>IF(E745&lt;&gt;"", YEARFRAC(C745, E745) * 12, "")</f>
        <v/>
      </c>
      <c r="J745" s="2">
        <f>IF(I745="", "", IF(AND(A745="MF (Equity)", I745&gt;12), "Long Term", "Short Term"))</f>
        <v/>
      </c>
      <c r="K745" s="5">
        <f>IF(J745="", "", IF(J745="Long Term", 12.5%, 20%))</f>
        <v/>
      </c>
      <c r="L745" s="3">
        <f>+IFERROR(IF(J745="","",H745*K745),"")</f>
        <v/>
      </c>
    </row>
    <row r="746">
      <c r="A746" s="11" t="n"/>
      <c r="B746" s="7" t="n"/>
      <c r="C746" s="8" t="n"/>
      <c r="D746" s="9" t="n"/>
      <c r="E746" s="8" t="n"/>
      <c r="F746" s="9" t="n"/>
      <c r="G746" s="9" t="n"/>
      <c r="H746" s="3">
        <f>IF(AND(D746&lt;&gt;"",F746&lt;&gt;""),F746-D746-G746,"")</f>
        <v/>
      </c>
      <c r="I746" s="14">
        <f>IF(E746&lt;&gt;"", YEARFRAC(C746, E746) * 12, "")</f>
        <v/>
      </c>
      <c r="J746" s="2">
        <f>IF(I746="", "", IF(AND(A746="MF (Equity)", I746&gt;12), "Long Term", "Short Term"))</f>
        <v/>
      </c>
      <c r="K746" s="5">
        <f>IF(J746="", "", IF(J746="Long Term", 12.5%, 20%))</f>
        <v/>
      </c>
      <c r="L746" s="3">
        <f>+IFERROR(IF(J746="","",H746*K746),"")</f>
        <v/>
      </c>
    </row>
    <row r="747">
      <c r="A747" s="11" t="n"/>
      <c r="B747" s="7" t="n"/>
      <c r="C747" s="8" t="n"/>
      <c r="D747" s="9" t="n"/>
      <c r="E747" s="8" t="n"/>
      <c r="F747" s="9" t="n"/>
      <c r="G747" s="9" t="n"/>
      <c r="H747" s="3">
        <f>IF(AND(D747&lt;&gt;"",F747&lt;&gt;""),F747-D747-G747,"")</f>
        <v/>
      </c>
      <c r="I747" s="14">
        <f>IF(E747&lt;&gt;"", YEARFRAC(C747, E747) * 12, "")</f>
        <v/>
      </c>
      <c r="J747" s="2">
        <f>IF(I747="", "", IF(AND(A747="MF (Equity)", I747&gt;12), "Long Term", "Short Term"))</f>
        <v/>
      </c>
      <c r="K747" s="5">
        <f>IF(J747="", "", IF(J747="Long Term", 12.5%, 20%))</f>
        <v/>
      </c>
      <c r="L747" s="3">
        <f>+IFERROR(IF(J747="","",H747*K747),"")</f>
        <v/>
      </c>
    </row>
    <row r="748">
      <c r="A748" s="11" t="n"/>
      <c r="B748" s="7" t="n"/>
      <c r="C748" s="8" t="n"/>
      <c r="D748" s="9" t="n"/>
      <c r="E748" s="8" t="n"/>
      <c r="F748" s="9" t="n"/>
      <c r="G748" s="9" t="n"/>
      <c r="H748" s="3">
        <f>IF(AND(D748&lt;&gt;"",F748&lt;&gt;""),F748-D748-G748,"")</f>
        <v/>
      </c>
      <c r="I748" s="14">
        <f>IF(E748&lt;&gt;"", YEARFRAC(C748, E748) * 12, "")</f>
        <v/>
      </c>
      <c r="J748" s="2">
        <f>IF(I748="", "", IF(AND(A748="MF (Equity)", I748&gt;12), "Long Term", "Short Term"))</f>
        <v/>
      </c>
      <c r="K748" s="5">
        <f>IF(J748="", "", IF(J748="Long Term", 12.5%, 20%))</f>
        <v/>
      </c>
      <c r="L748" s="3">
        <f>+IFERROR(IF(J748="","",H748*K748),"")</f>
        <v/>
      </c>
    </row>
    <row r="749">
      <c r="A749" s="11" t="n"/>
      <c r="B749" s="7" t="n"/>
      <c r="C749" s="8" t="n"/>
      <c r="D749" s="9" t="n"/>
      <c r="E749" s="8" t="n"/>
      <c r="F749" s="9" t="n"/>
      <c r="G749" s="9" t="n"/>
      <c r="H749" s="3">
        <f>IF(AND(D749&lt;&gt;"",F749&lt;&gt;""),F749-D749-G749,"")</f>
        <v/>
      </c>
      <c r="I749" s="14">
        <f>IF(E749&lt;&gt;"", YEARFRAC(C749, E749) * 12, "")</f>
        <v/>
      </c>
      <c r="J749" s="2">
        <f>IF(I749="", "", IF(AND(A749="MF (Equity)", I749&gt;12), "Long Term", "Short Term"))</f>
        <v/>
      </c>
      <c r="K749" s="5">
        <f>IF(J749="", "", IF(J749="Long Term", 12.5%, 20%))</f>
        <v/>
      </c>
      <c r="L749" s="3">
        <f>+IFERROR(IF(J749="","",H749*K749),"")</f>
        <v/>
      </c>
    </row>
    <row r="750">
      <c r="A750" s="11" t="n"/>
      <c r="B750" s="7" t="n"/>
      <c r="C750" s="8" t="n"/>
      <c r="D750" s="9" t="n"/>
      <c r="E750" s="8" t="n"/>
      <c r="F750" s="9" t="n"/>
      <c r="G750" s="9" t="n"/>
      <c r="H750" s="3">
        <f>IF(AND(D750&lt;&gt;"",F750&lt;&gt;""),F750-D750-G750,"")</f>
        <v/>
      </c>
      <c r="I750" s="14">
        <f>IF(E750&lt;&gt;"", YEARFRAC(C750, E750) * 12, "")</f>
        <v/>
      </c>
      <c r="J750" s="2">
        <f>IF(I750="", "", IF(AND(A750="MF (Equity)", I750&gt;12), "Long Term", "Short Term"))</f>
        <v/>
      </c>
      <c r="K750" s="5">
        <f>IF(J750="", "", IF(J750="Long Term", 12.5%, 20%))</f>
        <v/>
      </c>
      <c r="L750" s="3">
        <f>+IFERROR(IF(J750="","",H750*K750),"")</f>
        <v/>
      </c>
    </row>
    <row r="751">
      <c r="A751" s="11" t="n"/>
      <c r="B751" s="7" t="n"/>
      <c r="C751" s="8" t="n"/>
      <c r="D751" s="9" t="n"/>
      <c r="E751" s="8" t="n"/>
      <c r="F751" s="9" t="n"/>
      <c r="G751" s="9" t="n"/>
      <c r="H751" s="3">
        <f>IF(AND(D751&lt;&gt;"",F751&lt;&gt;""),F751-D751-G751,"")</f>
        <v/>
      </c>
      <c r="I751" s="14">
        <f>IF(E751&lt;&gt;"", YEARFRAC(C751, E751) * 12, "")</f>
        <v/>
      </c>
      <c r="J751" s="2">
        <f>IF(I751="", "", IF(AND(A751="MF (Equity)", I751&gt;12), "Long Term", "Short Term"))</f>
        <v/>
      </c>
      <c r="K751" s="5">
        <f>IF(J751="", "", IF(J751="Long Term", 12.5%, 20%))</f>
        <v/>
      </c>
      <c r="L751" s="3">
        <f>+IFERROR(IF(J751="","",H751*K751),"")</f>
        <v/>
      </c>
    </row>
    <row r="752">
      <c r="A752" s="11" t="n"/>
      <c r="B752" s="7" t="n"/>
      <c r="C752" s="8" t="n"/>
      <c r="D752" s="9" t="n"/>
      <c r="E752" s="8" t="n"/>
      <c r="F752" s="9" t="n"/>
      <c r="G752" s="9" t="n"/>
      <c r="H752" s="3">
        <f>IF(AND(D752&lt;&gt;"",F752&lt;&gt;""),F752-D752-G752,"")</f>
        <v/>
      </c>
      <c r="I752" s="14">
        <f>IF(E752&lt;&gt;"", YEARFRAC(C752, E752) * 12, "")</f>
        <v/>
      </c>
      <c r="J752" s="2">
        <f>IF(I752="", "", IF(AND(A752="MF (Equity)", I752&gt;12), "Long Term", "Short Term"))</f>
        <v/>
      </c>
      <c r="K752" s="5">
        <f>IF(J752="", "", IF(J752="Long Term", 12.5%, 20%))</f>
        <v/>
      </c>
      <c r="L752" s="3">
        <f>+IFERROR(IF(J752="","",H752*K752),"")</f>
        <v/>
      </c>
    </row>
    <row r="753">
      <c r="A753" s="11" t="n"/>
      <c r="B753" s="7" t="n"/>
      <c r="C753" s="8" t="n"/>
      <c r="D753" s="9" t="n"/>
      <c r="E753" s="8" t="n"/>
      <c r="F753" s="9" t="n"/>
      <c r="G753" s="9" t="n"/>
      <c r="H753" s="3">
        <f>IF(AND(D753&lt;&gt;"",F753&lt;&gt;""),F753-D753-G753,"")</f>
        <v/>
      </c>
      <c r="I753" s="14">
        <f>IF(E753&lt;&gt;"", YEARFRAC(C753, E753) * 12, "")</f>
        <v/>
      </c>
      <c r="J753" s="2">
        <f>IF(I753="", "", IF(AND(A753="MF (Equity)", I753&gt;12), "Long Term", "Short Term"))</f>
        <v/>
      </c>
      <c r="K753" s="5">
        <f>IF(J753="", "", IF(J753="Long Term", 12.5%, 20%))</f>
        <v/>
      </c>
      <c r="L753" s="3">
        <f>+IFERROR(IF(J753="","",H753*K753),"")</f>
        <v/>
      </c>
    </row>
    <row r="754">
      <c r="A754" s="11" t="n"/>
      <c r="B754" s="7" t="n"/>
      <c r="C754" s="8" t="n"/>
      <c r="D754" s="9" t="n"/>
      <c r="E754" s="8" t="n"/>
      <c r="F754" s="9" t="n"/>
      <c r="G754" s="9" t="n"/>
      <c r="H754" s="3">
        <f>IF(AND(D754&lt;&gt;"",F754&lt;&gt;""),F754-D754-G754,"")</f>
        <v/>
      </c>
      <c r="I754" s="14">
        <f>IF(E754&lt;&gt;"", YEARFRAC(C754, E754) * 12, "")</f>
        <v/>
      </c>
      <c r="J754" s="2">
        <f>IF(I754="", "", IF(AND(A754="MF (Equity)", I754&gt;12), "Long Term", "Short Term"))</f>
        <v/>
      </c>
      <c r="K754" s="5">
        <f>IF(J754="", "", IF(J754="Long Term", 12.5%, 20%))</f>
        <v/>
      </c>
      <c r="L754" s="3">
        <f>+IFERROR(IF(J754="","",H754*K754),"")</f>
        <v/>
      </c>
    </row>
    <row r="755">
      <c r="A755" s="11" t="n"/>
      <c r="B755" s="7" t="n"/>
      <c r="C755" s="8" t="n"/>
      <c r="D755" s="9" t="n"/>
      <c r="E755" s="8" t="n"/>
      <c r="F755" s="9" t="n"/>
      <c r="G755" s="9" t="n"/>
      <c r="H755" s="3">
        <f>IF(AND(D755&lt;&gt;"",F755&lt;&gt;""),F755-D755-G755,"")</f>
        <v/>
      </c>
      <c r="I755" s="14">
        <f>IF(E755&lt;&gt;"", YEARFRAC(C755, E755) * 12, "")</f>
        <v/>
      </c>
      <c r="J755" s="2">
        <f>IF(I755="", "", IF(AND(A755="MF (Equity)", I755&gt;12), "Long Term", "Short Term"))</f>
        <v/>
      </c>
      <c r="K755" s="5">
        <f>IF(J755="", "", IF(J755="Long Term", 12.5%, 20%))</f>
        <v/>
      </c>
      <c r="L755" s="3">
        <f>+IFERROR(IF(J755="","",H755*K755),"")</f>
        <v/>
      </c>
    </row>
    <row r="756">
      <c r="A756" s="11" t="n"/>
      <c r="B756" s="7" t="n"/>
      <c r="C756" s="8" t="n"/>
      <c r="D756" s="9" t="n"/>
      <c r="E756" s="8" t="n"/>
      <c r="F756" s="9" t="n"/>
      <c r="G756" s="9" t="n"/>
      <c r="H756" s="3">
        <f>IF(AND(D756&lt;&gt;"",F756&lt;&gt;""),F756-D756-G756,"")</f>
        <v/>
      </c>
      <c r="I756" s="14">
        <f>IF(E756&lt;&gt;"", YEARFRAC(C756, E756) * 12, "")</f>
        <v/>
      </c>
      <c r="J756" s="2">
        <f>IF(I756="", "", IF(AND(A756="MF (Equity)", I756&gt;12), "Long Term", "Short Term"))</f>
        <v/>
      </c>
      <c r="K756" s="5">
        <f>IF(J756="", "", IF(J756="Long Term", 12.5%, 20%))</f>
        <v/>
      </c>
      <c r="L756" s="3">
        <f>+IFERROR(IF(J756="","",H756*K756),"")</f>
        <v/>
      </c>
    </row>
    <row r="757">
      <c r="A757" s="11" t="n"/>
      <c r="B757" s="7" t="n"/>
      <c r="C757" s="8" t="n"/>
      <c r="D757" s="9" t="n"/>
      <c r="E757" s="8" t="n"/>
      <c r="F757" s="9" t="n"/>
      <c r="G757" s="9" t="n"/>
      <c r="H757" s="3">
        <f>IF(AND(D757&lt;&gt;"",F757&lt;&gt;""),F757-D757-G757,"")</f>
        <v/>
      </c>
      <c r="I757" s="14">
        <f>IF(E757&lt;&gt;"", YEARFRAC(C757, E757) * 12, "")</f>
        <v/>
      </c>
      <c r="J757" s="2">
        <f>IF(I757="", "", IF(AND(A757="MF (Equity)", I757&gt;12), "Long Term", "Short Term"))</f>
        <v/>
      </c>
      <c r="K757" s="5">
        <f>IF(J757="", "", IF(J757="Long Term", 12.5%, 20%))</f>
        <v/>
      </c>
      <c r="L757" s="3">
        <f>+IFERROR(IF(J757="","",H757*K757),"")</f>
        <v/>
      </c>
    </row>
    <row r="758">
      <c r="A758" s="11" t="n"/>
      <c r="B758" s="7" t="n"/>
      <c r="C758" s="8" t="n"/>
      <c r="D758" s="9" t="n"/>
      <c r="E758" s="8" t="n"/>
      <c r="F758" s="9" t="n"/>
      <c r="G758" s="9" t="n"/>
      <c r="H758" s="3">
        <f>IF(AND(D758&lt;&gt;"",F758&lt;&gt;""),F758-D758-G758,"")</f>
        <v/>
      </c>
      <c r="I758" s="14">
        <f>IF(E758&lt;&gt;"", YEARFRAC(C758, E758) * 12, "")</f>
        <v/>
      </c>
      <c r="J758" s="2">
        <f>IF(I758="", "", IF(AND(A758="MF (Equity)", I758&gt;12), "Long Term", "Short Term"))</f>
        <v/>
      </c>
      <c r="K758" s="5">
        <f>IF(J758="", "", IF(J758="Long Term", 12.5%, 20%))</f>
        <v/>
      </c>
      <c r="L758" s="3">
        <f>+IFERROR(IF(J758="","",H758*K758),"")</f>
        <v/>
      </c>
    </row>
    <row r="759">
      <c r="A759" s="11" t="n"/>
      <c r="B759" s="7" t="n"/>
      <c r="C759" s="8" t="n"/>
      <c r="D759" s="9" t="n"/>
      <c r="E759" s="8" t="n"/>
      <c r="F759" s="9" t="n"/>
      <c r="G759" s="9" t="n"/>
      <c r="H759" s="3">
        <f>IF(AND(D759&lt;&gt;"",F759&lt;&gt;""),F759-D759-G759,"")</f>
        <v/>
      </c>
      <c r="I759" s="14">
        <f>IF(E759&lt;&gt;"", YEARFRAC(C759, E759) * 12, "")</f>
        <v/>
      </c>
      <c r="J759" s="2">
        <f>IF(I759="", "", IF(AND(A759="MF (Equity)", I759&gt;12), "Long Term", "Short Term"))</f>
        <v/>
      </c>
      <c r="K759" s="5">
        <f>IF(J759="", "", IF(J759="Long Term", 12.5%, 20%))</f>
        <v/>
      </c>
      <c r="L759" s="3">
        <f>+IFERROR(IF(J759="","",H759*K759),"")</f>
        <v/>
      </c>
    </row>
    <row r="760">
      <c r="A760" s="11" t="n"/>
      <c r="B760" s="7" t="n"/>
      <c r="C760" s="8" t="n"/>
      <c r="D760" s="9" t="n"/>
      <c r="E760" s="8" t="n"/>
      <c r="F760" s="9" t="n"/>
      <c r="G760" s="9" t="n"/>
      <c r="H760" s="3">
        <f>IF(AND(D760&lt;&gt;"",F760&lt;&gt;""),F760-D760-G760,"")</f>
        <v/>
      </c>
      <c r="I760" s="14">
        <f>IF(E760&lt;&gt;"", YEARFRAC(C760, E760) * 12, "")</f>
        <v/>
      </c>
      <c r="J760" s="2">
        <f>IF(I760="", "", IF(AND(A760="MF (Equity)", I760&gt;12), "Long Term", "Short Term"))</f>
        <v/>
      </c>
      <c r="K760" s="5">
        <f>IF(J760="", "", IF(J760="Long Term", 12.5%, 20%))</f>
        <v/>
      </c>
      <c r="L760" s="3">
        <f>+IFERROR(IF(J760="","",H760*K760),"")</f>
        <v/>
      </c>
    </row>
    <row r="761">
      <c r="A761" s="11" t="n"/>
      <c r="B761" s="7" t="n"/>
      <c r="C761" s="8" t="n"/>
      <c r="D761" s="9" t="n"/>
      <c r="E761" s="8" t="n"/>
      <c r="F761" s="9" t="n"/>
      <c r="G761" s="9" t="n"/>
      <c r="H761" s="3">
        <f>IF(AND(D761&lt;&gt;"",F761&lt;&gt;""),F761-D761-G761,"")</f>
        <v/>
      </c>
      <c r="I761" s="14">
        <f>IF(E761&lt;&gt;"", YEARFRAC(C761, E761) * 12, "")</f>
        <v/>
      </c>
      <c r="J761" s="2">
        <f>IF(I761="", "", IF(AND(A761="MF (Equity)", I761&gt;12), "Long Term", "Short Term"))</f>
        <v/>
      </c>
      <c r="K761" s="5">
        <f>IF(J761="", "", IF(J761="Long Term", 12.5%, 20%))</f>
        <v/>
      </c>
      <c r="L761" s="3">
        <f>+IFERROR(IF(J761="","",H761*K761),"")</f>
        <v/>
      </c>
    </row>
    <row r="762">
      <c r="A762" s="11" t="n"/>
      <c r="B762" s="7" t="n"/>
      <c r="C762" s="8" t="n"/>
      <c r="D762" s="9" t="n"/>
      <c r="E762" s="8" t="n"/>
      <c r="F762" s="9" t="n"/>
      <c r="G762" s="9" t="n"/>
      <c r="H762" s="3">
        <f>IF(AND(D762&lt;&gt;"",F762&lt;&gt;""),F762-D762-G762,"")</f>
        <v/>
      </c>
      <c r="I762" s="14">
        <f>IF(E762&lt;&gt;"", YEARFRAC(C762, E762) * 12, "")</f>
        <v/>
      </c>
      <c r="J762" s="2">
        <f>IF(I762="", "", IF(AND(A762="MF (Equity)", I762&gt;12), "Long Term", "Short Term"))</f>
        <v/>
      </c>
      <c r="K762" s="5">
        <f>IF(J762="", "", IF(J762="Long Term", 12.5%, 20%))</f>
        <v/>
      </c>
      <c r="L762" s="3">
        <f>+IFERROR(IF(J762="","",H762*K762),"")</f>
        <v/>
      </c>
    </row>
    <row r="763">
      <c r="A763" s="11" t="n"/>
      <c r="B763" s="7" t="n"/>
      <c r="C763" s="8" t="n"/>
      <c r="D763" s="9" t="n"/>
      <c r="E763" s="8" t="n"/>
      <c r="F763" s="9" t="n"/>
      <c r="G763" s="9" t="n"/>
      <c r="H763" s="3">
        <f>IF(AND(D763&lt;&gt;"",F763&lt;&gt;""),F763-D763-G763,"")</f>
        <v/>
      </c>
      <c r="I763" s="14">
        <f>IF(E763&lt;&gt;"", YEARFRAC(C763, E763) * 12, "")</f>
        <v/>
      </c>
      <c r="J763" s="2">
        <f>IF(I763="", "", IF(AND(A763="MF (Equity)", I763&gt;12), "Long Term", "Short Term"))</f>
        <v/>
      </c>
      <c r="K763" s="5">
        <f>IF(J763="", "", IF(J763="Long Term", 12.5%, 20%))</f>
        <v/>
      </c>
      <c r="L763" s="3">
        <f>+IFERROR(IF(J763="","",H763*K763),"")</f>
        <v/>
      </c>
    </row>
    <row r="764">
      <c r="A764" s="11" t="n"/>
      <c r="B764" s="7" t="n"/>
      <c r="C764" s="8" t="n"/>
      <c r="D764" s="9" t="n"/>
      <c r="E764" s="8" t="n"/>
      <c r="F764" s="9" t="n"/>
      <c r="G764" s="9" t="n"/>
      <c r="H764" s="3">
        <f>IF(AND(D764&lt;&gt;"",F764&lt;&gt;""),F764-D764-G764,"")</f>
        <v/>
      </c>
      <c r="I764" s="14">
        <f>IF(E764&lt;&gt;"", YEARFRAC(C764, E764) * 12, "")</f>
        <v/>
      </c>
      <c r="J764" s="2">
        <f>IF(I764="", "", IF(AND(A764="MF (Equity)", I764&gt;12), "Long Term", "Short Term"))</f>
        <v/>
      </c>
      <c r="K764" s="5">
        <f>IF(J764="", "", IF(J764="Long Term", 12.5%, 20%))</f>
        <v/>
      </c>
      <c r="L764" s="3">
        <f>+IFERROR(IF(J764="","",H764*K764),"")</f>
        <v/>
      </c>
    </row>
    <row r="765">
      <c r="A765" s="11" t="n"/>
      <c r="B765" s="7" t="n"/>
      <c r="C765" s="8" t="n"/>
      <c r="D765" s="9" t="n"/>
      <c r="E765" s="8" t="n"/>
      <c r="F765" s="9" t="n"/>
      <c r="G765" s="9" t="n"/>
      <c r="H765" s="3">
        <f>IF(AND(D765&lt;&gt;"",F765&lt;&gt;""),F765-D765-G765,"")</f>
        <v/>
      </c>
      <c r="I765" s="14">
        <f>IF(E765&lt;&gt;"", YEARFRAC(C765, E765) * 12, "")</f>
        <v/>
      </c>
      <c r="J765" s="2">
        <f>IF(I765="", "", IF(AND(A765="MF (Equity)", I765&gt;12), "Long Term", "Short Term"))</f>
        <v/>
      </c>
      <c r="K765" s="5">
        <f>IF(J765="", "", IF(J765="Long Term", 12.5%, 20%))</f>
        <v/>
      </c>
      <c r="L765" s="3">
        <f>+IFERROR(IF(J765="","",H765*K765),"")</f>
        <v/>
      </c>
    </row>
    <row r="766">
      <c r="A766" s="11" t="n"/>
      <c r="B766" s="7" t="n"/>
      <c r="C766" s="8" t="n"/>
      <c r="D766" s="9" t="n"/>
      <c r="E766" s="8" t="n"/>
      <c r="F766" s="9" t="n"/>
      <c r="G766" s="9" t="n"/>
      <c r="H766" s="3">
        <f>IF(AND(D766&lt;&gt;"",F766&lt;&gt;""),F766-D766-G766,"")</f>
        <v/>
      </c>
      <c r="I766" s="14">
        <f>IF(E766&lt;&gt;"", YEARFRAC(C766, E766) * 12, "")</f>
        <v/>
      </c>
      <c r="J766" s="2">
        <f>IF(I766="", "", IF(AND(A766="MF (Equity)", I766&gt;12), "Long Term", "Short Term"))</f>
        <v/>
      </c>
      <c r="K766" s="5">
        <f>IF(J766="", "", IF(J766="Long Term", 12.5%, 20%))</f>
        <v/>
      </c>
      <c r="L766" s="3">
        <f>+IFERROR(IF(J766="","",H766*K766),"")</f>
        <v/>
      </c>
    </row>
    <row r="767">
      <c r="A767" s="11" t="n"/>
      <c r="B767" s="7" t="n"/>
      <c r="C767" s="8" t="n"/>
      <c r="D767" s="9" t="n"/>
      <c r="E767" s="8" t="n"/>
      <c r="F767" s="9" t="n"/>
      <c r="G767" s="9" t="n"/>
      <c r="H767" s="3">
        <f>IF(AND(D767&lt;&gt;"",F767&lt;&gt;""),F767-D767-G767,"")</f>
        <v/>
      </c>
      <c r="I767" s="14">
        <f>IF(E767&lt;&gt;"", YEARFRAC(C767, E767) * 12, "")</f>
        <v/>
      </c>
      <c r="J767" s="2">
        <f>IF(I767="", "", IF(AND(A767="MF (Equity)", I767&gt;12), "Long Term", "Short Term"))</f>
        <v/>
      </c>
      <c r="K767" s="5">
        <f>IF(J767="", "", IF(J767="Long Term", 12.5%, 20%))</f>
        <v/>
      </c>
      <c r="L767" s="3">
        <f>+IFERROR(IF(J767="","",H767*K767),"")</f>
        <v/>
      </c>
    </row>
    <row r="768">
      <c r="A768" s="11" t="n"/>
      <c r="B768" s="7" t="n"/>
      <c r="C768" s="8" t="n"/>
      <c r="D768" s="9" t="n"/>
      <c r="E768" s="8" t="n"/>
      <c r="F768" s="9" t="n"/>
      <c r="G768" s="9" t="n"/>
      <c r="H768" s="3">
        <f>IF(AND(D768&lt;&gt;"",F768&lt;&gt;""),F768-D768-G768,"")</f>
        <v/>
      </c>
      <c r="I768" s="14">
        <f>IF(E768&lt;&gt;"", YEARFRAC(C768, E768) * 12, "")</f>
        <v/>
      </c>
      <c r="J768" s="2">
        <f>IF(I768="", "", IF(AND(A768="MF (Equity)", I768&gt;12), "Long Term", "Short Term"))</f>
        <v/>
      </c>
      <c r="K768" s="5">
        <f>IF(J768="", "", IF(J768="Long Term", 12.5%, 20%))</f>
        <v/>
      </c>
      <c r="L768" s="3">
        <f>+IFERROR(IF(J768="","",H768*K768),"")</f>
        <v/>
      </c>
    </row>
    <row r="769">
      <c r="A769" s="11" t="n"/>
      <c r="B769" s="7" t="n"/>
      <c r="C769" s="8" t="n"/>
      <c r="D769" s="9" t="n"/>
      <c r="E769" s="8" t="n"/>
      <c r="F769" s="9" t="n"/>
      <c r="G769" s="9" t="n"/>
      <c r="H769" s="3">
        <f>IF(AND(D769&lt;&gt;"",F769&lt;&gt;""),F769-D769-G769,"")</f>
        <v/>
      </c>
      <c r="I769" s="14">
        <f>IF(E769&lt;&gt;"", YEARFRAC(C769, E769) * 12, "")</f>
        <v/>
      </c>
      <c r="J769" s="2">
        <f>IF(I769="", "", IF(AND(A769="MF (Equity)", I769&gt;12), "Long Term", "Short Term"))</f>
        <v/>
      </c>
      <c r="K769" s="5">
        <f>IF(J769="", "", IF(J769="Long Term", 12.5%, 20%))</f>
        <v/>
      </c>
      <c r="L769" s="3">
        <f>+IFERROR(IF(J769="","",H769*K769),"")</f>
        <v/>
      </c>
    </row>
    <row r="770">
      <c r="A770" s="11" t="n"/>
      <c r="B770" s="7" t="n"/>
      <c r="C770" s="8" t="n"/>
      <c r="D770" s="9" t="n"/>
      <c r="E770" s="8" t="n"/>
      <c r="F770" s="9" t="n"/>
      <c r="G770" s="9" t="n"/>
      <c r="H770" s="3">
        <f>IF(AND(D770&lt;&gt;"",F770&lt;&gt;""),F770-D770-G770,"")</f>
        <v/>
      </c>
      <c r="I770" s="14">
        <f>IF(E770&lt;&gt;"", YEARFRAC(C770, E770) * 12, "")</f>
        <v/>
      </c>
      <c r="J770" s="2">
        <f>IF(I770="", "", IF(AND(A770="MF (Equity)", I770&gt;12), "Long Term", "Short Term"))</f>
        <v/>
      </c>
      <c r="K770" s="5">
        <f>IF(J770="", "", IF(J770="Long Term", 12.5%, 20%))</f>
        <v/>
      </c>
      <c r="L770" s="3">
        <f>+IFERROR(IF(J770="","",H770*K770),"")</f>
        <v/>
      </c>
    </row>
    <row r="771">
      <c r="A771" s="11" t="n"/>
      <c r="B771" s="7" t="n"/>
      <c r="C771" s="8" t="n"/>
      <c r="D771" s="9" t="n"/>
      <c r="E771" s="8" t="n"/>
      <c r="F771" s="9" t="n"/>
      <c r="G771" s="9" t="n"/>
      <c r="H771" s="3">
        <f>IF(AND(D771&lt;&gt;"",F771&lt;&gt;""),F771-D771-G771,"")</f>
        <v/>
      </c>
      <c r="I771" s="14">
        <f>IF(E771&lt;&gt;"", YEARFRAC(C771, E771) * 12, "")</f>
        <v/>
      </c>
      <c r="J771" s="2">
        <f>IF(I771="", "", IF(AND(A771="MF (Equity)", I771&gt;12), "Long Term", "Short Term"))</f>
        <v/>
      </c>
      <c r="K771" s="5">
        <f>IF(J771="", "", IF(J771="Long Term", 12.5%, 20%))</f>
        <v/>
      </c>
      <c r="L771" s="3">
        <f>+IFERROR(IF(J771="","",H771*K771),"")</f>
        <v/>
      </c>
    </row>
    <row r="772">
      <c r="A772" s="11" t="n"/>
      <c r="B772" s="7" t="n"/>
      <c r="C772" s="8" t="n"/>
      <c r="D772" s="9" t="n"/>
      <c r="E772" s="8" t="n"/>
      <c r="F772" s="9" t="n"/>
      <c r="G772" s="9" t="n"/>
      <c r="H772" s="3">
        <f>IF(AND(D772&lt;&gt;"",F772&lt;&gt;""),F772-D772-G772,"")</f>
        <v/>
      </c>
      <c r="I772" s="14">
        <f>IF(E772&lt;&gt;"", YEARFRAC(C772, E772) * 12, "")</f>
        <v/>
      </c>
      <c r="J772" s="2">
        <f>IF(I772="", "", IF(AND(A772="MF (Equity)", I772&gt;12), "Long Term", "Short Term"))</f>
        <v/>
      </c>
      <c r="K772" s="5">
        <f>IF(J772="", "", IF(J772="Long Term", 12.5%, 20%))</f>
        <v/>
      </c>
      <c r="L772" s="3">
        <f>+IFERROR(IF(J772="","",H772*K772),"")</f>
        <v/>
      </c>
    </row>
    <row r="773">
      <c r="A773" s="11" t="n"/>
      <c r="B773" s="7" t="n"/>
      <c r="C773" s="8" t="n"/>
      <c r="D773" s="9" t="n"/>
      <c r="E773" s="8" t="n"/>
      <c r="F773" s="9" t="n"/>
      <c r="G773" s="9" t="n"/>
      <c r="H773" s="3">
        <f>IF(AND(D773&lt;&gt;"",F773&lt;&gt;""),F773-D773-G773,"")</f>
        <v/>
      </c>
      <c r="I773" s="14">
        <f>IF(E773&lt;&gt;"", YEARFRAC(C773, E773) * 12, "")</f>
        <v/>
      </c>
      <c r="J773" s="2">
        <f>IF(I773="", "", IF(AND(A773="MF (Equity)", I773&gt;12), "Long Term", "Short Term"))</f>
        <v/>
      </c>
      <c r="K773" s="5">
        <f>IF(J773="", "", IF(J773="Long Term", 12.5%, 20%))</f>
        <v/>
      </c>
      <c r="L773" s="3">
        <f>+IFERROR(IF(J773="","",H773*K773),"")</f>
        <v/>
      </c>
    </row>
    <row r="774">
      <c r="A774" s="11" t="n"/>
      <c r="B774" s="7" t="n"/>
      <c r="C774" s="8" t="n"/>
      <c r="D774" s="9" t="n"/>
      <c r="E774" s="8" t="n"/>
      <c r="F774" s="9" t="n"/>
      <c r="G774" s="9" t="n"/>
      <c r="H774" s="3">
        <f>IF(AND(D774&lt;&gt;"",F774&lt;&gt;""),F774-D774-G774,"")</f>
        <v/>
      </c>
      <c r="I774" s="14">
        <f>IF(E774&lt;&gt;"", YEARFRAC(C774, E774) * 12, "")</f>
        <v/>
      </c>
      <c r="J774" s="2">
        <f>IF(I774="", "", IF(AND(A774="MF (Equity)", I774&gt;12), "Long Term", "Short Term"))</f>
        <v/>
      </c>
      <c r="K774" s="5">
        <f>IF(J774="", "", IF(J774="Long Term", 12.5%, 20%))</f>
        <v/>
      </c>
      <c r="L774" s="3">
        <f>+IFERROR(IF(J774="","",H774*K774),"")</f>
        <v/>
      </c>
    </row>
    <row r="775">
      <c r="A775" s="11" t="n"/>
      <c r="B775" s="7" t="n"/>
      <c r="C775" s="8" t="n"/>
      <c r="D775" s="9" t="n"/>
      <c r="E775" s="8" t="n"/>
      <c r="F775" s="9" t="n"/>
      <c r="G775" s="9" t="n"/>
      <c r="H775" s="3">
        <f>IF(AND(D775&lt;&gt;"",F775&lt;&gt;""),F775-D775-G775,"")</f>
        <v/>
      </c>
      <c r="I775" s="14">
        <f>IF(E775&lt;&gt;"", YEARFRAC(C775, E775) * 12, "")</f>
        <v/>
      </c>
      <c r="J775" s="2">
        <f>IF(I775="", "", IF(AND(A775="MF (Equity)", I775&gt;12), "Long Term", "Short Term"))</f>
        <v/>
      </c>
      <c r="K775" s="5">
        <f>IF(J775="", "", IF(J775="Long Term", 12.5%, 20%))</f>
        <v/>
      </c>
      <c r="L775" s="3">
        <f>+IFERROR(IF(J775="","",H775*K775),"")</f>
        <v/>
      </c>
    </row>
    <row r="776">
      <c r="A776" s="11" t="n"/>
      <c r="B776" s="7" t="n"/>
      <c r="C776" s="8" t="n"/>
      <c r="D776" s="9" t="n"/>
      <c r="E776" s="8" t="n"/>
      <c r="F776" s="9" t="n"/>
      <c r="G776" s="9" t="n"/>
      <c r="H776" s="3">
        <f>IF(AND(D776&lt;&gt;"",F776&lt;&gt;""),F776-D776-G776,"")</f>
        <v/>
      </c>
      <c r="I776" s="14">
        <f>IF(E776&lt;&gt;"", YEARFRAC(C776, E776) * 12, "")</f>
        <v/>
      </c>
      <c r="J776" s="2">
        <f>IF(I776="", "", IF(AND(A776="MF (Equity)", I776&gt;12), "Long Term", "Short Term"))</f>
        <v/>
      </c>
      <c r="K776" s="5">
        <f>IF(J776="", "", IF(J776="Long Term", 12.5%, 20%))</f>
        <v/>
      </c>
      <c r="L776" s="3">
        <f>+IFERROR(IF(J776="","",H776*K776),"")</f>
        <v/>
      </c>
    </row>
    <row r="777">
      <c r="A777" s="11" t="n"/>
      <c r="B777" s="7" t="n"/>
      <c r="C777" s="8" t="n"/>
      <c r="D777" s="9" t="n"/>
      <c r="E777" s="8" t="n"/>
      <c r="F777" s="9" t="n"/>
      <c r="G777" s="9" t="n"/>
      <c r="H777" s="3">
        <f>IF(AND(D777&lt;&gt;"",F777&lt;&gt;""),F777-D777-G777,"")</f>
        <v/>
      </c>
      <c r="I777" s="14">
        <f>IF(E777&lt;&gt;"", YEARFRAC(C777, E777) * 12, "")</f>
        <v/>
      </c>
      <c r="J777" s="2">
        <f>IF(I777="", "", IF(AND(A777="MF (Equity)", I777&gt;12), "Long Term", "Short Term"))</f>
        <v/>
      </c>
      <c r="K777" s="5">
        <f>IF(J777="", "", IF(J777="Long Term", 12.5%, 20%))</f>
        <v/>
      </c>
      <c r="L777" s="3">
        <f>+IFERROR(IF(J777="","",H777*K777),"")</f>
        <v/>
      </c>
    </row>
    <row r="778">
      <c r="A778" s="11" t="n"/>
      <c r="B778" s="7" t="n"/>
      <c r="C778" s="8" t="n"/>
      <c r="D778" s="9" t="n"/>
      <c r="E778" s="8" t="n"/>
      <c r="F778" s="9" t="n"/>
      <c r="G778" s="9" t="n"/>
      <c r="H778" s="3">
        <f>IF(AND(D778&lt;&gt;"",F778&lt;&gt;""),F778-D778-G778,"")</f>
        <v/>
      </c>
      <c r="I778" s="14">
        <f>IF(E778&lt;&gt;"", YEARFRAC(C778, E778) * 12, "")</f>
        <v/>
      </c>
      <c r="J778" s="2">
        <f>IF(I778="", "", IF(AND(A778="MF (Equity)", I778&gt;12), "Long Term", "Short Term"))</f>
        <v/>
      </c>
      <c r="K778" s="5">
        <f>IF(J778="", "", IF(J778="Long Term", 12.5%, 20%))</f>
        <v/>
      </c>
      <c r="L778" s="3">
        <f>+IFERROR(IF(J778="","",H778*K778),"")</f>
        <v/>
      </c>
    </row>
    <row r="779">
      <c r="A779" s="11" t="n"/>
      <c r="B779" s="7" t="n"/>
      <c r="C779" s="8" t="n"/>
      <c r="D779" s="9" t="n"/>
      <c r="E779" s="8" t="n"/>
      <c r="F779" s="9" t="n"/>
      <c r="G779" s="9" t="n"/>
      <c r="H779" s="3">
        <f>IF(AND(D779&lt;&gt;"",F779&lt;&gt;""),F779-D779-G779,"")</f>
        <v/>
      </c>
      <c r="I779" s="14">
        <f>IF(E779&lt;&gt;"", YEARFRAC(C779, E779) * 12, "")</f>
        <v/>
      </c>
      <c r="J779" s="2">
        <f>IF(I779="", "", IF(AND(A779="MF (Equity)", I779&gt;12), "Long Term", "Short Term"))</f>
        <v/>
      </c>
      <c r="K779" s="5">
        <f>IF(J779="", "", IF(J779="Long Term", 12.5%, 20%))</f>
        <v/>
      </c>
      <c r="L779" s="3">
        <f>+IFERROR(IF(J779="","",H779*K779),"")</f>
        <v/>
      </c>
    </row>
    <row r="780">
      <c r="A780" s="11" t="n"/>
      <c r="B780" s="7" t="n"/>
      <c r="C780" s="8" t="n"/>
      <c r="D780" s="9" t="n"/>
      <c r="E780" s="8" t="n"/>
      <c r="F780" s="9" t="n"/>
      <c r="G780" s="9" t="n"/>
      <c r="H780" s="3">
        <f>IF(AND(D780&lt;&gt;"",F780&lt;&gt;""),F780-D780-G780,"")</f>
        <v/>
      </c>
      <c r="I780" s="14">
        <f>IF(E780&lt;&gt;"", YEARFRAC(C780, E780) * 12, "")</f>
        <v/>
      </c>
      <c r="J780" s="2">
        <f>IF(I780="", "", IF(AND(A780="MF (Equity)", I780&gt;12), "Long Term", "Short Term"))</f>
        <v/>
      </c>
      <c r="K780" s="5">
        <f>IF(J780="", "", IF(J780="Long Term", 12.5%, 20%))</f>
        <v/>
      </c>
      <c r="L780" s="3">
        <f>+IFERROR(IF(J780="","",H780*K780),"")</f>
        <v/>
      </c>
    </row>
    <row r="781">
      <c r="A781" s="11" t="n"/>
      <c r="B781" s="7" t="n"/>
      <c r="C781" s="8" t="n"/>
      <c r="D781" s="9" t="n"/>
      <c r="E781" s="8" t="n"/>
      <c r="F781" s="9" t="n"/>
      <c r="G781" s="9" t="n"/>
      <c r="H781" s="3">
        <f>IF(AND(D781&lt;&gt;"",F781&lt;&gt;""),F781-D781-G781,"")</f>
        <v/>
      </c>
      <c r="I781" s="14">
        <f>IF(E781&lt;&gt;"", YEARFRAC(C781, E781) * 12, "")</f>
        <v/>
      </c>
      <c r="J781" s="2">
        <f>IF(I781="", "", IF(AND(A781="MF (Equity)", I781&gt;12), "Long Term", "Short Term"))</f>
        <v/>
      </c>
      <c r="K781" s="5">
        <f>IF(J781="", "", IF(J781="Long Term", 12.5%, 20%))</f>
        <v/>
      </c>
      <c r="L781" s="3">
        <f>+IFERROR(IF(J781="","",H781*K781),"")</f>
        <v/>
      </c>
    </row>
    <row r="782">
      <c r="A782" s="11" t="n"/>
      <c r="B782" s="7" t="n"/>
      <c r="C782" s="8" t="n"/>
      <c r="D782" s="9" t="n"/>
      <c r="E782" s="8" t="n"/>
      <c r="F782" s="9" t="n"/>
      <c r="G782" s="9" t="n"/>
      <c r="H782" s="3">
        <f>IF(AND(D782&lt;&gt;"",F782&lt;&gt;""),F782-D782-G782,"")</f>
        <v/>
      </c>
      <c r="I782" s="14">
        <f>IF(E782&lt;&gt;"", YEARFRAC(C782, E782) * 12, "")</f>
        <v/>
      </c>
      <c r="J782" s="2">
        <f>IF(I782="", "", IF(AND(A782="MF (Equity)", I782&gt;12), "Long Term", "Short Term"))</f>
        <v/>
      </c>
      <c r="K782" s="5">
        <f>IF(J782="", "", IF(J782="Long Term", 12.5%, 20%))</f>
        <v/>
      </c>
      <c r="L782" s="3">
        <f>+IFERROR(IF(J782="","",H782*K782),"")</f>
        <v/>
      </c>
    </row>
    <row r="783">
      <c r="A783" s="11" t="n"/>
      <c r="B783" s="7" t="n"/>
      <c r="C783" s="8" t="n"/>
      <c r="D783" s="9" t="n"/>
      <c r="E783" s="8" t="n"/>
      <c r="F783" s="9" t="n"/>
      <c r="G783" s="9" t="n"/>
      <c r="H783" s="3">
        <f>IF(AND(D783&lt;&gt;"",F783&lt;&gt;""),F783-D783-G783,"")</f>
        <v/>
      </c>
      <c r="I783" s="14">
        <f>IF(E783&lt;&gt;"", YEARFRAC(C783, E783) * 12, "")</f>
        <v/>
      </c>
      <c r="J783" s="2">
        <f>IF(I783="", "", IF(AND(A783="MF (Equity)", I783&gt;12), "Long Term", "Short Term"))</f>
        <v/>
      </c>
      <c r="K783" s="5">
        <f>IF(J783="", "", IF(J783="Long Term", 12.5%, 20%))</f>
        <v/>
      </c>
      <c r="L783" s="3">
        <f>+IFERROR(IF(J783="","",H783*K783),"")</f>
        <v/>
      </c>
    </row>
    <row r="784">
      <c r="A784" s="11" t="n"/>
      <c r="B784" s="7" t="n"/>
      <c r="C784" s="8" t="n"/>
      <c r="D784" s="9" t="n"/>
      <c r="E784" s="8" t="n"/>
      <c r="F784" s="9" t="n"/>
      <c r="G784" s="9" t="n"/>
      <c r="H784" s="3">
        <f>IF(AND(D784&lt;&gt;"",F784&lt;&gt;""),F784-D784-G784,"")</f>
        <v/>
      </c>
      <c r="I784" s="14">
        <f>IF(E784&lt;&gt;"", YEARFRAC(C784, E784) * 12, "")</f>
        <v/>
      </c>
      <c r="J784" s="2">
        <f>IF(I784="", "", IF(AND(A784="MF (Equity)", I784&gt;12), "Long Term", "Short Term"))</f>
        <v/>
      </c>
      <c r="K784" s="5">
        <f>IF(J784="", "", IF(J784="Long Term", 12.5%, 20%))</f>
        <v/>
      </c>
      <c r="L784" s="3">
        <f>+IFERROR(IF(J784="","",H784*K784),"")</f>
        <v/>
      </c>
    </row>
    <row r="785">
      <c r="A785" s="11" t="n"/>
      <c r="B785" s="7" t="n"/>
      <c r="C785" s="8" t="n"/>
      <c r="D785" s="9" t="n"/>
      <c r="E785" s="8" t="n"/>
      <c r="F785" s="9" t="n"/>
      <c r="G785" s="9" t="n"/>
      <c r="H785" s="3">
        <f>IF(AND(D785&lt;&gt;"",F785&lt;&gt;""),F785-D785-G785,"")</f>
        <v/>
      </c>
      <c r="I785" s="14">
        <f>IF(E785&lt;&gt;"", YEARFRAC(C785, E785) * 12, "")</f>
        <v/>
      </c>
      <c r="J785" s="2">
        <f>IF(I785="", "", IF(AND(A785="MF (Equity)", I785&gt;12), "Long Term", "Short Term"))</f>
        <v/>
      </c>
      <c r="K785" s="5">
        <f>IF(J785="", "", IF(J785="Long Term", 12.5%, 20%))</f>
        <v/>
      </c>
      <c r="L785" s="3">
        <f>+IFERROR(IF(J785="","",H785*K785),"")</f>
        <v/>
      </c>
    </row>
    <row r="786">
      <c r="A786" s="11" t="n"/>
      <c r="B786" s="7" t="n"/>
      <c r="C786" s="8" t="n"/>
      <c r="D786" s="9" t="n"/>
      <c r="E786" s="8" t="n"/>
      <c r="F786" s="9" t="n"/>
      <c r="G786" s="9" t="n"/>
      <c r="H786" s="3">
        <f>IF(AND(D786&lt;&gt;"",F786&lt;&gt;""),F786-D786-G786,"")</f>
        <v/>
      </c>
      <c r="I786" s="14">
        <f>IF(E786&lt;&gt;"", YEARFRAC(C786, E786) * 12, "")</f>
        <v/>
      </c>
      <c r="J786" s="2">
        <f>IF(I786="", "", IF(AND(A786="MF (Equity)", I786&gt;12), "Long Term", "Short Term"))</f>
        <v/>
      </c>
      <c r="K786" s="5">
        <f>IF(J786="", "", IF(J786="Long Term", 12.5%, 20%))</f>
        <v/>
      </c>
      <c r="L786" s="3">
        <f>+IFERROR(IF(J786="","",H786*K786),"")</f>
        <v/>
      </c>
    </row>
    <row r="787">
      <c r="A787" s="11" t="n"/>
      <c r="B787" s="7" t="n"/>
      <c r="C787" s="8" t="n"/>
      <c r="D787" s="9" t="n"/>
      <c r="E787" s="8" t="n"/>
      <c r="F787" s="9" t="n"/>
      <c r="G787" s="9" t="n"/>
      <c r="H787" s="3">
        <f>IF(AND(D787&lt;&gt;"",F787&lt;&gt;""),F787-D787-G787,"")</f>
        <v/>
      </c>
      <c r="I787" s="14">
        <f>IF(E787&lt;&gt;"", YEARFRAC(C787, E787) * 12, "")</f>
        <v/>
      </c>
      <c r="J787" s="2">
        <f>IF(I787="", "", IF(AND(A787="MF (Equity)", I787&gt;12), "Long Term", "Short Term"))</f>
        <v/>
      </c>
      <c r="K787" s="5">
        <f>IF(J787="", "", IF(J787="Long Term", 12.5%, 20%))</f>
        <v/>
      </c>
      <c r="L787" s="3">
        <f>+IFERROR(IF(J787="","",H787*K787),"")</f>
        <v/>
      </c>
    </row>
    <row r="788">
      <c r="A788" s="11" t="n"/>
      <c r="B788" s="7" t="n"/>
      <c r="C788" s="8" t="n"/>
      <c r="D788" s="9" t="n"/>
      <c r="E788" s="8" t="n"/>
      <c r="F788" s="9" t="n"/>
      <c r="G788" s="9" t="n"/>
      <c r="H788" s="3">
        <f>IF(AND(D788&lt;&gt;"",F788&lt;&gt;""),F788-D788-G788,"")</f>
        <v/>
      </c>
      <c r="I788" s="14">
        <f>IF(E788&lt;&gt;"", YEARFRAC(C788, E788) * 12, "")</f>
        <v/>
      </c>
      <c r="J788" s="2">
        <f>IF(I788="", "", IF(AND(A788="MF (Equity)", I788&gt;12), "Long Term", "Short Term"))</f>
        <v/>
      </c>
      <c r="K788" s="5">
        <f>IF(J788="", "", IF(J788="Long Term", 12.5%, 20%))</f>
        <v/>
      </c>
      <c r="L788" s="3">
        <f>+IFERROR(IF(J788="","",H788*K788),"")</f>
        <v/>
      </c>
    </row>
    <row r="789">
      <c r="A789" s="11" t="n"/>
      <c r="B789" s="7" t="n"/>
      <c r="C789" s="8" t="n"/>
      <c r="D789" s="9" t="n"/>
      <c r="E789" s="8" t="n"/>
      <c r="F789" s="9" t="n"/>
      <c r="G789" s="9" t="n"/>
      <c r="H789" s="3">
        <f>IF(AND(D789&lt;&gt;"",F789&lt;&gt;""),F789-D789-G789,"")</f>
        <v/>
      </c>
      <c r="I789" s="14">
        <f>IF(E789&lt;&gt;"", YEARFRAC(C789, E789) * 12, "")</f>
        <v/>
      </c>
      <c r="J789" s="2">
        <f>IF(I789="", "", IF(AND(A789="MF (Equity)", I789&gt;12), "Long Term", "Short Term"))</f>
        <v/>
      </c>
      <c r="K789" s="5">
        <f>IF(J789="", "", IF(J789="Long Term", 12.5%, 20%))</f>
        <v/>
      </c>
      <c r="L789" s="3">
        <f>+IFERROR(IF(J789="","",H789*K789),"")</f>
        <v/>
      </c>
    </row>
    <row r="790">
      <c r="A790" s="11" t="n"/>
      <c r="B790" s="7" t="n"/>
      <c r="C790" s="8" t="n"/>
      <c r="D790" s="9" t="n"/>
      <c r="E790" s="8" t="n"/>
      <c r="F790" s="9" t="n"/>
      <c r="G790" s="9" t="n"/>
      <c r="H790" s="3">
        <f>IF(AND(D790&lt;&gt;"",F790&lt;&gt;""),F790-D790-G790,"")</f>
        <v/>
      </c>
      <c r="I790" s="14">
        <f>IF(E790&lt;&gt;"", YEARFRAC(C790, E790) * 12, "")</f>
        <v/>
      </c>
      <c r="J790" s="2">
        <f>IF(I790="", "", IF(AND(A790="MF (Equity)", I790&gt;12), "Long Term", "Short Term"))</f>
        <v/>
      </c>
      <c r="K790" s="5">
        <f>IF(J790="", "", IF(J790="Long Term", 12.5%, 20%))</f>
        <v/>
      </c>
      <c r="L790" s="3">
        <f>+IFERROR(IF(J790="","",H790*K790),"")</f>
        <v/>
      </c>
    </row>
    <row r="791">
      <c r="A791" s="11" t="n"/>
      <c r="B791" s="7" t="n"/>
      <c r="C791" s="8" t="n"/>
      <c r="D791" s="9" t="n"/>
      <c r="E791" s="8" t="n"/>
      <c r="F791" s="9" t="n"/>
      <c r="G791" s="9" t="n"/>
      <c r="H791" s="3">
        <f>IF(AND(D791&lt;&gt;"",F791&lt;&gt;""),F791-D791-G791,"")</f>
        <v/>
      </c>
      <c r="I791" s="14">
        <f>IF(E791&lt;&gt;"", YEARFRAC(C791, E791) * 12, "")</f>
        <v/>
      </c>
      <c r="J791" s="2">
        <f>IF(I791="", "", IF(AND(A791="MF (Equity)", I791&gt;12), "Long Term", "Short Term"))</f>
        <v/>
      </c>
      <c r="K791" s="5">
        <f>IF(J791="", "", IF(J791="Long Term", 12.5%, 20%))</f>
        <v/>
      </c>
      <c r="L791" s="3">
        <f>+IFERROR(IF(J791="","",H791*K791),"")</f>
        <v/>
      </c>
    </row>
    <row r="792">
      <c r="A792" s="11" t="n"/>
      <c r="B792" s="7" t="n"/>
      <c r="C792" s="8" t="n"/>
      <c r="D792" s="9" t="n"/>
      <c r="E792" s="8" t="n"/>
      <c r="F792" s="9" t="n"/>
      <c r="G792" s="9" t="n"/>
      <c r="H792" s="3">
        <f>IF(AND(D792&lt;&gt;"",F792&lt;&gt;""),F792-D792-G792,"")</f>
        <v/>
      </c>
      <c r="I792" s="14">
        <f>IF(E792&lt;&gt;"", YEARFRAC(C792, E792) * 12, "")</f>
        <v/>
      </c>
      <c r="J792" s="2">
        <f>IF(I792="", "", IF(AND(A792="MF (Equity)", I792&gt;12), "Long Term", "Short Term"))</f>
        <v/>
      </c>
      <c r="K792" s="5">
        <f>IF(J792="", "", IF(J792="Long Term", 12.5%, 20%))</f>
        <v/>
      </c>
      <c r="L792" s="3">
        <f>+IFERROR(IF(J792="","",H792*K792),"")</f>
        <v/>
      </c>
    </row>
    <row r="793">
      <c r="A793" s="11" t="n"/>
      <c r="B793" s="7" t="n"/>
      <c r="C793" s="8" t="n"/>
      <c r="D793" s="9" t="n"/>
      <c r="E793" s="8" t="n"/>
      <c r="F793" s="9" t="n"/>
      <c r="G793" s="9" t="n"/>
      <c r="H793" s="3">
        <f>IF(AND(D793&lt;&gt;"",F793&lt;&gt;""),F793-D793-G793,"")</f>
        <v/>
      </c>
      <c r="I793" s="14">
        <f>IF(E793&lt;&gt;"", YEARFRAC(C793, E793) * 12, "")</f>
        <v/>
      </c>
      <c r="J793" s="2">
        <f>IF(I793="", "", IF(AND(A793="MF (Equity)", I793&gt;12), "Long Term", "Short Term"))</f>
        <v/>
      </c>
      <c r="K793" s="5">
        <f>IF(J793="", "", IF(J793="Long Term", 12.5%, 20%))</f>
        <v/>
      </c>
      <c r="L793" s="3">
        <f>+IFERROR(IF(J793="","",H793*K793),"")</f>
        <v/>
      </c>
    </row>
    <row r="794">
      <c r="A794" s="11" t="n"/>
      <c r="B794" s="7" t="n"/>
      <c r="C794" s="8" t="n"/>
      <c r="D794" s="9" t="n"/>
      <c r="E794" s="8" t="n"/>
      <c r="F794" s="9" t="n"/>
      <c r="G794" s="9" t="n"/>
      <c r="H794" s="3">
        <f>IF(AND(D794&lt;&gt;"",F794&lt;&gt;""),F794-D794-G794,"")</f>
        <v/>
      </c>
      <c r="I794" s="14">
        <f>IF(E794&lt;&gt;"", YEARFRAC(C794, E794) * 12, "")</f>
        <v/>
      </c>
      <c r="J794" s="2">
        <f>IF(I794="", "", IF(AND(A794="MF (Equity)", I794&gt;12), "Long Term", "Short Term"))</f>
        <v/>
      </c>
      <c r="K794" s="5">
        <f>IF(J794="", "", IF(J794="Long Term", 12.5%, 20%))</f>
        <v/>
      </c>
      <c r="L794" s="3">
        <f>+IFERROR(IF(J794="","",H794*K794),"")</f>
        <v/>
      </c>
    </row>
    <row r="795">
      <c r="A795" s="11" t="n"/>
      <c r="B795" s="7" t="n"/>
      <c r="C795" s="8" t="n"/>
      <c r="D795" s="9" t="n"/>
      <c r="E795" s="8" t="n"/>
      <c r="F795" s="9" t="n"/>
      <c r="G795" s="9" t="n"/>
      <c r="H795" s="3">
        <f>IF(AND(D795&lt;&gt;"",F795&lt;&gt;""),F795-D795-G795,"")</f>
        <v/>
      </c>
      <c r="I795" s="14">
        <f>IF(E795&lt;&gt;"", YEARFRAC(C795, E795) * 12, "")</f>
        <v/>
      </c>
      <c r="J795" s="2">
        <f>IF(I795="", "", IF(AND(A795="MF (Equity)", I795&gt;12), "Long Term", "Short Term"))</f>
        <v/>
      </c>
      <c r="K795" s="5">
        <f>IF(J795="", "", IF(J795="Long Term", 12.5%, 20%))</f>
        <v/>
      </c>
      <c r="L795" s="3">
        <f>+IFERROR(IF(J795="","",H795*K795),"")</f>
        <v/>
      </c>
    </row>
    <row r="796">
      <c r="A796" s="11" t="n"/>
      <c r="B796" s="7" t="n"/>
      <c r="C796" s="8" t="n"/>
      <c r="D796" s="9" t="n"/>
      <c r="E796" s="8" t="n"/>
      <c r="F796" s="9" t="n"/>
      <c r="G796" s="9" t="n"/>
      <c r="H796" s="3">
        <f>IF(AND(D796&lt;&gt;"",F796&lt;&gt;""),F796-D796-G796,"")</f>
        <v/>
      </c>
      <c r="I796" s="14">
        <f>IF(E796&lt;&gt;"", YEARFRAC(C796, E796) * 12, "")</f>
        <v/>
      </c>
      <c r="J796" s="2">
        <f>IF(I796="", "", IF(AND(A796="MF (Equity)", I796&gt;12), "Long Term", "Short Term"))</f>
        <v/>
      </c>
      <c r="K796" s="5">
        <f>IF(J796="", "", IF(J796="Long Term", 12.5%, 20%))</f>
        <v/>
      </c>
      <c r="L796" s="3">
        <f>+IFERROR(IF(J796="","",H796*K796),"")</f>
        <v/>
      </c>
    </row>
    <row r="797">
      <c r="A797" s="11" t="n"/>
      <c r="B797" s="7" t="n"/>
      <c r="C797" s="8" t="n"/>
      <c r="D797" s="9" t="n"/>
      <c r="E797" s="8" t="n"/>
      <c r="F797" s="9" t="n"/>
      <c r="G797" s="9" t="n"/>
      <c r="H797" s="3">
        <f>IF(AND(D797&lt;&gt;"",F797&lt;&gt;""),F797-D797-G797,"")</f>
        <v/>
      </c>
      <c r="I797" s="14">
        <f>IF(E797&lt;&gt;"", YEARFRAC(C797, E797) * 12, "")</f>
        <v/>
      </c>
      <c r="J797" s="2">
        <f>IF(I797="", "", IF(AND(A797="MF (Equity)", I797&gt;12), "Long Term", "Short Term"))</f>
        <v/>
      </c>
      <c r="K797" s="5">
        <f>IF(J797="", "", IF(J797="Long Term", 12.5%, 20%))</f>
        <v/>
      </c>
      <c r="L797" s="3">
        <f>+IFERROR(IF(J797="","",H797*K797),"")</f>
        <v/>
      </c>
    </row>
    <row r="798">
      <c r="A798" s="11" t="n"/>
      <c r="B798" s="7" t="n"/>
      <c r="C798" s="8" t="n"/>
      <c r="D798" s="9" t="n"/>
      <c r="E798" s="8" t="n"/>
      <c r="F798" s="9" t="n"/>
      <c r="G798" s="9" t="n"/>
      <c r="H798" s="3">
        <f>IF(AND(D798&lt;&gt;"",F798&lt;&gt;""),F798-D798-G798,"")</f>
        <v/>
      </c>
      <c r="I798" s="14">
        <f>IF(E798&lt;&gt;"", YEARFRAC(C798, E798) * 12, "")</f>
        <v/>
      </c>
      <c r="J798" s="2">
        <f>IF(I798="", "", IF(AND(A798="MF (Equity)", I798&gt;12), "Long Term", "Short Term"))</f>
        <v/>
      </c>
      <c r="K798" s="5">
        <f>IF(J798="", "", IF(J798="Long Term", 12.5%, 20%))</f>
        <v/>
      </c>
      <c r="L798" s="3">
        <f>+IFERROR(IF(J798="","",H798*K798),"")</f>
        <v/>
      </c>
    </row>
    <row r="799">
      <c r="A799" s="11" t="n"/>
      <c r="B799" s="7" t="n"/>
      <c r="C799" s="8" t="n"/>
      <c r="D799" s="9" t="n"/>
      <c r="E799" s="8" t="n"/>
      <c r="F799" s="9" t="n"/>
      <c r="G799" s="9" t="n"/>
      <c r="H799" s="3">
        <f>IF(AND(D799&lt;&gt;"",F799&lt;&gt;""),F799-D799-G799,"")</f>
        <v/>
      </c>
      <c r="I799" s="14">
        <f>IF(E799&lt;&gt;"", YEARFRAC(C799, E799) * 12, "")</f>
        <v/>
      </c>
      <c r="J799" s="2">
        <f>IF(I799="", "", IF(AND(A799="MF (Equity)", I799&gt;12), "Long Term", "Short Term"))</f>
        <v/>
      </c>
      <c r="K799" s="5">
        <f>IF(J799="", "", IF(J799="Long Term", 12.5%, 20%))</f>
        <v/>
      </c>
      <c r="L799" s="3">
        <f>+IFERROR(IF(J799="","",H799*K799),"")</f>
        <v/>
      </c>
    </row>
    <row r="800">
      <c r="A800" s="11" t="n"/>
      <c r="B800" s="7" t="n"/>
      <c r="C800" s="8" t="n"/>
      <c r="D800" s="9" t="n"/>
      <c r="E800" s="8" t="n"/>
      <c r="F800" s="9" t="n"/>
      <c r="G800" s="9" t="n"/>
      <c r="H800" s="3">
        <f>IF(AND(D800&lt;&gt;"",F800&lt;&gt;""),F800-D800-G800,"")</f>
        <v/>
      </c>
      <c r="I800" s="14">
        <f>IF(E800&lt;&gt;"", YEARFRAC(C800, E800) * 12, "")</f>
        <v/>
      </c>
      <c r="J800" s="2">
        <f>IF(I800="", "", IF(AND(A800="MF (Equity)", I800&gt;12), "Long Term", "Short Term"))</f>
        <v/>
      </c>
      <c r="K800" s="5">
        <f>IF(J800="", "", IF(J800="Long Term", 12.5%, 20%))</f>
        <v/>
      </c>
      <c r="L800" s="3">
        <f>+IFERROR(IF(J800="","",H800*K800),"")</f>
        <v/>
      </c>
    </row>
    <row r="801">
      <c r="A801" s="11" t="n"/>
      <c r="B801" s="7" t="n"/>
      <c r="C801" s="8" t="n"/>
      <c r="D801" s="9" t="n"/>
      <c r="E801" s="8" t="n"/>
      <c r="F801" s="9" t="n"/>
      <c r="G801" s="9" t="n"/>
      <c r="H801" s="3">
        <f>IF(AND(D801&lt;&gt;"",F801&lt;&gt;""),F801-D801-G801,"")</f>
        <v/>
      </c>
      <c r="I801" s="14">
        <f>IF(E801&lt;&gt;"", YEARFRAC(C801, E801) * 12, "")</f>
        <v/>
      </c>
      <c r="J801" s="2">
        <f>IF(I801="", "", IF(AND(A801="MF (Equity)", I801&gt;12), "Long Term", "Short Term"))</f>
        <v/>
      </c>
      <c r="K801" s="5">
        <f>IF(J801="", "", IF(J801="Long Term", 12.5%, 20%))</f>
        <v/>
      </c>
      <c r="L801" s="3">
        <f>+IFERROR(IF(J801="","",H801*K801),"")</f>
        <v/>
      </c>
    </row>
    <row r="802">
      <c r="A802" s="11" t="n"/>
      <c r="B802" s="7" t="n"/>
      <c r="C802" s="8" t="n"/>
      <c r="D802" s="9" t="n"/>
      <c r="E802" s="8" t="n"/>
      <c r="F802" s="9" t="n"/>
      <c r="G802" s="9" t="n"/>
      <c r="H802" s="3">
        <f>IF(AND(D802&lt;&gt;"",F802&lt;&gt;""),F802-D802-G802,"")</f>
        <v/>
      </c>
      <c r="I802" s="14">
        <f>IF(E802&lt;&gt;"", YEARFRAC(C802, E802) * 12, "")</f>
        <v/>
      </c>
      <c r="J802" s="2">
        <f>IF(I802="", "", IF(AND(A802="MF (Equity)", I802&gt;12), "Long Term", "Short Term"))</f>
        <v/>
      </c>
      <c r="K802" s="5">
        <f>IF(J802="", "", IF(J802="Long Term", 12.5%, 20%))</f>
        <v/>
      </c>
      <c r="L802" s="3">
        <f>+IFERROR(IF(J802="","",H802*K802),"")</f>
        <v/>
      </c>
    </row>
    <row r="803">
      <c r="A803" s="11" t="n"/>
      <c r="B803" s="7" t="n"/>
      <c r="C803" s="8" t="n"/>
      <c r="D803" s="9" t="n"/>
      <c r="E803" s="8" t="n"/>
      <c r="F803" s="9" t="n"/>
      <c r="G803" s="9" t="n"/>
      <c r="H803" s="3">
        <f>IF(AND(D803&lt;&gt;"",F803&lt;&gt;""),F803-D803-G803,"")</f>
        <v/>
      </c>
      <c r="I803" s="14">
        <f>IF(E803&lt;&gt;"", YEARFRAC(C803, E803) * 12, "")</f>
        <v/>
      </c>
      <c r="J803" s="2">
        <f>IF(I803="", "", IF(AND(A803="MF (Equity)", I803&gt;12), "Long Term", "Short Term"))</f>
        <v/>
      </c>
      <c r="K803" s="5">
        <f>IF(J803="", "", IF(J803="Long Term", 12.5%, 20%))</f>
        <v/>
      </c>
      <c r="L803" s="3">
        <f>+IFERROR(IF(J803="","",H803*K803),"")</f>
        <v/>
      </c>
    </row>
    <row r="804">
      <c r="A804" s="11" t="n"/>
      <c r="B804" s="7" t="n"/>
      <c r="C804" s="8" t="n"/>
      <c r="D804" s="9" t="n"/>
      <c r="E804" s="8" t="n"/>
      <c r="F804" s="9" t="n"/>
      <c r="G804" s="9" t="n"/>
      <c r="H804" s="3">
        <f>IF(AND(D804&lt;&gt;"",F804&lt;&gt;""),F804-D804-G804,"")</f>
        <v/>
      </c>
      <c r="I804" s="14">
        <f>IF(E804&lt;&gt;"", YEARFRAC(C804, E804) * 12, "")</f>
        <v/>
      </c>
      <c r="J804" s="2">
        <f>IF(I804="", "", IF(AND(A804="MF (Equity)", I804&gt;12), "Long Term", "Short Term"))</f>
        <v/>
      </c>
      <c r="K804" s="5">
        <f>IF(J804="", "", IF(J804="Long Term", 12.5%, 20%))</f>
        <v/>
      </c>
      <c r="L804" s="3">
        <f>+IFERROR(IF(J804="","",H804*K804),"")</f>
        <v/>
      </c>
    </row>
    <row r="805">
      <c r="A805" s="11" t="n"/>
      <c r="B805" s="7" t="n"/>
      <c r="C805" s="8" t="n"/>
      <c r="D805" s="9" t="n"/>
      <c r="E805" s="8" t="n"/>
      <c r="F805" s="9" t="n"/>
      <c r="G805" s="9" t="n"/>
      <c r="H805" s="3">
        <f>IF(AND(D805&lt;&gt;"",F805&lt;&gt;""),F805-D805-G805,"")</f>
        <v/>
      </c>
      <c r="I805" s="14">
        <f>IF(E805&lt;&gt;"", YEARFRAC(C805, E805) * 12, "")</f>
        <v/>
      </c>
      <c r="J805" s="2">
        <f>IF(I805="", "", IF(AND(A805="MF (Equity)", I805&gt;12), "Long Term", "Short Term"))</f>
        <v/>
      </c>
      <c r="K805" s="5">
        <f>IF(J805="", "", IF(J805="Long Term", 12.5%, 20%))</f>
        <v/>
      </c>
      <c r="L805" s="3">
        <f>+IFERROR(IF(J805="","",H805*K805),"")</f>
        <v/>
      </c>
    </row>
    <row r="806">
      <c r="A806" s="11" t="n"/>
      <c r="B806" s="7" t="n"/>
      <c r="C806" s="8" t="n"/>
      <c r="D806" s="9" t="n"/>
      <c r="E806" s="8" t="n"/>
      <c r="F806" s="9" t="n"/>
      <c r="G806" s="9" t="n"/>
      <c r="H806" s="3">
        <f>IF(AND(D806&lt;&gt;"",F806&lt;&gt;""),F806-D806-G806,"")</f>
        <v/>
      </c>
      <c r="I806" s="14">
        <f>IF(E806&lt;&gt;"", YEARFRAC(C806, E806) * 12, "")</f>
        <v/>
      </c>
      <c r="J806" s="2">
        <f>IF(I806="", "", IF(AND(A806="MF (Equity)", I806&gt;12), "Long Term", "Short Term"))</f>
        <v/>
      </c>
      <c r="K806" s="5">
        <f>IF(J806="", "", IF(J806="Long Term", 12.5%, 20%))</f>
        <v/>
      </c>
      <c r="L806" s="3">
        <f>+IFERROR(IF(J806="","",H806*K806),"")</f>
        <v/>
      </c>
    </row>
    <row r="807">
      <c r="A807" s="11" t="n"/>
      <c r="B807" s="7" t="n"/>
      <c r="C807" s="8" t="n"/>
      <c r="D807" s="9" t="n"/>
      <c r="E807" s="8" t="n"/>
      <c r="F807" s="9" t="n"/>
      <c r="G807" s="9" t="n"/>
      <c r="H807" s="3">
        <f>IF(AND(D807&lt;&gt;"",F807&lt;&gt;""),F807-D807-G807,"")</f>
        <v/>
      </c>
      <c r="I807" s="14">
        <f>IF(E807&lt;&gt;"", YEARFRAC(C807, E807) * 12, "")</f>
        <v/>
      </c>
      <c r="J807" s="2">
        <f>IF(I807="", "", IF(AND(A807="MF (Equity)", I807&gt;12), "Long Term", "Short Term"))</f>
        <v/>
      </c>
      <c r="K807" s="5">
        <f>IF(J807="", "", IF(J807="Long Term", 12.5%, 20%))</f>
        <v/>
      </c>
      <c r="L807" s="3">
        <f>+IFERROR(IF(J807="","",H807*K807),"")</f>
        <v/>
      </c>
    </row>
    <row r="808">
      <c r="A808" s="11" t="n"/>
      <c r="B808" s="7" t="n"/>
      <c r="C808" s="8" t="n"/>
      <c r="D808" s="9" t="n"/>
      <c r="E808" s="8" t="n"/>
      <c r="F808" s="9" t="n"/>
      <c r="G808" s="9" t="n"/>
      <c r="H808" s="3">
        <f>IF(AND(D808&lt;&gt;"",F808&lt;&gt;""),F808-D808-G808,"")</f>
        <v/>
      </c>
      <c r="I808" s="14">
        <f>IF(E808&lt;&gt;"", YEARFRAC(C808, E808) * 12, "")</f>
        <v/>
      </c>
      <c r="J808" s="2">
        <f>IF(I808="", "", IF(AND(A808="MF (Equity)", I808&gt;12), "Long Term", "Short Term"))</f>
        <v/>
      </c>
      <c r="K808" s="5">
        <f>IF(J808="", "", IF(J808="Long Term", 12.5%, 20%))</f>
        <v/>
      </c>
      <c r="L808" s="3">
        <f>+IFERROR(IF(J808="","",H808*K808),"")</f>
        <v/>
      </c>
    </row>
    <row r="809">
      <c r="A809" s="11" t="n"/>
      <c r="B809" s="7" t="n"/>
      <c r="C809" s="8" t="n"/>
      <c r="D809" s="9" t="n"/>
      <c r="E809" s="8" t="n"/>
      <c r="F809" s="9" t="n"/>
      <c r="G809" s="9" t="n"/>
      <c r="H809" s="3">
        <f>IF(AND(D809&lt;&gt;"",F809&lt;&gt;""),F809-D809-G809,"")</f>
        <v/>
      </c>
      <c r="I809" s="14">
        <f>IF(E809&lt;&gt;"", YEARFRAC(C809, E809) * 12, "")</f>
        <v/>
      </c>
      <c r="J809" s="2">
        <f>IF(I809="", "", IF(AND(A809="MF (Equity)", I809&gt;12), "Long Term", "Short Term"))</f>
        <v/>
      </c>
      <c r="K809" s="5">
        <f>IF(J809="", "", IF(J809="Long Term", 12.5%, 20%))</f>
        <v/>
      </c>
      <c r="L809" s="3">
        <f>+IFERROR(IF(J809="","",H809*K809),"")</f>
        <v/>
      </c>
    </row>
    <row r="810">
      <c r="A810" s="11" t="n"/>
      <c r="B810" s="7" t="n"/>
      <c r="C810" s="8" t="n"/>
      <c r="D810" s="9" t="n"/>
      <c r="E810" s="8" t="n"/>
      <c r="F810" s="9" t="n"/>
      <c r="G810" s="9" t="n"/>
      <c r="H810" s="3">
        <f>IF(AND(D810&lt;&gt;"",F810&lt;&gt;""),F810-D810-G810,"")</f>
        <v/>
      </c>
      <c r="I810" s="14">
        <f>IF(E810&lt;&gt;"", YEARFRAC(C810, E810) * 12, "")</f>
        <v/>
      </c>
      <c r="J810" s="2">
        <f>IF(I810="", "", IF(AND(A810="MF (Equity)", I810&gt;12), "Long Term", "Short Term"))</f>
        <v/>
      </c>
      <c r="K810" s="5">
        <f>IF(J810="", "", IF(J810="Long Term", 12.5%, 20%))</f>
        <v/>
      </c>
      <c r="L810" s="3">
        <f>+IFERROR(IF(J810="","",H810*K810),"")</f>
        <v/>
      </c>
    </row>
    <row r="811">
      <c r="A811" s="11" t="n"/>
      <c r="B811" s="7" t="n"/>
      <c r="C811" s="8" t="n"/>
      <c r="D811" s="9" t="n"/>
      <c r="E811" s="8" t="n"/>
      <c r="F811" s="9" t="n"/>
      <c r="G811" s="9" t="n"/>
      <c r="H811" s="3">
        <f>IF(AND(D811&lt;&gt;"",F811&lt;&gt;""),F811-D811-G811,"")</f>
        <v/>
      </c>
      <c r="I811" s="14">
        <f>IF(E811&lt;&gt;"", YEARFRAC(C811, E811) * 12, "")</f>
        <v/>
      </c>
      <c r="J811" s="2">
        <f>IF(I811="", "", IF(AND(A811="MF (Equity)", I811&gt;12), "Long Term", "Short Term"))</f>
        <v/>
      </c>
      <c r="K811" s="5">
        <f>IF(J811="", "", IF(J811="Long Term", 12.5%, 20%))</f>
        <v/>
      </c>
      <c r="L811" s="3">
        <f>+IFERROR(IF(J811="","",H811*K811),"")</f>
        <v/>
      </c>
    </row>
    <row r="812">
      <c r="A812" s="11" t="n"/>
      <c r="B812" s="7" t="n"/>
      <c r="C812" s="8" t="n"/>
      <c r="D812" s="9" t="n"/>
      <c r="E812" s="8" t="n"/>
      <c r="F812" s="9" t="n"/>
      <c r="G812" s="9" t="n"/>
      <c r="H812" s="3">
        <f>IF(AND(D812&lt;&gt;"",F812&lt;&gt;""),F812-D812-G812,"")</f>
        <v/>
      </c>
      <c r="I812" s="14">
        <f>IF(E812&lt;&gt;"", YEARFRAC(C812, E812) * 12, "")</f>
        <v/>
      </c>
      <c r="J812" s="2">
        <f>IF(I812="", "", IF(AND(A812="MF (Equity)", I812&gt;12), "Long Term", "Short Term"))</f>
        <v/>
      </c>
      <c r="K812" s="5">
        <f>IF(J812="", "", IF(J812="Long Term", 12.5%, 20%))</f>
        <v/>
      </c>
      <c r="L812" s="3">
        <f>+IFERROR(IF(J812="","",H812*K812),"")</f>
        <v/>
      </c>
    </row>
    <row r="813">
      <c r="A813" s="11" t="n"/>
      <c r="B813" s="7" t="n"/>
      <c r="C813" s="8" t="n"/>
      <c r="D813" s="9" t="n"/>
      <c r="E813" s="8" t="n"/>
      <c r="F813" s="9" t="n"/>
      <c r="G813" s="9" t="n"/>
      <c r="H813" s="3">
        <f>IF(AND(D813&lt;&gt;"",F813&lt;&gt;""),F813-D813-G813,"")</f>
        <v/>
      </c>
      <c r="I813" s="14">
        <f>IF(E813&lt;&gt;"", YEARFRAC(C813, E813) * 12, "")</f>
        <v/>
      </c>
      <c r="J813" s="2">
        <f>IF(I813="", "", IF(AND(A813="MF (Equity)", I813&gt;12), "Long Term", "Short Term"))</f>
        <v/>
      </c>
      <c r="K813" s="5">
        <f>IF(J813="", "", IF(J813="Long Term", 12.5%, 20%))</f>
        <v/>
      </c>
      <c r="L813" s="3">
        <f>+IFERROR(IF(J813="","",H813*K813),"")</f>
        <v/>
      </c>
    </row>
    <row r="814">
      <c r="A814" s="11" t="n"/>
      <c r="B814" s="7" t="n"/>
      <c r="C814" s="8" t="n"/>
      <c r="D814" s="9" t="n"/>
      <c r="E814" s="8" t="n"/>
      <c r="F814" s="9" t="n"/>
      <c r="G814" s="9" t="n"/>
      <c r="H814" s="3">
        <f>IF(AND(D814&lt;&gt;"",F814&lt;&gt;""),F814-D814-G814,"")</f>
        <v/>
      </c>
      <c r="I814" s="14">
        <f>IF(E814&lt;&gt;"", YEARFRAC(C814, E814) * 12, "")</f>
        <v/>
      </c>
      <c r="J814" s="2">
        <f>IF(I814="", "", IF(AND(A814="MF (Equity)", I814&gt;12), "Long Term", "Short Term"))</f>
        <v/>
      </c>
      <c r="K814" s="5">
        <f>IF(J814="", "", IF(J814="Long Term", 12.5%, 20%))</f>
        <v/>
      </c>
      <c r="L814" s="3">
        <f>+IFERROR(IF(J814="","",H814*K814),"")</f>
        <v/>
      </c>
    </row>
    <row r="815">
      <c r="A815" s="11" t="n"/>
      <c r="B815" s="7" t="n"/>
      <c r="C815" s="8" t="n"/>
      <c r="D815" s="9" t="n"/>
      <c r="E815" s="8" t="n"/>
      <c r="F815" s="9" t="n"/>
      <c r="G815" s="9" t="n"/>
      <c r="H815" s="3">
        <f>IF(AND(D815&lt;&gt;"",F815&lt;&gt;""),F815-D815-G815,"")</f>
        <v/>
      </c>
      <c r="I815" s="14">
        <f>IF(E815&lt;&gt;"", YEARFRAC(C815, E815) * 12, "")</f>
        <v/>
      </c>
      <c r="J815" s="2">
        <f>IF(I815="", "", IF(AND(A815="MF (Equity)", I815&gt;12), "Long Term", "Short Term"))</f>
        <v/>
      </c>
      <c r="K815" s="5">
        <f>IF(J815="", "", IF(J815="Long Term", 12.5%, 20%))</f>
        <v/>
      </c>
      <c r="L815" s="3">
        <f>+IFERROR(IF(J815="","",H815*K815),"")</f>
        <v/>
      </c>
    </row>
    <row r="816">
      <c r="A816" s="11" t="n"/>
      <c r="B816" s="7" t="n"/>
      <c r="C816" s="8" t="n"/>
      <c r="D816" s="9" t="n"/>
      <c r="E816" s="8" t="n"/>
      <c r="F816" s="9" t="n"/>
      <c r="G816" s="9" t="n"/>
      <c r="H816" s="3">
        <f>IF(AND(D816&lt;&gt;"",F816&lt;&gt;""),F816-D816-G816,"")</f>
        <v/>
      </c>
      <c r="I816" s="14">
        <f>IF(E816&lt;&gt;"", YEARFRAC(C816, E816) * 12, "")</f>
        <v/>
      </c>
      <c r="J816" s="2">
        <f>IF(I816="", "", IF(AND(A816="MF (Equity)", I816&gt;12), "Long Term", "Short Term"))</f>
        <v/>
      </c>
      <c r="K816" s="5">
        <f>IF(J816="", "", IF(J816="Long Term", 12.5%, 20%))</f>
        <v/>
      </c>
      <c r="L816" s="3">
        <f>+IFERROR(IF(J816="","",H816*K816),"")</f>
        <v/>
      </c>
    </row>
    <row r="817">
      <c r="A817" s="11" t="n"/>
      <c r="B817" s="7" t="n"/>
      <c r="C817" s="8" t="n"/>
      <c r="D817" s="9" t="n"/>
      <c r="E817" s="8" t="n"/>
      <c r="F817" s="9" t="n"/>
      <c r="G817" s="9" t="n"/>
      <c r="H817" s="3">
        <f>IF(AND(D817&lt;&gt;"",F817&lt;&gt;""),F817-D817-G817,"")</f>
        <v/>
      </c>
      <c r="I817" s="14">
        <f>IF(E817&lt;&gt;"", YEARFRAC(C817, E817) * 12, "")</f>
        <v/>
      </c>
      <c r="J817" s="2">
        <f>IF(I817="", "", IF(AND(A817="MF (Equity)", I817&gt;12), "Long Term", "Short Term"))</f>
        <v/>
      </c>
      <c r="K817" s="5">
        <f>IF(J817="", "", IF(J817="Long Term", 12.5%, 20%))</f>
        <v/>
      </c>
      <c r="L817" s="3">
        <f>+IFERROR(IF(J817="","",H817*K817),"")</f>
        <v/>
      </c>
    </row>
    <row r="818">
      <c r="A818" s="11" t="n"/>
      <c r="B818" s="7" t="n"/>
      <c r="C818" s="8" t="n"/>
      <c r="D818" s="9" t="n"/>
      <c r="E818" s="8" t="n"/>
      <c r="F818" s="9" t="n"/>
      <c r="G818" s="9" t="n"/>
      <c r="H818" s="3">
        <f>IF(AND(D818&lt;&gt;"",F818&lt;&gt;""),F818-D818-G818,"")</f>
        <v/>
      </c>
      <c r="I818" s="14">
        <f>IF(E818&lt;&gt;"", YEARFRAC(C818, E818) * 12, "")</f>
        <v/>
      </c>
      <c r="J818" s="2">
        <f>IF(I818="", "", IF(AND(A818="MF (Equity)", I818&gt;12), "Long Term", "Short Term"))</f>
        <v/>
      </c>
      <c r="K818" s="5">
        <f>IF(J818="", "", IF(J818="Long Term", 12.5%, 20%))</f>
        <v/>
      </c>
      <c r="L818" s="3">
        <f>+IFERROR(IF(J818="","",H818*K818),"")</f>
        <v/>
      </c>
    </row>
    <row r="819">
      <c r="A819" s="11" t="n"/>
      <c r="B819" s="7" t="n"/>
      <c r="C819" s="8" t="n"/>
      <c r="D819" s="9" t="n"/>
      <c r="E819" s="8" t="n"/>
      <c r="F819" s="9" t="n"/>
      <c r="G819" s="9" t="n"/>
      <c r="H819" s="3">
        <f>IF(AND(D819&lt;&gt;"",F819&lt;&gt;""),F819-D819-G819,"")</f>
        <v/>
      </c>
      <c r="I819" s="14">
        <f>IF(E819&lt;&gt;"", YEARFRAC(C819, E819) * 12, "")</f>
        <v/>
      </c>
      <c r="J819" s="2">
        <f>IF(I819="", "", IF(AND(A819="MF (Equity)", I819&gt;12), "Long Term", "Short Term"))</f>
        <v/>
      </c>
      <c r="K819" s="5">
        <f>IF(J819="", "", IF(J819="Long Term", 12.5%, 20%))</f>
        <v/>
      </c>
      <c r="L819" s="3">
        <f>+IFERROR(IF(J819="","",H819*K819),"")</f>
        <v/>
      </c>
    </row>
    <row r="820">
      <c r="A820" s="11" t="n"/>
      <c r="B820" s="7" t="n"/>
      <c r="C820" s="8" t="n"/>
      <c r="D820" s="9" t="n"/>
      <c r="E820" s="8" t="n"/>
      <c r="F820" s="9" t="n"/>
      <c r="G820" s="9" t="n"/>
      <c r="H820" s="3">
        <f>IF(AND(D820&lt;&gt;"",F820&lt;&gt;""),F820-D820-G820,"")</f>
        <v/>
      </c>
      <c r="I820" s="14">
        <f>IF(E820&lt;&gt;"", YEARFRAC(C820, E820) * 12, "")</f>
        <v/>
      </c>
      <c r="J820" s="2">
        <f>IF(I820="", "", IF(AND(A820="MF (Equity)", I820&gt;12), "Long Term", "Short Term"))</f>
        <v/>
      </c>
      <c r="K820" s="5">
        <f>IF(J820="", "", IF(J820="Long Term", 12.5%, 20%))</f>
        <v/>
      </c>
      <c r="L820" s="3">
        <f>+IFERROR(IF(J820="","",H820*K820),"")</f>
        <v/>
      </c>
    </row>
    <row r="821">
      <c r="A821" s="11" t="n"/>
      <c r="B821" s="7" t="n"/>
      <c r="C821" s="8" t="n"/>
      <c r="D821" s="9" t="n"/>
      <c r="E821" s="8" t="n"/>
      <c r="F821" s="9" t="n"/>
      <c r="G821" s="9" t="n"/>
      <c r="H821" s="3">
        <f>IF(AND(D821&lt;&gt;"",F821&lt;&gt;""),F821-D821-G821,"")</f>
        <v/>
      </c>
      <c r="I821" s="14">
        <f>IF(E821&lt;&gt;"", YEARFRAC(C821, E821) * 12, "")</f>
        <v/>
      </c>
      <c r="J821" s="2">
        <f>IF(I821="", "", IF(AND(A821="MF (Equity)", I821&gt;12), "Long Term", "Short Term"))</f>
        <v/>
      </c>
      <c r="K821" s="5">
        <f>IF(J821="", "", IF(J821="Long Term", 12.5%, 20%))</f>
        <v/>
      </c>
      <c r="L821" s="3">
        <f>+IFERROR(IF(J821="","",H821*K821),"")</f>
        <v/>
      </c>
    </row>
    <row r="822">
      <c r="A822" s="11" t="n"/>
      <c r="B822" s="7" t="n"/>
      <c r="C822" s="8" t="n"/>
      <c r="D822" s="9" t="n"/>
      <c r="E822" s="8" t="n"/>
      <c r="F822" s="9" t="n"/>
      <c r="G822" s="9" t="n"/>
      <c r="H822" s="3">
        <f>IF(AND(D822&lt;&gt;"",F822&lt;&gt;""),F822-D822-G822,"")</f>
        <v/>
      </c>
      <c r="I822" s="14">
        <f>IF(E822&lt;&gt;"", YEARFRAC(C822, E822) * 12, "")</f>
        <v/>
      </c>
      <c r="J822" s="2">
        <f>IF(I822="", "", IF(AND(A822="MF (Equity)", I822&gt;12), "Long Term", "Short Term"))</f>
        <v/>
      </c>
      <c r="K822" s="5">
        <f>IF(J822="", "", IF(J822="Long Term", 12.5%, 20%))</f>
        <v/>
      </c>
      <c r="L822" s="3">
        <f>+IFERROR(IF(J822="","",H822*K822),"")</f>
        <v/>
      </c>
    </row>
    <row r="823">
      <c r="A823" s="11" t="n"/>
      <c r="B823" s="7" t="n"/>
      <c r="C823" s="8" t="n"/>
      <c r="D823" s="9" t="n"/>
      <c r="E823" s="8" t="n"/>
      <c r="F823" s="9" t="n"/>
      <c r="G823" s="9" t="n"/>
      <c r="H823" s="3">
        <f>IF(AND(D823&lt;&gt;"",F823&lt;&gt;""),F823-D823-G823,"")</f>
        <v/>
      </c>
      <c r="I823" s="14">
        <f>IF(E823&lt;&gt;"", YEARFRAC(C823, E823) * 12, "")</f>
        <v/>
      </c>
      <c r="J823" s="2">
        <f>IF(I823="", "", IF(AND(A823="MF (Equity)", I823&gt;12), "Long Term", "Short Term"))</f>
        <v/>
      </c>
      <c r="K823" s="5">
        <f>IF(J823="", "", IF(J823="Long Term", 12.5%, 20%))</f>
        <v/>
      </c>
      <c r="L823" s="3">
        <f>+IFERROR(IF(J823="","",H823*K823),"")</f>
        <v/>
      </c>
    </row>
    <row r="824">
      <c r="A824" s="11" t="n"/>
      <c r="B824" s="7" t="n"/>
      <c r="C824" s="8" t="n"/>
      <c r="D824" s="9" t="n"/>
      <c r="E824" s="8" t="n"/>
      <c r="F824" s="9" t="n"/>
      <c r="G824" s="9" t="n"/>
      <c r="H824" s="3">
        <f>IF(AND(D824&lt;&gt;"",F824&lt;&gt;""),F824-D824-G824,"")</f>
        <v/>
      </c>
      <c r="I824" s="14">
        <f>IF(E824&lt;&gt;"", YEARFRAC(C824, E824) * 12, "")</f>
        <v/>
      </c>
      <c r="J824" s="2">
        <f>IF(I824="", "", IF(AND(A824="MF (Equity)", I824&gt;12), "Long Term", "Short Term"))</f>
        <v/>
      </c>
      <c r="K824" s="5">
        <f>IF(J824="", "", IF(J824="Long Term", 12.5%, 20%))</f>
        <v/>
      </c>
      <c r="L824" s="3">
        <f>+IFERROR(IF(J824="","",H824*K824),"")</f>
        <v/>
      </c>
    </row>
    <row r="825">
      <c r="A825" s="11" t="n"/>
      <c r="B825" s="7" t="n"/>
      <c r="C825" s="8" t="n"/>
      <c r="D825" s="9" t="n"/>
      <c r="E825" s="8" t="n"/>
      <c r="F825" s="9" t="n"/>
      <c r="G825" s="9" t="n"/>
      <c r="H825" s="3">
        <f>IF(AND(D825&lt;&gt;"",F825&lt;&gt;""),F825-D825-G825,"")</f>
        <v/>
      </c>
      <c r="I825" s="14">
        <f>IF(E825&lt;&gt;"", YEARFRAC(C825, E825) * 12, "")</f>
        <v/>
      </c>
      <c r="J825" s="2">
        <f>IF(I825="", "", IF(AND(A825="MF (Equity)", I825&gt;12), "Long Term", "Short Term"))</f>
        <v/>
      </c>
      <c r="K825" s="5">
        <f>IF(J825="", "", IF(J825="Long Term", 12.5%, 20%))</f>
        <v/>
      </c>
      <c r="L825" s="3">
        <f>+IFERROR(IF(J825="","",H825*K825),"")</f>
        <v/>
      </c>
    </row>
    <row r="826">
      <c r="A826" s="11" t="n"/>
      <c r="B826" s="7" t="n"/>
      <c r="C826" s="8" t="n"/>
      <c r="D826" s="9" t="n"/>
      <c r="E826" s="8" t="n"/>
      <c r="F826" s="9" t="n"/>
      <c r="G826" s="9" t="n"/>
      <c r="H826" s="3">
        <f>IF(AND(D826&lt;&gt;"",F826&lt;&gt;""),F826-D826-G826,"")</f>
        <v/>
      </c>
      <c r="I826" s="14">
        <f>IF(E826&lt;&gt;"", YEARFRAC(C826, E826) * 12, "")</f>
        <v/>
      </c>
      <c r="J826" s="2">
        <f>IF(I826="", "", IF(AND(A826="MF (Equity)", I826&gt;12), "Long Term", "Short Term"))</f>
        <v/>
      </c>
      <c r="K826" s="5">
        <f>IF(J826="", "", IF(J826="Long Term", 12.5%, 20%))</f>
        <v/>
      </c>
      <c r="L826" s="3">
        <f>+IFERROR(IF(J826="","",H826*K826),"")</f>
        <v/>
      </c>
    </row>
    <row r="827">
      <c r="A827" s="11" t="n"/>
      <c r="B827" s="7" t="n"/>
      <c r="C827" s="8" t="n"/>
      <c r="D827" s="9" t="n"/>
      <c r="E827" s="8" t="n"/>
      <c r="F827" s="9" t="n"/>
      <c r="G827" s="9" t="n"/>
      <c r="H827" s="3">
        <f>IF(AND(D827&lt;&gt;"",F827&lt;&gt;""),F827-D827-G827,"")</f>
        <v/>
      </c>
      <c r="I827" s="14">
        <f>IF(E827&lt;&gt;"", YEARFRAC(C827, E827) * 12, "")</f>
        <v/>
      </c>
      <c r="J827" s="2">
        <f>IF(I827="", "", IF(AND(A827="MF (Equity)", I827&gt;12), "Long Term", "Short Term"))</f>
        <v/>
      </c>
      <c r="K827" s="5">
        <f>IF(J827="", "", IF(J827="Long Term", 12.5%, 20%))</f>
        <v/>
      </c>
      <c r="L827" s="3">
        <f>+IFERROR(IF(J827="","",H827*K827),"")</f>
        <v/>
      </c>
    </row>
    <row r="828">
      <c r="A828" s="11" t="n"/>
      <c r="B828" s="7" t="n"/>
      <c r="C828" s="8" t="n"/>
      <c r="D828" s="9" t="n"/>
      <c r="E828" s="8" t="n"/>
      <c r="F828" s="9" t="n"/>
      <c r="G828" s="9" t="n"/>
      <c r="H828" s="3">
        <f>IF(AND(D828&lt;&gt;"",F828&lt;&gt;""),F828-D828-G828,"")</f>
        <v/>
      </c>
      <c r="I828" s="14">
        <f>IF(E828&lt;&gt;"", YEARFRAC(C828, E828) * 12, "")</f>
        <v/>
      </c>
      <c r="J828" s="2">
        <f>IF(I828="", "", IF(AND(A828="MF (Equity)", I828&gt;12), "Long Term", "Short Term"))</f>
        <v/>
      </c>
      <c r="K828" s="5">
        <f>IF(J828="", "", IF(J828="Long Term", 12.5%, 20%))</f>
        <v/>
      </c>
      <c r="L828" s="3">
        <f>+IFERROR(IF(J828="","",H828*K828),"")</f>
        <v/>
      </c>
    </row>
    <row r="829">
      <c r="A829" s="11" t="n"/>
      <c r="B829" s="7" t="n"/>
      <c r="C829" s="8" t="n"/>
      <c r="D829" s="9" t="n"/>
      <c r="E829" s="8" t="n"/>
      <c r="F829" s="9" t="n"/>
      <c r="G829" s="9" t="n"/>
      <c r="H829" s="3">
        <f>IF(AND(D829&lt;&gt;"",F829&lt;&gt;""),F829-D829-G829,"")</f>
        <v/>
      </c>
      <c r="I829" s="14">
        <f>IF(E829&lt;&gt;"", YEARFRAC(C829, E829) * 12, "")</f>
        <v/>
      </c>
      <c r="J829" s="2">
        <f>IF(I829="", "", IF(AND(A829="MF (Equity)", I829&gt;12), "Long Term", "Short Term"))</f>
        <v/>
      </c>
      <c r="K829" s="5">
        <f>IF(J829="", "", IF(J829="Long Term", 12.5%, 20%))</f>
        <v/>
      </c>
      <c r="L829" s="3">
        <f>+IFERROR(IF(J829="","",H829*K829),"")</f>
        <v/>
      </c>
    </row>
    <row r="830">
      <c r="A830" s="11" t="n"/>
      <c r="B830" s="7" t="n"/>
      <c r="C830" s="8" t="n"/>
      <c r="D830" s="9" t="n"/>
      <c r="E830" s="8" t="n"/>
      <c r="F830" s="9" t="n"/>
      <c r="G830" s="9" t="n"/>
      <c r="H830" s="3">
        <f>IF(AND(D830&lt;&gt;"",F830&lt;&gt;""),F830-D830-G830,"")</f>
        <v/>
      </c>
      <c r="I830" s="14">
        <f>IF(E830&lt;&gt;"", YEARFRAC(C830, E830) * 12, "")</f>
        <v/>
      </c>
      <c r="J830" s="2">
        <f>IF(I830="", "", IF(AND(A830="MF (Equity)", I830&gt;12), "Long Term", "Short Term"))</f>
        <v/>
      </c>
      <c r="K830" s="5">
        <f>IF(J830="", "", IF(J830="Long Term", 12.5%, 20%))</f>
        <v/>
      </c>
      <c r="L830" s="3">
        <f>+IFERROR(IF(J830="","",H830*K830),"")</f>
        <v/>
      </c>
    </row>
    <row r="831">
      <c r="A831" s="11" t="n"/>
      <c r="B831" s="7" t="n"/>
      <c r="C831" s="8" t="n"/>
      <c r="D831" s="9" t="n"/>
      <c r="E831" s="8" t="n"/>
      <c r="F831" s="9" t="n"/>
      <c r="G831" s="9" t="n"/>
      <c r="H831" s="3">
        <f>IF(AND(D831&lt;&gt;"",F831&lt;&gt;""),F831-D831-G831,"")</f>
        <v/>
      </c>
      <c r="I831" s="14">
        <f>IF(E831&lt;&gt;"", YEARFRAC(C831, E831) * 12, "")</f>
        <v/>
      </c>
      <c r="J831" s="2">
        <f>IF(I831="", "", IF(AND(A831="MF (Equity)", I831&gt;12), "Long Term", "Short Term"))</f>
        <v/>
      </c>
      <c r="K831" s="5">
        <f>IF(J831="", "", IF(J831="Long Term", 12.5%, 20%))</f>
        <v/>
      </c>
      <c r="L831" s="3">
        <f>+IFERROR(IF(J831="","",H831*K831),"")</f>
        <v/>
      </c>
    </row>
    <row r="832">
      <c r="A832" s="11" t="n"/>
      <c r="B832" s="7" t="n"/>
      <c r="C832" s="8" t="n"/>
      <c r="D832" s="9" t="n"/>
      <c r="E832" s="8" t="n"/>
      <c r="F832" s="9" t="n"/>
      <c r="G832" s="9" t="n"/>
      <c r="H832" s="3">
        <f>IF(AND(D832&lt;&gt;"",F832&lt;&gt;""),F832-D832-G832,"")</f>
        <v/>
      </c>
      <c r="I832" s="14">
        <f>IF(E832&lt;&gt;"", YEARFRAC(C832, E832) * 12, "")</f>
        <v/>
      </c>
      <c r="J832" s="2">
        <f>IF(I832="", "", IF(AND(A832="MF (Equity)", I832&gt;12), "Long Term", "Short Term"))</f>
        <v/>
      </c>
      <c r="K832" s="5">
        <f>IF(J832="", "", IF(J832="Long Term", 12.5%, 20%))</f>
        <v/>
      </c>
      <c r="L832" s="3">
        <f>+IFERROR(IF(J832="","",H832*K832),"")</f>
        <v/>
      </c>
    </row>
    <row r="833">
      <c r="A833" s="11" t="n"/>
      <c r="B833" s="7" t="n"/>
      <c r="C833" s="8" t="n"/>
      <c r="D833" s="9" t="n"/>
      <c r="E833" s="8" t="n"/>
      <c r="F833" s="9" t="n"/>
      <c r="G833" s="9" t="n"/>
      <c r="H833" s="3">
        <f>IF(AND(D833&lt;&gt;"",F833&lt;&gt;""),F833-D833-G833,"")</f>
        <v/>
      </c>
      <c r="I833" s="14">
        <f>IF(E833&lt;&gt;"", YEARFRAC(C833, E833) * 12, "")</f>
        <v/>
      </c>
      <c r="J833" s="2">
        <f>IF(I833="", "", IF(AND(A833="MF (Equity)", I833&gt;12), "Long Term", "Short Term"))</f>
        <v/>
      </c>
      <c r="K833" s="5">
        <f>IF(J833="", "", IF(J833="Long Term", 12.5%, 20%))</f>
        <v/>
      </c>
      <c r="L833" s="3">
        <f>+IFERROR(IF(J833="","",H833*K833),"")</f>
        <v/>
      </c>
    </row>
    <row r="834">
      <c r="A834" s="11" t="n"/>
      <c r="B834" s="7" t="n"/>
      <c r="C834" s="8" t="n"/>
      <c r="D834" s="9" t="n"/>
      <c r="E834" s="8" t="n"/>
      <c r="F834" s="9" t="n"/>
      <c r="G834" s="9" t="n"/>
      <c r="H834" s="3">
        <f>IF(AND(D834&lt;&gt;"",F834&lt;&gt;""),F834-D834-G834,"")</f>
        <v/>
      </c>
      <c r="I834" s="14">
        <f>IF(E834&lt;&gt;"", YEARFRAC(C834, E834) * 12, "")</f>
        <v/>
      </c>
      <c r="J834" s="2">
        <f>IF(I834="", "", IF(AND(A834="MF (Equity)", I834&gt;12), "Long Term", "Short Term"))</f>
        <v/>
      </c>
      <c r="K834" s="5">
        <f>IF(J834="", "", IF(J834="Long Term", 12.5%, 20%))</f>
        <v/>
      </c>
      <c r="L834" s="3">
        <f>+IFERROR(IF(J834="","",H834*K834),"")</f>
        <v/>
      </c>
    </row>
    <row r="835">
      <c r="A835" s="11" t="n"/>
      <c r="B835" s="7" t="n"/>
      <c r="C835" s="8" t="n"/>
      <c r="D835" s="9" t="n"/>
      <c r="E835" s="8" t="n"/>
      <c r="F835" s="9" t="n"/>
      <c r="G835" s="9" t="n"/>
      <c r="H835" s="3">
        <f>IF(AND(D835&lt;&gt;"",F835&lt;&gt;""),F835-D835-G835,"")</f>
        <v/>
      </c>
      <c r="I835" s="14">
        <f>IF(E835&lt;&gt;"", YEARFRAC(C835, E835) * 12, "")</f>
        <v/>
      </c>
      <c r="J835" s="2">
        <f>IF(I835="", "", IF(AND(A835="MF (Equity)", I835&gt;12), "Long Term", "Short Term"))</f>
        <v/>
      </c>
      <c r="K835" s="5">
        <f>IF(J835="", "", IF(J835="Long Term", 12.5%, 20%))</f>
        <v/>
      </c>
      <c r="L835" s="3">
        <f>+IFERROR(IF(J835="","",H835*K835),"")</f>
        <v/>
      </c>
    </row>
    <row r="836">
      <c r="A836" s="11" t="n"/>
      <c r="B836" s="7" t="n"/>
      <c r="C836" s="8" t="n"/>
      <c r="D836" s="9" t="n"/>
      <c r="E836" s="8" t="n"/>
      <c r="F836" s="9" t="n"/>
      <c r="G836" s="9" t="n"/>
      <c r="H836" s="3">
        <f>IF(AND(D836&lt;&gt;"",F836&lt;&gt;""),F836-D836-G836,"")</f>
        <v/>
      </c>
      <c r="I836" s="14">
        <f>IF(E836&lt;&gt;"", YEARFRAC(C836, E836) * 12, "")</f>
        <v/>
      </c>
      <c r="J836" s="2">
        <f>IF(I836="", "", IF(AND(A836="MF (Equity)", I836&gt;12), "Long Term", "Short Term"))</f>
        <v/>
      </c>
      <c r="K836" s="5">
        <f>IF(J836="", "", IF(J836="Long Term", 12.5%, 20%))</f>
        <v/>
      </c>
      <c r="L836" s="3">
        <f>+IFERROR(IF(J836="","",H836*K836),"")</f>
        <v/>
      </c>
    </row>
    <row r="837">
      <c r="A837" s="11" t="n"/>
      <c r="B837" s="7" t="n"/>
      <c r="C837" s="8" t="n"/>
      <c r="D837" s="9" t="n"/>
      <c r="E837" s="8" t="n"/>
      <c r="F837" s="9" t="n"/>
      <c r="G837" s="9" t="n"/>
      <c r="H837" s="3">
        <f>IF(AND(D837&lt;&gt;"",F837&lt;&gt;""),F837-D837-G837,"")</f>
        <v/>
      </c>
      <c r="I837" s="14">
        <f>IF(E837&lt;&gt;"", YEARFRAC(C837, E837) * 12, "")</f>
        <v/>
      </c>
      <c r="J837" s="2">
        <f>IF(I837="", "", IF(AND(A837="MF (Equity)", I837&gt;12), "Long Term", "Short Term"))</f>
        <v/>
      </c>
      <c r="K837" s="5">
        <f>IF(J837="", "", IF(J837="Long Term", 12.5%, 20%))</f>
        <v/>
      </c>
      <c r="L837" s="3">
        <f>+IFERROR(IF(J837="","",H837*K837),"")</f>
        <v/>
      </c>
    </row>
    <row r="838">
      <c r="A838" s="11" t="n"/>
      <c r="B838" s="7" t="n"/>
      <c r="C838" s="8" t="n"/>
      <c r="D838" s="9" t="n"/>
      <c r="E838" s="8" t="n"/>
      <c r="F838" s="9" t="n"/>
      <c r="G838" s="9" t="n"/>
      <c r="H838" s="3">
        <f>IF(AND(D838&lt;&gt;"",F838&lt;&gt;""),F838-D838-G838,"")</f>
        <v/>
      </c>
      <c r="I838" s="14">
        <f>IF(E838&lt;&gt;"", YEARFRAC(C838, E838) * 12, "")</f>
        <v/>
      </c>
      <c r="J838" s="2">
        <f>IF(I838="", "", IF(AND(A838="MF (Equity)", I838&gt;12), "Long Term", "Short Term"))</f>
        <v/>
      </c>
      <c r="K838" s="5">
        <f>IF(J838="", "", IF(J838="Long Term", 12.5%, 20%))</f>
        <v/>
      </c>
      <c r="L838" s="3">
        <f>+IFERROR(IF(J838="","",H838*K838),"")</f>
        <v/>
      </c>
    </row>
    <row r="839">
      <c r="A839" s="11" t="n"/>
      <c r="B839" s="7" t="n"/>
      <c r="C839" s="8" t="n"/>
      <c r="D839" s="9" t="n"/>
      <c r="E839" s="8" t="n"/>
      <c r="F839" s="9" t="n"/>
      <c r="G839" s="9" t="n"/>
      <c r="H839" s="3">
        <f>IF(AND(D839&lt;&gt;"",F839&lt;&gt;""),F839-D839-G839,"")</f>
        <v/>
      </c>
      <c r="I839" s="14">
        <f>IF(E839&lt;&gt;"", YEARFRAC(C839, E839) * 12, "")</f>
        <v/>
      </c>
      <c r="J839" s="2">
        <f>IF(I839="", "", IF(AND(A839="MF (Equity)", I839&gt;12), "Long Term", "Short Term"))</f>
        <v/>
      </c>
      <c r="K839" s="5">
        <f>IF(J839="", "", IF(J839="Long Term", 12.5%, 20%))</f>
        <v/>
      </c>
      <c r="L839" s="3">
        <f>+IFERROR(IF(J839="","",H839*K839),"")</f>
        <v/>
      </c>
    </row>
    <row r="840">
      <c r="A840" s="11" t="n"/>
      <c r="B840" s="7" t="n"/>
      <c r="C840" s="8" t="n"/>
      <c r="D840" s="9" t="n"/>
      <c r="E840" s="8" t="n"/>
      <c r="F840" s="9" t="n"/>
      <c r="G840" s="9" t="n"/>
      <c r="H840" s="3">
        <f>IF(AND(D840&lt;&gt;"",F840&lt;&gt;""),F840-D840-G840,"")</f>
        <v/>
      </c>
      <c r="I840" s="14">
        <f>IF(E840&lt;&gt;"", YEARFRAC(C840, E840) * 12, "")</f>
        <v/>
      </c>
      <c r="J840" s="2">
        <f>IF(I840="", "", IF(AND(A840="MF (Equity)", I840&gt;12), "Long Term", "Short Term"))</f>
        <v/>
      </c>
      <c r="K840" s="5">
        <f>IF(J840="", "", IF(J840="Long Term", 12.5%, 20%))</f>
        <v/>
      </c>
      <c r="L840" s="3">
        <f>+IFERROR(IF(J840="","",H840*K840),"")</f>
        <v/>
      </c>
    </row>
    <row r="841">
      <c r="A841" s="11" t="n"/>
      <c r="B841" s="7" t="n"/>
      <c r="C841" s="8" t="n"/>
      <c r="D841" s="9" t="n"/>
      <c r="E841" s="8" t="n"/>
      <c r="F841" s="9" t="n"/>
      <c r="G841" s="9" t="n"/>
      <c r="H841" s="3">
        <f>IF(AND(D841&lt;&gt;"",F841&lt;&gt;""),F841-D841-G841,"")</f>
        <v/>
      </c>
      <c r="I841" s="14">
        <f>IF(E841&lt;&gt;"", YEARFRAC(C841, E841) * 12, "")</f>
        <v/>
      </c>
      <c r="J841" s="2">
        <f>IF(I841="", "", IF(AND(A841="MF (Equity)", I841&gt;12), "Long Term", "Short Term"))</f>
        <v/>
      </c>
      <c r="K841" s="5">
        <f>IF(J841="", "", IF(J841="Long Term", 12.5%, 20%))</f>
        <v/>
      </c>
      <c r="L841" s="3">
        <f>+IFERROR(IF(J841="","",H841*K841),"")</f>
        <v/>
      </c>
    </row>
    <row r="842">
      <c r="A842" s="11" t="n"/>
      <c r="B842" s="7" t="n"/>
      <c r="C842" s="8" t="n"/>
      <c r="D842" s="9" t="n"/>
      <c r="E842" s="8" t="n"/>
      <c r="F842" s="9" t="n"/>
      <c r="G842" s="9" t="n"/>
      <c r="H842" s="3">
        <f>IF(AND(D842&lt;&gt;"",F842&lt;&gt;""),F842-D842-G842,"")</f>
        <v/>
      </c>
      <c r="I842" s="14">
        <f>IF(E842&lt;&gt;"", YEARFRAC(C842, E842) * 12, "")</f>
        <v/>
      </c>
      <c r="J842" s="2">
        <f>IF(I842="", "", IF(AND(A842="MF (Equity)", I842&gt;12), "Long Term", "Short Term"))</f>
        <v/>
      </c>
      <c r="K842" s="5">
        <f>IF(J842="", "", IF(J842="Long Term", 12.5%, 20%))</f>
        <v/>
      </c>
      <c r="L842" s="3">
        <f>+IFERROR(IF(J842="","",H842*K842),"")</f>
        <v/>
      </c>
    </row>
    <row r="843">
      <c r="A843" s="11" t="n"/>
      <c r="B843" s="7" t="n"/>
      <c r="C843" s="8" t="n"/>
      <c r="D843" s="9" t="n"/>
      <c r="E843" s="8" t="n"/>
      <c r="F843" s="9" t="n"/>
      <c r="G843" s="9" t="n"/>
      <c r="H843" s="3">
        <f>IF(AND(D843&lt;&gt;"",F843&lt;&gt;""),F843-D843-G843,"")</f>
        <v/>
      </c>
      <c r="I843" s="14">
        <f>IF(E843&lt;&gt;"", YEARFRAC(C843, E843) * 12, "")</f>
        <v/>
      </c>
      <c r="J843" s="2">
        <f>IF(I843="", "", IF(AND(A843="MF (Equity)", I843&gt;12), "Long Term", "Short Term"))</f>
        <v/>
      </c>
      <c r="K843" s="5">
        <f>IF(J843="", "", IF(J843="Long Term", 12.5%, 20%))</f>
        <v/>
      </c>
      <c r="L843" s="3">
        <f>+IFERROR(IF(J843="","",H843*K843),"")</f>
        <v/>
      </c>
    </row>
    <row r="844">
      <c r="A844" s="11" t="n"/>
      <c r="B844" s="7" t="n"/>
      <c r="C844" s="8" t="n"/>
      <c r="D844" s="9" t="n"/>
      <c r="E844" s="8" t="n"/>
      <c r="F844" s="9" t="n"/>
      <c r="G844" s="9" t="n"/>
      <c r="H844" s="3">
        <f>IF(AND(D844&lt;&gt;"",F844&lt;&gt;""),F844-D844-G844,"")</f>
        <v/>
      </c>
      <c r="I844" s="14">
        <f>IF(E844&lt;&gt;"", YEARFRAC(C844, E844) * 12, "")</f>
        <v/>
      </c>
      <c r="J844" s="2">
        <f>IF(I844="", "", IF(AND(A844="MF (Equity)", I844&gt;12), "Long Term", "Short Term"))</f>
        <v/>
      </c>
      <c r="K844" s="5">
        <f>IF(J844="", "", IF(J844="Long Term", 12.5%, 20%))</f>
        <v/>
      </c>
      <c r="L844" s="3">
        <f>+IFERROR(IF(J844="","",H844*K844),"")</f>
        <v/>
      </c>
    </row>
    <row r="845">
      <c r="A845" s="11" t="n"/>
      <c r="B845" s="7" t="n"/>
      <c r="C845" s="8" t="n"/>
      <c r="D845" s="9" t="n"/>
      <c r="E845" s="8" t="n"/>
      <c r="F845" s="9" t="n"/>
      <c r="G845" s="9" t="n"/>
      <c r="H845" s="3">
        <f>IF(AND(D845&lt;&gt;"",F845&lt;&gt;""),F845-D845-G845,"")</f>
        <v/>
      </c>
      <c r="I845" s="14">
        <f>IF(E845&lt;&gt;"", YEARFRAC(C845, E845) * 12, "")</f>
        <v/>
      </c>
      <c r="J845" s="2">
        <f>IF(I845="", "", IF(AND(A845="MF (Equity)", I845&gt;12), "Long Term", "Short Term"))</f>
        <v/>
      </c>
      <c r="K845" s="5">
        <f>IF(J845="", "", IF(J845="Long Term", 12.5%, 20%))</f>
        <v/>
      </c>
      <c r="L845" s="3">
        <f>+IFERROR(IF(J845="","",H845*K845),"")</f>
        <v/>
      </c>
    </row>
    <row r="846">
      <c r="A846" s="11" t="n"/>
      <c r="B846" s="7" t="n"/>
      <c r="C846" s="8" t="n"/>
      <c r="D846" s="9" t="n"/>
      <c r="E846" s="8" t="n"/>
      <c r="F846" s="9" t="n"/>
      <c r="G846" s="9" t="n"/>
      <c r="H846" s="3">
        <f>IF(AND(D846&lt;&gt;"",F846&lt;&gt;""),F846-D846-G846,"")</f>
        <v/>
      </c>
      <c r="I846" s="14">
        <f>IF(E846&lt;&gt;"", YEARFRAC(C846, E846) * 12, "")</f>
        <v/>
      </c>
      <c r="J846" s="2">
        <f>IF(I846="", "", IF(AND(A846="MF (Equity)", I846&gt;12), "Long Term", "Short Term"))</f>
        <v/>
      </c>
      <c r="K846" s="5">
        <f>IF(J846="", "", IF(J846="Long Term", 12.5%, 20%))</f>
        <v/>
      </c>
      <c r="L846" s="3">
        <f>+IFERROR(IF(J846="","",H846*K846),"")</f>
        <v/>
      </c>
    </row>
    <row r="847">
      <c r="A847" s="11" t="n"/>
      <c r="B847" s="7" t="n"/>
      <c r="C847" s="8" t="n"/>
      <c r="D847" s="9" t="n"/>
      <c r="E847" s="8" t="n"/>
      <c r="F847" s="9" t="n"/>
      <c r="G847" s="9" t="n"/>
      <c r="H847" s="3">
        <f>IF(AND(D847&lt;&gt;"",F847&lt;&gt;""),F847-D847-G847,"")</f>
        <v/>
      </c>
      <c r="I847" s="14">
        <f>IF(E847&lt;&gt;"", YEARFRAC(C847, E847) * 12, "")</f>
        <v/>
      </c>
      <c r="J847" s="2">
        <f>IF(I847="", "", IF(AND(A847="MF (Equity)", I847&gt;12), "Long Term", "Short Term"))</f>
        <v/>
      </c>
      <c r="K847" s="5">
        <f>IF(J847="", "", IF(J847="Long Term", 12.5%, 20%))</f>
        <v/>
      </c>
      <c r="L847" s="3">
        <f>+IFERROR(IF(J847="","",H847*K847),"")</f>
        <v/>
      </c>
    </row>
    <row r="848">
      <c r="A848" s="11" t="n"/>
      <c r="B848" s="7" t="n"/>
      <c r="C848" s="8" t="n"/>
      <c r="D848" s="9" t="n"/>
      <c r="E848" s="8" t="n"/>
      <c r="F848" s="9" t="n"/>
      <c r="G848" s="9" t="n"/>
      <c r="H848" s="3">
        <f>IF(AND(D848&lt;&gt;"",F848&lt;&gt;""),F848-D848-G848,"")</f>
        <v/>
      </c>
      <c r="I848" s="14">
        <f>IF(E848&lt;&gt;"", YEARFRAC(C848, E848) * 12, "")</f>
        <v/>
      </c>
      <c r="J848" s="2">
        <f>IF(I848="", "", IF(AND(A848="MF (Equity)", I848&gt;12), "Long Term", "Short Term"))</f>
        <v/>
      </c>
      <c r="K848" s="5">
        <f>IF(J848="", "", IF(J848="Long Term", 12.5%, 20%))</f>
        <v/>
      </c>
      <c r="L848" s="3">
        <f>+IFERROR(IF(J848="","",H848*K848),"")</f>
        <v/>
      </c>
    </row>
    <row r="849">
      <c r="A849" s="11" t="n"/>
      <c r="B849" s="7" t="n"/>
      <c r="C849" s="8" t="n"/>
      <c r="D849" s="9" t="n"/>
      <c r="E849" s="8" t="n"/>
      <c r="F849" s="9" t="n"/>
      <c r="G849" s="9" t="n"/>
      <c r="H849" s="3">
        <f>IF(AND(D849&lt;&gt;"",F849&lt;&gt;""),F849-D849-G849,"")</f>
        <v/>
      </c>
      <c r="I849" s="14">
        <f>IF(E849&lt;&gt;"", YEARFRAC(C849, E849) * 12, "")</f>
        <v/>
      </c>
      <c r="J849" s="2">
        <f>IF(I849="", "", IF(AND(A849="MF (Equity)", I849&gt;12), "Long Term", "Short Term"))</f>
        <v/>
      </c>
      <c r="K849" s="5">
        <f>IF(J849="", "", IF(J849="Long Term", 12.5%, 20%))</f>
        <v/>
      </c>
      <c r="L849" s="3">
        <f>+IFERROR(IF(J849="","",H849*K849),"")</f>
        <v/>
      </c>
    </row>
    <row r="850">
      <c r="A850" s="11" t="n"/>
      <c r="B850" s="7" t="n"/>
      <c r="C850" s="8" t="n"/>
      <c r="D850" s="9" t="n"/>
      <c r="E850" s="8" t="n"/>
      <c r="F850" s="9" t="n"/>
      <c r="G850" s="9" t="n"/>
      <c r="H850" s="3">
        <f>IF(AND(D850&lt;&gt;"",F850&lt;&gt;""),F850-D850-G850,"")</f>
        <v/>
      </c>
      <c r="I850" s="14">
        <f>IF(E850&lt;&gt;"", YEARFRAC(C850, E850) * 12, "")</f>
        <v/>
      </c>
      <c r="J850" s="2">
        <f>IF(I850="", "", IF(AND(A850="MF (Equity)", I850&gt;12), "Long Term", "Short Term"))</f>
        <v/>
      </c>
      <c r="K850" s="5">
        <f>IF(J850="", "", IF(J850="Long Term", 12.5%, 20%))</f>
        <v/>
      </c>
      <c r="L850" s="3">
        <f>+IFERROR(IF(J850="","",H850*K850),"")</f>
        <v/>
      </c>
    </row>
    <row r="851">
      <c r="A851" s="11" t="n"/>
      <c r="B851" s="7" t="n"/>
      <c r="C851" s="8" t="n"/>
      <c r="D851" s="9" t="n"/>
      <c r="E851" s="8" t="n"/>
      <c r="F851" s="9" t="n"/>
      <c r="G851" s="9" t="n"/>
      <c r="H851" s="3">
        <f>IF(AND(D851&lt;&gt;"",F851&lt;&gt;""),F851-D851-G851,"")</f>
        <v/>
      </c>
      <c r="I851" s="14">
        <f>IF(E851&lt;&gt;"", YEARFRAC(C851, E851) * 12, "")</f>
        <v/>
      </c>
      <c r="J851" s="2">
        <f>IF(I851="", "", IF(AND(A851="MF (Equity)", I851&gt;12), "Long Term", "Short Term"))</f>
        <v/>
      </c>
      <c r="K851" s="5">
        <f>IF(J851="", "", IF(J851="Long Term", 12.5%, 20%))</f>
        <v/>
      </c>
      <c r="L851" s="3">
        <f>+IFERROR(IF(J851="","",H851*K851),"")</f>
        <v/>
      </c>
    </row>
    <row r="852">
      <c r="A852" s="11" t="n"/>
      <c r="B852" s="7" t="n"/>
      <c r="C852" s="8" t="n"/>
      <c r="D852" s="9" t="n"/>
      <c r="E852" s="8" t="n"/>
      <c r="F852" s="9" t="n"/>
      <c r="G852" s="9" t="n"/>
      <c r="H852" s="3">
        <f>IF(AND(D852&lt;&gt;"",F852&lt;&gt;""),F852-D852-G852,"")</f>
        <v/>
      </c>
      <c r="I852" s="14">
        <f>IF(E852&lt;&gt;"", YEARFRAC(C852, E852) * 12, "")</f>
        <v/>
      </c>
      <c r="J852" s="2">
        <f>IF(I852="", "", IF(AND(A852="MF (Equity)", I852&gt;12), "Long Term", "Short Term"))</f>
        <v/>
      </c>
      <c r="K852" s="5">
        <f>IF(J852="", "", IF(J852="Long Term", 12.5%, 20%))</f>
        <v/>
      </c>
      <c r="L852" s="3">
        <f>+IFERROR(IF(J852="","",H852*K852),"")</f>
        <v/>
      </c>
    </row>
    <row r="853">
      <c r="A853" s="11" t="n"/>
      <c r="B853" s="7" t="n"/>
      <c r="C853" s="8" t="n"/>
      <c r="D853" s="9" t="n"/>
      <c r="E853" s="8" t="n"/>
      <c r="F853" s="9" t="n"/>
      <c r="G853" s="9" t="n"/>
      <c r="H853" s="3">
        <f>IF(AND(D853&lt;&gt;"",F853&lt;&gt;""),F853-D853-G853,"")</f>
        <v/>
      </c>
      <c r="I853" s="14">
        <f>IF(E853&lt;&gt;"", YEARFRAC(C853, E853) * 12, "")</f>
        <v/>
      </c>
      <c r="J853" s="2">
        <f>IF(I853="", "", IF(AND(A853="MF (Equity)", I853&gt;12), "Long Term", "Short Term"))</f>
        <v/>
      </c>
      <c r="K853" s="5">
        <f>IF(J853="", "", IF(J853="Long Term", 12.5%, 20%))</f>
        <v/>
      </c>
      <c r="L853" s="3">
        <f>+IFERROR(IF(J853="","",H853*K853),"")</f>
        <v/>
      </c>
    </row>
    <row r="854">
      <c r="A854" s="11" t="n"/>
      <c r="B854" s="7" t="n"/>
      <c r="C854" s="8" t="n"/>
      <c r="D854" s="9" t="n"/>
      <c r="E854" s="8" t="n"/>
      <c r="F854" s="9" t="n"/>
      <c r="G854" s="9" t="n"/>
      <c r="H854" s="3">
        <f>IF(AND(D854&lt;&gt;"",F854&lt;&gt;""),F854-D854-G854,"")</f>
        <v/>
      </c>
      <c r="I854" s="14">
        <f>IF(E854&lt;&gt;"", YEARFRAC(C854, E854) * 12, "")</f>
        <v/>
      </c>
      <c r="J854" s="2">
        <f>IF(I854="", "", IF(AND(A854="MF (Equity)", I854&gt;12), "Long Term", "Short Term"))</f>
        <v/>
      </c>
      <c r="K854" s="5">
        <f>IF(J854="", "", IF(J854="Long Term", 12.5%, 20%))</f>
        <v/>
      </c>
      <c r="L854" s="3">
        <f>+IFERROR(IF(J854="","",H854*K854),"")</f>
        <v/>
      </c>
    </row>
    <row r="855">
      <c r="A855" s="11" t="n"/>
      <c r="B855" s="7" t="n"/>
      <c r="C855" s="8" t="n"/>
      <c r="D855" s="9" t="n"/>
      <c r="E855" s="8" t="n"/>
      <c r="F855" s="9" t="n"/>
      <c r="G855" s="9" t="n"/>
      <c r="H855" s="3">
        <f>IF(AND(D855&lt;&gt;"",F855&lt;&gt;""),F855-D855-G855,"")</f>
        <v/>
      </c>
      <c r="I855" s="14">
        <f>IF(E855&lt;&gt;"", YEARFRAC(C855, E855) * 12, "")</f>
        <v/>
      </c>
      <c r="J855" s="2">
        <f>IF(I855="", "", IF(AND(A855="MF (Equity)", I855&gt;12), "Long Term", "Short Term"))</f>
        <v/>
      </c>
      <c r="K855" s="5">
        <f>IF(J855="", "", IF(J855="Long Term", 12.5%, 20%))</f>
        <v/>
      </c>
      <c r="L855" s="3">
        <f>+IFERROR(IF(J855="","",H855*K855),"")</f>
        <v/>
      </c>
    </row>
    <row r="856">
      <c r="A856" s="11" t="n"/>
      <c r="B856" s="7" t="n"/>
      <c r="C856" s="8" t="n"/>
      <c r="D856" s="9" t="n"/>
      <c r="E856" s="8" t="n"/>
      <c r="F856" s="9" t="n"/>
      <c r="G856" s="9" t="n"/>
      <c r="H856" s="3">
        <f>IF(AND(D856&lt;&gt;"",F856&lt;&gt;""),F856-D856-G856,"")</f>
        <v/>
      </c>
      <c r="I856" s="14">
        <f>IF(E856&lt;&gt;"", YEARFRAC(C856, E856) * 12, "")</f>
        <v/>
      </c>
      <c r="J856" s="2">
        <f>IF(I856="", "", IF(AND(A856="MF (Equity)", I856&gt;12), "Long Term", "Short Term"))</f>
        <v/>
      </c>
      <c r="K856" s="5">
        <f>IF(J856="", "", IF(J856="Long Term", 12.5%, 20%))</f>
        <v/>
      </c>
      <c r="L856" s="3">
        <f>+IFERROR(IF(J856="","",H856*K856),"")</f>
        <v/>
      </c>
    </row>
    <row r="857">
      <c r="A857" s="11" t="n"/>
      <c r="B857" s="7" t="n"/>
      <c r="C857" s="8" t="n"/>
      <c r="D857" s="9" t="n"/>
      <c r="E857" s="8" t="n"/>
      <c r="F857" s="9" t="n"/>
      <c r="G857" s="9" t="n"/>
      <c r="H857" s="3">
        <f>IF(AND(D857&lt;&gt;"",F857&lt;&gt;""),F857-D857-G857,"")</f>
        <v/>
      </c>
      <c r="I857" s="14">
        <f>IF(E857&lt;&gt;"", YEARFRAC(C857, E857) * 12, "")</f>
        <v/>
      </c>
      <c r="J857" s="2">
        <f>IF(I857="", "", IF(AND(A857="MF (Equity)", I857&gt;12), "Long Term", "Short Term"))</f>
        <v/>
      </c>
      <c r="K857" s="5">
        <f>IF(J857="", "", IF(J857="Long Term", 12.5%, 20%))</f>
        <v/>
      </c>
      <c r="L857" s="3">
        <f>+IFERROR(IF(J857="","",H857*K857),"")</f>
        <v/>
      </c>
    </row>
    <row r="858">
      <c r="A858" s="11" t="n"/>
      <c r="B858" s="7" t="n"/>
      <c r="C858" s="8" t="n"/>
      <c r="D858" s="9" t="n"/>
      <c r="E858" s="8" t="n"/>
      <c r="F858" s="9" t="n"/>
      <c r="G858" s="9" t="n"/>
      <c r="H858" s="3">
        <f>IF(AND(D858&lt;&gt;"",F858&lt;&gt;""),F858-D858-G858,"")</f>
        <v/>
      </c>
      <c r="I858" s="14">
        <f>IF(E858&lt;&gt;"", YEARFRAC(C858, E858) * 12, "")</f>
        <v/>
      </c>
      <c r="J858" s="2">
        <f>IF(I858="", "", IF(AND(A858="MF (Equity)", I858&gt;12), "Long Term", "Short Term"))</f>
        <v/>
      </c>
      <c r="K858" s="5">
        <f>IF(J858="", "", IF(J858="Long Term", 12.5%, 20%))</f>
        <v/>
      </c>
      <c r="L858" s="3">
        <f>+IFERROR(IF(J858="","",H858*K858),"")</f>
        <v/>
      </c>
    </row>
    <row r="859">
      <c r="A859" s="11" t="n"/>
      <c r="B859" s="7" t="n"/>
      <c r="C859" s="8" t="n"/>
      <c r="D859" s="9" t="n"/>
      <c r="E859" s="8" t="n"/>
      <c r="F859" s="9" t="n"/>
      <c r="G859" s="9" t="n"/>
      <c r="H859" s="3">
        <f>IF(AND(D859&lt;&gt;"",F859&lt;&gt;""),F859-D859-G859,"")</f>
        <v/>
      </c>
      <c r="I859" s="14">
        <f>IF(E859&lt;&gt;"", YEARFRAC(C859, E859) * 12, "")</f>
        <v/>
      </c>
      <c r="J859" s="2">
        <f>IF(I859="", "", IF(AND(A859="MF (Equity)", I859&gt;12), "Long Term", "Short Term"))</f>
        <v/>
      </c>
      <c r="K859" s="5">
        <f>IF(J859="", "", IF(J859="Long Term", 12.5%, 20%))</f>
        <v/>
      </c>
      <c r="L859" s="3">
        <f>+IFERROR(IF(J859="","",H859*K859),"")</f>
        <v/>
      </c>
    </row>
    <row r="860">
      <c r="A860" s="11" t="n"/>
      <c r="B860" s="7" t="n"/>
      <c r="C860" s="8" t="n"/>
      <c r="D860" s="9" t="n"/>
      <c r="E860" s="8" t="n"/>
      <c r="F860" s="9" t="n"/>
      <c r="G860" s="9" t="n"/>
      <c r="H860" s="3">
        <f>IF(AND(D860&lt;&gt;"",F860&lt;&gt;""),F860-D860-G860,"")</f>
        <v/>
      </c>
      <c r="I860" s="14">
        <f>IF(E860&lt;&gt;"", YEARFRAC(C860, E860) * 12, "")</f>
        <v/>
      </c>
      <c r="J860" s="2">
        <f>IF(I860="", "", IF(AND(A860="MF (Equity)", I860&gt;12), "Long Term", "Short Term"))</f>
        <v/>
      </c>
      <c r="K860" s="5">
        <f>IF(J860="", "", IF(J860="Long Term", 12.5%, 20%))</f>
        <v/>
      </c>
      <c r="L860" s="3">
        <f>+IFERROR(IF(J860="","",H860*K860),"")</f>
        <v/>
      </c>
    </row>
    <row r="861">
      <c r="A861" s="11" t="n"/>
      <c r="B861" s="7" t="n"/>
      <c r="C861" s="8" t="n"/>
      <c r="D861" s="9" t="n"/>
      <c r="E861" s="8" t="n"/>
      <c r="F861" s="9" t="n"/>
      <c r="G861" s="9" t="n"/>
      <c r="H861" s="3">
        <f>IF(AND(D861&lt;&gt;"",F861&lt;&gt;""),F861-D861-G861,"")</f>
        <v/>
      </c>
      <c r="I861" s="14">
        <f>IF(E861&lt;&gt;"", YEARFRAC(C861, E861) * 12, "")</f>
        <v/>
      </c>
      <c r="J861" s="2">
        <f>IF(I861="", "", IF(AND(A861="MF (Equity)", I861&gt;12), "Long Term", "Short Term"))</f>
        <v/>
      </c>
      <c r="K861" s="5">
        <f>IF(J861="", "", IF(J861="Long Term", 12.5%, 20%))</f>
        <v/>
      </c>
      <c r="L861" s="3">
        <f>+IFERROR(IF(J861="","",H861*K861),"")</f>
        <v/>
      </c>
    </row>
    <row r="862">
      <c r="A862" s="11" t="n"/>
      <c r="B862" s="7" t="n"/>
      <c r="C862" s="8" t="n"/>
      <c r="D862" s="9" t="n"/>
      <c r="E862" s="8" t="n"/>
      <c r="F862" s="9" t="n"/>
      <c r="G862" s="9" t="n"/>
      <c r="H862" s="3">
        <f>IF(AND(D862&lt;&gt;"",F862&lt;&gt;""),F862-D862-G862,"")</f>
        <v/>
      </c>
      <c r="I862" s="14">
        <f>IF(E862&lt;&gt;"", YEARFRAC(C862, E862) * 12, "")</f>
        <v/>
      </c>
      <c r="J862" s="2">
        <f>IF(I862="", "", IF(AND(A862="MF (Equity)", I862&gt;12), "Long Term", "Short Term"))</f>
        <v/>
      </c>
      <c r="K862" s="5">
        <f>IF(J862="", "", IF(J862="Long Term", 12.5%, 20%))</f>
        <v/>
      </c>
      <c r="L862" s="3">
        <f>+IFERROR(IF(J862="","",H862*K862),"")</f>
        <v/>
      </c>
    </row>
    <row r="863">
      <c r="A863" s="11" t="n"/>
      <c r="B863" s="7" t="n"/>
      <c r="C863" s="8" t="n"/>
      <c r="D863" s="9" t="n"/>
      <c r="E863" s="8" t="n"/>
      <c r="F863" s="9" t="n"/>
      <c r="G863" s="9" t="n"/>
      <c r="H863" s="3">
        <f>IF(AND(D863&lt;&gt;"",F863&lt;&gt;""),F863-D863-G863,"")</f>
        <v/>
      </c>
      <c r="I863" s="14">
        <f>IF(E863&lt;&gt;"", YEARFRAC(C863, E863) * 12, "")</f>
        <v/>
      </c>
      <c r="J863" s="2">
        <f>IF(I863="", "", IF(AND(A863="MF (Equity)", I863&gt;12), "Long Term", "Short Term"))</f>
        <v/>
      </c>
      <c r="K863" s="5">
        <f>IF(J863="", "", IF(J863="Long Term", 12.5%, 20%))</f>
        <v/>
      </c>
      <c r="L863" s="3">
        <f>+IFERROR(IF(J863="","",H863*K863),"")</f>
        <v/>
      </c>
    </row>
    <row r="864">
      <c r="A864" s="11" t="n"/>
      <c r="B864" s="7" t="n"/>
      <c r="C864" s="8" t="n"/>
      <c r="D864" s="9" t="n"/>
      <c r="E864" s="8" t="n"/>
      <c r="F864" s="9" t="n"/>
      <c r="G864" s="9" t="n"/>
      <c r="H864" s="3">
        <f>IF(AND(D864&lt;&gt;"",F864&lt;&gt;""),F864-D864-G864,"")</f>
        <v/>
      </c>
      <c r="I864" s="14">
        <f>IF(E864&lt;&gt;"", YEARFRAC(C864, E864) * 12, "")</f>
        <v/>
      </c>
      <c r="J864" s="2">
        <f>IF(I864="", "", IF(AND(A864="MF (Equity)", I864&gt;12), "Long Term", "Short Term"))</f>
        <v/>
      </c>
      <c r="K864" s="5">
        <f>IF(J864="", "", IF(J864="Long Term", 12.5%, 20%))</f>
        <v/>
      </c>
      <c r="L864" s="3">
        <f>+IFERROR(IF(J864="","",H864*K864),"")</f>
        <v/>
      </c>
    </row>
    <row r="865">
      <c r="A865" s="11" t="n"/>
      <c r="B865" s="7" t="n"/>
      <c r="C865" s="8" t="n"/>
      <c r="D865" s="9" t="n"/>
      <c r="E865" s="8" t="n"/>
      <c r="F865" s="9" t="n"/>
      <c r="G865" s="9" t="n"/>
      <c r="H865" s="3">
        <f>IF(AND(D865&lt;&gt;"",F865&lt;&gt;""),F865-D865-G865,"")</f>
        <v/>
      </c>
      <c r="I865" s="14">
        <f>IF(E865&lt;&gt;"", YEARFRAC(C865, E865) * 12, "")</f>
        <v/>
      </c>
      <c r="J865" s="2">
        <f>IF(I865="", "", IF(AND(A865="MF (Equity)", I865&gt;12), "Long Term", "Short Term"))</f>
        <v/>
      </c>
      <c r="K865" s="5">
        <f>IF(J865="", "", IF(J865="Long Term", 12.5%, 20%))</f>
        <v/>
      </c>
      <c r="L865" s="3">
        <f>+IFERROR(IF(J865="","",H865*K865),"")</f>
        <v/>
      </c>
    </row>
    <row r="866">
      <c r="A866" s="11" t="n"/>
      <c r="B866" s="7" t="n"/>
      <c r="C866" s="8" t="n"/>
      <c r="D866" s="9" t="n"/>
      <c r="E866" s="8" t="n"/>
      <c r="F866" s="9" t="n"/>
      <c r="G866" s="9" t="n"/>
      <c r="H866" s="3">
        <f>IF(AND(D866&lt;&gt;"",F866&lt;&gt;""),F866-D866-G866,"")</f>
        <v/>
      </c>
      <c r="I866" s="14">
        <f>IF(E866&lt;&gt;"", YEARFRAC(C866, E866) * 12, "")</f>
        <v/>
      </c>
      <c r="J866" s="2">
        <f>IF(I866="", "", IF(AND(A866="MF (Equity)", I866&gt;12), "Long Term", "Short Term"))</f>
        <v/>
      </c>
      <c r="K866" s="5">
        <f>IF(J866="", "", IF(J866="Long Term", 12.5%, 20%))</f>
        <v/>
      </c>
      <c r="L866" s="3">
        <f>+IFERROR(IF(J866="","",H866*K866),"")</f>
        <v/>
      </c>
    </row>
    <row r="867">
      <c r="A867" s="11" t="n"/>
      <c r="B867" s="7" t="n"/>
      <c r="C867" s="8" t="n"/>
      <c r="D867" s="9" t="n"/>
      <c r="E867" s="8" t="n"/>
      <c r="F867" s="9" t="n"/>
      <c r="G867" s="9" t="n"/>
      <c r="H867" s="3">
        <f>IF(AND(D867&lt;&gt;"",F867&lt;&gt;""),F867-D867-G867,"")</f>
        <v/>
      </c>
      <c r="I867" s="14">
        <f>IF(E867&lt;&gt;"", YEARFRAC(C867, E867) * 12, "")</f>
        <v/>
      </c>
      <c r="J867" s="2">
        <f>IF(I867="", "", IF(AND(A867="MF (Equity)", I867&gt;12), "Long Term", "Short Term"))</f>
        <v/>
      </c>
      <c r="K867" s="5">
        <f>IF(J867="", "", IF(J867="Long Term", 12.5%, 20%))</f>
        <v/>
      </c>
      <c r="L867" s="3">
        <f>+IFERROR(IF(J867="","",H867*K867),"")</f>
        <v/>
      </c>
    </row>
    <row r="868">
      <c r="A868" s="11" t="n"/>
      <c r="B868" s="7" t="n"/>
      <c r="C868" s="8" t="n"/>
      <c r="D868" s="9" t="n"/>
      <c r="E868" s="8" t="n"/>
      <c r="F868" s="9" t="n"/>
      <c r="G868" s="9" t="n"/>
      <c r="H868" s="3">
        <f>IF(AND(D868&lt;&gt;"",F868&lt;&gt;""),F868-D868-G868,"")</f>
        <v/>
      </c>
      <c r="I868" s="14">
        <f>IF(E868&lt;&gt;"", YEARFRAC(C868, E868) * 12, "")</f>
        <v/>
      </c>
      <c r="J868" s="2">
        <f>IF(I868="", "", IF(AND(A868="MF (Equity)", I868&gt;12), "Long Term", "Short Term"))</f>
        <v/>
      </c>
      <c r="K868" s="5">
        <f>IF(J868="", "", IF(J868="Long Term", 12.5%, 20%))</f>
        <v/>
      </c>
      <c r="L868" s="3">
        <f>+IFERROR(IF(J868="","",H868*K868),"")</f>
        <v/>
      </c>
    </row>
    <row r="869">
      <c r="A869" s="11" t="n"/>
      <c r="B869" s="7" t="n"/>
      <c r="C869" s="8" t="n"/>
      <c r="D869" s="9" t="n"/>
      <c r="E869" s="8" t="n"/>
      <c r="F869" s="9" t="n"/>
      <c r="G869" s="9" t="n"/>
      <c r="H869" s="3">
        <f>IF(AND(D869&lt;&gt;"",F869&lt;&gt;""),F869-D869-G869,"")</f>
        <v/>
      </c>
      <c r="I869" s="14">
        <f>IF(E869&lt;&gt;"", YEARFRAC(C869, E869) * 12, "")</f>
        <v/>
      </c>
      <c r="J869" s="2">
        <f>IF(I869="", "", IF(AND(A869="MF (Equity)", I869&gt;12), "Long Term", "Short Term"))</f>
        <v/>
      </c>
      <c r="K869" s="5">
        <f>IF(J869="", "", IF(J869="Long Term", 12.5%, 20%))</f>
        <v/>
      </c>
      <c r="L869" s="3">
        <f>+IFERROR(IF(J869="","",H869*K869),"")</f>
        <v/>
      </c>
    </row>
    <row r="870">
      <c r="A870" s="11" t="n"/>
      <c r="B870" s="7" t="n"/>
      <c r="C870" s="8" t="n"/>
      <c r="D870" s="9" t="n"/>
      <c r="E870" s="8" t="n"/>
      <c r="F870" s="9" t="n"/>
      <c r="G870" s="9" t="n"/>
      <c r="H870" s="3">
        <f>IF(AND(D870&lt;&gt;"",F870&lt;&gt;""),F870-D870-G870,"")</f>
        <v/>
      </c>
      <c r="I870" s="14">
        <f>IF(E870&lt;&gt;"", YEARFRAC(C870, E870) * 12, "")</f>
        <v/>
      </c>
      <c r="J870" s="2">
        <f>IF(I870="", "", IF(AND(A870="MF (Equity)", I870&gt;12), "Long Term", "Short Term"))</f>
        <v/>
      </c>
      <c r="K870" s="5">
        <f>IF(J870="", "", IF(J870="Long Term", 12.5%, 20%))</f>
        <v/>
      </c>
      <c r="L870" s="3">
        <f>+IFERROR(IF(J870="","",H870*K870),"")</f>
        <v/>
      </c>
    </row>
    <row r="871">
      <c r="A871" s="11" t="n"/>
      <c r="B871" s="7" t="n"/>
      <c r="C871" s="8" t="n"/>
      <c r="D871" s="9" t="n"/>
      <c r="E871" s="8" t="n"/>
      <c r="F871" s="9" t="n"/>
      <c r="G871" s="9" t="n"/>
      <c r="H871" s="3">
        <f>IF(AND(D871&lt;&gt;"",F871&lt;&gt;""),F871-D871-G871,"")</f>
        <v/>
      </c>
      <c r="I871" s="14">
        <f>IF(E871&lt;&gt;"", YEARFRAC(C871, E871) * 12, "")</f>
        <v/>
      </c>
      <c r="J871" s="2">
        <f>IF(I871="", "", IF(AND(A871="MF (Equity)", I871&gt;12), "Long Term", "Short Term"))</f>
        <v/>
      </c>
      <c r="K871" s="5">
        <f>IF(J871="", "", IF(J871="Long Term", 12.5%, 20%))</f>
        <v/>
      </c>
      <c r="L871" s="3">
        <f>+IFERROR(IF(J871="","",H871*K871),"")</f>
        <v/>
      </c>
    </row>
    <row r="872">
      <c r="A872" s="11" t="n"/>
      <c r="B872" s="7" t="n"/>
      <c r="C872" s="8" t="n"/>
      <c r="D872" s="9" t="n"/>
      <c r="E872" s="8" t="n"/>
      <c r="F872" s="9" t="n"/>
      <c r="G872" s="9" t="n"/>
      <c r="H872" s="3">
        <f>IF(AND(D872&lt;&gt;"",F872&lt;&gt;""),F872-D872-G872,"")</f>
        <v/>
      </c>
      <c r="I872" s="14">
        <f>IF(E872&lt;&gt;"", YEARFRAC(C872, E872) * 12, "")</f>
        <v/>
      </c>
      <c r="J872" s="2">
        <f>IF(I872="", "", IF(AND(A872="MF (Equity)", I872&gt;12), "Long Term", "Short Term"))</f>
        <v/>
      </c>
      <c r="K872" s="5">
        <f>IF(J872="", "", IF(J872="Long Term", 12.5%, 20%))</f>
        <v/>
      </c>
      <c r="L872" s="3">
        <f>+IFERROR(IF(J872="","",H872*K872),"")</f>
        <v/>
      </c>
    </row>
    <row r="873">
      <c r="A873" s="11" t="n"/>
      <c r="B873" s="7" t="n"/>
      <c r="C873" s="8" t="n"/>
      <c r="D873" s="9" t="n"/>
      <c r="E873" s="8" t="n"/>
      <c r="F873" s="9" t="n"/>
      <c r="G873" s="9" t="n"/>
      <c r="H873" s="3">
        <f>IF(AND(D873&lt;&gt;"",F873&lt;&gt;""),F873-D873-G873,"")</f>
        <v/>
      </c>
      <c r="I873" s="14">
        <f>IF(E873&lt;&gt;"", YEARFRAC(C873, E873) * 12, "")</f>
        <v/>
      </c>
      <c r="J873" s="2">
        <f>IF(I873="", "", IF(AND(A873="MF (Equity)", I873&gt;12), "Long Term", "Short Term"))</f>
        <v/>
      </c>
      <c r="K873" s="5">
        <f>IF(J873="", "", IF(J873="Long Term", 12.5%, 20%))</f>
        <v/>
      </c>
      <c r="L873" s="3">
        <f>+IFERROR(IF(J873="","",H873*K873),"")</f>
        <v/>
      </c>
    </row>
    <row r="874">
      <c r="A874" s="11" t="n"/>
      <c r="B874" s="7" t="n"/>
      <c r="C874" s="8" t="n"/>
      <c r="D874" s="9" t="n"/>
      <c r="E874" s="8" t="n"/>
      <c r="F874" s="9" t="n"/>
      <c r="G874" s="9" t="n"/>
      <c r="H874" s="3">
        <f>IF(AND(D874&lt;&gt;"",F874&lt;&gt;""),F874-D874-G874,"")</f>
        <v/>
      </c>
      <c r="I874" s="14">
        <f>IF(E874&lt;&gt;"", YEARFRAC(C874, E874) * 12, "")</f>
        <v/>
      </c>
      <c r="J874" s="2">
        <f>IF(I874="", "", IF(AND(A874="MF (Equity)", I874&gt;12), "Long Term", "Short Term"))</f>
        <v/>
      </c>
      <c r="K874" s="5">
        <f>IF(J874="", "", IF(J874="Long Term", 12.5%, 20%))</f>
        <v/>
      </c>
      <c r="L874" s="3">
        <f>+IFERROR(IF(J874="","",H874*K874),"")</f>
        <v/>
      </c>
    </row>
    <row r="875">
      <c r="A875" s="11" t="n"/>
      <c r="B875" s="7" t="n"/>
      <c r="C875" s="8" t="n"/>
      <c r="D875" s="9" t="n"/>
      <c r="E875" s="8" t="n"/>
      <c r="F875" s="9" t="n"/>
      <c r="G875" s="9" t="n"/>
      <c r="H875" s="3">
        <f>IF(AND(D875&lt;&gt;"",F875&lt;&gt;""),F875-D875-G875,"")</f>
        <v/>
      </c>
      <c r="I875" s="14">
        <f>IF(E875&lt;&gt;"", YEARFRAC(C875, E875) * 12, "")</f>
        <v/>
      </c>
      <c r="J875" s="2">
        <f>IF(I875="", "", IF(AND(A875="MF (Equity)", I875&gt;12), "Long Term", "Short Term"))</f>
        <v/>
      </c>
      <c r="K875" s="5">
        <f>IF(J875="", "", IF(J875="Long Term", 12.5%, 20%))</f>
        <v/>
      </c>
      <c r="L875" s="3">
        <f>+IFERROR(IF(J875="","",H875*K875),"")</f>
        <v/>
      </c>
    </row>
    <row r="876">
      <c r="A876" s="11" t="n"/>
      <c r="B876" s="7" t="n"/>
      <c r="C876" s="8" t="n"/>
      <c r="D876" s="9" t="n"/>
      <c r="E876" s="8" t="n"/>
      <c r="F876" s="9" t="n"/>
      <c r="G876" s="9" t="n"/>
      <c r="H876" s="3">
        <f>IF(AND(D876&lt;&gt;"",F876&lt;&gt;""),F876-D876-G876,"")</f>
        <v/>
      </c>
      <c r="I876" s="14">
        <f>IF(E876&lt;&gt;"", YEARFRAC(C876, E876) * 12, "")</f>
        <v/>
      </c>
      <c r="J876" s="2">
        <f>IF(I876="", "", IF(AND(A876="MF (Equity)", I876&gt;12), "Long Term", "Short Term"))</f>
        <v/>
      </c>
      <c r="K876" s="5">
        <f>IF(J876="", "", IF(J876="Long Term", 12.5%, 20%))</f>
        <v/>
      </c>
      <c r="L876" s="3">
        <f>+IFERROR(IF(J876="","",H876*K876),"")</f>
        <v/>
      </c>
    </row>
    <row r="877">
      <c r="A877" s="11" t="n"/>
      <c r="B877" s="7" t="n"/>
      <c r="C877" s="8" t="n"/>
      <c r="D877" s="9" t="n"/>
      <c r="E877" s="8" t="n"/>
      <c r="F877" s="9" t="n"/>
      <c r="G877" s="9" t="n"/>
      <c r="H877" s="3">
        <f>IF(AND(D877&lt;&gt;"",F877&lt;&gt;""),F877-D877-G877,"")</f>
        <v/>
      </c>
      <c r="I877" s="14">
        <f>IF(E877&lt;&gt;"", YEARFRAC(C877, E877) * 12, "")</f>
        <v/>
      </c>
      <c r="J877" s="2">
        <f>IF(I877="", "", IF(AND(A877="MF (Equity)", I877&gt;12), "Long Term", "Short Term"))</f>
        <v/>
      </c>
      <c r="K877" s="5">
        <f>IF(J877="", "", IF(J877="Long Term", 12.5%, 20%))</f>
        <v/>
      </c>
      <c r="L877" s="3">
        <f>+IFERROR(IF(J877="","",H877*K877),"")</f>
        <v/>
      </c>
    </row>
    <row r="878">
      <c r="A878" s="11" t="n"/>
      <c r="B878" s="7" t="n"/>
      <c r="C878" s="8" t="n"/>
      <c r="D878" s="9" t="n"/>
      <c r="E878" s="8" t="n"/>
      <c r="F878" s="9" t="n"/>
      <c r="G878" s="9" t="n"/>
      <c r="H878" s="3">
        <f>IF(AND(D878&lt;&gt;"",F878&lt;&gt;""),F878-D878-G878,"")</f>
        <v/>
      </c>
      <c r="I878" s="14">
        <f>IF(E878&lt;&gt;"", YEARFRAC(C878, E878) * 12, "")</f>
        <v/>
      </c>
      <c r="J878" s="2">
        <f>IF(I878="", "", IF(AND(A878="MF (Equity)", I878&gt;12), "Long Term", "Short Term"))</f>
        <v/>
      </c>
      <c r="K878" s="5">
        <f>IF(J878="", "", IF(J878="Long Term", 12.5%, 20%))</f>
        <v/>
      </c>
      <c r="L878" s="3">
        <f>+IFERROR(IF(J878="","",H878*K878),"")</f>
        <v/>
      </c>
    </row>
    <row r="879">
      <c r="A879" s="11" t="n"/>
      <c r="B879" s="7" t="n"/>
      <c r="C879" s="8" t="n"/>
      <c r="D879" s="9" t="n"/>
      <c r="E879" s="8" t="n"/>
      <c r="F879" s="9" t="n"/>
      <c r="G879" s="9" t="n"/>
      <c r="H879" s="3">
        <f>IF(AND(D879&lt;&gt;"",F879&lt;&gt;""),F879-D879-G879,"")</f>
        <v/>
      </c>
      <c r="I879" s="14">
        <f>IF(E879&lt;&gt;"", YEARFRAC(C879, E879) * 12, "")</f>
        <v/>
      </c>
      <c r="J879" s="2">
        <f>IF(I879="", "", IF(AND(A879="MF (Equity)", I879&gt;12), "Long Term", "Short Term"))</f>
        <v/>
      </c>
      <c r="K879" s="5">
        <f>IF(J879="", "", IF(J879="Long Term", 12.5%, 20%))</f>
        <v/>
      </c>
      <c r="L879" s="3">
        <f>+IFERROR(IF(J879="","",H879*K879),"")</f>
        <v/>
      </c>
    </row>
    <row r="880">
      <c r="A880" s="11" t="n"/>
      <c r="B880" s="7" t="n"/>
      <c r="C880" s="8" t="n"/>
      <c r="D880" s="9" t="n"/>
      <c r="E880" s="8" t="n"/>
      <c r="F880" s="9" t="n"/>
      <c r="G880" s="9" t="n"/>
      <c r="H880" s="3">
        <f>IF(AND(D880&lt;&gt;"",F880&lt;&gt;""),F880-D880-G880,"")</f>
        <v/>
      </c>
      <c r="I880" s="14">
        <f>IF(E880&lt;&gt;"", YEARFRAC(C880, E880) * 12, "")</f>
        <v/>
      </c>
      <c r="J880" s="2">
        <f>IF(I880="", "", IF(AND(A880="MF (Equity)", I880&gt;12), "Long Term", "Short Term"))</f>
        <v/>
      </c>
      <c r="K880" s="5">
        <f>IF(J880="", "", IF(J880="Long Term", 12.5%, 20%))</f>
        <v/>
      </c>
      <c r="L880" s="3">
        <f>+IFERROR(IF(J880="","",H880*K880),"")</f>
        <v/>
      </c>
    </row>
    <row r="881">
      <c r="A881" s="11" t="n"/>
      <c r="B881" s="7" t="n"/>
      <c r="C881" s="8" t="n"/>
      <c r="D881" s="9" t="n"/>
      <c r="E881" s="8" t="n"/>
      <c r="F881" s="9" t="n"/>
      <c r="G881" s="9" t="n"/>
      <c r="H881" s="3">
        <f>IF(AND(D881&lt;&gt;"",F881&lt;&gt;""),F881-D881-G881,"")</f>
        <v/>
      </c>
      <c r="I881" s="14">
        <f>IF(E881&lt;&gt;"", YEARFRAC(C881, E881) * 12, "")</f>
        <v/>
      </c>
      <c r="J881" s="2">
        <f>IF(I881="", "", IF(AND(A881="MF (Equity)", I881&gt;12), "Long Term", "Short Term"))</f>
        <v/>
      </c>
      <c r="K881" s="5">
        <f>IF(J881="", "", IF(J881="Long Term", 12.5%, 20%))</f>
        <v/>
      </c>
      <c r="L881" s="3">
        <f>+IFERROR(IF(J881="","",H881*K881),"")</f>
        <v/>
      </c>
    </row>
    <row r="882">
      <c r="A882" s="11" t="n"/>
      <c r="B882" s="7" t="n"/>
      <c r="C882" s="8" t="n"/>
      <c r="D882" s="9" t="n"/>
      <c r="E882" s="8" t="n"/>
      <c r="F882" s="9" t="n"/>
      <c r="G882" s="9" t="n"/>
      <c r="H882" s="3">
        <f>IF(AND(D882&lt;&gt;"",F882&lt;&gt;""),F882-D882-G882,"")</f>
        <v/>
      </c>
      <c r="I882" s="14">
        <f>IF(E882&lt;&gt;"", YEARFRAC(C882, E882) * 12, "")</f>
        <v/>
      </c>
      <c r="J882" s="2">
        <f>IF(I882="", "", IF(AND(A882="MF (Equity)", I882&gt;12), "Long Term", "Short Term"))</f>
        <v/>
      </c>
      <c r="K882" s="5">
        <f>IF(J882="", "", IF(J882="Long Term", 12.5%, 20%))</f>
        <v/>
      </c>
      <c r="L882" s="3">
        <f>+IFERROR(IF(J882="","",H882*K882),"")</f>
        <v/>
      </c>
    </row>
    <row r="883">
      <c r="A883" s="11" t="n"/>
      <c r="B883" s="7" t="n"/>
      <c r="C883" s="8" t="n"/>
      <c r="D883" s="9" t="n"/>
      <c r="E883" s="8" t="n"/>
      <c r="F883" s="9" t="n"/>
      <c r="G883" s="9" t="n"/>
      <c r="H883" s="3">
        <f>IF(AND(D883&lt;&gt;"",F883&lt;&gt;""),F883-D883-G883,"")</f>
        <v/>
      </c>
      <c r="I883" s="14">
        <f>IF(E883&lt;&gt;"", YEARFRAC(C883, E883) * 12, "")</f>
        <v/>
      </c>
      <c r="J883" s="2">
        <f>IF(I883="", "", IF(AND(A883="MF (Equity)", I883&gt;12), "Long Term", "Short Term"))</f>
        <v/>
      </c>
      <c r="K883" s="5">
        <f>IF(J883="", "", IF(J883="Long Term", 12.5%, 20%))</f>
        <v/>
      </c>
      <c r="L883" s="3">
        <f>+IFERROR(IF(J883="","",H883*K883),"")</f>
        <v/>
      </c>
    </row>
    <row r="884">
      <c r="A884" s="11" t="n"/>
      <c r="B884" s="7" t="n"/>
      <c r="C884" s="8" t="n"/>
      <c r="D884" s="9" t="n"/>
      <c r="E884" s="8" t="n"/>
      <c r="F884" s="9" t="n"/>
      <c r="G884" s="9" t="n"/>
      <c r="H884" s="3">
        <f>IF(AND(D884&lt;&gt;"",F884&lt;&gt;""),F884-D884-G884,"")</f>
        <v/>
      </c>
      <c r="I884" s="14">
        <f>IF(E884&lt;&gt;"", YEARFRAC(C884, E884) * 12, "")</f>
        <v/>
      </c>
      <c r="J884" s="2">
        <f>IF(I884="", "", IF(AND(A884="MF (Equity)", I884&gt;12), "Long Term", "Short Term"))</f>
        <v/>
      </c>
      <c r="K884" s="5">
        <f>IF(J884="", "", IF(J884="Long Term", 12.5%, 20%))</f>
        <v/>
      </c>
      <c r="L884" s="3">
        <f>+IFERROR(IF(J884="","",H884*K884),"")</f>
        <v/>
      </c>
    </row>
    <row r="885">
      <c r="A885" s="11" t="n"/>
      <c r="B885" s="7" t="n"/>
      <c r="C885" s="8" t="n"/>
      <c r="D885" s="9" t="n"/>
      <c r="E885" s="8" t="n"/>
      <c r="F885" s="9" t="n"/>
      <c r="G885" s="9" t="n"/>
      <c r="H885" s="3">
        <f>IF(AND(D885&lt;&gt;"",F885&lt;&gt;""),F885-D885-G885,"")</f>
        <v/>
      </c>
      <c r="I885" s="14">
        <f>IF(E885&lt;&gt;"", YEARFRAC(C885, E885) * 12, "")</f>
        <v/>
      </c>
      <c r="J885" s="2">
        <f>IF(I885="", "", IF(AND(A885="MF (Equity)", I885&gt;12), "Long Term", "Short Term"))</f>
        <v/>
      </c>
      <c r="K885" s="5">
        <f>IF(J885="", "", IF(J885="Long Term", 12.5%, 20%))</f>
        <v/>
      </c>
      <c r="L885" s="3">
        <f>+IFERROR(IF(J885="","",H885*K885),"")</f>
        <v/>
      </c>
    </row>
    <row r="886">
      <c r="A886" s="11" t="n"/>
      <c r="B886" s="7" t="n"/>
      <c r="C886" s="8" t="n"/>
      <c r="D886" s="9" t="n"/>
      <c r="E886" s="8" t="n"/>
      <c r="F886" s="9" t="n"/>
      <c r="G886" s="9" t="n"/>
      <c r="H886" s="3">
        <f>IF(AND(D886&lt;&gt;"",F886&lt;&gt;""),F886-D886-G886,"")</f>
        <v/>
      </c>
      <c r="I886" s="14">
        <f>IF(E886&lt;&gt;"", YEARFRAC(C886, E886) * 12, "")</f>
        <v/>
      </c>
      <c r="J886" s="2">
        <f>IF(I886="", "", IF(AND(A886="MF (Equity)", I886&gt;12), "Long Term", "Short Term"))</f>
        <v/>
      </c>
      <c r="K886" s="5">
        <f>IF(J886="", "", IF(J886="Long Term", 12.5%, 20%))</f>
        <v/>
      </c>
      <c r="L886" s="3">
        <f>+IFERROR(IF(J886="","",H886*K886),"")</f>
        <v/>
      </c>
    </row>
    <row r="887">
      <c r="A887" s="11" t="n"/>
      <c r="B887" s="7" t="n"/>
      <c r="C887" s="8" t="n"/>
      <c r="D887" s="9" t="n"/>
      <c r="E887" s="8" t="n"/>
      <c r="F887" s="9" t="n"/>
      <c r="G887" s="9" t="n"/>
      <c r="H887" s="3">
        <f>IF(AND(D887&lt;&gt;"",F887&lt;&gt;""),F887-D887-G887,"")</f>
        <v/>
      </c>
      <c r="I887" s="14">
        <f>IF(E887&lt;&gt;"", YEARFRAC(C887, E887) * 12, "")</f>
        <v/>
      </c>
      <c r="J887" s="2">
        <f>IF(I887="", "", IF(AND(A887="MF (Equity)", I887&gt;12), "Long Term", "Short Term"))</f>
        <v/>
      </c>
      <c r="K887" s="5">
        <f>IF(J887="", "", IF(J887="Long Term", 12.5%, 20%))</f>
        <v/>
      </c>
      <c r="L887" s="3">
        <f>+IFERROR(IF(J887="","",H887*K887),"")</f>
        <v/>
      </c>
    </row>
    <row r="888">
      <c r="A888" s="11" t="n"/>
      <c r="B888" s="7" t="n"/>
      <c r="C888" s="8" t="n"/>
      <c r="D888" s="9" t="n"/>
      <c r="E888" s="8" t="n"/>
      <c r="F888" s="9" t="n"/>
      <c r="G888" s="9" t="n"/>
      <c r="H888" s="3">
        <f>IF(AND(D888&lt;&gt;"",F888&lt;&gt;""),F888-D888-G888,"")</f>
        <v/>
      </c>
      <c r="I888" s="14">
        <f>IF(E888&lt;&gt;"", YEARFRAC(C888, E888) * 12, "")</f>
        <v/>
      </c>
      <c r="J888" s="2">
        <f>IF(I888="", "", IF(AND(A888="MF (Equity)", I888&gt;12), "Long Term", "Short Term"))</f>
        <v/>
      </c>
      <c r="K888" s="5">
        <f>IF(J888="", "", IF(J888="Long Term", 12.5%, 20%))</f>
        <v/>
      </c>
      <c r="L888" s="3">
        <f>+IFERROR(IF(J888="","",H888*K888),"")</f>
        <v/>
      </c>
    </row>
    <row r="889">
      <c r="A889" s="11" t="n"/>
      <c r="B889" s="7" t="n"/>
      <c r="C889" s="8" t="n"/>
      <c r="D889" s="9" t="n"/>
      <c r="E889" s="8" t="n"/>
      <c r="F889" s="9" t="n"/>
      <c r="G889" s="9" t="n"/>
      <c r="H889" s="3">
        <f>IF(AND(D889&lt;&gt;"",F889&lt;&gt;""),F889-D889-G889,"")</f>
        <v/>
      </c>
      <c r="I889" s="14">
        <f>IF(E889&lt;&gt;"", YEARFRAC(C889, E889) * 12, "")</f>
        <v/>
      </c>
      <c r="J889" s="2">
        <f>IF(I889="", "", IF(AND(A889="MF (Equity)", I889&gt;12), "Long Term", "Short Term"))</f>
        <v/>
      </c>
      <c r="K889" s="5">
        <f>IF(J889="", "", IF(J889="Long Term", 12.5%, 20%))</f>
        <v/>
      </c>
      <c r="L889" s="3">
        <f>+IFERROR(IF(J889="","",H889*K889),"")</f>
        <v/>
      </c>
    </row>
    <row r="890">
      <c r="A890" s="11" t="n"/>
      <c r="B890" s="7" t="n"/>
      <c r="C890" s="8" t="n"/>
      <c r="D890" s="9" t="n"/>
      <c r="E890" s="8" t="n"/>
      <c r="F890" s="9" t="n"/>
      <c r="G890" s="9" t="n"/>
      <c r="H890" s="3">
        <f>IF(AND(D890&lt;&gt;"",F890&lt;&gt;""),F890-D890-G890,"")</f>
        <v/>
      </c>
      <c r="I890" s="14">
        <f>IF(E890&lt;&gt;"", YEARFRAC(C890, E890) * 12, "")</f>
        <v/>
      </c>
      <c r="J890" s="2">
        <f>IF(I890="", "", IF(AND(A890="MF (Equity)", I890&gt;12), "Long Term", "Short Term"))</f>
        <v/>
      </c>
      <c r="K890" s="5">
        <f>IF(J890="", "", IF(J890="Long Term", 12.5%, 20%))</f>
        <v/>
      </c>
      <c r="L890" s="3">
        <f>+IFERROR(IF(J890="","",H890*K890),"")</f>
        <v/>
      </c>
    </row>
    <row r="891">
      <c r="A891" s="11" t="n"/>
      <c r="B891" s="7" t="n"/>
      <c r="C891" s="8" t="n"/>
      <c r="D891" s="9" t="n"/>
      <c r="E891" s="8" t="n"/>
      <c r="F891" s="9" t="n"/>
      <c r="G891" s="9" t="n"/>
      <c r="H891" s="3">
        <f>IF(AND(D891&lt;&gt;"",F891&lt;&gt;""),F891-D891-G891,"")</f>
        <v/>
      </c>
      <c r="I891" s="14">
        <f>IF(E891&lt;&gt;"", YEARFRAC(C891, E891) * 12, "")</f>
        <v/>
      </c>
      <c r="J891" s="2">
        <f>IF(I891="", "", IF(AND(A891="MF (Equity)", I891&gt;12), "Long Term", "Short Term"))</f>
        <v/>
      </c>
      <c r="K891" s="5">
        <f>IF(J891="", "", IF(J891="Long Term", 12.5%, 20%))</f>
        <v/>
      </c>
      <c r="L891" s="3">
        <f>+IFERROR(IF(J891="","",H891*K891),"")</f>
        <v/>
      </c>
    </row>
    <row r="892">
      <c r="A892" s="11" t="n"/>
      <c r="B892" s="7" t="n"/>
      <c r="C892" s="8" t="n"/>
      <c r="D892" s="9" t="n"/>
      <c r="E892" s="8" t="n"/>
      <c r="F892" s="9" t="n"/>
      <c r="G892" s="9" t="n"/>
      <c r="H892" s="3">
        <f>IF(AND(D892&lt;&gt;"",F892&lt;&gt;""),F892-D892-G892,"")</f>
        <v/>
      </c>
      <c r="I892" s="14">
        <f>IF(E892&lt;&gt;"", YEARFRAC(C892, E892) * 12, "")</f>
        <v/>
      </c>
      <c r="J892" s="2">
        <f>IF(I892="", "", IF(AND(A892="MF (Equity)", I892&gt;12), "Long Term", "Short Term"))</f>
        <v/>
      </c>
      <c r="K892" s="5">
        <f>IF(J892="", "", IF(J892="Long Term", 12.5%, 20%))</f>
        <v/>
      </c>
      <c r="L892" s="3">
        <f>+IFERROR(IF(J892="","",H892*K892),"")</f>
        <v/>
      </c>
    </row>
    <row r="893">
      <c r="A893" s="11" t="n"/>
      <c r="B893" s="7" t="n"/>
      <c r="C893" s="8" t="n"/>
      <c r="D893" s="9" t="n"/>
      <c r="E893" s="8" t="n"/>
      <c r="F893" s="9" t="n"/>
      <c r="G893" s="9" t="n"/>
      <c r="H893" s="3">
        <f>IF(AND(D893&lt;&gt;"",F893&lt;&gt;""),F893-D893-G893,"")</f>
        <v/>
      </c>
      <c r="I893" s="14">
        <f>IF(E893&lt;&gt;"", YEARFRAC(C893, E893) * 12, "")</f>
        <v/>
      </c>
      <c r="J893" s="2">
        <f>IF(I893="", "", IF(AND(A893="MF (Equity)", I893&gt;12), "Long Term", "Short Term"))</f>
        <v/>
      </c>
      <c r="K893" s="5">
        <f>IF(J893="", "", IF(J893="Long Term", 12.5%, 20%))</f>
        <v/>
      </c>
      <c r="L893" s="3">
        <f>+IFERROR(IF(J893="","",H893*K893),"")</f>
        <v/>
      </c>
    </row>
    <row r="894">
      <c r="A894" s="11" t="n"/>
      <c r="B894" s="7" t="n"/>
      <c r="C894" s="8" t="n"/>
      <c r="D894" s="9" t="n"/>
      <c r="E894" s="8" t="n"/>
      <c r="F894" s="9" t="n"/>
      <c r="G894" s="9" t="n"/>
      <c r="H894" s="3">
        <f>IF(AND(D894&lt;&gt;"",F894&lt;&gt;""),F894-D894-G894,"")</f>
        <v/>
      </c>
      <c r="I894" s="14">
        <f>IF(E894&lt;&gt;"", YEARFRAC(C894, E894) * 12, "")</f>
        <v/>
      </c>
      <c r="J894" s="2">
        <f>IF(I894="", "", IF(AND(A894="MF (Equity)", I894&gt;12), "Long Term", "Short Term"))</f>
        <v/>
      </c>
      <c r="K894" s="5">
        <f>IF(J894="", "", IF(J894="Long Term", 12.5%, 20%))</f>
        <v/>
      </c>
      <c r="L894" s="3">
        <f>+IFERROR(IF(J894="","",H894*K894),"")</f>
        <v/>
      </c>
    </row>
    <row r="895">
      <c r="A895" s="11" t="n"/>
      <c r="B895" s="7" t="n"/>
      <c r="C895" s="8" t="n"/>
      <c r="D895" s="9" t="n"/>
      <c r="E895" s="8" t="n"/>
      <c r="F895" s="9" t="n"/>
      <c r="G895" s="9" t="n"/>
      <c r="H895" s="3">
        <f>IF(AND(D895&lt;&gt;"",F895&lt;&gt;""),F895-D895-G895,"")</f>
        <v/>
      </c>
      <c r="I895" s="14">
        <f>IF(E895&lt;&gt;"", YEARFRAC(C895, E895) * 12, "")</f>
        <v/>
      </c>
      <c r="J895" s="2">
        <f>IF(I895="", "", IF(AND(A895="MF (Equity)", I895&gt;12), "Long Term", "Short Term"))</f>
        <v/>
      </c>
      <c r="K895" s="5">
        <f>IF(J895="", "", IF(J895="Long Term", 12.5%, 20%))</f>
        <v/>
      </c>
      <c r="L895" s="3">
        <f>+IFERROR(IF(J895="","",H895*K895),"")</f>
        <v/>
      </c>
    </row>
    <row r="896">
      <c r="A896" s="11" t="n"/>
      <c r="B896" s="7" t="n"/>
      <c r="C896" s="8" t="n"/>
      <c r="D896" s="9" t="n"/>
      <c r="E896" s="8" t="n"/>
      <c r="F896" s="9" t="n"/>
      <c r="G896" s="9" t="n"/>
      <c r="H896" s="3">
        <f>IF(AND(D896&lt;&gt;"",F896&lt;&gt;""),F896-D896-G896,"")</f>
        <v/>
      </c>
      <c r="I896" s="14">
        <f>IF(E896&lt;&gt;"", YEARFRAC(C896, E896) * 12, "")</f>
        <v/>
      </c>
      <c r="J896" s="2">
        <f>IF(I896="", "", IF(AND(A896="MF (Equity)", I896&gt;12), "Long Term", "Short Term"))</f>
        <v/>
      </c>
      <c r="K896" s="5">
        <f>IF(J896="", "", IF(J896="Long Term", 12.5%, 20%))</f>
        <v/>
      </c>
      <c r="L896" s="3">
        <f>+IFERROR(IF(J896="","",H896*K896),"")</f>
        <v/>
      </c>
    </row>
    <row r="897">
      <c r="A897" s="11" t="n"/>
      <c r="B897" s="7" t="n"/>
      <c r="C897" s="8" t="n"/>
      <c r="D897" s="9" t="n"/>
      <c r="E897" s="8" t="n"/>
      <c r="F897" s="9" t="n"/>
      <c r="G897" s="9" t="n"/>
      <c r="H897" s="3">
        <f>IF(AND(D897&lt;&gt;"",F897&lt;&gt;""),F897-D897-G897,"")</f>
        <v/>
      </c>
      <c r="I897" s="14">
        <f>IF(E897&lt;&gt;"", YEARFRAC(C897, E897) * 12, "")</f>
        <v/>
      </c>
      <c r="J897" s="2">
        <f>IF(I897="", "", IF(AND(A897="MF (Equity)", I897&gt;12), "Long Term", "Short Term"))</f>
        <v/>
      </c>
      <c r="K897" s="5">
        <f>IF(J897="", "", IF(J897="Long Term", 12.5%, 20%))</f>
        <v/>
      </c>
      <c r="L897" s="3">
        <f>+IFERROR(IF(J897="","",H897*K897),"")</f>
        <v/>
      </c>
    </row>
    <row r="898">
      <c r="A898" s="11" t="n"/>
      <c r="B898" s="7" t="n"/>
      <c r="C898" s="8" t="n"/>
      <c r="D898" s="9" t="n"/>
      <c r="E898" s="8" t="n"/>
      <c r="F898" s="9" t="n"/>
      <c r="G898" s="9" t="n"/>
      <c r="H898" s="3">
        <f>IF(AND(D898&lt;&gt;"",F898&lt;&gt;""),F898-D898-G898,"")</f>
        <v/>
      </c>
      <c r="I898" s="14">
        <f>IF(E898&lt;&gt;"", YEARFRAC(C898, E898) * 12, "")</f>
        <v/>
      </c>
      <c r="J898" s="2">
        <f>IF(I898="", "", IF(AND(A898="MF (Equity)", I898&gt;12), "Long Term", "Short Term"))</f>
        <v/>
      </c>
      <c r="K898" s="5">
        <f>IF(J898="", "", IF(J898="Long Term", 12.5%, 20%))</f>
        <v/>
      </c>
      <c r="L898" s="3">
        <f>+IFERROR(IF(J898="","",H898*K898),"")</f>
        <v/>
      </c>
    </row>
    <row r="899">
      <c r="A899" s="11" t="n"/>
      <c r="B899" s="7" t="n"/>
      <c r="C899" s="8" t="n"/>
      <c r="D899" s="9" t="n"/>
      <c r="E899" s="8" t="n"/>
      <c r="F899" s="9" t="n"/>
      <c r="G899" s="9" t="n"/>
      <c r="H899" s="3">
        <f>IF(AND(D899&lt;&gt;"",F899&lt;&gt;""),F899-D899-G899,"")</f>
        <v/>
      </c>
      <c r="I899" s="14">
        <f>IF(E899&lt;&gt;"", YEARFRAC(C899, E899) * 12, "")</f>
        <v/>
      </c>
      <c r="J899" s="2">
        <f>IF(I899="", "", IF(AND(A899="MF (Equity)", I899&gt;12), "Long Term", "Short Term"))</f>
        <v/>
      </c>
      <c r="K899" s="5">
        <f>IF(J899="", "", IF(J899="Long Term", 12.5%, 20%))</f>
        <v/>
      </c>
      <c r="L899" s="3">
        <f>+IFERROR(IF(J899="","",H899*K899),"")</f>
        <v/>
      </c>
    </row>
    <row r="900">
      <c r="A900" s="11" t="n"/>
      <c r="B900" s="7" t="n"/>
      <c r="C900" s="8" t="n"/>
      <c r="D900" s="9" t="n"/>
      <c r="E900" s="8" t="n"/>
      <c r="F900" s="9" t="n"/>
      <c r="G900" s="9" t="n"/>
      <c r="H900" s="3">
        <f>IF(AND(D900&lt;&gt;"",F900&lt;&gt;""),F900-D900-G900,"")</f>
        <v/>
      </c>
      <c r="I900" s="14">
        <f>IF(E900&lt;&gt;"", YEARFRAC(C900, E900) * 12, "")</f>
        <v/>
      </c>
      <c r="J900" s="2">
        <f>IF(I900="", "", IF(AND(A900="MF (Equity)", I900&gt;12), "Long Term", "Short Term"))</f>
        <v/>
      </c>
      <c r="K900" s="5">
        <f>IF(J900="", "", IF(J900="Long Term", 12.5%, 20%))</f>
        <v/>
      </c>
      <c r="L900" s="3">
        <f>+IFERROR(IF(J900="","",H900*K900),"")</f>
        <v/>
      </c>
    </row>
    <row r="901">
      <c r="A901" s="11" t="n"/>
      <c r="B901" s="7" t="n"/>
      <c r="C901" s="8" t="n"/>
      <c r="D901" s="9" t="n"/>
      <c r="E901" s="8" t="n"/>
      <c r="F901" s="9" t="n"/>
      <c r="G901" s="9" t="n"/>
      <c r="H901" s="3">
        <f>IF(AND(D901&lt;&gt;"",F901&lt;&gt;""),F901-D901-G901,"")</f>
        <v/>
      </c>
      <c r="I901" s="14">
        <f>IF(E901&lt;&gt;"", YEARFRAC(C901, E901) * 12, "")</f>
        <v/>
      </c>
      <c r="J901" s="2">
        <f>IF(I901="", "", IF(AND(A901="MF (Equity)", I901&gt;12), "Long Term", "Short Term"))</f>
        <v/>
      </c>
      <c r="K901" s="5">
        <f>IF(J901="", "", IF(J901="Long Term", 12.5%, 20%))</f>
        <v/>
      </c>
      <c r="L901" s="3">
        <f>+IFERROR(IF(J901="","",H901*K901),"")</f>
        <v/>
      </c>
    </row>
    <row r="902">
      <c r="A902" s="11" t="n"/>
      <c r="B902" s="7" t="n"/>
      <c r="C902" s="8" t="n"/>
      <c r="D902" s="9" t="n"/>
      <c r="E902" s="8" t="n"/>
      <c r="F902" s="9" t="n"/>
      <c r="G902" s="9" t="n"/>
      <c r="H902" s="3">
        <f>IF(AND(D902&lt;&gt;"",F902&lt;&gt;""),F902-D902-G902,"")</f>
        <v/>
      </c>
      <c r="I902" s="14">
        <f>IF(E902&lt;&gt;"", YEARFRAC(C902, E902) * 12, "")</f>
        <v/>
      </c>
      <c r="J902" s="2">
        <f>IF(I902="", "", IF(AND(A902="MF (Equity)", I902&gt;12), "Long Term", "Short Term"))</f>
        <v/>
      </c>
      <c r="K902" s="5">
        <f>IF(J902="", "", IF(J902="Long Term", 12.5%, 20%))</f>
        <v/>
      </c>
      <c r="L902" s="3">
        <f>+IFERROR(IF(J902="","",H902*K902),"")</f>
        <v/>
      </c>
    </row>
    <row r="903">
      <c r="A903" s="11" t="n"/>
      <c r="B903" s="7" t="n"/>
      <c r="C903" s="8" t="n"/>
      <c r="D903" s="9" t="n"/>
      <c r="E903" s="8" t="n"/>
      <c r="F903" s="9" t="n"/>
      <c r="G903" s="9" t="n"/>
      <c r="H903" s="3">
        <f>IF(AND(D903&lt;&gt;"",F903&lt;&gt;""),F903-D903-G903,"")</f>
        <v/>
      </c>
      <c r="I903" s="14">
        <f>IF(E903&lt;&gt;"", YEARFRAC(C903, E903) * 12, "")</f>
        <v/>
      </c>
      <c r="J903" s="2">
        <f>IF(I903="", "", IF(AND(A903="MF (Equity)", I903&gt;12), "Long Term", "Short Term"))</f>
        <v/>
      </c>
      <c r="K903" s="5">
        <f>IF(J903="", "", IF(J903="Long Term", 12.5%, 20%))</f>
        <v/>
      </c>
      <c r="L903" s="3">
        <f>+IFERROR(IF(J903="","",H903*K903),"")</f>
        <v/>
      </c>
    </row>
    <row r="904">
      <c r="A904" s="11" t="n"/>
      <c r="B904" s="7" t="n"/>
      <c r="C904" s="8" t="n"/>
      <c r="D904" s="9" t="n"/>
      <c r="E904" s="8" t="n"/>
      <c r="F904" s="9" t="n"/>
      <c r="G904" s="9" t="n"/>
      <c r="H904" s="3">
        <f>IF(AND(D904&lt;&gt;"",F904&lt;&gt;""),F904-D904-G904,"")</f>
        <v/>
      </c>
      <c r="I904" s="14">
        <f>IF(E904&lt;&gt;"", YEARFRAC(C904, E904) * 12, "")</f>
        <v/>
      </c>
      <c r="J904" s="2">
        <f>IF(I904="", "", IF(AND(A904="MF (Equity)", I904&gt;12), "Long Term", "Short Term"))</f>
        <v/>
      </c>
      <c r="K904" s="5">
        <f>IF(J904="", "", IF(J904="Long Term", 12.5%, 20%))</f>
        <v/>
      </c>
      <c r="L904" s="3">
        <f>+IFERROR(IF(J904="","",H904*K904),"")</f>
        <v/>
      </c>
    </row>
    <row r="905">
      <c r="A905" s="11" t="n"/>
      <c r="B905" s="7" t="n"/>
      <c r="C905" s="8" t="n"/>
      <c r="D905" s="9" t="n"/>
      <c r="E905" s="8" t="n"/>
      <c r="F905" s="9" t="n"/>
      <c r="G905" s="9" t="n"/>
      <c r="H905" s="3">
        <f>IF(AND(D905&lt;&gt;"",F905&lt;&gt;""),F905-D905-G905,"")</f>
        <v/>
      </c>
      <c r="I905" s="14">
        <f>IF(E905&lt;&gt;"", YEARFRAC(C905, E905) * 12, "")</f>
        <v/>
      </c>
      <c r="J905" s="2">
        <f>IF(I905="", "", IF(AND(A905="MF (Equity)", I905&gt;12), "Long Term", "Short Term"))</f>
        <v/>
      </c>
      <c r="K905" s="5">
        <f>IF(J905="", "", IF(J905="Long Term", 12.5%, 20%))</f>
        <v/>
      </c>
      <c r="L905" s="3">
        <f>+IFERROR(IF(J905="","",H905*K905),"")</f>
        <v/>
      </c>
    </row>
    <row r="906">
      <c r="A906" s="11" t="n"/>
      <c r="B906" s="7" t="n"/>
      <c r="C906" s="8" t="n"/>
      <c r="D906" s="9" t="n"/>
      <c r="E906" s="8" t="n"/>
      <c r="F906" s="9" t="n"/>
      <c r="G906" s="9" t="n"/>
      <c r="H906" s="3">
        <f>IF(AND(D906&lt;&gt;"",F906&lt;&gt;""),F906-D906-G906,"")</f>
        <v/>
      </c>
      <c r="I906" s="14">
        <f>IF(E906&lt;&gt;"", YEARFRAC(C906, E906) * 12, "")</f>
        <v/>
      </c>
      <c r="J906" s="2">
        <f>IF(I906="", "", IF(AND(A906="MF (Equity)", I906&gt;12), "Long Term", "Short Term"))</f>
        <v/>
      </c>
      <c r="K906" s="5">
        <f>IF(J906="", "", IF(J906="Long Term", 12.5%, 20%))</f>
        <v/>
      </c>
      <c r="L906" s="3">
        <f>+IFERROR(IF(J906="","",H906*K906),"")</f>
        <v/>
      </c>
    </row>
    <row r="907">
      <c r="A907" s="11" t="n"/>
      <c r="B907" s="7" t="n"/>
      <c r="C907" s="8" t="n"/>
      <c r="D907" s="9" t="n"/>
      <c r="E907" s="8" t="n"/>
      <c r="F907" s="9" t="n"/>
      <c r="G907" s="9" t="n"/>
      <c r="H907" s="3">
        <f>IF(AND(D907&lt;&gt;"",F907&lt;&gt;""),F907-D907-G907,"")</f>
        <v/>
      </c>
      <c r="I907" s="14">
        <f>IF(E907&lt;&gt;"", YEARFRAC(C907, E907) * 12, "")</f>
        <v/>
      </c>
      <c r="J907" s="2">
        <f>IF(I907="", "", IF(AND(A907="MF (Equity)", I907&gt;12), "Long Term", "Short Term"))</f>
        <v/>
      </c>
      <c r="K907" s="5">
        <f>IF(J907="", "", IF(J907="Long Term", 12.5%, 20%))</f>
        <v/>
      </c>
      <c r="L907" s="3">
        <f>+IFERROR(IF(J907="","",H907*K907),"")</f>
        <v/>
      </c>
    </row>
    <row r="908">
      <c r="A908" s="11" t="n"/>
      <c r="B908" s="7" t="n"/>
      <c r="C908" s="8" t="n"/>
      <c r="D908" s="9" t="n"/>
      <c r="E908" s="8" t="n"/>
      <c r="F908" s="9" t="n"/>
      <c r="G908" s="9" t="n"/>
      <c r="H908" s="3">
        <f>IF(AND(D908&lt;&gt;"",F908&lt;&gt;""),F908-D908-G908,"")</f>
        <v/>
      </c>
      <c r="I908" s="14">
        <f>IF(E908&lt;&gt;"", YEARFRAC(C908, E908) * 12, "")</f>
        <v/>
      </c>
      <c r="J908" s="2">
        <f>IF(I908="", "", IF(AND(A908="MF (Equity)", I908&gt;12), "Long Term", "Short Term"))</f>
        <v/>
      </c>
      <c r="K908" s="5">
        <f>IF(J908="", "", IF(J908="Long Term", 12.5%, 20%))</f>
        <v/>
      </c>
      <c r="L908" s="3">
        <f>+IFERROR(IF(J908="","",H908*K908),"")</f>
        <v/>
      </c>
    </row>
    <row r="909">
      <c r="A909" s="11" t="n"/>
      <c r="B909" s="7" t="n"/>
      <c r="C909" s="8" t="n"/>
      <c r="D909" s="9" t="n"/>
      <c r="E909" s="8" t="n"/>
      <c r="F909" s="9" t="n"/>
      <c r="G909" s="9" t="n"/>
      <c r="H909" s="3">
        <f>IF(AND(D909&lt;&gt;"",F909&lt;&gt;""),F909-D909-G909,"")</f>
        <v/>
      </c>
      <c r="I909" s="14">
        <f>IF(E909&lt;&gt;"", YEARFRAC(C909, E909) * 12, "")</f>
        <v/>
      </c>
      <c r="J909" s="2">
        <f>IF(I909="", "", IF(AND(A909="MF (Equity)", I909&gt;12), "Long Term", "Short Term"))</f>
        <v/>
      </c>
      <c r="K909" s="5">
        <f>IF(J909="", "", IF(J909="Long Term", 12.5%, 20%))</f>
        <v/>
      </c>
      <c r="L909" s="3">
        <f>+IFERROR(IF(J909="","",H909*K909),"")</f>
        <v/>
      </c>
    </row>
    <row r="910">
      <c r="A910" s="11" t="n"/>
      <c r="B910" s="7" t="n"/>
      <c r="C910" s="8" t="n"/>
      <c r="D910" s="9" t="n"/>
      <c r="E910" s="8" t="n"/>
      <c r="F910" s="9" t="n"/>
      <c r="G910" s="9" t="n"/>
      <c r="H910" s="3">
        <f>IF(AND(D910&lt;&gt;"",F910&lt;&gt;""),F910-D910-G910,"")</f>
        <v/>
      </c>
      <c r="I910" s="14">
        <f>IF(E910&lt;&gt;"", YEARFRAC(C910, E910) * 12, "")</f>
        <v/>
      </c>
      <c r="J910" s="2">
        <f>IF(I910="", "", IF(AND(A910="MF (Equity)", I910&gt;12), "Long Term", "Short Term"))</f>
        <v/>
      </c>
      <c r="K910" s="5">
        <f>IF(J910="", "", IF(J910="Long Term", 12.5%, 20%))</f>
        <v/>
      </c>
      <c r="L910" s="3">
        <f>+IFERROR(IF(J910="","",H910*K910),"")</f>
        <v/>
      </c>
    </row>
    <row r="911">
      <c r="A911" s="11" t="n"/>
      <c r="B911" s="7" t="n"/>
      <c r="C911" s="8" t="n"/>
      <c r="D911" s="9" t="n"/>
      <c r="E911" s="8" t="n"/>
      <c r="F911" s="9" t="n"/>
      <c r="G911" s="9" t="n"/>
      <c r="H911" s="3">
        <f>IF(AND(D911&lt;&gt;"",F911&lt;&gt;""),F911-D911-G911,"")</f>
        <v/>
      </c>
      <c r="I911" s="14">
        <f>IF(E911&lt;&gt;"", YEARFRAC(C911, E911) * 12, "")</f>
        <v/>
      </c>
      <c r="J911" s="2">
        <f>IF(I911="", "", IF(AND(A911="MF (Equity)", I911&gt;12), "Long Term", "Short Term"))</f>
        <v/>
      </c>
      <c r="K911" s="5">
        <f>IF(J911="", "", IF(J911="Long Term", 12.5%, 20%))</f>
        <v/>
      </c>
      <c r="L911" s="3">
        <f>+IFERROR(IF(J911="","",H911*K911),"")</f>
        <v/>
      </c>
    </row>
    <row r="912">
      <c r="A912" s="11" t="n"/>
      <c r="B912" s="7" t="n"/>
      <c r="C912" s="8" t="n"/>
      <c r="D912" s="9" t="n"/>
      <c r="E912" s="8" t="n"/>
      <c r="F912" s="9" t="n"/>
      <c r="G912" s="9" t="n"/>
      <c r="H912" s="3">
        <f>IF(AND(D912&lt;&gt;"",F912&lt;&gt;""),F912-D912-G912,"")</f>
        <v/>
      </c>
      <c r="I912" s="14">
        <f>IF(E912&lt;&gt;"", YEARFRAC(C912, E912) * 12, "")</f>
        <v/>
      </c>
      <c r="J912" s="2">
        <f>IF(I912="", "", IF(AND(A912="MF (Equity)", I912&gt;12), "Long Term", "Short Term"))</f>
        <v/>
      </c>
      <c r="K912" s="5">
        <f>IF(J912="", "", IF(J912="Long Term", 12.5%, 20%))</f>
        <v/>
      </c>
      <c r="L912" s="3">
        <f>+IFERROR(IF(J912="","",H912*K912),"")</f>
        <v/>
      </c>
    </row>
    <row r="913">
      <c r="A913" s="11" t="n"/>
      <c r="B913" s="7" t="n"/>
      <c r="C913" s="8" t="n"/>
      <c r="D913" s="9" t="n"/>
      <c r="E913" s="8" t="n"/>
      <c r="F913" s="9" t="n"/>
      <c r="G913" s="9" t="n"/>
      <c r="H913" s="3">
        <f>IF(AND(D913&lt;&gt;"",F913&lt;&gt;""),F913-D913-G913,"")</f>
        <v/>
      </c>
      <c r="I913" s="14">
        <f>IF(E913&lt;&gt;"", YEARFRAC(C913, E913) * 12, "")</f>
        <v/>
      </c>
      <c r="J913" s="2">
        <f>IF(I913="", "", IF(AND(A913="MF (Equity)", I913&gt;12), "Long Term", "Short Term"))</f>
        <v/>
      </c>
      <c r="K913" s="5">
        <f>IF(J913="", "", IF(J913="Long Term", 12.5%, 20%))</f>
        <v/>
      </c>
      <c r="L913" s="3">
        <f>+IFERROR(IF(J913="","",H913*K913),"")</f>
        <v/>
      </c>
    </row>
    <row r="914">
      <c r="A914" s="11" t="n"/>
      <c r="B914" s="7" t="n"/>
      <c r="C914" s="8" t="n"/>
      <c r="D914" s="9" t="n"/>
      <c r="E914" s="8" t="n"/>
      <c r="F914" s="9" t="n"/>
      <c r="G914" s="9" t="n"/>
      <c r="H914" s="3">
        <f>IF(AND(D914&lt;&gt;"",F914&lt;&gt;""),F914-D914-G914,"")</f>
        <v/>
      </c>
      <c r="I914" s="14">
        <f>IF(E914&lt;&gt;"", YEARFRAC(C914, E914) * 12, "")</f>
        <v/>
      </c>
      <c r="J914" s="2">
        <f>IF(I914="", "", IF(AND(A914="MF (Equity)", I914&gt;12), "Long Term", "Short Term"))</f>
        <v/>
      </c>
      <c r="K914" s="5">
        <f>IF(J914="", "", IF(J914="Long Term", 12.5%, 20%))</f>
        <v/>
      </c>
      <c r="L914" s="3">
        <f>+IFERROR(IF(J914="","",H914*K914),"")</f>
        <v/>
      </c>
    </row>
    <row r="915">
      <c r="A915" s="11" t="n"/>
      <c r="B915" s="7" t="n"/>
      <c r="C915" s="8" t="n"/>
      <c r="D915" s="9" t="n"/>
      <c r="E915" s="8" t="n"/>
      <c r="F915" s="9" t="n"/>
      <c r="G915" s="9" t="n"/>
      <c r="H915" s="3">
        <f>IF(AND(D915&lt;&gt;"",F915&lt;&gt;""),F915-D915-G915,"")</f>
        <v/>
      </c>
      <c r="I915" s="14">
        <f>IF(E915&lt;&gt;"", YEARFRAC(C915, E915) * 12, "")</f>
        <v/>
      </c>
      <c r="J915" s="2">
        <f>IF(I915="", "", IF(AND(A915="MF (Equity)", I915&gt;12), "Long Term", "Short Term"))</f>
        <v/>
      </c>
      <c r="K915" s="5">
        <f>IF(J915="", "", IF(J915="Long Term", 12.5%, 20%))</f>
        <v/>
      </c>
      <c r="L915" s="3">
        <f>+IFERROR(IF(J915="","",H915*K915),"")</f>
        <v/>
      </c>
    </row>
    <row r="916">
      <c r="A916" s="11" t="n"/>
      <c r="B916" s="7" t="n"/>
      <c r="C916" s="8" t="n"/>
      <c r="D916" s="9" t="n"/>
      <c r="E916" s="8" t="n"/>
      <c r="F916" s="9" t="n"/>
      <c r="G916" s="9" t="n"/>
      <c r="H916" s="3">
        <f>IF(AND(D916&lt;&gt;"",F916&lt;&gt;""),F916-D916-G916,"")</f>
        <v/>
      </c>
      <c r="I916" s="14">
        <f>IF(E916&lt;&gt;"", YEARFRAC(C916, E916) * 12, "")</f>
        <v/>
      </c>
      <c r="J916" s="2">
        <f>IF(I916="", "", IF(AND(A916="MF (Equity)", I916&gt;12), "Long Term", "Short Term"))</f>
        <v/>
      </c>
      <c r="K916" s="5">
        <f>IF(J916="", "", IF(J916="Long Term", 12.5%, 20%))</f>
        <v/>
      </c>
      <c r="L916" s="3">
        <f>+IFERROR(IF(J916="","",H916*K916),"")</f>
        <v/>
      </c>
    </row>
    <row r="917">
      <c r="A917" s="11" t="n"/>
      <c r="B917" s="7" t="n"/>
      <c r="C917" s="8" t="n"/>
      <c r="D917" s="9" t="n"/>
      <c r="E917" s="8" t="n"/>
      <c r="F917" s="9" t="n"/>
      <c r="G917" s="9" t="n"/>
      <c r="H917" s="3">
        <f>IF(AND(D917&lt;&gt;"",F917&lt;&gt;""),F917-D917-G917,"")</f>
        <v/>
      </c>
      <c r="I917" s="14">
        <f>IF(E917&lt;&gt;"", YEARFRAC(C917, E917) * 12, "")</f>
        <v/>
      </c>
      <c r="J917" s="2">
        <f>IF(I917="", "", IF(AND(A917="MF (Equity)", I917&gt;12), "Long Term", "Short Term"))</f>
        <v/>
      </c>
      <c r="K917" s="5">
        <f>IF(J917="", "", IF(J917="Long Term", 12.5%, 20%))</f>
        <v/>
      </c>
      <c r="L917" s="3">
        <f>+IFERROR(IF(J917="","",H917*K917),"")</f>
        <v/>
      </c>
    </row>
    <row r="918">
      <c r="A918" s="11" t="n"/>
      <c r="B918" s="7" t="n"/>
      <c r="C918" s="8" t="n"/>
      <c r="D918" s="9" t="n"/>
      <c r="E918" s="8" t="n"/>
      <c r="F918" s="9" t="n"/>
      <c r="G918" s="9" t="n"/>
      <c r="H918" s="3">
        <f>IF(AND(D918&lt;&gt;"",F918&lt;&gt;""),F918-D918-G918,"")</f>
        <v/>
      </c>
      <c r="I918" s="14">
        <f>IF(E918&lt;&gt;"", YEARFRAC(C918, E918) * 12, "")</f>
        <v/>
      </c>
      <c r="J918" s="2">
        <f>IF(I918="", "", IF(AND(A918="MF (Equity)", I918&gt;12), "Long Term", "Short Term"))</f>
        <v/>
      </c>
      <c r="K918" s="5">
        <f>IF(J918="", "", IF(J918="Long Term", 12.5%, 20%))</f>
        <v/>
      </c>
      <c r="L918" s="3">
        <f>+IFERROR(IF(J918="","",H918*K918),"")</f>
        <v/>
      </c>
    </row>
    <row r="919">
      <c r="A919" s="11" t="n"/>
      <c r="B919" s="7" t="n"/>
      <c r="C919" s="8" t="n"/>
      <c r="D919" s="9" t="n"/>
      <c r="E919" s="8" t="n"/>
      <c r="F919" s="9" t="n"/>
      <c r="G919" s="9" t="n"/>
      <c r="H919" s="3">
        <f>IF(AND(D919&lt;&gt;"",F919&lt;&gt;""),F919-D919-G919,"")</f>
        <v/>
      </c>
      <c r="I919" s="14">
        <f>IF(E919&lt;&gt;"", YEARFRAC(C919, E919) * 12, "")</f>
        <v/>
      </c>
      <c r="J919" s="2">
        <f>IF(I919="", "", IF(AND(A919="MF (Equity)", I919&gt;12), "Long Term", "Short Term"))</f>
        <v/>
      </c>
      <c r="K919" s="5">
        <f>IF(J919="", "", IF(J919="Long Term", 12.5%, 20%))</f>
        <v/>
      </c>
      <c r="L919" s="3">
        <f>+IFERROR(IF(J919="","",H919*K919),"")</f>
        <v/>
      </c>
    </row>
    <row r="920">
      <c r="A920" s="11" t="n"/>
      <c r="B920" s="7" t="n"/>
      <c r="C920" s="8" t="n"/>
      <c r="D920" s="9" t="n"/>
      <c r="E920" s="8" t="n"/>
      <c r="F920" s="9" t="n"/>
      <c r="G920" s="9" t="n"/>
      <c r="H920" s="3">
        <f>IF(AND(D920&lt;&gt;"",F920&lt;&gt;""),F920-D920-G920,"")</f>
        <v/>
      </c>
      <c r="I920" s="14">
        <f>IF(E920&lt;&gt;"", YEARFRAC(C920, E920) * 12, "")</f>
        <v/>
      </c>
      <c r="J920" s="2">
        <f>IF(I920="", "", IF(AND(A920="MF (Equity)", I920&gt;12), "Long Term", "Short Term"))</f>
        <v/>
      </c>
      <c r="K920" s="5">
        <f>IF(J920="", "", IF(J920="Long Term", 12.5%, 20%))</f>
        <v/>
      </c>
      <c r="L920" s="3">
        <f>+IFERROR(IF(J920="","",H920*K920),"")</f>
        <v/>
      </c>
    </row>
    <row r="921">
      <c r="A921" s="11" t="n"/>
      <c r="B921" s="7" t="n"/>
      <c r="C921" s="8" t="n"/>
      <c r="D921" s="9" t="n"/>
      <c r="E921" s="8" t="n"/>
      <c r="F921" s="9" t="n"/>
      <c r="G921" s="9" t="n"/>
      <c r="H921" s="3">
        <f>IF(AND(D921&lt;&gt;"",F921&lt;&gt;""),F921-D921-G921,"")</f>
        <v/>
      </c>
      <c r="I921" s="14">
        <f>IF(E921&lt;&gt;"", YEARFRAC(C921, E921) * 12, "")</f>
        <v/>
      </c>
      <c r="J921" s="2">
        <f>IF(I921="", "", IF(AND(A921="MF (Equity)", I921&gt;12), "Long Term", "Short Term"))</f>
        <v/>
      </c>
      <c r="K921" s="5">
        <f>IF(J921="", "", IF(J921="Long Term", 12.5%, 20%))</f>
        <v/>
      </c>
      <c r="L921" s="3">
        <f>+IFERROR(IF(J921="","",H921*K921),"")</f>
        <v/>
      </c>
    </row>
    <row r="922">
      <c r="A922" s="11" t="n"/>
      <c r="B922" s="7" t="n"/>
      <c r="C922" s="8" t="n"/>
      <c r="D922" s="9" t="n"/>
      <c r="E922" s="8" t="n"/>
      <c r="F922" s="9" t="n"/>
      <c r="G922" s="9" t="n"/>
      <c r="H922" s="3">
        <f>IF(AND(D922&lt;&gt;"",F922&lt;&gt;""),F922-D922-G922,"")</f>
        <v/>
      </c>
      <c r="I922" s="14">
        <f>IF(E922&lt;&gt;"", YEARFRAC(C922, E922) * 12, "")</f>
        <v/>
      </c>
      <c r="J922" s="2">
        <f>IF(I922="", "", IF(AND(A922="MF (Equity)", I922&gt;12), "Long Term", "Short Term"))</f>
        <v/>
      </c>
      <c r="K922" s="5">
        <f>IF(J922="", "", IF(J922="Long Term", 12.5%, 20%))</f>
        <v/>
      </c>
      <c r="L922" s="3">
        <f>+IFERROR(IF(J922="","",H922*K922),"")</f>
        <v/>
      </c>
    </row>
    <row r="923">
      <c r="A923" s="11" t="n"/>
      <c r="B923" s="7" t="n"/>
      <c r="C923" s="8" t="n"/>
      <c r="D923" s="9" t="n"/>
      <c r="E923" s="8" t="n"/>
      <c r="F923" s="9" t="n"/>
      <c r="G923" s="9" t="n"/>
      <c r="H923" s="3">
        <f>IF(AND(D923&lt;&gt;"",F923&lt;&gt;""),F923-D923-G923,"")</f>
        <v/>
      </c>
      <c r="I923" s="14">
        <f>IF(E923&lt;&gt;"", YEARFRAC(C923, E923) * 12, "")</f>
        <v/>
      </c>
      <c r="J923" s="2">
        <f>IF(I923="", "", IF(AND(A923="MF (Equity)", I923&gt;12), "Long Term", "Short Term"))</f>
        <v/>
      </c>
      <c r="K923" s="5">
        <f>IF(J923="", "", IF(J923="Long Term", 12.5%, 20%))</f>
        <v/>
      </c>
      <c r="L923" s="3">
        <f>+IFERROR(IF(J923="","",H923*K923),"")</f>
        <v/>
      </c>
    </row>
    <row r="924">
      <c r="A924" s="11" t="n"/>
      <c r="B924" s="7" t="n"/>
      <c r="C924" s="8" t="n"/>
      <c r="D924" s="9" t="n"/>
      <c r="E924" s="8" t="n"/>
      <c r="F924" s="9" t="n"/>
      <c r="G924" s="9" t="n"/>
      <c r="H924" s="3">
        <f>IF(AND(D924&lt;&gt;"",F924&lt;&gt;""),F924-D924-G924,"")</f>
        <v/>
      </c>
      <c r="I924" s="14">
        <f>IF(E924&lt;&gt;"", YEARFRAC(C924, E924) * 12, "")</f>
        <v/>
      </c>
      <c r="J924" s="2">
        <f>IF(I924="", "", IF(AND(A924="MF (Equity)", I924&gt;12), "Long Term", "Short Term"))</f>
        <v/>
      </c>
      <c r="K924" s="5">
        <f>IF(J924="", "", IF(J924="Long Term", 12.5%, 20%))</f>
        <v/>
      </c>
      <c r="L924" s="3">
        <f>+IFERROR(IF(J924="","",H924*K924),"")</f>
        <v/>
      </c>
    </row>
    <row r="925">
      <c r="A925" s="11" t="n"/>
      <c r="B925" s="7" t="n"/>
      <c r="C925" s="8" t="n"/>
      <c r="D925" s="9" t="n"/>
      <c r="E925" s="8" t="n"/>
      <c r="F925" s="9" t="n"/>
      <c r="G925" s="9" t="n"/>
      <c r="H925" s="3">
        <f>IF(AND(D925&lt;&gt;"",F925&lt;&gt;""),F925-D925-G925,"")</f>
        <v/>
      </c>
      <c r="I925" s="14">
        <f>IF(E925&lt;&gt;"", YEARFRAC(C925, E925) * 12, "")</f>
        <v/>
      </c>
      <c r="J925" s="2">
        <f>IF(I925="", "", IF(AND(A925="MF (Equity)", I925&gt;12), "Long Term", "Short Term"))</f>
        <v/>
      </c>
      <c r="K925" s="5">
        <f>IF(J925="", "", IF(J925="Long Term", 12.5%, 20%))</f>
        <v/>
      </c>
      <c r="L925" s="3">
        <f>+IFERROR(IF(J925="","",H925*K925),"")</f>
        <v/>
      </c>
    </row>
    <row r="926">
      <c r="A926" s="11" t="n"/>
      <c r="B926" s="7" t="n"/>
      <c r="C926" s="8" t="n"/>
      <c r="D926" s="9" t="n"/>
      <c r="E926" s="8" t="n"/>
      <c r="F926" s="9" t="n"/>
      <c r="G926" s="9" t="n"/>
      <c r="H926" s="3">
        <f>IF(AND(D926&lt;&gt;"",F926&lt;&gt;""),F926-D926-G926,"")</f>
        <v/>
      </c>
      <c r="I926" s="14">
        <f>IF(E926&lt;&gt;"", YEARFRAC(C926, E926) * 12, "")</f>
        <v/>
      </c>
      <c r="J926" s="2">
        <f>IF(I926="", "", IF(AND(A926="MF (Equity)", I926&gt;12), "Long Term", "Short Term"))</f>
        <v/>
      </c>
      <c r="K926" s="5">
        <f>IF(J926="", "", IF(J926="Long Term", 12.5%, 20%))</f>
        <v/>
      </c>
      <c r="L926" s="3">
        <f>+IFERROR(IF(J926="","",H926*K926),"")</f>
        <v/>
      </c>
    </row>
    <row r="927">
      <c r="A927" s="11" t="n"/>
      <c r="B927" s="7" t="n"/>
      <c r="C927" s="8" t="n"/>
      <c r="D927" s="9" t="n"/>
      <c r="E927" s="8" t="n"/>
      <c r="F927" s="9" t="n"/>
      <c r="G927" s="9" t="n"/>
      <c r="H927" s="3">
        <f>IF(AND(D927&lt;&gt;"",F927&lt;&gt;""),F927-D927-G927,"")</f>
        <v/>
      </c>
      <c r="I927" s="14">
        <f>IF(E927&lt;&gt;"", YEARFRAC(C927, E927) * 12, "")</f>
        <v/>
      </c>
      <c r="J927" s="2">
        <f>IF(I927="", "", IF(AND(A927="MF (Equity)", I927&gt;12), "Long Term", "Short Term"))</f>
        <v/>
      </c>
      <c r="K927" s="5">
        <f>IF(J927="", "", IF(J927="Long Term", 12.5%, 20%))</f>
        <v/>
      </c>
      <c r="L927" s="3">
        <f>+IFERROR(IF(J927="","",H927*K927),"")</f>
        <v/>
      </c>
    </row>
    <row r="928">
      <c r="A928" s="11" t="n"/>
      <c r="B928" s="7" t="n"/>
      <c r="C928" s="8" t="n"/>
      <c r="D928" s="9" t="n"/>
      <c r="E928" s="8" t="n"/>
      <c r="F928" s="9" t="n"/>
      <c r="G928" s="9" t="n"/>
      <c r="H928" s="3">
        <f>IF(AND(D928&lt;&gt;"",F928&lt;&gt;""),F928-D928-G928,"")</f>
        <v/>
      </c>
      <c r="I928" s="14">
        <f>IF(E928&lt;&gt;"", YEARFRAC(C928, E928) * 12, "")</f>
        <v/>
      </c>
      <c r="J928" s="2">
        <f>IF(I928="", "", IF(AND(A928="MF (Equity)", I928&gt;12), "Long Term", "Short Term"))</f>
        <v/>
      </c>
      <c r="K928" s="5">
        <f>IF(J928="", "", IF(J928="Long Term", 12.5%, 20%))</f>
        <v/>
      </c>
      <c r="L928" s="3">
        <f>+IFERROR(IF(J928="","",H928*K928),"")</f>
        <v/>
      </c>
    </row>
    <row r="929">
      <c r="A929" s="11" t="n"/>
      <c r="B929" s="7" t="n"/>
      <c r="C929" s="8" t="n"/>
      <c r="D929" s="9" t="n"/>
      <c r="E929" s="8" t="n"/>
      <c r="F929" s="9" t="n"/>
      <c r="G929" s="9" t="n"/>
      <c r="H929" s="3">
        <f>IF(AND(D929&lt;&gt;"",F929&lt;&gt;""),F929-D929-G929,"")</f>
        <v/>
      </c>
      <c r="I929" s="14">
        <f>IF(E929&lt;&gt;"", YEARFRAC(C929, E929) * 12, "")</f>
        <v/>
      </c>
      <c r="J929" s="2">
        <f>IF(I929="", "", IF(AND(A929="MF (Equity)", I929&gt;12), "Long Term", "Short Term"))</f>
        <v/>
      </c>
      <c r="K929" s="5">
        <f>IF(J929="", "", IF(J929="Long Term", 12.5%, 20%))</f>
        <v/>
      </c>
      <c r="L929" s="3">
        <f>+IFERROR(IF(J929="","",H929*K929),"")</f>
        <v/>
      </c>
    </row>
    <row r="930">
      <c r="A930" s="11" t="n"/>
      <c r="B930" s="7" t="n"/>
      <c r="C930" s="8" t="n"/>
      <c r="D930" s="9" t="n"/>
      <c r="E930" s="8" t="n"/>
      <c r="F930" s="9" t="n"/>
      <c r="G930" s="9" t="n"/>
      <c r="H930" s="3">
        <f>IF(AND(D930&lt;&gt;"",F930&lt;&gt;""),F930-D930-G930,"")</f>
        <v/>
      </c>
      <c r="I930" s="14">
        <f>IF(E930&lt;&gt;"", YEARFRAC(C930, E930) * 12, "")</f>
        <v/>
      </c>
      <c r="J930" s="2">
        <f>IF(I930="", "", IF(AND(A930="MF (Equity)", I930&gt;12), "Long Term", "Short Term"))</f>
        <v/>
      </c>
      <c r="K930" s="5">
        <f>IF(J930="", "", IF(J930="Long Term", 12.5%, 20%))</f>
        <v/>
      </c>
      <c r="L930" s="3">
        <f>+IFERROR(IF(J930="","",H930*K930),"")</f>
        <v/>
      </c>
    </row>
    <row r="931">
      <c r="A931" s="11" t="n"/>
      <c r="B931" s="7" t="n"/>
      <c r="C931" s="8" t="n"/>
      <c r="D931" s="9" t="n"/>
      <c r="E931" s="8" t="n"/>
      <c r="F931" s="9" t="n"/>
      <c r="G931" s="9" t="n"/>
      <c r="H931" s="3">
        <f>IF(AND(D931&lt;&gt;"",F931&lt;&gt;""),F931-D931-G931,"")</f>
        <v/>
      </c>
      <c r="I931" s="14">
        <f>IF(E931&lt;&gt;"", YEARFRAC(C931, E931) * 12, "")</f>
        <v/>
      </c>
      <c r="J931" s="2">
        <f>IF(I931="", "", IF(AND(A931="MF (Equity)", I931&gt;12), "Long Term", "Short Term"))</f>
        <v/>
      </c>
      <c r="K931" s="5">
        <f>IF(J931="", "", IF(J931="Long Term", 12.5%, 20%))</f>
        <v/>
      </c>
      <c r="L931" s="3">
        <f>+IFERROR(IF(J931="","",H931*K931),"")</f>
        <v/>
      </c>
    </row>
    <row r="932">
      <c r="A932" s="11" t="n"/>
      <c r="B932" s="7" t="n"/>
      <c r="C932" s="8" t="n"/>
      <c r="D932" s="9" t="n"/>
      <c r="E932" s="8" t="n"/>
      <c r="F932" s="9" t="n"/>
      <c r="G932" s="9" t="n"/>
      <c r="H932" s="3">
        <f>IF(AND(D932&lt;&gt;"",F932&lt;&gt;""),F932-D932-G932,"")</f>
        <v/>
      </c>
      <c r="I932" s="14">
        <f>IF(E932&lt;&gt;"", YEARFRAC(C932, E932) * 12, "")</f>
        <v/>
      </c>
      <c r="J932" s="2">
        <f>IF(I932="", "", IF(AND(A932="MF (Equity)", I932&gt;12), "Long Term", "Short Term"))</f>
        <v/>
      </c>
      <c r="K932" s="5">
        <f>IF(J932="", "", IF(J932="Long Term", 12.5%, 20%))</f>
        <v/>
      </c>
      <c r="L932" s="3">
        <f>+IFERROR(IF(J932="","",H932*K932),"")</f>
        <v/>
      </c>
    </row>
    <row r="933">
      <c r="A933" s="11" t="n"/>
      <c r="B933" s="7" t="n"/>
      <c r="C933" s="8" t="n"/>
      <c r="D933" s="9" t="n"/>
      <c r="E933" s="8" t="n"/>
      <c r="F933" s="9" t="n"/>
      <c r="G933" s="9" t="n"/>
      <c r="H933" s="3">
        <f>IF(AND(D933&lt;&gt;"",F933&lt;&gt;""),F933-D933-G933,"")</f>
        <v/>
      </c>
      <c r="I933" s="14">
        <f>IF(E933&lt;&gt;"", YEARFRAC(C933, E933) * 12, "")</f>
        <v/>
      </c>
      <c r="J933" s="2">
        <f>IF(I933="", "", IF(AND(A933="MF (Equity)", I933&gt;12), "Long Term", "Short Term"))</f>
        <v/>
      </c>
      <c r="K933" s="5">
        <f>IF(J933="", "", IF(J933="Long Term", 12.5%, 20%))</f>
        <v/>
      </c>
      <c r="L933" s="3">
        <f>+IFERROR(IF(J933="","",H933*K933),"")</f>
        <v/>
      </c>
    </row>
    <row r="934">
      <c r="A934" s="11" t="n"/>
      <c r="B934" s="7" t="n"/>
      <c r="C934" s="8" t="n"/>
      <c r="D934" s="9" t="n"/>
      <c r="E934" s="8" t="n"/>
      <c r="F934" s="9" t="n"/>
      <c r="G934" s="9" t="n"/>
      <c r="H934" s="3">
        <f>IF(AND(D934&lt;&gt;"",F934&lt;&gt;""),F934-D934-G934,"")</f>
        <v/>
      </c>
      <c r="I934" s="14">
        <f>IF(E934&lt;&gt;"", YEARFRAC(C934, E934) * 12, "")</f>
        <v/>
      </c>
      <c r="J934" s="2">
        <f>IF(I934="", "", IF(AND(A934="MF (Equity)", I934&gt;12), "Long Term", "Short Term"))</f>
        <v/>
      </c>
      <c r="K934" s="5">
        <f>IF(J934="", "", IF(J934="Long Term", 12.5%, 20%))</f>
        <v/>
      </c>
      <c r="L934" s="3">
        <f>+IFERROR(IF(J934="","",H934*K934),"")</f>
        <v/>
      </c>
    </row>
    <row r="935">
      <c r="A935" s="11" t="n"/>
      <c r="B935" s="7" t="n"/>
      <c r="C935" s="8" t="n"/>
      <c r="D935" s="9" t="n"/>
      <c r="E935" s="8" t="n"/>
      <c r="F935" s="9" t="n"/>
      <c r="G935" s="9" t="n"/>
      <c r="H935" s="3">
        <f>IF(AND(D935&lt;&gt;"",F935&lt;&gt;""),F935-D935-G935,"")</f>
        <v/>
      </c>
      <c r="I935" s="14">
        <f>IF(E935&lt;&gt;"", YEARFRAC(C935, E935) * 12, "")</f>
        <v/>
      </c>
      <c r="J935" s="2">
        <f>IF(I935="", "", IF(AND(A935="MF (Equity)", I935&gt;12), "Long Term", "Short Term"))</f>
        <v/>
      </c>
      <c r="K935" s="5">
        <f>IF(J935="", "", IF(J935="Long Term", 12.5%, 20%))</f>
        <v/>
      </c>
      <c r="L935" s="3">
        <f>+IFERROR(IF(J935="","",H935*K935),"")</f>
        <v/>
      </c>
    </row>
    <row r="936">
      <c r="A936" s="11" t="n"/>
      <c r="B936" s="7" t="n"/>
      <c r="C936" s="8" t="n"/>
      <c r="D936" s="9" t="n"/>
      <c r="E936" s="8" t="n"/>
      <c r="F936" s="9" t="n"/>
      <c r="G936" s="9" t="n"/>
      <c r="H936" s="3">
        <f>IF(AND(D936&lt;&gt;"",F936&lt;&gt;""),F936-D936-G936,"")</f>
        <v/>
      </c>
      <c r="I936" s="14">
        <f>IF(E936&lt;&gt;"", YEARFRAC(C936, E936) * 12, "")</f>
        <v/>
      </c>
      <c r="J936" s="2">
        <f>IF(I936="", "", IF(AND(A936="MF (Equity)", I936&gt;12), "Long Term", "Short Term"))</f>
        <v/>
      </c>
      <c r="K936" s="5">
        <f>IF(J936="", "", IF(J936="Long Term", 12.5%, 20%))</f>
        <v/>
      </c>
      <c r="L936" s="3">
        <f>+IFERROR(IF(J936="","",H936*K936),"")</f>
        <v/>
      </c>
    </row>
    <row r="937">
      <c r="A937" s="11" t="n"/>
      <c r="B937" s="7" t="n"/>
      <c r="C937" s="8" t="n"/>
      <c r="D937" s="9" t="n"/>
      <c r="E937" s="8" t="n"/>
      <c r="F937" s="9" t="n"/>
      <c r="G937" s="9" t="n"/>
      <c r="H937" s="3">
        <f>IF(AND(D937&lt;&gt;"",F937&lt;&gt;""),F937-D937-G937,"")</f>
        <v/>
      </c>
      <c r="I937" s="14">
        <f>IF(E937&lt;&gt;"", YEARFRAC(C937, E937) * 12, "")</f>
        <v/>
      </c>
      <c r="J937" s="2">
        <f>IF(I937="", "", IF(AND(A937="MF (Equity)", I937&gt;12), "Long Term", "Short Term"))</f>
        <v/>
      </c>
      <c r="K937" s="5">
        <f>IF(J937="", "", IF(J937="Long Term", 12.5%, 20%))</f>
        <v/>
      </c>
      <c r="L937" s="3">
        <f>+IFERROR(IF(J937="","",H937*K937),"")</f>
        <v/>
      </c>
    </row>
    <row r="938">
      <c r="A938" s="11" t="n"/>
      <c r="B938" s="7" t="n"/>
      <c r="C938" s="8" t="n"/>
      <c r="D938" s="9" t="n"/>
      <c r="E938" s="8" t="n"/>
      <c r="F938" s="9" t="n"/>
      <c r="G938" s="9" t="n"/>
      <c r="H938" s="3">
        <f>IF(AND(D938&lt;&gt;"",F938&lt;&gt;""),F938-D938-G938,"")</f>
        <v/>
      </c>
      <c r="I938" s="14">
        <f>IF(E938&lt;&gt;"", YEARFRAC(C938, E938) * 12, "")</f>
        <v/>
      </c>
      <c r="J938" s="2">
        <f>IF(I938="", "", IF(AND(A938="MF (Equity)", I938&gt;12), "Long Term", "Short Term"))</f>
        <v/>
      </c>
      <c r="K938" s="5">
        <f>IF(J938="", "", IF(J938="Long Term", 12.5%, 20%))</f>
        <v/>
      </c>
      <c r="L938" s="3">
        <f>+IFERROR(IF(J938="","",H938*K938),"")</f>
        <v/>
      </c>
    </row>
    <row r="939">
      <c r="A939" s="11" t="n"/>
      <c r="B939" s="7" t="n"/>
      <c r="C939" s="8" t="n"/>
      <c r="D939" s="9" t="n"/>
      <c r="E939" s="8" t="n"/>
      <c r="F939" s="9" t="n"/>
      <c r="G939" s="9" t="n"/>
      <c r="H939" s="3">
        <f>IF(AND(D939&lt;&gt;"",F939&lt;&gt;""),F939-D939-G939,"")</f>
        <v/>
      </c>
      <c r="I939" s="14">
        <f>IF(E939&lt;&gt;"", YEARFRAC(C939, E939) * 12, "")</f>
        <v/>
      </c>
      <c r="J939" s="2">
        <f>IF(I939="", "", IF(AND(A939="MF (Equity)", I939&gt;12), "Long Term", "Short Term"))</f>
        <v/>
      </c>
      <c r="K939" s="5">
        <f>IF(J939="", "", IF(J939="Long Term", 12.5%, 20%))</f>
        <v/>
      </c>
      <c r="L939" s="3">
        <f>+IFERROR(IF(J939="","",H939*K939),"")</f>
        <v/>
      </c>
    </row>
    <row r="940">
      <c r="A940" s="11" t="n"/>
      <c r="B940" s="7" t="n"/>
      <c r="C940" s="8" t="n"/>
      <c r="D940" s="9" t="n"/>
      <c r="E940" s="8" t="n"/>
      <c r="F940" s="9" t="n"/>
      <c r="G940" s="9" t="n"/>
      <c r="H940" s="3">
        <f>IF(AND(D940&lt;&gt;"",F940&lt;&gt;""),F940-D940-G940,"")</f>
        <v/>
      </c>
      <c r="I940" s="14">
        <f>IF(E940&lt;&gt;"", YEARFRAC(C940, E940) * 12, "")</f>
        <v/>
      </c>
      <c r="J940" s="2">
        <f>IF(I940="", "", IF(AND(A940="MF (Equity)", I940&gt;12), "Long Term", "Short Term"))</f>
        <v/>
      </c>
      <c r="K940" s="5">
        <f>IF(J940="", "", IF(J940="Long Term", 12.5%, 20%))</f>
        <v/>
      </c>
      <c r="L940" s="3">
        <f>+IFERROR(IF(J940="","",H940*K940),"")</f>
        <v/>
      </c>
    </row>
    <row r="941">
      <c r="A941" s="11" t="n"/>
      <c r="B941" s="7" t="n"/>
      <c r="C941" s="8" t="n"/>
      <c r="D941" s="9" t="n"/>
      <c r="E941" s="8" t="n"/>
      <c r="F941" s="9" t="n"/>
      <c r="G941" s="9" t="n"/>
      <c r="H941" s="3">
        <f>IF(AND(D941&lt;&gt;"",F941&lt;&gt;""),F941-D941-G941,"")</f>
        <v/>
      </c>
      <c r="I941" s="14">
        <f>IF(E941&lt;&gt;"", YEARFRAC(C941, E941) * 12, "")</f>
        <v/>
      </c>
      <c r="J941" s="2">
        <f>IF(I941="", "", IF(AND(A941="MF (Equity)", I941&gt;12), "Long Term", "Short Term"))</f>
        <v/>
      </c>
      <c r="K941" s="5">
        <f>IF(J941="", "", IF(J941="Long Term", 12.5%, 20%))</f>
        <v/>
      </c>
      <c r="L941" s="3">
        <f>+IFERROR(IF(J941="","",H941*K941),"")</f>
        <v/>
      </c>
    </row>
    <row r="942">
      <c r="A942" s="11" t="n"/>
      <c r="B942" s="7" t="n"/>
      <c r="C942" s="8" t="n"/>
      <c r="D942" s="9" t="n"/>
      <c r="E942" s="8" t="n"/>
      <c r="F942" s="9" t="n"/>
      <c r="G942" s="9" t="n"/>
      <c r="H942" s="3">
        <f>IF(AND(D942&lt;&gt;"",F942&lt;&gt;""),F942-D942-G942,"")</f>
        <v/>
      </c>
      <c r="I942" s="14">
        <f>IF(E942&lt;&gt;"", YEARFRAC(C942, E942) * 12, "")</f>
        <v/>
      </c>
      <c r="J942" s="2">
        <f>IF(I942="", "", IF(AND(A942="MF (Equity)", I942&gt;12), "Long Term", "Short Term"))</f>
        <v/>
      </c>
      <c r="K942" s="5">
        <f>IF(J942="", "", IF(J942="Long Term", 12.5%, 20%))</f>
        <v/>
      </c>
      <c r="L942" s="3">
        <f>+IFERROR(IF(J942="","",H942*K942),"")</f>
        <v/>
      </c>
    </row>
    <row r="943">
      <c r="A943" s="11" t="n"/>
      <c r="B943" s="7" t="n"/>
      <c r="C943" s="8" t="n"/>
      <c r="D943" s="9" t="n"/>
      <c r="E943" s="8" t="n"/>
      <c r="F943" s="9" t="n"/>
      <c r="G943" s="9" t="n"/>
      <c r="H943" s="3">
        <f>IF(AND(D943&lt;&gt;"",F943&lt;&gt;""),F943-D943-G943,"")</f>
        <v/>
      </c>
      <c r="I943" s="14">
        <f>IF(E943&lt;&gt;"", YEARFRAC(C943, E943) * 12, "")</f>
        <v/>
      </c>
      <c r="J943" s="2">
        <f>IF(I943="", "", IF(AND(A943="MF (Equity)", I943&gt;12), "Long Term", "Short Term"))</f>
        <v/>
      </c>
      <c r="K943" s="5">
        <f>IF(J943="", "", IF(J943="Long Term", 12.5%, 20%))</f>
        <v/>
      </c>
      <c r="L943" s="3">
        <f>+IFERROR(IF(J943="","",H943*K943),"")</f>
        <v/>
      </c>
    </row>
    <row r="944">
      <c r="A944" s="11" t="n"/>
      <c r="B944" s="7" t="n"/>
      <c r="C944" s="8" t="n"/>
      <c r="D944" s="9" t="n"/>
      <c r="E944" s="8" t="n"/>
      <c r="F944" s="9" t="n"/>
      <c r="G944" s="9" t="n"/>
      <c r="H944" s="3">
        <f>IF(AND(D944&lt;&gt;"",F944&lt;&gt;""),F944-D944-G944,"")</f>
        <v/>
      </c>
      <c r="I944" s="14">
        <f>IF(E944&lt;&gt;"", YEARFRAC(C944, E944) * 12, "")</f>
        <v/>
      </c>
      <c r="J944" s="2">
        <f>IF(I944="", "", IF(AND(A944="MF (Equity)", I944&gt;12), "Long Term", "Short Term"))</f>
        <v/>
      </c>
      <c r="K944" s="5">
        <f>IF(J944="", "", IF(J944="Long Term", 12.5%, 20%))</f>
        <v/>
      </c>
      <c r="L944" s="3">
        <f>+IFERROR(IF(J944="","",H944*K944),"")</f>
        <v/>
      </c>
    </row>
    <row r="945">
      <c r="A945" s="11" t="n"/>
      <c r="B945" s="7" t="n"/>
      <c r="C945" s="8" t="n"/>
      <c r="D945" s="9" t="n"/>
      <c r="E945" s="8" t="n"/>
      <c r="F945" s="9" t="n"/>
      <c r="G945" s="9" t="n"/>
      <c r="H945" s="3">
        <f>IF(AND(D945&lt;&gt;"",F945&lt;&gt;""),F945-D945-G945,"")</f>
        <v/>
      </c>
      <c r="I945" s="14">
        <f>IF(E945&lt;&gt;"", YEARFRAC(C945, E945) * 12, "")</f>
        <v/>
      </c>
      <c r="J945" s="2">
        <f>IF(I945="", "", IF(AND(A945="MF (Equity)", I945&gt;12), "Long Term", "Short Term"))</f>
        <v/>
      </c>
      <c r="K945" s="5">
        <f>IF(J945="", "", IF(J945="Long Term", 12.5%, 20%))</f>
        <v/>
      </c>
      <c r="L945" s="3">
        <f>+IFERROR(IF(J945="","",H945*K945),"")</f>
        <v/>
      </c>
    </row>
    <row r="946">
      <c r="A946" s="11" t="n"/>
      <c r="B946" s="7" t="n"/>
      <c r="C946" s="8" t="n"/>
      <c r="D946" s="9" t="n"/>
      <c r="E946" s="8" t="n"/>
      <c r="F946" s="9" t="n"/>
      <c r="G946" s="9" t="n"/>
      <c r="H946" s="3">
        <f>IF(AND(D946&lt;&gt;"",F946&lt;&gt;""),F946-D946-G946,"")</f>
        <v/>
      </c>
      <c r="I946" s="14">
        <f>IF(E946&lt;&gt;"", YEARFRAC(C946, E946) * 12, "")</f>
        <v/>
      </c>
      <c r="J946" s="2">
        <f>IF(I946="", "", IF(AND(A946="MF (Equity)", I946&gt;12), "Long Term", "Short Term"))</f>
        <v/>
      </c>
      <c r="K946" s="5">
        <f>IF(J946="", "", IF(J946="Long Term", 12.5%, 20%))</f>
        <v/>
      </c>
      <c r="L946" s="3">
        <f>+IFERROR(IF(J946="","",H946*K946),"")</f>
        <v/>
      </c>
    </row>
    <row r="947">
      <c r="A947" s="11" t="n"/>
      <c r="B947" s="7" t="n"/>
      <c r="C947" s="8" t="n"/>
      <c r="D947" s="9" t="n"/>
      <c r="E947" s="8" t="n"/>
      <c r="F947" s="9" t="n"/>
      <c r="G947" s="9" t="n"/>
      <c r="H947" s="3">
        <f>IF(AND(D947&lt;&gt;"",F947&lt;&gt;""),F947-D947-G947,"")</f>
        <v/>
      </c>
      <c r="I947" s="14">
        <f>IF(E947&lt;&gt;"", YEARFRAC(C947, E947) * 12, "")</f>
        <v/>
      </c>
      <c r="J947" s="2">
        <f>IF(I947="", "", IF(AND(A947="MF (Equity)", I947&gt;12), "Long Term", "Short Term"))</f>
        <v/>
      </c>
      <c r="K947" s="5">
        <f>IF(J947="", "", IF(J947="Long Term", 12.5%, 20%))</f>
        <v/>
      </c>
      <c r="L947" s="3">
        <f>+IFERROR(IF(J947="","",H947*K947),"")</f>
        <v/>
      </c>
    </row>
    <row r="948">
      <c r="A948" s="11" t="n"/>
      <c r="B948" s="7" t="n"/>
      <c r="C948" s="8" t="n"/>
      <c r="D948" s="9" t="n"/>
      <c r="E948" s="8" t="n"/>
      <c r="F948" s="9" t="n"/>
      <c r="G948" s="9" t="n"/>
      <c r="H948" s="3">
        <f>IF(AND(D948&lt;&gt;"",F948&lt;&gt;""),F948-D948-G948,"")</f>
        <v/>
      </c>
      <c r="I948" s="14">
        <f>IF(E948&lt;&gt;"", YEARFRAC(C948, E948) * 12, "")</f>
        <v/>
      </c>
      <c r="J948" s="2">
        <f>IF(I948="", "", IF(AND(A948="MF (Equity)", I948&gt;12), "Long Term", "Short Term"))</f>
        <v/>
      </c>
      <c r="K948" s="5">
        <f>IF(J948="", "", IF(J948="Long Term", 12.5%, 20%))</f>
        <v/>
      </c>
      <c r="L948" s="3">
        <f>+IFERROR(IF(J948="","",H948*K948),"")</f>
        <v/>
      </c>
    </row>
    <row r="949">
      <c r="A949" s="11" t="n"/>
      <c r="B949" s="7" t="n"/>
      <c r="C949" s="8" t="n"/>
      <c r="D949" s="9" t="n"/>
      <c r="E949" s="8" t="n"/>
      <c r="F949" s="9" t="n"/>
      <c r="G949" s="9" t="n"/>
      <c r="H949" s="3">
        <f>IF(AND(D949&lt;&gt;"",F949&lt;&gt;""),F949-D949-G949,"")</f>
        <v/>
      </c>
      <c r="I949" s="14">
        <f>IF(E949&lt;&gt;"", YEARFRAC(C949, E949) * 12, "")</f>
        <v/>
      </c>
      <c r="J949" s="2">
        <f>IF(I949="", "", IF(AND(A949="MF (Equity)", I949&gt;12), "Long Term", "Short Term"))</f>
        <v/>
      </c>
      <c r="K949" s="5">
        <f>IF(J949="", "", IF(J949="Long Term", 12.5%, 20%))</f>
        <v/>
      </c>
      <c r="L949" s="3">
        <f>+IFERROR(IF(J949="","",H949*K949),"")</f>
        <v/>
      </c>
    </row>
    <row r="950">
      <c r="A950" s="11" t="n"/>
      <c r="B950" s="7" t="n"/>
      <c r="C950" s="8" t="n"/>
      <c r="D950" s="9" t="n"/>
      <c r="E950" s="8" t="n"/>
      <c r="F950" s="9" t="n"/>
      <c r="G950" s="9" t="n"/>
      <c r="H950" s="3">
        <f>IF(AND(D950&lt;&gt;"",F950&lt;&gt;""),F950-D950-G950,"")</f>
        <v/>
      </c>
      <c r="I950" s="14">
        <f>IF(E950&lt;&gt;"", YEARFRAC(C950, E950) * 12, "")</f>
        <v/>
      </c>
      <c r="J950" s="2">
        <f>IF(I950="", "", IF(AND(A950="MF (Equity)", I950&gt;12), "Long Term", "Short Term"))</f>
        <v/>
      </c>
      <c r="K950" s="5">
        <f>IF(J950="", "", IF(J950="Long Term", 12.5%, 20%))</f>
        <v/>
      </c>
      <c r="L950" s="3">
        <f>+IFERROR(IF(J950="","",H950*K950),"")</f>
        <v/>
      </c>
    </row>
    <row r="951">
      <c r="A951" s="11" t="n"/>
      <c r="B951" s="7" t="n"/>
      <c r="C951" s="8" t="n"/>
      <c r="D951" s="9" t="n"/>
      <c r="E951" s="8" t="n"/>
      <c r="F951" s="9" t="n"/>
      <c r="G951" s="9" t="n"/>
      <c r="H951" s="3">
        <f>IF(AND(D951&lt;&gt;"",F951&lt;&gt;""),F951-D951-G951,"")</f>
        <v/>
      </c>
      <c r="I951" s="14">
        <f>IF(E951&lt;&gt;"", YEARFRAC(C951, E951) * 12, "")</f>
        <v/>
      </c>
      <c r="J951" s="2">
        <f>IF(I951="", "", IF(AND(A951="MF (Equity)", I951&gt;12), "Long Term", "Short Term"))</f>
        <v/>
      </c>
      <c r="K951" s="5">
        <f>IF(J951="", "", IF(J951="Long Term", 12.5%, 20%))</f>
        <v/>
      </c>
      <c r="L951" s="3">
        <f>+IFERROR(IF(J951="","",H951*K951),"")</f>
        <v/>
      </c>
    </row>
    <row r="952">
      <c r="A952" s="11" t="n"/>
      <c r="B952" s="7" t="n"/>
      <c r="C952" s="8" t="n"/>
      <c r="D952" s="9" t="n"/>
      <c r="E952" s="8" t="n"/>
      <c r="F952" s="9" t="n"/>
      <c r="G952" s="9" t="n"/>
      <c r="H952" s="3">
        <f>IF(AND(D952&lt;&gt;"",F952&lt;&gt;""),F952-D952-G952,"")</f>
        <v/>
      </c>
      <c r="I952" s="14">
        <f>IF(E952&lt;&gt;"", YEARFRAC(C952, E952) * 12, "")</f>
        <v/>
      </c>
      <c r="J952" s="2">
        <f>IF(I952="", "", IF(AND(A952="MF (Equity)", I952&gt;12), "Long Term", "Short Term"))</f>
        <v/>
      </c>
      <c r="K952" s="5">
        <f>IF(J952="", "", IF(J952="Long Term", 12.5%, 20%))</f>
        <v/>
      </c>
      <c r="L952" s="3">
        <f>+IFERROR(IF(J952="","",H952*K952),"")</f>
        <v/>
      </c>
    </row>
    <row r="953">
      <c r="A953" s="11" t="n"/>
      <c r="B953" s="7" t="n"/>
      <c r="C953" s="8" t="n"/>
      <c r="D953" s="9" t="n"/>
      <c r="E953" s="8" t="n"/>
      <c r="F953" s="9" t="n"/>
      <c r="G953" s="9" t="n"/>
      <c r="H953" s="3">
        <f>IF(AND(D953&lt;&gt;"",F953&lt;&gt;""),F953-D953-G953,"")</f>
        <v/>
      </c>
      <c r="I953" s="14">
        <f>IF(E953&lt;&gt;"", YEARFRAC(C953, E953) * 12, "")</f>
        <v/>
      </c>
      <c r="J953" s="2">
        <f>IF(I953="", "", IF(AND(A953="MF (Equity)", I953&gt;12), "Long Term", "Short Term"))</f>
        <v/>
      </c>
      <c r="K953" s="5">
        <f>IF(J953="", "", IF(J953="Long Term", 12.5%, 20%))</f>
        <v/>
      </c>
      <c r="L953" s="3">
        <f>+IFERROR(IF(J953="","",H953*K953),"")</f>
        <v/>
      </c>
    </row>
    <row r="954">
      <c r="A954" s="11" t="n"/>
      <c r="B954" s="7" t="n"/>
      <c r="C954" s="8" t="n"/>
      <c r="D954" s="9" t="n"/>
      <c r="E954" s="8" t="n"/>
      <c r="F954" s="9" t="n"/>
      <c r="G954" s="9" t="n"/>
      <c r="H954" s="3">
        <f>IF(AND(D954&lt;&gt;"",F954&lt;&gt;""),F954-D954-G954,"")</f>
        <v/>
      </c>
      <c r="I954" s="14">
        <f>IF(E954&lt;&gt;"", YEARFRAC(C954, E954) * 12, "")</f>
        <v/>
      </c>
      <c r="J954" s="2">
        <f>IF(I954="", "", IF(AND(A954="MF (Equity)", I954&gt;12), "Long Term", "Short Term"))</f>
        <v/>
      </c>
      <c r="K954" s="5">
        <f>IF(J954="", "", IF(J954="Long Term", 12.5%, 20%))</f>
        <v/>
      </c>
      <c r="L954" s="3">
        <f>+IFERROR(IF(J954="","",H954*K954),"")</f>
        <v/>
      </c>
    </row>
    <row r="955">
      <c r="A955" s="11" t="n"/>
      <c r="B955" s="7" t="n"/>
      <c r="C955" s="8" t="n"/>
      <c r="D955" s="9" t="n"/>
      <c r="E955" s="8" t="n"/>
      <c r="F955" s="9" t="n"/>
      <c r="G955" s="9" t="n"/>
      <c r="H955" s="3">
        <f>IF(AND(D955&lt;&gt;"",F955&lt;&gt;""),F955-D955-G955,"")</f>
        <v/>
      </c>
      <c r="I955" s="14">
        <f>IF(E955&lt;&gt;"", YEARFRAC(C955, E955) * 12, "")</f>
        <v/>
      </c>
      <c r="J955" s="2">
        <f>IF(I955="", "", IF(AND(A955="MF (Equity)", I955&gt;12), "Long Term", "Short Term"))</f>
        <v/>
      </c>
      <c r="K955" s="5">
        <f>IF(J955="", "", IF(J955="Long Term", 12.5%, 20%))</f>
        <v/>
      </c>
      <c r="L955" s="3">
        <f>+IFERROR(IF(J955="","",H955*K955),"")</f>
        <v/>
      </c>
    </row>
    <row r="956">
      <c r="A956" s="11" t="n"/>
      <c r="B956" s="7" t="n"/>
      <c r="C956" s="8" t="n"/>
      <c r="D956" s="9" t="n"/>
      <c r="E956" s="8" t="n"/>
      <c r="F956" s="9" t="n"/>
      <c r="G956" s="9" t="n"/>
      <c r="H956" s="3">
        <f>IF(AND(D956&lt;&gt;"",F956&lt;&gt;""),F956-D956-G956,"")</f>
        <v/>
      </c>
      <c r="I956" s="14">
        <f>IF(E956&lt;&gt;"", YEARFRAC(C956, E956) * 12, "")</f>
        <v/>
      </c>
      <c r="J956" s="2">
        <f>IF(I956="", "", IF(AND(A956="MF (Equity)", I956&gt;12), "Long Term", "Short Term"))</f>
        <v/>
      </c>
      <c r="K956" s="5">
        <f>IF(J956="", "", IF(J956="Long Term", 12.5%, 20%))</f>
        <v/>
      </c>
      <c r="L956" s="3">
        <f>+IFERROR(IF(J956="","",H956*K956),"")</f>
        <v/>
      </c>
    </row>
    <row r="957">
      <c r="A957" s="11" t="n"/>
      <c r="B957" s="7" t="n"/>
      <c r="C957" s="8" t="n"/>
      <c r="D957" s="9" t="n"/>
      <c r="E957" s="8" t="n"/>
      <c r="F957" s="9" t="n"/>
      <c r="G957" s="9" t="n"/>
      <c r="H957" s="3">
        <f>IF(AND(D957&lt;&gt;"",F957&lt;&gt;""),F957-D957-G957,"")</f>
        <v/>
      </c>
      <c r="I957" s="14">
        <f>IF(E957&lt;&gt;"", YEARFRAC(C957, E957) * 12, "")</f>
        <v/>
      </c>
      <c r="J957" s="2">
        <f>IF(I957="", "", IF(AND(A957="MF (Equity)", I957&gt;12), "Long Term", "Short Term"))</f>
        <v/>
      </c>
      <c r="K957" s="5">
        <f>IF(J957="", "", IF(J957="Long Term", 12.5%, 20%))</f>
        <v/>
      </c>
      <c r="L957" s="3">
        <f>+IFERROR(IF(J957="","",H957*K957),"")</f>
        <v/>
      </c>
    </row>
    <row r="958">
      <c r="A958" s="11" t="n"/>
      <c r="B958" s="7" t="n"/>
      <c r="C958" s="8" t="n"/>
      <c r="D958" s="9" t="n"/>
      <c r="E958" s="8" t="n"/>
      <c r="F958" s="9" t="n"/>
      <c r="G958" s="9" t="n"/>
      <c r="H958" s="3">
        <f>IF(AND(D958&lt;&gt;"",F958&lt;&gt;""),F958-D958-G958,"")</f>
        <v/>
      </c>
      <c r="I958" s="14">
        <f>IF(E958&lt;&gt;"", YEARFRAC(C958, E958) * 12, "")</f>
        <v/>
      </c>
      <c r="J958" s="2">
        <f>IF(I958="", "", IF(AND(A958="MF (Equity)", I958&gt;12), "Long Term", "Short Term"))</f>
        <v/>
      </c>
      <c r="K958" s="5">
        <f>IF(J958="", "", IF(J958="Long Term", 12.5%, 20%))</f>
        <v/>
      </c>
      <c r="L958" s="3">
        <f>+IFERROR(IF(J958="","",H958*K958),"")</f>
        <v/>
      </c>
    </row>
    <row r="959">
      <c r="A959" s="11" t="n"/>
      <c r="B959" s="7" t="n"/>
      <c r="C959" s="8" t="n"/>
      <c r="D959" s="9" t="n"/>
      <c r="E959" s="8" t="n"/>
      <c r="F959" s="9" t="n"/>
      <c r="G959" s="9" t="n"/>
      <c r="H959" s="3">
        <f>IF(AND(D959&lt;&gt;"",F959&lt;&gt;""),F959-D959-G959,"")</f>
        <v/>
      </c>
      <c r="I959" s="14">
        <f>IF(E959&lt;&gt;"", YEARFRAC(C959, E959) * 12, "")</f>
        <v/>
      </c>
      <c r="J959" s="2">
        <f>IF(I959="", "", IF(AND(A959="MF (Equity)", I959&gt;12), "Long Term", "Short Term"))</f>
        <v/>
      </c>
      <c r="K959" s="5">
        <f>IF(J959="", "", IF(J959="Long Term", 12.5%, 20%))</f>
        <v/>
      </c>
      <c r="L959" s="3">
        <f>+IFERROR(IF(J959="","",H959*K959),"")</f>
        <v/>
      </c>
    </row>
    <row r="960">
      <c r="A960" s="11" t="n"/>
      <c r="B960" s="7" t="n"/>
      <c r="C960" s="8" t="n"/>
      <c r="D960" s="9" t="n"/>
      <c r="E960" s="8" t="n"/>
      <c r="F960" s="9" t="n"/>
      <c r="G960" s="9" t="n"/>
      <c r="H960" s="3">
        <f>IF(AND(D960&lt;&gt;"",F960&lt;&gt;""),F960-D960-G960,"")</f>
        <v/>
      </c>
      <c r="I960" s="14">
        <f>IF(E960&lt;&gt;"", YEARFRAC(C960, E960) * 12, "")</f>
        <v/>
      </c>
      <c r="J960" s="2">
        <f>IF(I960="", "", IF(AND(A960="MF (Equity)", I960&gt;12), "Long Term", "Short Term"))</f>
        <v/>
      </c>
      <c r="K960" s="5">
        <f>IF(J960="", "", IF(J960="Long Term", 12.5%, 20%))</f>
        <v/>
      </c>
      <c r="L960" s="3">
        <f>+IFERROR(IF(J960="","",H960*K960),"")</f>
        <v/>
      </c>
    </row>
    <row r="961">
      <c r="A961" s="11" t="n"/>
      <c r="B961" s="7" t="n"/>
      <c r="C961" s="8" t="n"/>
      <c r="D961" s="9" t="n"/>
      <c r="E961" s="8" t="n"/>
      <c r="F961" s="9" t="n"/>
      <c r="G961" s="9" t="n"/>
      <c r="H961" s="3">
        <f>IF(AND(D961&lt;&gt;"",F961&lt;&gt;""),F961-D961-G961,"")</f>
        <v/>
      </c>
      <c r="I961" s="14">
        <f>IF(E961&lt;&gt;"", YEARFRAC(C961, E961) * 12, "")</f>
        <v/>
      </c>
      <c r="J961" s="2">
        <f>IF(I961="", "", IF(AND(A961="MF (Equity)", I961&gt;12), "Long Term", "Short Term"))</f>
        <v/>
      </c>
      <c r="K961" s="5">
        <f>IF(J961="", "", IF(J961="Long Term", 12.5%, 20%))</f>
        <v/>
      </c>
      <c r="L961" s="3">
        <f>+IFERROR(IF(J961="","",H961*K961),"")</f>
        <v/>
      </c>
    </row>
    <row r="962">
      <c r="A962" s="11" t="n"/>
      <c r="B962" s="7" t="n"/>
      <c r="C962" s="8" t="n"/>
      <c r="D962" s="9" t="n"/>
      <c r="E962" s="8" t="n"/>
      <c r="F962" s="9" t="n"/>
      <c r="G962" s="9" t="n"/>
      <c r="H962" s="3">
        <f>IF(AND(D962&lt;&gt;"",F962&lt;&gt;""),F962-D962-G962,"")</f>
        <v/>
      </c>
      <c r="I962" s="14">
        <f>IF(E962&lt;&gt;"", YEARFRAC(C962, E962) * 12, "")</f>
        <v/>
      </c>
      <c r="J962" s="2">
        <f>IF(I962="", "", IF(AND(A962="MF (Equity)", I962&gt;12), "Long Term", "Short Term"))</f>
        <v/>
      </c>
      <c r="K962" s="5">
        <f>IF(J962="", "", IF(J962="Long Term", 12.5%, 20%))</f>
        <v/>
      </c>
      <c r="L962" s="3">
        <f>+IFERROR(IF(J962="","",H962*K962),"")</f>
        <v/>
      </c>
    </row>
    <row r="963">
      <c r="A963" s="11" t="n"/>
      <c r="B963" s="7" t="n"/>
      <c r="C963" s="8" t="n"/>
      <c r="D963" s="9" t="n"/>
      <c r="E963" s="8" t="n"/>
      <c r="F963" s="9" t="n"/>
      <c r="G963" s="9" t="n"/>
      <c r="H963" s="3">
        <f>IF(AND(D963&lt;&gt;"",F963&lt;&gt;""),F963-D963-G963,"")</f>
        <v/>
      </c>
      <c r="I963" s="14">
        <f>IF(E963&lt;&gt;"", YEARFRAC(C963, E963) * 12, "")</f>
        <v/>
      </c>
      <c r="J963" s="2">
        <f>IF(I963="", "", IF(AND(A963="MF (Equity)", I963&gt;12), "Long Term", "Short Term"))</f>
        <v/>
      </c>
      <c r="K963" s="5">
        <f>IF(J963="", "", IF(J963="Long Term", 12.5%, 20%))</f>
        <v/>
      </c>
      <c r="L963" s="3">
        <f>+IFERROR(IF(J963="","",H963*K963),"")</f>
        <v/>
      </c>
    </row>
    <row r="964">
      <c r="A964" s="11" t="n"/>
      <c r="B964" s="7" t="n"/>
      <c r="C964" s="8" t="n"/>
      <c r="D964" s="9" t="n"/>
      <c r="E964" s="8" t="n"/>
      <c r="F964" s="9" t="n"/>
      <c r="G964" s="9" t="n"/>
      <c r="H964" s="3">
        <f>IF(AND(D964&lt;&gt;"",F964&lt;&gt;""),F964-D964-G964,"")</f>
        <v/>
      </c>
      <c r="I964" s="14">
        <f>IF(E964&lt;&gt;"", YEARFRAC(C964, E964) * 12, "")</f>
        <v/>
      </c>
      <c r="J964" s="2">
        <f>IF(I964="", "", IF(AND(A964="MF (Equity)", I964&gt;12), "Long Term", "Short Term"))</f>
        <v/>
      </c>
      <c r="K964" s="5">
        <f>IF(J964="", "", IF(J964="Long Term", 12.5%, 20%))</f>
        <v/>
      </c>
      <c r="L964" s="3">
        <f>+IFERROR(IF(J964="","",H964*K964),"")</f>
        <v/>
      </c>
    </row>
    <row r="965">
      <c r="A965" s="11" t="n"/>
      <c r="B965" s="7" t="n"/>
      <c r="C965" s="8" t="n"/>
      <c r="D965" s="9" t="n"/>
      <c r="E965" s="8" t="n"/>
      <c r="F965" s="9" t="n"/>
      <c r="G965" s="9" t="n"/>
      <c r="H965" s="3">
        <f>IF(AND(D965&lt;&gt;"",F965&lt;&gt;""),F965-D965-G965,"")</f>
        <v/>
      </c>
      <c r="I965" s="14">
        <f>IF(E965&lt;&gt;"", YEARFRAC(C965, E965) * 12, "")</f>
        <v/>
      </c>
      <c r="J965" s="2">
        <f>IF(I965="", "", IF(AND(A965="MF (Equity)", I965&gt;12), "Long Term", "Short Term"))</f>
        <v/>
      </c>
      <c r="K965" s="5">
        <f>IF(J965="", "", IF(J965="Long Term", 12.5%, 20%))</f>
        <v/>
      </c>
      <c r="L965" s="3">
        <f>+IFERROR(IF(J965="","",H965*K965),"")</f>
        <v/>
      </c>
    </row>
    <row r="966">
      <c r="A966" s="11" t="n"/>
      <c r="B966" s="7" t="n"/>
      <c r="C966" s="8" t="n"/>
      <c r="D966" s="9" t="n"/>
      <c r="E966" s="8" t="n"/>
      <c r="F966" s="9" t="n"/>
      <c r="G966" s="9" t="n"/>
      <c r="H966" s="3">
        <f>IF(AND(D966&lt;&gt;"",F966&lt;&gt;""),F966-D966-G966,"")</f>
        <v/>
      </c>
      <c r="I966" s="14">
        <f>IF(E966&lt;&gt;"", YEARFRAC(C966, E966) * 12, "")</f>
        <v/>
      </c>
      <c r="J966" s="2">
        <f>IF(I966="", "", IF(AND(A966="MF (Equity)", I966&gt;12), "Long Term", "Short Term"))</f>
        <v/>
      </c>
      <c r="K966" s="5">
        <f>IF(J966="", "", IF(J966="Long Term", 12.5%, 20%))</f>
        <v/>
      </c>
      <c r="L966" s="3">
        <f>+IFERROR(IF(J966="","",H966*K966),"")</f>
        <v/>
      </c>
    </row>
    <row r="967">
      <c r="A967" s="11" t="n"/>
      <c r="B967" s="7" t="n"/>
      <c r="C967" s="8" t="n"/>
      <c r="D967" s="9" t="n"/>
      <c r="E967" s="8" t="n"/>
      <c r="F967" s="9" t="n"/>
      <c r="G967" s="9" t="n"/>
      <c r="H967" s="3">
        <f>IF(AND(D967&lt;&gt;"",F967&lt;&gt;""),F967-D967-G967,"")</f>
        <v/>
      </c>
      <c r="I967" s="14">
        <f>IF(E967&lt;&gt;"", YEARFRAC(C967, E967) * 12, "")</f>
        <v/>
      </c>
      <c r="J967" s="2">
        <f>IF(I967="", "", IF(AND(A967="MF (Equity)", I967&gt;12), "Long Term", "Short Term"))</f>
        <v/>
      </c>
      <c r="K967" s="5">
        <f>IF(J967="", "", IF(J967="Long Term", 12.5%, 20%))</f>
        <v/>
      </c>
      <c r="L967" s="3">
        <f>+IFERROR(IF(J967="","",H967*K967),"")</f>
        <v/>
      </c>
    </row>
    <row r="968">
      <c r="A968" s="11" t="n"/>
      <c r="B968" s="7" t="n"/>
      <c r="C968" s="8" t="n"/>
      <c r="D968" s="9" t="n"/>
      <c r="E968" s="8" t="n"/>
      <c r="F968" s="9" t="n"/>
      <c r="G968" s="9" t="n"/>
      <c r="H968" s="3">
        <f>IF(AND(D968&lt;&gt;"",F968&lt;&gt;""),F968-D968-G968,"")</f>
        <v/>
      </c>
      <c r="I968" s="14">
        <f>IF(E968&lt;&gt;"", YEARFRAC(C968, E968) * 12, "")</f>
        <v/>
      </c>
      <c r="J968" s="2">
        <f>IF(I968="", "", IF(AND(A968="MF (Equity)", I968&gt;12), "Long Term", "Short Term"))</f>
        <v/>
      </c>
      <c r="K968" s="5">
        <f>IF(J968="", "", IF(J968="Long Term", 12.5%, 20%))</f>
        <v/>
      </c>
      <c r="L968" s="3">
        <f>+IFERROR(IF(J968="","",H968*K968),"")</f>
        <v/>
      </c>
    </row>
    <row r="969">
      <c r="A969" s="11" t="n"/>
      <c r="B969" s="7" t="n"/>
      <c r="C969" s="8" t="n"/>
      <c r="D969" s="9" t="n"/>
      <c r="E969" s="8" t="n"/>
      <c r="F969" s="9" t="n"/>
      <c r="G969" s="9" t="n"/>
      <c r="H969" s="3">
        <f>IF(AND(D969&lt;&gt;"",F969&lt;&gt;""),F969-D969-G969,"")</f>
        <v/>
      </c>
      <c r="I969" s="14">
        <f>IF(E969&lt;&gt;"", YEARFRAC(C969, E969) * 12, "")</f>
        <v/>
      </c>
      <c r="J969" s="2">
        <f>IF(I969="", "", IF(AND(A969="MF (Equity)", I969&gt;12), "Long Term", "Short Term"))</f>
        <v/>
      </c>
      <c r="K969" s="5">
        <f>IF(J969="", "", IF(J969="Long Term", 12.5%, 20%))</f>
        <v/>
      </c>
      <c r="L969" s="3">
        <f>+IFERROR(IF(J969="","",H969*K969),"")</f>
        <v/>
      </c>
    </row>
    <row r="970">
      <c r="A970" s="11" t="n"/>
      <c r="B970" s="7" t="n"/>
      <c r="C970" s="8" t="n"/>
      <c r="D970" s="9" t="n"/>
      <c r="E970" s="8" t="n"/>
      <c r="F970" s="9" t="n"/>
      <c r="G970" s="9" t="n"/>
      <c r="H970" s="3">
        <f>IF(AND(D970&lt;&gt;"",F970&lt;&gt;""),F970-D970-G970,"")</f>
        <v/>
      </c>
      <c r="I970" s="14">
        <f>IF(E970&lt;&gt;"", YEARFRAC(C970, E970) * 12, "")</f>
        <v/>
      </c>
      <c r="J970" s="2">
        <f>IF(I970="", "", IF(AND(A970="MF (Equity)", I970&gt;12), "Long Term", "Short Term"))</f>
        <v/>
      </c>
      <c r="K970" s="5">
        <f>IF(J970="", "", IF(J970="Long Term", 12.5%, 20%))</f>
        <v/>
      </c>
      <c r="L970" s="3">
        <f>+IFERROR(IF(J970="","",H970*K970),"")</f>
        <v/>
      </c>
    </row>
    <row r="971">
      <c r="A971" s="11" t="n"/>
      <c r="B971" s="7" t="n"/>
      <c r="C971" s="8" t="n"/>
      <c r="D971" s="9" t="n"/>
      <c r="E971" s="8" t="n"/>
      <c r="F971" s="9" t="n"/>
      <c r="G971" s="9" t="n"/>
      <c r="H971" s="3">
        <f>IF(AND(D971&lt;&gt;"",F971&lt;&gt;""),F971-D971-G971,"")</f>
        <v/>
      </c>
      <c r="I971" s="14">
        <f>IF(E971&lt;&gt;"", YEARFRAC(C971, E971) * 12, "")</f>
        <v/>
      </c>
      <c r="J971" s="2">
        <f>IF(I971="", "", IF(AND(A971="MF (Equity)", I971&gt;12), "Long Term", "Short Term"))</f>
        <v/>
      </c>
      <c r="K971" s="5">
        <f>IF(J971="", "", IF(J971="Long Term", 12.5%, 20%))</f>
        <v/>
      </c>
      <c r="L971" s="3">
        <f>+IFERROR(IF(J971="","",H971*K971),"")</f>
        <v/>
      </c>
    </row>
    <row r="972">
      <c r="A972" s="11" t="n"/>
      <c r="B972" s="7" t="n"/>
      <c r="C972" s="8" t="n"/>
      <c r="D972" s="9" t="n"/>
      <c r="E972" s="8" t="n"/>
      <c r="F972" s="9" t="n"/>
      <c r="G972" s="9" t="n"/>
      <c r="H972" s="3">
        <f>IF(AND(D972&lt;&gt;"",F972&lt;&gt;""),F972-D972-G972,"")</f>
        <v/>
      </c>
      <c r="I972" s="14">
        <f>IF(E972&lt;&gt;"", YEARFRAC(C972, E972) * 12, "")</f>
        <v/>
      </c>
      <c r="J972" s="2">
        <f>IF(I972="", "", IF(AND(A972="MF (Equity)", I972&gt;12), "Long Term", "Short Term"))</f>
        <v/>
      </c>
      <c r="K972" s="5">
        <f>IF(J972="", "", IF(J972="Long Term", 12.5%, 20%))</f>
        <v/>
      </c>
      <c r="L972" s="3">
        <f>+IFERROR(IF(J972="","",H972*K972),"")</f>
        <v/>
      </c>
    </row>
    <row r="973">
      <c r="A973" s="11" t="n"/>
      <c r="B973" s="7" t="n"/>
      <c r="C973" s="8" t="n"/>
      <c r="D973" s="9" t="n"/>
      <c r="E973" s="8" t="n"/>
      <c r="F973" s="9" t="n"/>
      <c r="G973" s="9" t="n"/>
      <c r="H973" s="3">
        <f>IF(AND(D973&lt;&gt;"",F973&lt;&gt;""),F973-D973-G973,"")</f>
        <v/>
      </c>
      <c r="I973" s="14">
        <f>IF(E973&lt;&gt;"", YEARFRAC(C973, E973) * 12, "")</f>
        <v/>
      </c>
      <c r="J973" s="2">
        <f>IF(I973="", "", IF(AND(A973="MF (Equity)", I973&gt;12), "Long Term", "Short Term"))</f>
        <v/>
      </c>
      <c r="K973" s="5">
        <f>IF(J973="", "", IF(J973="Long Term", 12.5%, 20%))</f>
        <v/>
      </c>
      <c r="L973" s="3">
        <f>+IFERROR(IF(J973="","",H973*K973),"")</f>
        <v/>
      </c>
    </row>
    <row r="974">
      <c r="A974" s="11" t="n"/>
      <c r="B974" s="7" t="n"/>
      <c r="C974" s="8" t="n"/>
      <c r="D974" s="9" t="n"/>
      <c r="E974" s="8" t="n"/>
      <c r="F974" s="9" t="n"/>
      <c r="G974" s="9" t="n"/>
      <c r="H974" s="3">
        <f>IF(AND(D974&lt;&gt;"",F974&lt;&gt;""),F974-D974-G974,"")</f>
        <v/>
      </c>
      <c r="I974" s="14">
        <f>IF(E974&lt;&gt;"", YEARFRAC(C974, E974) * 12, "")</f>
        <v/>
      </c>
      <c r="J974" s="2">
        <f>IF(I974="", "", IF(AND(A974="MF (Equity)", I974&gt;12), "Long Term", "Short Term"))</f>
        <v/>
      </c>
      <c r="K974" s="5">
        <f>IF(J974="", "", IF(J974="Long Term", 12.5%, 20%))</f>
        <v/>
      </c>
      <c r="L974" s="3">
        <f>+IFERROR(IF(J974="","",H974*K974),"")</f>
        <v/>
      </c>
    </row>
    <row r="975">
      <c r="A975" s="11" t="n"/>
      <c r="B975" s="7" t="n"/>
      <c r="C975" s="8" t="n"/>
      <c r="D975" s="9" t="n"/>
      <c r="E975" s="8" t="n"/>
      <c r="F975" s="9" t="n"/>
      <c r="G975" s="9" t="n"/>
      <c r="H975" s="3">
        <f>IF(AND(D975&lt;&gt;"",F975&lt;&gt;""),F975-D975-G975,"")</f>
        <v/>
      </c>
      <c r="I975" s="14">
        <f>IF(E975&lt;&gt;"", YEARFRAC(C975, E975) * 12, "")</f>
        <v/>
      </c>
      <c r="J975" s="2">
        <f>IF(I975="", "", IF(AND(A975="MF (Equity)", I975&gt;12), "Long Term", "Short Term"))</f>
        <v/>
      </c>
      <c r="K975" s="5">
        <f>IF(J975="", "", IF(J975="Long Term", 12.5%, 20%))</f>
        <v/>
      </c>
      <c r="L975" s="3">
        <f>+IFERROR(IF(J975="","",H975*K975),"")</f>
        <v/>
      </c>
    </row>
    <row r="976">
      <c r="A976" s="11" t="n"/>
      <c r="B976" s="7" t="n"/>
      <c r="C976" s="8" t="n"/>
      <c r="D976" s="9" t="n"/>
      <c r="E976" s="8" t="n"/>
      <c r="F976" s="9" t="n"/>
      <c r="G976" s="9" t="n"/>
      <c r="H976" s="3">
        <f>IF(AND(D976&lt;&gt;"",F976&lt;&gt;""),F976-D976-G976,"")</f>
        <v/>
      </c>
      <c r="I976" s="14">
        <f>IF(E976&lt;&gt;"", YEARFRAC(C976, E976) * 12, "")</f>
        <v/>
      </c>
      <c r="J976" s="2">
        <f>IF(I976="", "", IF(AND(A976="MF (Equity)", I976&gt;12), "Long Term", "Short Term"))</f>
        <v/>
      </c>
      <c r="K976" s="5">
        <f>IF(J976="", "", IF(J976="Long Term", 12.5%, 20%))</f>
        <v/>
      </c>
      <c r="L976" s="3">
        <f>+IFERROR(IF(J976="","",H976*K976),"")</f>
        <v/>
      </c>
    </row>
    <row r="977">
      <c r="A977" s="11" t="n"/>
      <c r="B977" s="7" t="n"/>
      <c r="C977" s="8" t="n"/>
      <c r="D977" s="9" t="n"/>
      <c r="E977" s="8" t="n"/>
      <c r="F977" s="9" t="n"/>
      <c r="G977" s="9" t="n"/>
      <c r="H977" s="3">
        <f>IF(AND(D977&lt;&gt;"",F977&lt;&gt;""),F977-D977-G977,"")</f>
        <v/>
      </c>
      <c r="I977" s="14">
        <f>IF(E977&lt;&gt;"", YEARFRAC(C977, E977) * 12, "")</f>
        <v/>
      </c>
      <c r="J977" s="2">
        <f>IF(I977="", "", IF(AND(A977="MF (Equity)", I977&gt;12), "Long Term", "Short Term"))</f>
        <v/>
      </c>
      <c r="K977" s="5">
        <f>IF(J977="", "", IF(J977="Long Term", 12.5%, 20%))</f>
        <v/>
      </c>
      <c r="L977" s="3">
        <f>+IFERROR(IF(J977="","",H977*K977),"")</f>
        <v/>
      </c>
    </row>
    <row r="978">
      <c r="A978" s="11" t="n"/>
      <c r="B978" s="7" t="n"/>
      <c r="C978" s="8" t="n"/>
      <c r="D978" s="9" t="n"/>
      <c r="E978" s="8" t="n"/>
      <c r="F978" s="9" t="n"/>
      <c r="G978" s="9" t="n"/>
      <c r="H978" s="3">
        <f>IF(AND(D978&lt;&gt;"",F978&lt;&gt;""),F978-D978-G978,"")</f>
        <v/>
      </c>
      <c r="I978" s="14">
        <f>IF(E978&lt;&gt;"", YEARFRAC(C978, E978) * 12, "")</f>
        <v/>
      </c>
      <c r="J978" s="2">
        <f>IF(I978="", "", IF(AND(A978="MF (Equity)", I978&gt;12), "Long Term", "Short Term"))</f>
        <v/>
      </c>
      <c r="K978" s="5">
        <f>IF(J978="", "", IF(J978="Long Term", 12.5%, 20%))</f>
        <v/>
      </c>
      <c r="L978" s="3">
        <f>+IFERROR(IF(J978="","",H978*K978),"")</f>
        <v/>
      </c>
    </row>
    <row r="979">
      <c r="A979" s="11" t="n"/>
      <c r="B979" s="7" t="n"/>
      <c r="C979" s="8" t="n"/>
      <c r="D979" s="9" t="n"/>
      <c r="E979" s="8" t="n"/>
      <c r="F979" s="9" t="n"/>
      <c r="G979" s="9" t="n"/>
      <c r="H979" s="3">
        <f>IF(AND(D979&lt;&gt;"",F979&lt;&gt;""),F979-D979-G979,"")</f>
        <v/>
      </c>
      <c r="I979" s="14">
        <f>IF(E979&lt;&gt;"", YEARFRAC(C979, E979) * 12, "")</f>
        <v/>
      </c>
      <c r="J979" s="2">
        <f>IF(I979="", "", IF(AND(A979="MF (Equity)", I979&gt;12), "Long Term", "Short Term"))</f>
        <v/>
      </c>
      <c r="K979" s="5">
        <f>IF(J979="", "", IF(J979="Long Term", 12.5%, 20%))</f>
        <v/>
      </c>
      <c r="L979" s="3">
        <f>+IFERROR(IF(J979="","",H979*K979),"")</f>
        <v/>
      </c>
    </row>
    <row r="980">
      <c r="A980" s="11" t="n"/>
      <c r="B980" s="7" t="n"/>
      <c r="C980" s="8" t="n"/>
      <c r="D980" s="9" t="n"/>
      <c r="E980" s="8" t="n"/>
      <c r="F980" s="9" t="n"/>
      <c r="G980" s="9" t="n"/>
      <c r="H980" s="3">
        <f>IF(AND(D980&lt;&gt;"",F980&lt;&gt;""),F980-D980-G980,"")</f>
        <v/>
      </c>
      <c r="I980" s="14">
        <f>IF(E980&lt;&gt;"", YEARFRAC(C980, E980) * 12, "")</f>
        <v/>
      </c>
      <c r="J980" s="2">
        <f>IF(I980="", "", IF(AND(A980="MF (Equity)", I980&gt;12), "Long Term", "Short Term"))</f>
        <v/>
      </c>
      <c r="K980" s="5">
        <f>IF(J980="", "", IF(J980="Long Term", 12.5%, 20%))</f>
        <v/>
      </c>
      <c r="L980" s="3">
        <f>+IFERROR(IF(J980="","",H980*K980),"")</f>
        <v/>
      </c>
    </row>
    <row r="981">
      <c r="A981" s="11" t="n"/>
      <c r="B981" s="7" t="n"/>
      <c r="C981" s="8" t="n"/>
      <c r="D981" s="9" t="n"/>
      <c r="E981" s="8" t="n"/>
      <c r="F981" s="9" t="n"/>
      <c r="G981" s="9" t="n"/>
      <c r="H981" s="3">
        <f>IF(AND(D981&lt;&gt;"",F981&lt;&gt;""),F981-D981-G981,"")</f>
        <v/>
      </c>
      <c r="I981" s="14">
        <f>IF(E981&lt;&gt;"", YEARFRAC(C981, E981) * 12, "")</f>
        <v/>
      </c>
      <c r="J981" s="2">
        <f>IF(I981="", "", IF(AND(A981="MF (Equity)", I981&gt;12), "Long Term", "Short Term"))</f>
        <v/>
      </c>
      <c r="K981" s="5">
        <f>IF(J981="", "", IF(J981="Long Term", 12.5%, 20%))</f>
        <v/>
      </c>
      <c r="L981" s="3">
        <f>+IFERROR(IF(J981="","",H981*K981),"")</f>
        <v/>
      </c>
    </row>
    <row r="982">
      <c r="A982" s="11" t="n"/>
      <c r="B982" s="7" t="n"/>
      <c r="C982" s="8" t="n"/>
      <c r="D982" s="9" t="n"/>
      <c r="E982" s="8" t="n"/>
      <c r="F982" s="9" t="n"/>
      <c r="G982" s="9" t="n"/>
      <c r="H982" s="3">
        <f>IF(AND(D982&lt;&gt;"",F982&lt;&gt;""),F982-D982-G982,"")</f>
        <v/>
      </c>
      <c r="I982" s="14">
        <f>IF(E982&lt;&gt;"", YEARFRAC(C982, E982) * 12, "")</f>
        <v/>
      </c>
      <c r="J982" s="2">
        <f>IF(I982="", "", IF(AND(A982="MF (Equity)", I982&gt;12), "Long Term", "Short Term"))</f>
        <v/>
      </c>
      <c r="K982" s="5">
        <f>IF(J982="", "", IF(J982="Long Term", 12.5%, 20%))</f>
        <v/>
      </c>
      <c r="L982" s="3">
        <f>+IFERROR(IF(J982="","",H982*K982),"")</f>
        <v/>
      </c>
    </row>
    <row r="983">
      <c r="A983" s="11" t="n"/>
      <c r="B983" s="7" t="n"/>
      <c r="C983" s="8" t="n"/>
      <c r="D983" s="9" t="n"/>
      <c r="E983" s="8" t="n"/>
      <c r="F983" s="9" t="n"/>
      <c r="G983" s="9" t="n"/>
      <c r="H983" s="3">
        <f>IF(AND(D983&lt;&gt;"",F983&lt;&gt;""),F983-D983-G983,"")</f>
        <v/>
      </c>
      <c r="I983" s="14">
        <f>IF(E983&lt;&gt;"", YEARFRAC(C983, E983) * 12, "")</f>
        <v/>
      </c>
      <c r="J983" s="2">
        <f>IF(I983="", "", IF(AND(A983="MF (Equity)", I983&gt;12), "Long Term", "Short Term"))</f>
        <v/>
      </c>
      <c r="K983" s="5">
        <f>IF(J983="", "", IF(J983="Long Term", 12.5%, 20%))</f>
        <v/>
      </c>
      <c r="L983" s="3">
        <f>+IFERROR(IF(J983="","",H983*K983),"")</f>
        <v/>
      </c>
    </row>
    <row r="984">
      <c r="A984" s="11" t="n"/>
      <c r="B984" s="7" t="n"/>
      <c r="C984" s="8" t="n"/>
      <c r="D984" s="9" t="n"/>
      <c r="E984" s="8" t="n"/>
      <c r="F984" s="9" t="n"/>
      <c r="G984" s="9" t="n"/>
      <c r="H984" s="3">
        <f>IF(AND(D984&lt;&gt;"",F984&lt;&gt;""),F984-D984-G984,"")</f>
        <v/>
      </c>
      <c r="I984" s="14">
        <f>IF(E984&lt;&gt;"", YEARFRAC(C984, E984) * 12, "")</f>
        <v/>
      </c>
      <c r="J984" s="2">
        <f>IF(I984="", "", IF(AND(A984="MF (Equity)", I984&gt;12), "Long Term", "Short Term"))</f>
        <v/>
      </c>
      <c r="K984" s="5">
        <f>IF(J984="", "", IF(J984="Long Term", 12.5%, 20%))</f>
        <v/>
      </c>
      <c r="L984" s="3">
        <f>+IFERROR(IF(J984="","",H984*K984),"")</f>
        <v/>
      </c>
    </row>
    <row r="985">
      <c r="A985" s="11" t="n"/>
      <c r="B985" s="7" t="n"/>
      <c r="C985" s="8" t="n"/>
      <c r="D985" s="9" t="n"/>
      <c r="E985" s="8" t="n"/>
      <c r="F985" s="9" t="n"/>
      <c r="G985" s="9" t="n"/>
      <c r="H985" s="3">
        <f>IF(AND(D985&lt;&gt;"",F985&lt;&gt;""),F985-D985-G985,"")</f>
        <v/>
      </c>
      <c r="I985" s="14">
        <f>IF(E985&lt;&gt;"", YEARFRAC(C985, E985) * 12, "")</f>
        <v/>
      </c>
      <c r="J985" s="2">
        <f>IF(I985="", "", IF(AND(A985="MF (Equity)", I985&gt;12), "Long Term", "Short Term"))</f>
        <v/>
      </c>
      <c r="K985" s="5">
        <f>IF(J985="", "", IF(J985="Long Term", 12.5%, 20%))</f>
        <v/>
      </c>
      <c r="L985" s="3">
        <f>+IFERROR(IF(J985="","",H985*K985),"")</f>
        <v/>
      </c>
    </row>
    <row r="986">
      <c r="A986" s="11" t="n"/>
      <c r="B986" s="7" t="n"/>
      <c r="C986" s="8" t="n"/>
      <c r="D986" s="9" t="n"/>
      <c r="E986" s="8" t="n"/>
      <c r="F986" s="9" t="n"/>
      <c r="G986" s="9" t="n"/>
      <c r="H986" s="3">
        <f>IF(AND(D986&lt;&gt;"",F986&lt;&gt;""),F986-D986-G986,"")</f>
        <v/>
      </c>
      <c r="I986" s="14">
        <f>IF(E986&lt;&gt;"", YEARFRAC(C986, E986) * 12, "")</f>
        <v/>
      </c>
      <c r="J986" s="2">
        <f>IF(I986="", "", IF(AND(A986="MF (Equity)", I986&gt;12), "Long Term", "Short Term"))</f>
        <v/>
      </c>
      <c r="K986" s="5">
        <f>IF(J986="", "", IF(J986="Long Term", 12.5%, 20%))</f>
        <v/>
      </c>
      <c r="L986" s="3">
        <f>+IFERROR(IF(J986="","",H986*K986),"")</f>
        <v/>
      </c>
    </row>
    <row r="987">
      <c r="A987" s="11" t="n"/>
      <c r="B987" s="7" t="n"/>
      <c r="C987" s="8" t="n"/>
      <c r="D987" s="9" t="n"/>
      <c r="E987" s="8" t="n"/>
      <c r="F987" s="9" t="n"/>
      <c r="G987" s="9" t="n"/>
      <c r="H987" s="3">
        <f>IF(AND(D987&lt;&gt;"",F987&lt;&gt;""),F987-D987-G987,"")</f>
        <v/>
      </c>
      <c r="I987" s="14">
        <f>IF(E987&lt;&gt;"", YEARFRAC(C987, E987) * 12, "")</f>
        <v/>
      </c>
      <c r="J987" s="2">
        <f>IF(I987="", "", IF(AND(A987="MF (Equity)", I987&gt;12), "Long Term", "Short Term"))</f>
        <v/>
      </c>
      <c r="K987" s="5">
        <f>IF(J987="", "", IF(J987="Long Term", 12.5%, 20%))</f>
        <v/>
      </c>
      <c r="L987" s="3">
        <f>+IFERROR(IF(J987="","",H987*K987),"")</f>
        <v/>
      </c>
    </row>
    <row r="988">
      <c r="A988" s="11" t="n"/>
      <c r="B988" s="7" t="n"/>
      <c r="C988" s="8" t="n"/>
      <c r="D988" s="9" t="n"/>
      <c r="E988" s="8" t="n"/>
      <c r="F988" s="9" t="n"/>
      <c r="G988" s="9" t="n"/>
      <c r="H988" s="3">
        <f>IF(AND(D988&lt;&gt;"",F988&lt;&gt;""),F988-D988-G988,"")</f>
        <v/>
      </c>
      <c r="I988" s="14">
        <f>IF(E988&lt;&gt;"", YEARFRAC(C988, E988) * 12, "")</f>
        <v/>
      </c>
      <c r="J988" s="2">
        <f>IF(I988="", "", IF(AND(A988="MF (Equity)", I988&gt;12), "Long Term", "Short Term"))</f>
        <v/>
      </c>
      <c r="K988" s="5">
        <f>IF(J988="", "", IF(J988="Long Term", 12.5%, 20%))</f>
        <v/>
      </c>
      <c r="L988" s="3">
        <f>+IFERROR(IF(J988="","",H988*K988),"")</f>
        <v/>
      </c>
    </row>
    <row r="989">
      <c r="A989" s="11" t="n"/>
      <c r="B989" s="7" t="n"/>
      <c r="C989" s="8" t="n"/>
      <c r="D989" s="9" t="n"/>
      <c r="E989" s="8" t="n"/>
      <c r="F989" s="9" t="n"/>
      <c r="G989" s="9" t="n"/>
      <c r="H989" s="3">
        <f>IF(AND(D989&lt;&gt;"",F989&lt;&gt;""),F989-D989-G989,"")</f>
        <v/>
      </c>
      <c r="I989" s="14">
        <f>IF(E989&lt;&gt;"", YEARFRAC(C989, E989) * 12, "")</f>
        <v/>
      </c>
      <c r="J989" s="2">
        <f>IF(I989="", "", IF(AND(A989="MF (Equity)", I989&gt;12), "Long Term", "Short Term"))</f>
        <v/>
      </c>
      <c r="K989" s="5">
        <f>IF(J989="", "", IF(J989="Long Term", 12.5%, 20%))</f>
        <v/>
      </c>
      <c r="L989" s="3">
        <f>+IFERROR(IF(J989="","",H989*K989),"")</f>
        <v/>
      </c>
    </row>
    <row r="990">
      <c r="A990" s="11" t="n"/>
      <c r="B990" s="7" t="n"/>
      <c r="C990" s="8" t="n"/>
      <c r="D990" s="9" t="n"/>
      <c r="E990" s="8" t="n"/>
      <c r="F990" s="9" t="n"/>
      <c r="G990" s="9" t="n"/>
      <c r="H990" s="3">
        <f>IF(AND(D990&lt;&gt;"",F990&lt;&gt;""),F990-D990-G990,"")</f>
        <v/>
      </c>
      <c r="I990" s="14">
        <f>IF(E990&lt;&gt;"", YEARFRAC(C990, E990) * 12, "")</f>
        <v/>
      </c>
      <c r="J990" s="2">
        <f>IF(I990="", "", IF(AND(A990="MF (Equity)", I990&gt;12), "Long Term", "Short Term"))</f>
        <v/>
      </c>
      <c r="K990" s="5">
        <f>IF(J990="", "", IF(J990="Long Term", 12.5%, 20%))</f>
        <v/>
      </c>
      <c r="L990" s="3">
        <f>+IFERROR(IF(J990="","",H990*K990),"")</f>
        <v/>
      </c>
    </row>
    <row r="991">
      <c r="A991" s="11" t="n"/>
      <c r="B991" s="7" t="n"/>
      <c r="C991" s="8" t="n"/>
      <c r="D991" s="9" t="n"/>
      <c r="E991" s="8" t="n"/>
      <c r="F991" s="9" t="n"/>
      <c r="G991" s="9" t="n"/>
      <c r="H991" s="3">
        <f>IF(AND(D991&lt;&gt;"",F991&lt;&gt;""),F991-D991-G991,"")</f>
        <v/>
      </c>
      <c r="I991" s="14">
        <f>IF(E991&lt;&gt;"", YEARFRAC(C991, E991) * 12, "")</f>
        <v/>
      </c>
      <c r="J991" s="2">
        <f>IF(I991="", "", IF(AND(A991="MF (Equity)", I991&gt;12), "Long Term", "Short Term"))</f>
        <v/>
      </c>
      <c r="K991" s="5">
        <f>IF(J991="", "", IF(J991="Long Term", 12.5%, 20%))</f>
        <v/>
      </c>
      <c r="L991" s="3">
        <f>+IFERROR(IF(J991="","",H991*K991),"")</f>
        <v/>
      </c>
    </row>
    <row r="992">
      <c r="A992" s="11" t="n"/>
      <c r="B992" s="7" t="n"/>
      <c r="C992" s="8" t="n"/>
      <c r="D992" s="9" t="n"/>
      <c r="E992" s="8" t="n"/>
      <c r="F992" s="9" t="n"/>
      <c r="G992" s="9" t="n"/>
      <c r="H992" s="3">
        <f>IF(AND(D992&lt;&gt;"",F992&lt;&gt;""),F992-D992-G992,"")</f>
        <v/>
      </c>
      <c r="I992" s="14">
        <f>IF(E992&lt;&gt;"", YEARFRAC(C992, E992) * 12, "")</f>
        <v/>
      </c>
      <c r="J992" s="2">
        <f>IF(I992="", "", IF(AND(A992="MF (Equity)", I992&gt;12), "Long Term", "Short Term"))</f>
        <v/>
      </c>
      <c r="K992" s="5">
        <f>IF(J992="", "", IF(J992="Long Term", 12.5%, 20%))</f>
        <v/>
      </c>
      <c r="L992" s="3">
        <f>+IFERROR(IF(J992="","",H992*K992),"")</f>
        <v/>
      </c>
    </row>
    <row r="993">
      <c r="A993" s="11" t="n"/>
      <c r="B993" s="7" t="n"/>
      <c r="C993" s="8" t="n"/>
      <c r="D993" s="9" t="n"/>
      <c r="E993" s="8" t="n"/>
      <c r="F993" s="9" t="n"/>
      <c r="G993" s="9" t="n"/>
      <c r="H993" s="3">
        <f>IF(AND(D993&lt;&gt;"",F993&lt;&gt;""),F993-D993-G993,"")</f>
        <v/>
      </c>
      <c r="I993" s="14">
        <f>IF(E993&lt;&gt;"", YEARFRAC(C993, E993) * 12, "")</f>
        <v/>
      </c>
      <c r="J993" s="2">
        <f>IF(I993="", "", IF(AND(A993="MF (Equity)", I993&gt;12), "Long Term", "Short Term"))</f>
        <v/>
      </c>
      <c r="K993" s="5">
        <f>IF(J993="", "", IF(J993="Long Term", 12.5%, 20%))</f>
        <v/>
      </c>
      <c r="L993" s="3">
        <f>+IFERROR(IF(J993="","",H993*K993),"")</f>
        <v/>
      </c>
    </row>
    <row r="994">
      <c r="A994" s="11" t="n"/>
      <c r="B994" s="7" t="n"/>
      <c r="C994" s="8" t="n"/>
      <c r="D994" s="9" t="n"/>
      <c r="E994" s="8" t="n"/>
      <c r="F994" s="9" t="n"/>
      <c r="G994" s="9" t="n"/>
      <c r="H994" s="3">
        <f>IF(AND(D994&lt;&gt;"",F994&lt;&gt;""),F994-D994-G994,"")</f>
        <v/>
      </c>
      <c r="I994" s="14">
        <f>IF(E994&lt;&gt;"", YEARFRAC(C994, E994) * 12, "")</f>
        <v/>
      </c>
      <c r="J994" s="2">
        <f>IF(I994="", "", IF(AND(A994="MF (Equity)", I994&gt;12), "Long Term", "Short Term"))</f>
        <v/>
      </c>
      <c r="K994" s="5">
        <f>IF(J994="", "", IF(J994="Long Term", 12.5%, 20%))</f>
        <v/>
      </c>
      <c r="L994" s="3">
        <f>+IFERROR(IF(J994="","",H994*K994),"")</f>
        <v/>
      </c>
    </row>
    <row r="995">
      <c r="A995" s="11" t="n"/>
      <c r="B995" s="7" t="n"/>
      <c r="C995" s="8" t="n"/>
      <c r="D995" s="9" t="n"/>
      <c r="E995" s="8" t="n"/>
      <c r="F995" s="9" t="n"/>
      <c r="G995" s="9" t="n"/>
      <c r="H995" s="3">
        <f>IF(AND(D995&lt;&gt;"",F995&lt;&gt;""),F995-D995-G995,"")</f>
        <v/>
      </c>
      <c r="I995" s="14">
        <f>IF(E995&lt;&gt;"", YEARFRAC(C995, E995) * 12, "")</f>
        <v/>
      </c>
      <c r="J995" s="2">
        <f>IF(I995="", "", IF(AND(A995="MF (Equity)", I995&gt;12), "Long Term", "Short Term"))</f>
        <v/>
      </c>
      <c r="K995" s="5">
        <f>IF(J995="", "", IF(J995="Long Term", 12.5%, 20%))</f>
        <v/>
      </c>
      <c r="L995" s="3">
        <f>+IFERROR(IF(J995="","",H995*K995),"")</f>
        <v/>
      </c>
    </row>
    <row r="996">
      <c r="A996" s="11" t="n"/>
      <c r="B996" s="7" t="n"/>
      <c r="C996" s="8" t="n"/>
      <c r="D996" s="9" t="n"/>
      <c r="E996" s="8" t="n"/>
      <c r="F996" s="9" t="n"/>
      <c r="G996" s="9" t="n"/>
      <c r="H996" s="3">
        <f>IF(AND(D996&lt;&gt;"",F996&lt;&gt;""),F996-D996-G996,"")</f>
        <v/>
      </c>
      <c r="I996" s="14">
        <f>IF(E996&lt;&gt;"", YEARFRAC(C996, E996) * 12, "")</f>
        <v/>
      </c>
      <c r="J996" s="2">
        <f>IF(I996="", "", IF(AND(A996="MF (Equity)", I996&gt;12), "Long Term", "Short Term"))</f>
        <v/>
      </c>
      <c r="K996" s="5">
        <f>IF(J996="", "", IF(J996="Long Term", 12.5%, 20%))</f>
        <v/>
      </c>
      <c r="L996" s="3">
        <f>+IFERROR(IF(J996="","",H996*K996),"")</f>
        <v/>
      </c>
    </row>
    <row r="997">
      <c r="A997" s="11" t="n"/>
      <c r="B997" s="7" t="n"/>
      <c r="C997" s="8" t="n"/>
      <c r="D997" s="9" t="n"/>
      <c r="E997" s="8" t="n"/>
      <c r="F997" s="9" t="n"/>
      <c r="G997" s="9" t="n"/>
      <c r="H997" s="3">
        <f>IF(AND(D997&lt;&gt;"",F997&lt;&gt;""),F997-D997-G997,"")</f>
        <v/>
      </c>
      <c r="I997" s="14">
        <f>IF(E997&lt;&gt;"", YEARFRAC(C997, E997) * 12, "")</f>
        <v/>
      </c>
      <c r="J997" s="2">
        <f>IF(I997="", "", IF(AND(A997="MF (Equity)", I997&gt;12), "Long Term", "Short Term"))</f>
        <v/>
      </c>
      <c r="K997" s="5">
        <f>IF(J997="", "", IF(J997="Long Term", 12.5%, 20%))</f>
        <v/>
      </c>
      <c r="L997" s="3">
        <f>+IFERROR(IF(J997="","",H997*K997),"")</f>
        <v/>
      </c>
    </row>
    <row r="998">
      <c r="A998" s="11" t="n"/>
      <c r="B998" s="7" t="n"/>
      <c r="C998" s="8" t="n"/>
      <c r="D998" s="9" t="n"/>
      <c r="E998" s="8" t="n"/>
      <c r="F998" s="9" t="n"/>
      <c r="G998" s="9" t="n"/>
      <c r="H998" s="3">
        <f>IF(AND(D998&lt;&gt;"",F998&lt;&gt;""),F998-D998-G998,"")</f>
        <v/>
      </c>
      <c r="I998" s="14">
        <f>IF(E998&lt;&gt;"", YEARFRAC(C998, E998) * 12, "")</f>
        <v/>
      </c>
      <c r="J998" s="2">
        <f>IF(I998="", "", IF(AND(A998="MF (Equity)", I998&gt;12), "Long Term", "Short Term"))</f>
        <v/>
      </c>
      <c r="K998" s="5">
        <f>IF(J998="", "", IF(J998="Long Term", 12.5%, 20%))</f>
        <v/>
      </c>
      <c r="L998" s="3">
        <f>+IFERROR(IF(J998="","",H998*K998),"")</f>
        <v/>
      </c>
    </row>
    <row r="999">
      <c r="A999" s="11" t="n"/>
      <c r="B999" s="7" t="n"/>
      <c r="C999" s="8" t="n"/>
      <c r="D999" s="9" t="n"/>
      <c r="E999" s="8" t="n"/>
      <c r="F999" s="9" t="n"/>
      <c r="G999" s="9" t="n"/>
      <c r="H999" s="3">
        <f>IF(AND(D999&lt;&gt;"",F999&lt;&gt;""),F999-D999-G999,"")</f>
        <v/>
      </c>
      <c r="I999" s="14">
        <f>IF(E999&lt;&gt;"", YEARFRAC(C999, E999) * 12, "")</f>
        <v/>
      </c>
      <c r="J999" s="2">
        <f>IF(I999="", "", IF(AND(A999="MF (Equity)", I999&gt;12), "Long Term", "Short Term"))</f>
        <v/>
      </c>
      <c r="K999" s="5">
        <f>IF(J999="", "", IF(J999="Long Term", 12.5%, 20%))</f>
        <v/>
      </c>
      <c r="L999" s="3">
        <f>+IFERROR(IF(J999="","",H999*K999),"")</f>
        <v/>
      </c>
    </row>
    <row r="1000">
      <c r="A1000" s="11" t="n"/>
      <c r="B1000" s="7" t="n"/>
      <c r="C1000" s="8" t="n"/>
      <c r="D1000" s="9" t="n"/>
      <c r="E1000" s="8" t="n"/>
      <c r="F1000" s="9" t="n"/>
      <c r="G1000" s="9" t="n"/>
      <c r="H1000" s="3">
        <f>IF(AND(D1000&lt;&gt;"",F1000&lt;&gt;""),F1000-D1000-G1000,"")</f>
        <v/>
      </c>
      <c r="I1000" s="14">
        <f>IF(E1000&lt;&gt;"", YEARFRAC(C1000, E1000) * 12, "")</f>
        <v/>
      </c>
      <c r="J1000" s="2">
        <f>IF(I1000="", "", IF(AND(A1000="MF (Equity)", I1000&gt;12), "Long Term", "Short Term"))</f>
        <v/>
      </c>
      <c r="K1000" s="5">
        <f>IF(J1000="", "", IF(J1000="Long Term", 12.5%, 20%))</f>
        <v/>
      </c>
      <c r="L1000" s="3">
        <f>+IFERROR(IF(J1000="","",H1000*K1000),"")</f>
        <v/>
      </c>
    </row>
    <row r="1001">
      <c r="A1001" s="11" t="n"/>
      <c r="B1001" s="7" t="n"/>
      <c r="C1001" s="8" t="n"/>
      <c r="D1001" s="9" t="n"/>
      <c r="E1001" s="8" t="n"/>
      <c r="F1001" s="9" t="n"/>
      <c r="G1001" s="9" t="n"/>
      <c r="H1001" s="3">
        <f>IF(AND(D1001&lt;&gt;"",F1001&lt;&gt;""),F1001-D1001-G1001,"")</f>
        <v/>
      </c>
      <c r="I1001" s="14">
        <f>IF(E1001&lt;&gt;"", YEARFRAC(C1001, E1001) * 12, "")</f>
        <v/>
      </c>
      <c r="J1001" s="2">
        <f>IF(I1001="", "", IF(AND(A1001="MF (Equity)", I1001&gt;12), "Long Term", "Short Term"))</f>
        <v/>
      </c>
      <c r="K1001" s="5">
        <f>IF(J1001="", "", IF(J1001="Long Term", 12.5%, 20%))</f>
        <v/>
      </c>
      <c r="L1001" s="3">
        <f>+IFERROR(IF(J1001="","",H1001*K1001),"")</f>
        <v/>
      </c>
    </row>
    <row r="1002">
      <c r="A1002" s="11" t="n"/>
      <c r="B1002" s="7" t="n"/>
      <c r="C1002" s="8" t="n"/>
      <c r="D1002" s="9" t="n"/>
      <c r="E1002" s="8" t="n"/>
      <c r="F1002" s="9" t="n"/>
      <c r="G1002" s="9" t="n"/>
      <c r="H1002" s="3">
        <f>IF(AND(D1002&lt;&gt;"",F1002&lt;&gt;""),F1002-D1002-G1002,"")</f>
        <v/>
      </c>
      <c r="I1002" s="14">
        <f>IF(E1002&lt;&gt;"", YEARFRAC(C1002, E1002) * 12, "")</f>
        <v/>
      </c>
      <c r="J1002" s="2">
        <f>IF(I1002="", "", IF(AND(A1002="MF (Equity)", I1002&gt;12), "Long Term", "Short Term"))</f>
        <v/>
      </c>
      <c r="K1002" s="5">
        <f>IF(J1002="", "", IF(J1002="Long Term", 12.5%, 20%))</f>
        <v/>
      </c>
      <c r="L1002" s="3">
        <f>+IFERROR(IF(J1002="","",H1002*K1002),"")</f>
        <v/>
      </c>
    </row>
    <row r="1003">
      <c r="A1003" s="11" t="n"/>
      <c r="B1003" s="7" t="n"/>
      <c r="C1003" s="8" t="n"/>
      <c r="D1003" s="9" t="n"/>
      <c r="E1003" s="8" t="n"/>
      <c r="F1003" s="9" t="n"/>
      <c r="G1003" s="9" t="n"/>
      <c r="H1003" s="3">
        <f>IF(AND(D1003&lt;&gt;"",F1003&lt;&gt;""),F1003-D1003-G1003,"")</f>
        <v/>
      </c>
      <c r="I1003" s="14">
        <f>IF(E1003&lt;&gt;"", YEARFRAC(C1003, E1003) * 12, "")</f>
        <v/>
      </c>
      <c r="J1003" s="2">
        <f>IF(I1003="", "", IF(AND(A1003="MF (Equity)", I1003&gt;12), "Long Term", "Short Term"))</f>
        <v/>
      </c>
      <c r="K1003" s="5">
        <f>IF(J1003="", "", IF(J1003="Long Term", 12.5%, 20%))</f>
        <v/>
      </c>
      <c r="L1003" s="3">
        <f>+IFERROR(IF(J1003="","",H1003*K1003),"")</f>
        <v/>
      </c>
    </row>
    <row r="1004">
      <c r="A1004" s="11" t="n"/>
      <c r="B1004" s="7" t="n"/>
      <c r="C1004" s="8" t="n"/>
      <c r="D1004" s="9" t="n"/>
      <c r="E1004" s="8" t="n"/>
      <c r="F1004" s="9" t="n"/>
      <c r="G1004" s="9" t="n"/>
      <c r="H1004" s="3">
        <f>IF(AND(D1004&lt;&gt;"",F1004&lt;&gt;""),F1004-D1004-G1004,"")</f>
        <v/>
      </c>
      <c r="I1004" s="14">
        <f>IF(E1004&lt;&gt;"", YEARFRAC(C1004, E1004) * 12, "")</f>
        <v/>
      </c>
      <c r="J1004" s="2">
        <f>IF(I1004="", "", IF(AND(A1004="MF (Equity)", I1004&gt;12), "Long Term", "Short Term"))</f>
        <v/>
      </c>
      <c r="K1004" s="5">
        <f>IF(J1004="", "", IF(J1004="Long Term", 12.5%, 20%))</f>
        <v/>
      </c>
      <c r="L1004" s="3">
        <f>+IFERROR(IF(J1004="","",H1004*K1004),"")</f>
        <v/>
      </c>
    </row>
    <row r="1005">
      <c r="A1005" s="11" t="n"/>
      <c r="B1005" s="7" t="n"/>
      <c r="C1005" s="8" t="n"/>
      <c r="D1005" s="9" t="n"/>
      <c r="E1005" s="8" t="n"/>
      <c r="F1005" s="9" t="n"/>
      <c r="G1005" s="9" t="n"/>
      <c r="H1005" s="3">
        <f>IF(AND(D1005&lt;&gt;"",F1005&lt;&gt;""),F1005-D1005-G1005,"")</f>
        <v/>
      </c>
      <c r="I1005" s="14">
        <f>IF(E1005&lt;&gt;"", YEARFRAC(C1005, E1005) * 12, "")</f>
        <v/>
      </c>
      <c r="J1005" s="2">
        <f>IF(I1005="", "", IF(AND(A1005="MF (Equity)", I1005&gt;12), "Long Term", "Short Term"))</f>
        <v/>
      </c>
      <c r="K1005" s="5">
        <f>IF(J1005="", "", IF(J1005="Long Term", 12.5%, 20%))</f>
        <v/>
      </c>
      <c r="L1005" s="3">
        <f>+IFERROR(IF(J1005="","",H1005*K1005),"")</f>
        <v/>
      </c>
    </row>
    <row r="1006">
      <c r="A1006" s="11" t="n"/>
      <c r="B1006" s="7" t="n"/>
      <c r="C1006" s="8" t="n"/>
      <c r="D1006" s="9" t="n"/>
      <c r="E1006" s="8" t="n"/>
      <c r="F1006" s="9" t="n"/>
      <c r="G1006" s="9" t="n"/>
      <c r="H1006" s="3">
        <f>IF(AND(D1006&lt;&gt;"",F1006&lt;&gt;""),F1006-D1006-G1006,"")</f>
        <v/>
      </c>
      <c r="I1006" s="14">
        <f>IF(E1006&lt;&gt;"", YEARFRAC(C1006, E1006) * 12, "")</f>
        <v/>
      </c>
      <c r="J1006" s="2">
        <f>IF(I1006="", "", IF(AND(A1006="MF (Equity)", I1006&gt;12), "Long Term", "Short Term"))</f>
        <v/>
      </c>
      <c r="K1006" s="5">
        <f>IF(J1006="", "", IF(J1006="Long Term", 12.5%, 20%))</f>
        <v/>
      </c>
      <c r="L1006" s="3">
        <f>+IFERROR(IF(J1006="","",H1006*K1006),"")</f>
        <v/>
      </c>
    </row>
    <row r="1007">
      <c r="A1007" s="11" t="n"/>
      <c r="B1007" s="7" t="n"/>
      <c r="C1007" s="8" t="n"/>
      <c r="D1007" s="9" t="n"/>
      <c r="E1007" s="8" t="n"/>
      <c r="F1007" s="9" t="n"/>
      <c r="G1007" s="9" t="n"/>
      <c r="H1007" s="3">
        <f>IF(AND(D1007&lt;&gt;"",F1007&lt;&gt;""),F1007-D1007-G1007,"")</f>
        <v/>
      </c>
      <c r="I1007" s="14">
        <f>IF(E1007&lt;&gt;"", YEARFRAC(C1007, E1007) * 12, "")</f>
        <v/>
      </c>
      <c r="J1007" s="2">
        <f>IF(I1007="", "", IF(AND(A1007="MF (Equity)", I1007&gt;12), "Long Term", "Short Term"))</f>
        <v/>
      </c>
      <c r="K1007" s="5">
        <f>IF(J1007="", "", IF(J1007="Long Term", 12.5%, 20%))</f>
        <v/>
      </c>
      <c r="L1007" s="3">
        <f>+IFERROR(IF(J1007="","",H1007*K1007),"")</f>
        <v/>
      </c>
    </row>
    <row r="1008">
      <c r="A1008" s="11" t="n"/>
      <c r="B1008" s="7" t="n"/>
      <c r="C1008" s="8" t="n"/>
      <c r="D1008" s="9" t="n"/>
      <c r="E1008" s="8" t="n"/>
      <c r="F1008" s="9" t="n"/>
      <c r="G1008" s="9" t="n"/>
      <c r="H1008" s="3">
        <f>IF(AND(D1008&lt;&gt;"",F1008&lt;&gt;""),F1008-D1008-G1008,"")</f>
        <v/>
      </c>
      <c r="I1008" s="14">
        <f>IF(E1008&lt;&gt;"", YEARFRAC(C1008, E1008) * 12, "")</f>
        <v/>
      </c>
      <c r="J1008" s="2">
        <f>IF(I1008="", "", IF(AND(A1008="MF (Equity)", I1008&gt;12), "Long Term", "Short Term"))</f>
        <v/>
      </c>
      <c r="K1008" s="5">
        <f>IF(J1008="", "", IF(J1008="Long Term", 12.5%, 20%))</f>
        <v/>
      </c>
      <c r="L1008" s="3">
        <f>+IFERROR(IF(J1008="","",H1008*K1008),"")</f>
        <v/>
      </c>
    </row>
    <row r="1009">
      <c r="A1009" s="11" t="n"/>
      <c r="B1009" s="7" t="n"/>
      <c r="C1009" s="8" t="n"/>
      <c r="D1009" s="9" t="n"/>
      <c r="E1009" s="8" t="n"/>
      <c r="F1009" s="9" t="n"/>
      <c r="G1009" s="9" t="n"/>
      <c r="H1009" s="3">
        <f>IF(AND(D1009&lt;&gt;"",F1009&lt;&gt;""),F1009-D1009-G1009,"")</f>
        <v/>
      </c>
      <c r="I1009" s="14">
        <f>IF(E1009&lt;&gt;"", YEARFRAC(C1009, E1009) * 12, "")</f>
        <v/>
      </c>
      <c r="J1009" s="2">
        <f>IF(I1009="", "", IF(AND(A1009="MF (Equity)", I1009&gt;12), "Long Term", "Short Term"))</f>
        <v/>
      </c>
      <c r="K1009" s="5">
        <f>IF(J1009="", "", IF(J1009="Long Term", 12.5%, 20%))</f>
        <v/>
      </c>
      <c r="L1009" s="3">
        <f>+IFERROR(IF(J1009="","",H1009*K1009),"")</f>
        <v/>
      </c>
    </row>
    <row r="1010">
      <c r="A1010" s="11" t="n"/>
      <c r="B1010" s="7" t="n"/>
      <c r="C1010" s="8" t="n"/>
      <c r="D1010" s="9" t="n"/>
      <c r="E1010" s="8" t="n"/>
      <c r="F1010" s="9" t="n"/>
      <c r="G1010" s="9" t="n"/>
      <c r="H1010" s="3">
        <f>IF(AND(D1010&lt;&gt;"",F1010&lt;&gt;""),F1010-D1010-G1010,"")</f>
        <v/>
      </c>
      <c r="I1010" s="14">
        <f>IF(E1010&lt;&gt;"", YEARFRAC(C1010, E1010) * 12, "")</f>
        <v/>
      </c>
      <c r="J1010" s="2">
        <f>IF(I1010="", "", IF(AND(A1010="MF (Equity)", I1010&gt;12), "Long Term", "Short Term"))</f>
        <v/>
      </c>
      <c r="K1010" s="5">
        <f>IF(J1010="", "", IF(J1010="Long Term", 12.5%, 20%))</f>
        <v/>
      </c>
      <c r="L1010" s="3">
        <f>+IFERROR(IF(J1010="","",H1010*K1010),"")</f>
        <v/>
      </c>
    </row>
    <row r="1011">
      <c r="A1011" s="11" t="n"/>
      <c r="B1011" s="7" t="n"/>
      <c r="C1011" s="8" t="n"/>
      <c r="D1011" s="9" t="n"/>
      <c r="E1011" s="8" t="n"/>
      <c r="F1011" s="9" t="n"/>
      <c r="G1011" s="9" t="n"/>
      <c r="H1011" s="3">
        <f>IF(AND(D1011&lt;&gt;"",F1011&lt;&gt;""),F1011-D1011-G1011,"")</f>
        <v/>
      </c>
      <c r="I1011" s="14">
        <f>IF(E1011&lt;&gt;"", YEARFRAC(C1011, E1011) * 12, "")</f>
        <v/>
      </c>
      <c r="J1011" s="2">
        <f>IF(I1011="", "", IF(AND(A1011="MF (Equity)", I1011&gt;12), "Long Term", "Short Term"))</f>
        <v/>
      </c>
      <c r="K1011" s="5">
        <f>IF(J1011="", "", IF(J1011="Long Term", 12.5%, 20%))</f>
        <v/>
      </c>
      <c r="L1011" s="3">
        <f>+IFERROR(IF(J1011="","",H1011*K1011),"")</f>
        <v/>
      </c>
    </row>
    <row r="1012">
      <c r="A1012" s="11" t="n"/>
      <c r="B1012" s="7" t="n"/>
      <c r="C1012" s="8" t="n"/>
      <c r="D1012" s="9" t="n"/>
      <c r="E1012" s="8" t="n"/>
      <c r="F1012" s="9" t="n"/>
      <c r="G1012" s="9" t="n"/>
      <c r="H1012" s="3">
        <f>IF(AND(D1012&lt;&gt;"",F1012&lt;&gt;""),F1012-D1012-G1012,"")</f>
        <v/>
      </c>
      <c r="I1012" s="14">
        <f>IF(E1012&lt;&gt;"", YEARFRAC(C1012, E1012) * 12, "")</f>
        <v/>
      </c>
      <c r="J1012" s="2">
        <f>IF(I1012="", "", IF(AND(A1012="MF (Equity)", I1012&gt;12), "Long Term", "Short Term"))</f>
        <v/>
      </c>
      <c r="K1012" s="5">
        <f>IF(J1012="", "", IF(J1012="Long Term", 12.5%, 20%))</f>
        <v/>
      </c>
      <c r="L1012" s="3">
        <f>+IFERROR(IF(J1012="","",H1012*K1012),"")</f>
        <v/>
      </c>
    </row>
    <row r="1013">
      <c r="A1013" s="11" t="n"/>
      <c r="B1013" s="7" t="n"/>
      <c r="C1013" s="8" t="n"/>
      <c r="D1013" s="9" t="n"/>
      <c r="E1013" s="8" t="n"/>
      <c r="F1013" s="9" t="n"/>
      <c r="G1013" s="9" t="n"/>
      <c r="H1013" s="3">
        <f>IF(AND(D1013&lt;&gt;"",F1013&lt;&gt;""),F1013-D1013-G1013,"")</f>
        <v/>
      </c>
      <c r="I1013" s="14">
        <f>IF(E1013&lt;&gt;"", YEARFRAC(C1013, E1013) * 12, "")</f>
        <v/>
      </c>
      <c r="J1013" s="2">
        <f>IF(I1013="", "", IF(AND(A1013="MF (Equity)", I1013&gt;12), "Long Term", "Short Term"))</f>
        <v/>
      </c>
      <c r="K1013" s="5">
        <f>IF(J1013="", "", IF(J1013="Long Term", 12.5%, 20%))</f>
        <v/>
      </c>
      <c r="L1013" s="3">
        <f>+IFERROR(IF(J1013="","",H1013*K1013),"")</f>
        <v/>
      </c>
    </row>
    <row r="1014">
      <c r="A1014" s="11" t="n"/>
      <c r="B1014" s="7" t="n"/>
      <c r="C1014" s="8" t="n"/>
      <c r="D1014" s="9" t="n"/>
      <c r="E1014" s="8" t="n"/>
      <c r="F1014" s="9" t="n"/>
      <c r="G1014" s="9" t="n"/>
      <c r="H1014" s="3">
        <f>IF(AND(D1014&lt;&gt;"",F1014&lt;&gt;""),F1014-D1014-G1014,"")</f>
        <v/>
      </c>
      <c r="I1014" s="14">
        <f>IF(E1014&lt;&gt;"", YEARFRAC(C1014, E1014) * 12, "")</f>
        <v/>
      </c>
      <c r="J1014" s="2">
        <f>IF(I1014="", "", IF(AND(A1014="MF (Equity)", I1014&gt;12), "Long Term", "Short Term"))</f>
        <v/>
      </c>
      <c r="K1014" s="5">
        <f>IF(J1014="", "", IF(J1014="Long Term", 12.5%, 20%))</f>
        <v/>
      </c>
      <c r="L1014" s="3">
        <f>+IFERROR(IF(J1014="","",H1014*K1014),"")</f>
        <v/>
      </c>
    </row>
    <row r="1015">
      <c r="A1015" s="11" t="n"/>
      <c r="B1015" s="7" t="n"/>
      <c r="C1015" s="8" t="n"/>
      <c r="D1015" s="9" t="n"/>
      <c r="E1015" s="8" t="n"/>
      <c r="F1015" s="9" t="n"/>
      <c r="G1015" s="9" t="n"/>
      <c r="H1015" s="3">
        <f>IF(AND(D1015&lt;&gt;"",F1015&lt;&gt;""),F1015-D1015-G1015,"")</f>
        <v/>
      </c>
      <c r="I1015" s="14">
        <f>IF(E1015&lt;&gt;"", YEARFRAC(C1015, E1015) * 12, "")</f>
        <v/>
      </c>
      <c r="J1015" s="2">
        <f>IF(I1015="", "", IF(AND(A1015="MF (Equity)", I1015&gt;12), "Long Term", "Short Term"))</f>
        <v/>
      </c>
      <c r="K1015" s="5">
        <f>IF(J1015="", "", IF(J1015="Long Term", 12.5%, 20%))</f>
        <v/>
      </c>
      <c r="L1015" s="3">
        <f>+IFERROR(IF(J1015="","",H1015*K1015),"")</f>
        <v/>
      </c>
    </row>
    <row r="1016">
      <c r="A1016" s="11" t="n"/>
      <c r="B1016" s="7" t="n"/>
      <c r="C1016" s="8" t="n"/>
      <c r="D1016" s="9" t="n"/>
      <c r="E1016" s="8" t="n"/>
      <c r="F1016" s="9" t="n"/>
      <c r="G1016" s="9" t="n"/>
      <c r="H1016" s="3">
        <f>IF(AND(D1016&lt;&gt;"",F1016&lt;&gt;""),F1016-D1016-G1016,"")</f>
        <v/>
      </c>
      <c r="I1016" s="14">
        <f>IF(E1016&lt;&gt;"", YEARFRAC(C1016, E1016) * 12, "")</f>
        <v/>
      </c>
      <c r="J1016" s="2">
        <f>IF(I1016="", "", IF(AND(A1016="MF (Equity)", I1016&gt;12), "Long Term", "Short Term"))</f>
        <v/>
      </c>
      <c r="K1016" s="5">
        <f>IF(J1016="", "", IF(J1016="Long Term", 12.5%, 20%))</f>
        <v/>
      </c>
      <c r="L1016" s="3">
        <f>+IFERROR(IF(J1016="","",H1016*K1016),"")</f>
        <v/>
      </c>
    </row>
    <row r="1017">
      <c r="A1017" s="11" t="n"/>
      <c r="B1017" s="7" t="n"/>
      <c r="C1017" s="8" t="n"/>
      <c r="D1017" s="9" t="n"/>
      <c r="E1017" s="8" t="n"/>
      <c r="F1017" s="9" t="n"/>
      <c r="G1017" s="9" t="n"/>
      <c r="H1017" s="3">
        <f>IF(AND(D1017&lt;&gt;"",F1017&lt;&gt;""),F1017-D1017-G1017,"")</f>
        <v/>
      </c>
      <c r="I1017" s="14">
        <f>IF(E1017&lt;&gt;"", YEARFRAC(C1017, E1017) * 12, "")</f>
        <v/>
      </c>
      <c r="J1017" s="2">
        <f>IF(I1017="", "", IF(AND(A1017="MF (Equity)", I1017&gt;12), "Long Term", "Short Term"))</f>
        <v/>
      </c>
      <c r="K1017" s="5">
        <f>IF(J1017="", "", IF(J1017="Long Term", 12.5%, 20%))</f>
        <v/>
      </c>
      <c r="L1017" s="3">
        <f>+IFERROR(IF(J1017="","",H1017*K1017),"")</f>
        <v/>
      </c>
    </row>
    <row r="1018">
      <c r="A1018" s="11" t="n"/>
      <c r="B1018" s="7" t="n"/>
      <c r="C1018" s="8" t="n"/>
      <c r="D1018" s="9" t="n"/>
      <c r="E1018" s="8" t="n"/>
      <c r="F1018" s="9" t="n"/>
      <c r="G1018" s="9" t="n"/>
      <c r="H1018" s="3">
        <f>IF(AND(D1018&lt;&gt;"",F1018&lt;&gt;""),F1018-D1018-G1018,"")</f>
        <v/>
      </c>
      <c r="I1018" s="14">
        <f>IF(E1018&lt;&gt;"", YEARFRAC(C1018, E1018) * 12, "")</f>
        <v/>
      </c>
      <c r="J1018" s="2">
        <f>IF(I1018="", "", IF(AND(A1018="MF (Equity)", I1018&gt;12), "Long Term", "Short Term"))</f>
        <v/>
      </c>
      <c r="K1018" s="5">
        <f>IF(J1018="", "", IF(J1018="Long Term", 12.5%, 20%))</f>
        <v/>
      </c>
      <c r="L1018" s="3">
        <f>+IFERROR(IF(J1018="","",H1018*K1018),"")</f>
        <v/>
      </c>
    </row>
    <row r="1019">
      <c r="A1019" s="11" t="n"/>
      <c r="B1019" s="7" t="n"/>
      <c r="C1019" s="8" t="n"/>
      <c r="D1019" s="9" t="n"/>
      <c r="E1019" s="8" t="n"/>
      <c r="F1019" s="9" t="n"/>
      <c r="G1019" s="9" t="n"/>
      <c r="H1019" s="3">
        <f>IF(AND(D1019&lt;&gt;"",F1019&lt;&gt;""),F1019-D1019-G1019,"")</f>
        <v/>
      </c>
      <c r="I1019" s="14">
        <f>IF(E1019&lt;&gt;"", YEARFRAC(C1019, E1019) * 12, "")</f>
        <v/>
      </c>
      <c r="J1019" s="2">
        <f>IF(I1019="", "", IF(AND(A1019="MF (Equity)", I1019&gt;12), "Long Term", "Short Term"))</f>
        <v/>
      </c>
      <c r="K1019" s="5">
        <f>IF(J1019="", "", IF(J1019="Long Term", 12.5%, 20%))</f>
        <v/>
      </c>
      <c r="L1019" s="3">
        <f>+IFERROR(IF(J1019="","",H1019*K1019),"")</f>
        <v/>
      </c>
    </row>
    <row r="1020">
      <c r="A1020" s="11" t="n"/>
      <c r="B1020" s="7" t="n"/>
      <c r="C1020" s="8" t="n"/>
      <c r="D1020" s="9" t="n"/>
      <c r="E1020" s="8" t="n"/>
      <c r="F1020" s="9" t="n"/>
      <c r="G1020" s="9" t="n"/>
      <c r="H1020" s="3">
        <f>IF(AND(D1020&lt;&gt;"",F1020&lt;&gt;""),F1020-D1020-G1020,"")</f>
        <v/>
      </c>
      <c r="I1020" s="14">
        <f>IF(E1020&lt;&gt;"", YEARFRAC(C1020, E1020) * 12, "")</f>
        <v/>
      </c>
      <c r="J1020" s="2">
        <f>IF(I1020="", "", IF(AND(A1020="MF (Equity)", I1020&gt;12), "Long Term", "Short Term"))</f>
        <v/>
      </c>
      <c r="K1020" s="5">
        <f>IF(J1020="", "", IF(J1020="Long Term", 12.5%, 20%))</f>
        <v/>
      </c>
      <c r="L1020" s="3">
        <f>+IFERROR(IF(J1020="","",H1020*K1020),"")</f>
        <v/>
      </c>
    </row>
    <row r="1021">
      <c r="A1021" s="11" t="n"/>
      <c r="B1021" s="7" t="n"/>
      <c r="C1021" s="8" t="n"/>
      <c r="D1021" s="9" t="n"/>
      <c r="E1021" s="8" t="n"/>
      <c r="F1021" s="9" t="n"/>
      <c r="G1021" s="9" t="n"/>
      <c r="H1021" s="3">
        <f>IF(AND(D1021&lt;&gt;"",F1021&lt;&gt;""),F1021-D1021-G1021,"")</f>
        <v/>
      </c>
      <c r="I1021" s="14">
        <f>IF(E1021&lt;&gt;"", YEARFRAC(C1021, E1021) * 12, "")</f>
        <v/>
      </c>
      <c r="J1021" s="2">
        <f>IF(I1021="", "", IF(AND(A1021="MF (Equity)", I1021&gt;12), "Long Term", "Short Term"))</f>
        <v/>
      </c>
      <c r="K1021" s="5">
        <f>IF(J1021="", "", IF(J1021="Long Term", 12.5%, 20%))</f>
        <v/>
      </c>
      <c r="L1021" s="3">
        <f>+IFERROR(IF(J1021="","",H1021*K1021),"")</f>
        <v/>
      </c>
    </row>
    <row r="1022">
      <c r="A1022" s="11" t="n"/>
      <c r="B1022" s="7" t="n"/>
      <c r="C1022" s="8" t="n"/>
      <c r="D1022" s="9" t="n"/>
      <c r="E1022" s="8" t="n"/>
      <c r="F1022" s="9" t="n"/>
      <c r="G1022" s="9" t="n"/>
      <c r="H1022" s="3">
        <f>IF(AND(D1022&lt;&gt;"",F1022&lt;&gt;""),F1022-D1022-G1022,"")</f>
        <v/>
      </c>
      <c r="I1022" s="14">
        <f>IF(E1022&lt;&gt;"", YEARFRAC(C1022, E1022) * 12, "")</f>
        <v/>
      </c>
      <c r="J1022" s="2">
        <f>IF(I1022="", "", IF(AND(A1022="MF (Equity)", I1022&gt;12), "Long Term", "Short Term"))</f>
        <v/>
      </c>
      <c r="K1022" s="5">
        <f>IF(J1022="", "", IF(J1022="Long Term", 12.5%, 20%))</f>
        <v/>
      </c>
      <c r="L1022" s="3">
        <f>+IFERROR(IF(J1022="","",H1022*K1022),"")</f>
        <v/>
      </c>
    </row>
    <row r="1023">
      <c r="A1023" s="11" t="n"/>
      <c r="B1023" s="7" t="n"/>
      <c r="C1023" s="8" t="n"/>
      <c r="D1023" s="9" t="n"/>
      <c r="E1023" s="8" t="n"/>
      <c r="F1023" s="9" t="n"/>
      <c r="G1023" s="9" t="n"/>
      <c r="H1023" s="3">
        <f>IF(AND(D1023&lt;&gt;"",F1023&lt;&gt;""),F1023-D1023-G1023,"")</f>
        <v/>
      </c>
      <c r="I1023" s="14">
        <f>IF(E1023&lt;&gt;"", YEARFRAC(C1023, E1023) * 12, "")</f>
        <v/>
      </c>
      <c r="J1023" s="2">
        <f>IF(I1023="", "", IF(AND(A1023="MF (Equity)", I1023&gt;12), "Long Term", "Short Term"))</f>
        <v/>
      </c>
      <c r="K1023" s="5">
        <f>IF(J1023="", "", IF(J1023="Long Term", 12.5%, 20%))</f>
        <v/>
      </c>
      <c r="L1023" s="3">
        <f>+IFERROR(IF(J1023="","",H1023*K1023),"")</f>
        <v/>
      </c>
    </row>
    <row r="1024">
      <c r="A1024" s="11" t="n"/>
      <c r="B1024" s="7" t="n"/>
      <c r="C1024" s="8" t="n"/>
      <c r="D1024" s="9" t="n"/>
      <c r="E1024" s="8" t="n"/>
      <c r="F1024" s="9" t="n"/>
      <c r="G1024" s="9" t="n"/>
      <c r="H1024" s="3">
        <f>IF(AND(D1024&lt;&gt;"",F1024&lt;&gt;""),F1024-D1024-G1024,"")</f>
        <v/>
      </c>
      <c r="I1024" s="14">
        <f>IF(E1024&lt;&gt;"", YEARFRAC(C1024, E1024) * 12, "")</f>
        <v/>
      </c>
      <c r="J1024" s="2">
        <f>IF(I1024="", "", IF(AND(A1024="MF (Equity)", I1024&gt;12), "Long Term", "Short Term"))</f>
        <v/>
      </c>
      <c r="K1024" s="5">
        <f>IF(J1024="", "", IF(J1024="Long Term", 12.5%, 20%))</f>
        <v/>
      </c>
      <c r="L1024" s="3">
        <f>+IFERROR(IF(J1024="","",H1024*K1024),"")</f>
        <v/>
      </c>
    </row>
    <row r="1025">
      <c r="A1025" s="11" t="n"/>
      <c r="B1025" s="7" t="n"/>
      <c r="C1025" s="8" t="n"/>
      <c r="D1025" s="9" t="n"/>
      <c r="E1025" s="8" t="n"/>
      <c r="F1025" s="9" t="n"/>
      <c r="G1025" s="9" t="n"/>
      <c r="H1025" s="3">
        <f>IF(AND(D1025&lt;&gt;"",F1025&lt;&gt;""),F1025-D1025-G1025,"")</f>
        <v/>
      </c>
      <c r="I1025" s="14">
        <f>IF(E1025&lt;&gt;"", YEARFRAC(C1025, E1025) * 12, "")</f>
        <v/>
      </c>
      <c r="J1025" s="2">
        <f>IF(I1025="", "", IF(AND(A1025="MF (Equity)", I1025&gt;12), "Long Term", "Short Term"))</f>
        <v/>
      </c>
      <c r="K1025" s="5">
        <f>IF(J1025="", "", IF(J1025="Long Term", 12.5%, 20%))</f>
        <v/>
      </c>
      <c r="L1025" s="3">
        <f>+IFERROR(IF(J1025="","",H1025*K1025),"")</f>
        <v/>
      </c>
    </row>
    <row r="1026">
      <c r="A1026" s="11" t="n"/>
      <c r="B1026" s="7" t="n"/>
      <c r="C1026" s="8" t="n"/>
      <c r="D1026" s="9" t="n"/>
      <c r="E1026" s="8" t="n"/>
      <c r="F1026" s="9" t="n"/>
      <c r="G1026" s="9" t="n"/>
      <c r="H1026" s="3">
        <f>IF(AND(D1026&lt;&gt;"",F1026&lt;&gt;""),F1026-D1026-G1026,"")</f>
        <v/>
      </c>
      <c r="I1026" s="14">
        <f>IF(E1026&lt;&gt;"", YEARFRAC(C1026, E1026) * 12, "")</f>
        <v/>
      </c>
      <c r="J1026" s="2">
        <f>IF(I1026="", "", IF(AND(A1026="MF (Equity)", I1026&gt;12), "Long Term", "Short Term"))</f>
        <v/>
      </c>
      <c r="K1026" s="5">
        <f>IF(J1026="", "", IF(J1026="Long Term", 12.5%, 20%))</f>
        <v/>
      </c>
      <c r="L1026" s="3">
        <f>+IFERROR(IF(J1026="","",H1026*K1026),"")</f>
        <v/>
      </c>
    </row>
    <row r="1027">
      <c r="A1027" s="11" t="n"/>
      <c r="B1027" s="7" t="n"/>
      <c r="C1027" s="8" t="n"/>
      <c r="D1027" s="9" t="n"/>
      <c r="E1027" s="8" t="n"/>
      <c r="F1027" s="9" t="n"/>
      <c r="G1027" s="9" t="n"/>
      <c r="H1027" s="3">
        <f>IF(AND(D1027&lt;&gt;"",F1027&lt;&gt;""),F1027-D1027-G1027,"")</f>
        <v/>
      </c>
      <c r="I1027" s="14">
        <f>IF(E1027&lt;&gt;"", YEARFRAC(C1027, E1027) * 12, "")</f>
        <v/>
      </c>
      <c r="J1027" s="2">
        <f>IF(I1027="", "", IF(AND(A1027="MF (Equity)", I1027&gt;12), "Long Term", "Short Term"))</f>
        <v/>
      </c>
      <c r="K1027" s="5">
        <f>IF(J1027="", "", IF(J1027="Long Term", 12.5%, 20%))</f>
        <v/>
      </c>
      <c r="L1027" s="3">
        <f>+IFERROR(IF(J1027="","",H1027*K1027),"")</f>
        <v/>
      </c>
    </row>
    <row r="1028">
      <c r="A1028" s="11" t="n"/>
      <c r="B1028" s="7" t="n"/>
      <c r="C1028" s="8" t="n"/>
      <c r="D1028" s="9" t="n"/>
      <c r="E1028" s="8" t="n"/>
      <c r="F1028" s="9" t="n"/>
      <c r="G1028" s="9" t="n"/>
      <c r="H1028" s="3">
        <f>IF(AND(D1028&lt;&gt;"",F1028&lt;&gt;""),F1028-D1028-G1028,"")</f>
        <v/>
      </c>
      <c r="I1028" s="14">
        <f>IF(E1028&lt;&gt;"", YEARFRAC(C1028, E1028) * 12, "")</f>
        <v/>
      </c>
      <c r="J1028" s="2">
        <f>IF(I1028="", "", IF(AND(A1028="MF (Equity)", I1028&gt;12), "Long Term", "Short Term"))</f>
        <v/>
      </c>
      <c r="K1028" s="5">
        <f>IF(J1028="", "", IF(J1028="Long Term", 12.5%, 20%))</f>
        <v/>
      </c>
      <c r="L1028" s="3">
        <f>+IFERROR(IF(J1028="","",H1028*K1028),"")</f>
        <v/>
      </c>
    </row>
    <row r="1029">
      <c r="A1029" s="11" t="n"/>
      <c r="B1029" s="7" t="n"/>
      <c r="C1029" s="8" t="n"/>
      <c r="D1029" s="9" t="n"/>
      <c r="E1029" s="8" t="n"/>
      <c r="F1029" s="9" t="n"/>
      <c r="G1029" s="9" t="n"/>
      <c r="H1029" s="3">
        <f>IF(AND(D1029&lt;&gt;"",F1029&lt;&gt;""),F1029-D1029-G1029,"")</f>
        <v/>
      </c>
      <c r="I1029" s="14">
        <f>IF(E1029&lt;&gt;"", YEARFRAC(C1029, E1029) * 12, "")</f>
        <v/>
      </c>
      <c r="J1029" s="2">
        <f>IF(I1029="", "", IF(AND(A1029="MF (Equity)", I1029&gt;12), "Long Term", "Short Term"))</f>
        <v/>
      </c>
      <c r="K1029" s="5">
        <f>IF(J1029="", "", IF(J1029="Long Term", 12.5%, 20%))</f>
        <v/>
      </c>
      <c r="L1029" s="3">
        <f>+IFERROR(IF(J1029="","",H1029*K1029),"")</f>
        <v/>
      </c>
    </row>
    <row r="1030">
      <c r="A1030" s="11" t="n"/>
      <c r="B1030" s="7" t="n"/>
      <c r="C1030" s="8" t="n"/>
      <c r="D1030" s="9" t="n"/>
      <c r="E1030" s="8" t="n"/>
      <c r="F1030" s="9" t="n"/>
      <c r="G1030" s="9" t="n"/>
      <c r="H1030" s="3">
        <f>IF(AND(D1030&lt;&gt;"",F1030&lt;&gt;""),F1030-D1030-G1030,"")</f>
        <v/>
      </c>
      <c r="I1030" s="14">
        <f>IF(E1030&lt;&gt;"", YEARFRAC(C1030, E1030) * 12, "")</f>
        <v/>
      </c>
      <c r="J1030" s="2">
        <f>IF(I1030="", "", IF(AND(A1030="MF (Equity)", I1030&gt;12), "Long Term", "Short Term"))</f>
        <v/>
      </c>
      <c r="K1030" s="5">
        <f>IF(J1030="", "", IF(J1030="Long Term", 12.5%, 20%))</f>
        <v/>
      </c>
      <c r="L1030" s="3">
        <f>+IFERROR(IF(J1030="","",H1030*K1030),"")</f>
        <v/>
      </c>
    </row>
    <row r="1031">
      <c r="A1031" s="11" t="n"/>
      <c r="B1031" s="7" t="n"/>
      <c r="C1031" s="8" t="n"/>
      <c r="D1031" s="9" t="n"/>
      <c r="E1031" s="8" t="n"/>
      <c r="F1031" s="9" t="n"/>
      <c r="G1031" s="9" t="n"/>
      <c r="H1031" s="3">
        <f>IF(AND(D1031&lt;&gt;"",F1031&lt;&gt;""),F1031-D1031-G1031,"")</f>
        <v/>
      </c>
      <c r="I1031" s="14">
        <f>IF(E1031&lt;&gt;"", YEARFRAC(C1031, E1031) * 12, "")</f>
        <v/>
      </c>
      <c r="J1031" s="2">
        <f>IF(I1031="", "", IF(AND(A1031="MF (Equity)", I1031&gt;12), "Long Term", "Short Term"))</f>
        <v/>
      </c>
      <c r="K1031" s="5">
        <f>IF(J1031="", "", IF(J1031="Long Term", 12.5%, 20%))</f>
        <v/>
      </c>
      <c r="L1031" s="3">
        <f>+IFERROR(IF(J1031="","",H1031*K1031),"")</f>
        <v/>
      </c>
    </row>
    <row r="1032">
      <c r="A1032" s="11" t="n"/>
      <c r="B1032" s="7" t="n"/>
      <c r="C1032" s="8" t="n"/>
      <c r="D1032" s="9" t="n"/>
      <c r="E1032" s="8" t="n"/>
      <c r="F1032" s="9" t="n"/>
      <c r="G1032" s="9" t="n"/>
      <c r="H1032" s="3">
        <f>IF(AND(D1032&lt;&gt;"",F1032&lt;&gt;""),F1032-D1032-G1032,"")</f>
        <v/>
      </c>
      <c r="I1032" s="14">
        <f>IF(E1032&lt;&gt;"", YEARFRAC(C1032, E1032) * 12, "")</f>
        <v/>
      </c>
      <c r="J1032" s="2">
        <f>IF(I1032="", "", IF(AND(A1032="MF (Equity)", I1032&gt;12), "Long Term", "Short Term"))</f>
        <v/>
      </c>
      <c r="K1032" s="5">
        <f>IF(J1032="", "", IF(J1032="Long Term", 12.5%, 20%))</f>
        <v/>
      </c>
      <c r="L1032" s="3">
        <f>+IFERROR(IF(J1032="","",H1032*K1032),"")</f>
        <v/>
      </c>
    </row>
    <row r="1033">
      <c r="A1033" s="11" t="n"/>
      <c r="B1033" s="7" t="n"/>
      <c r="C1033" s="8" t="n"/>
      <c r="D1033" s="9" t="n"/>
      <c r="E1033" s="8" t="n"/>
      <c r="F1033" s="9" t="n"/>
      <c r="G1033" s="9" t="n"/>
      <c r="H1033" s="3">
        <f>IF(AND(D1033&lt;&gt;"",F1033&lt;&gt;""),F1033-D1033-G1033,"")</f>
        <v/>
      </c>
      <c r="I1033" s="14">
        <f>IF(E1033&lt;&gt;"", YEARFRAC(C1033, E1033) * 12, "")</f>
        <v/>
      </c>
      <c r="J1033" s="2">
        <f>IF(I1033="", "", IF(AND(A1033="MF (Equity)", I1033&gt;12), "Long Term", "Short Term"))</f>
        <v/>
      </c>
      <c r="K1033" s="5">
        <f>IF(J1033="", "", IF(J1033="Long Term", 12.5%, 20%))</f>
        <v/>
      </c>
      <c r="L1033" s="3">
        <f>+IFERROR(IF(J1033="","",H1033*K1033),"")</f>
        <v/>
      </c>
    </row>
    <row r="1034">
      <c r="A1034" s="11" t="n"/>
      <c r="B1034" s="7" t="n"/>
      <c r="C1034" s="8" t="n"/>
      <c r="D1034" s="9" t="n"/>
      <c r="E1034" s="8" t="n"/>
      <c r="F1034" s="9" t="n"/>
      <c r="G1034" s="9" t="n"/>
      <c r="H1034" s="3">
        <f>IF(AND(D1034&lt;&gt;"",F1034&lt;&gt;""),F1034-D1034-G1034,"")</f>
        <v/>
      </c>
      <c r="I1034" s="14">
        <f>IF(E1034&lt;&gt;"", YEARFRAC(C1034, E1034) * 12, "")</f>
        <v/>
      </c>
      <c r="J1034" s="2">
        <f>IF(I1034="", "", IF(AND(A1034="MF (Equity)", I1034&gt;12), "Long Term", "Short Term"))</f>
        <v/>
      </c>
      <c r="K1034" s="5">
        <f>IF(J1034="", "", IF(J1034="Long Term", 12.5%, 20%))</f>
        <v/>
      </c>
      <c r="L1034" s="3">
        <f>+IFERROR(IF(J1034="","",H1034*K1034),"")</f>
        <v/>
      </c>
    </row>
    <row r="1035">
      <c r="A1035" s="11" t="n"/>
      <c r="B1035" s="7" t="n"/>
      <c r="C1035" s="8" t="n"/>
      <c r="D1035" s="9" t="n"/>
      <c r="E1035" s="8" t="n"/>
      <c r="F1035" s="9" t="n"/>
      <c r="G1035" s="9" t="n"/>
      <c r="H1035" s="3">
        <f>IF(AND(D1035&lt;&gt;"",F1035&lt;&gt;""),F1035-D1035-G1035,"")</f>
        <v/>
      </c>
      <c r="I1035" s="14">
        <f>IF(E1035&lt;&gt;"", YEARFRAC(C1035, E1035) * 12, "")</f>
        <v/>
      </c>
      <c r="J1035" s="2">
        <f>IF(I1035="", "", IF(AND(A1035="MF (Equity)", I1035&gt;12), "Long Term", "Short Term"))</f>
        <v/>
      </c>
      <c r="K1035" s="5">
        <f>IF(J1035="", "", IF(J1035="Long Term", 12.5%, 20%))</f>
        <v/>
      </c>
      <c r="L1035" s="3">
        <f>+IFERROR(IF(J1035="","",H1035*K1035),"")</f>
        <v/>
      </c>
    </row>
    <row r="1036">
      <c r="A1036" s="11" t="n"/>
      <c r="B1036" s="7" t="n"/>
      <c r="C1036" s="8" t="n"/>
      <c r="D1036" s="9" t="n"/>
      <c r="E1036" s="8" t="n"/>
      <c r="F1036" s="9" t="n"/>
      <c r="G1036" s="9" t="n"/>
      <c r="H1036" s="3">
        <f>IF(AND(D1036&lt;&gt;"",F1036&lt;&gt;""),F1036-D1036-G1036,"")</f>
        <v/>
      </c>
      <c r="I1036" s="14">
        <f>IF(E1036&lt;&gt;"", YEARFRAC(C1036, E1036) * 12, "")</f>
        <v/>
      </c>
      <c r="J1036" s="2">
        <f>IF(I1036="", "", IF(AND(A1036="MF (Equity)", I1036&gt;12), "Long Term", "Short Term"))</f>
        <v/>
      </c>
      <c r="K1036" s="5">
        <f>IF(J1036="", "", IF(J1036="Long Term", 12.5%, 20%))</f>
        <v/>
      </c>
      <c r="L1036" s="3">
        <f>+IFERROR(IF(J1036="","",H1036*K1036),"")</f>
        <v/>
      </c>
    </row>
    <row r="1037">
      <c r="A1037" s="11" t="n"/>
      <c r="B1037" s="7" t="n"/>
      <c r="C1037" s="8" t="n"/>
      <c r="D1037" s="9" t="n"/>
      <c r="E1037" s="8" t="n"/>
      <c r="F1037" s="9" t="n"/>
      <c r="G1037" s="9" t="n"/>
      <c r="H1037" s="3">
        <f>IF(AND(D1037&lt;&gt;"",F1037&lt;&gt;""),F1037-D1037-G1037,"")</f>
        <v/>
      </c>
      <c r="I1037" s="14">
        <f>IF(E1037&lt;&gt;"", YEARFRAC(C1037, E1037) * 12, "")</f>
        <v/>
      </c>
      <c r="J1037" s="2">
        <f>IF(I1037="", "", IF(AND(A1037="MF (Equity)", I1037&gt;12), "Long Term", "Short Term"))</f>
        <v/>
      </c>
      <c r="K1037" s="5">
        <f>IF(J1037="", "", IF(J1037="Long Term", 12.5%, 20%))</f>
        <v/>
      </c>
      <c r="L1037" s="3">
        <f>+IFERROR(IF(J1037="","",H1037*K1037),"")</f>
        <v/>
      </c>
    </row>
    <row r="1038">
      <c r="A1038" s="11" t="n"/>
      <c r="B1038" s="7" t="n"/>
      <c r="C1038" s="8" t="n"/>
      <c r="D1038" s="9" t="n"/>
      <c r="E1038" s="8" t="n"/>
      <c r="F1038" s="9" t="n"/>
      <c r="G1038" s="9" t="n"/>
      <c r="H1038" s="3">
        <f>IF(AND(D1038&lt;&gt;"",F1038&lt;&gt;""),F1038-D1038-G1038,"")</f>
        <v/>
      </c>
      <c r="I1038" s="14">
        <f>IF(E1038&lt;&gt;"", YEARFRAC(C1038, E1038) * 12, "")</f>
        <v/>
      </c>
      <c r="J1038" s="2">
        <f>IF(I1038="", "", IF(AND(A1038="MF (Equity)", I1038&gt;12), "Long Term", "Short Term"))</f>
        <v/>
      </c>
      <c r="K1038" s="5">
        <f>IF(J1038="", "", IF(J1038="Long Term", 12.5%, 20%))</f>
        <v/>
      </c>
      <c r="L1038" s="3">
        <f>+IFERROR(IF(J1038="","",H1038*K1038),"")</f>
        <v/>
      </c>
    </row>
    <row r="1039">
      <c r="A1039" s="11" t="n"/>
      <c r="B1039" s="7" t="n"/>
      <c r="C1039" s="8" t="n"/>
      <c r="D1039" s="9" t="n"/>
      <c r="E1039" s="8" t="n"/>
      <c r="F1039" s="9" t="n"/>
      <c r="G1039" s="9" t="n"/>
      <c r="H1039" s="3">
        <f>IF(AND(D1039&lt;&gt;"",F1039&lt;&gt;""),F1039-D1039-G1039,"")</f>
        <v/>
      </c>
      <c r="I1039" s="14">
        <f>IF(E1039&lt;&gt;"", YEARFRAC(C1039, E1039) * 12, "")</f>
        <v/>
      </c>
      <c r="J1039" s="2">
        <f>IF(I1039="", "", IF(AND(A1039="MF (Equity)", I1039&gt;12), "Long Term", "Short Term"))</f>
        <v/>
      </c>
      <c r="K1039" s="5">
        <f>IF(J1039="", "", IF(J1039="Long Term", 12.5%, 20%))</f>
        <v/>
      </c>
      <c r="L1039" s="3">
        <f>+IFERROR(IF(J1039="","",H1039*K1039),"")</f>
        <v/>
      </c>
    </row>
    <row r="1040">
      <c r="A1040" s="11" t="n"/>
      <c r="B1040" s="7" t="n"/>
      <c r="C1040" s="8" t="n"/>
      <c r="D1040" s="9" t="n"/>
      <c r="E1040" s="8" t="n"/>
      <c r="F1040" s="9" t="n"/>
      <c r="G1040" s="9" t="n"/>
      <c r="H1040" s="3">
        <f>IF(AND(D1040&lt;&gt;"",F1040&lt;&gt;""),F1040-D1040-G1040,"")</f>
        <v/>
      </c>
      <c r="I1040" s="14">
        <f>IF(E1040&lt;&gt;"", YEARFRAC(C1040, E1040) * 12, "")</f>
        <v/>
      </c>
      <c r="J1040" s="2">
        <f>IF(I1040="", "", IF(AND(A1040="MF (Equity)", I1040&gt;12), "Long Term", "Short Term"))</f>
        <v/>
      </c>
      <c r="K1040" s="5">
        <f>IF(J1040="", "", IF(J1040="Long Term", 12.5%, 20%))</f>
        <v/>
      </c>
      <c r="L1040" s="3">
        <f>+IFERROR(IF(J1040="","",H1040*K1040),"")</f>
        <v/>
      </c>
    </row>
    <row r="1041">
      <c r="A1041" s="11" t="n"/>
      <c r="B1041" s="7" t="n"/>
      <c r="C1041" s="8" t="n"/>
      <c r="D1041" s="9" t="n"/>
      <c r="E1041" s="8" t="n"/>
      <c r="F1041" s="9" t="n"/>
      <c r="G1041" s="9" t="n"/>
      <c r="H1041" s="3">
        <f>IF(AND(D1041&lt;&gt;"",F1041&lt;&gt;""),F1041-D1041-G1041,"")</f>
        <v/>
      </c>
      <c r="I1041" s="14">
        <f>IF(E1041&lt;&gt;"", YEARFRAC(C1041, E1041) * 12, "")</f>
        <v/>
      </c>
      <c r="J1041" s="2">
        <f>IF(I1041="", "", IF(AND(A1041="MF (Equity)", I1041&gt;12), "Long Term", "Short Term"))</f>
        <v/>
      </c>
      <c r="K1041" s="5">
        <f>IF(J1041="", "", IF(J1041="Long Term", 12.5%, 20%))</f>
        <v/>
      </c>
      <c r="L1041" s="3">
        <f>+IFERROR(IF(J1041="","",H1041*K1041),"")</f>
        <v/>
      </c>
    </row>
    <row r="1042">
      <c r="A1042" s="11" t="n"/>
      <c r="B1042" s="7" t="n"/>
      <c r="C1042" s="8" t="n"/>
      <c r="D1042" s="9" t="n"/>
      <c r="E1042" s="8" t="n"/>
      <c r="F1042" s="9" t="n"/>
      <c r="G1042" s="9" t="n"/>
      <c r="H1042" s="3">
        <f>IF(AND(D1042&lt;&gt;"",F1042&lt;&gt;""),F1042-D1042-G1042,"")</f>
        <v/>
      </c>
      <c r="I1042" s="14">
        <f>IF(E1042&lt;&gt;"", YEARFRAC(C1042, E1042) * 12, "")</f>
        <v/>
      </c>
      <c r="J1042" s="2">
        <f>IF(I1042="", "", IF(AND(A1042="MF (Equity)", I1042&gt;12), "Long Term", "Short Term"))</f>
        <v/>
      </c>
      <c r="K1042" s="5">
        <f>IF(J1042="", "", IF(J1042="Long Term", 12.5%, 20%))</f>
        <v/>
      </c>
      <c r="L1042" s="3">
        <f>+IFERROR(IF(J1042="","",H1042*K1042),"")</f>
        <v/>
      </c>
    </row>
    <row r="1043">
      <c r="A1043" s="11" t="n"/>
      <c r="B1043" s="7" t="n"/>
      <c r="C1043" s="8" t="n"/>
      <c r="D1043" s="9" t="n"/>
      <c r="E1043" s="8" t="n"/>
      <c r="F1043" s="9" t="n"/>
      <c r="G1043" s="9" t="n"/>
      <c r="H1043" s="3">
        <f>IF(AND(D1043&lt;&gt;"",F1043&lt;&gt;""),F1043-D1043-G1043,"")</f>
        <v/>
      </c>
      <c r="I1043" s="14">
        <f>IF(E1043&lt;&gt;"", YEARFRAC(C1043, E1043) * 12, "")</f>
        <v/>
      </c>
      <c r="J1043" s="2">
        <f>IF(I1043="", "", IF(AND(A1043="MF (Equity)", I1043&gt;12), "Long Term", "Short Term"))</f>
        <v/>
      </c>
      <c r="K1043" s="5">
        <f>IF(J1043="", "", IF(J1043="Long Term", 12.5%, 20%))</f>
        <v/>
      </c>
      <c r="L1043" s="3">
        <f>+IFERROR(IF(J1043="","",H1043*K1043),"")</f>
        <v/>
      </c>
    </row>
    <row r="1044">
      <c r="A1044" s="11" t="n"/>
      <c r="B1044" s="7" t="n"/>
      <c r="C1044" s="8" t="n"/>
      <c r="D1044" s="9" t="n"/>
      <c r="E1044" s="8" t="n"/>
      <c r="F1044" s="9" t="n"/>
      <c r="G1044" s="9" t="n"/>
      <c r="H1044" s="3">
        <f>IF(AND(D1044&lt;&gt;"",F1044&lt;&gt;""),F1044-D1044-G1044,"")</f>
        <v/>
      </c>
      <c r="I1044" s="14">
        <f>IF(E1044&lt;&gt;"", YEARFRAC(C1044, E1044) * 12, "")</f>
        <v/>
      </c>
      <c r="J1044" s="2">
        <f>IF(I1044="", "", IF(AND(A1044="MF (Equity)", I1044&gt;12), "Long Term", "Short Term"))</f>
        <v/>
      </c>
      <c r="K1044" s="5">
        <f>IF(J1044="", "", IF(J1044="Long Term", 12.5%, 20%))</f>
        <v/>
      </c>
      <c r="L1044" s="3">
        <f>+IFERROR(IF(J1044="","",H1044*K1044),"")</f>
        <v/>
      </c>
    </row>
    <row r="1045">
      <c r="A1045" s="11" t="n"/>
      <c r="B1045" s="7" t="n"/>
      <c r="C1045" s="8" t="n"/>
      <c r="D1045" s="9" t="n"/>
      <c r="E1045" s="8" t="n"/>
      <c r="F1045" s="9" t="n"/>
      <c r="G1045" s="9" t="n"/>
      <c r="H1045" s="3">
        <f>IF(AND(D1045&lt;&gt;"",F1045&lt;&gt;""),F1045-D1045-G1045,"")</f>
        <v/>
      </c>
      <c r="I1045" s="14">
        <f>IF(E1045&lt;&gt;"", YEARFRAC(C1045, E1045) * 12, "")</f>
        <v/>
      </c>
      <c r="J1045" s="2">
        <f>IF(I1045="", "", IF(AND(A1045="MF (Equity)", I1045&gt;12), "Long Term", "Short Term"))</f>
        <v/>
      </c>
      <c r="K1045" s="5">
        <f>IF(J1045="", "", IF(J1045="Long Term", 12.5%, 20%))</f>
        <v/>
      </c>
      <c r="L1045" s="3">
        <f>+IFERROR(IF(J1045="","",H1045*K1045),"")</f>
        <v/>
      </c>
    </row>
    <row r="1046">
      <c r="A1046" s="11" t="n"/>
      <c r="B1046" s="7" t="n"/>
      <c r="C1046" s="8" t="n"/>
      <c r="D1046" s="9" t="n"/>
      <c r="E1046" s="8" t="n"/>
      <c r="F1046" s="9" t="n"/>
      <c r="G1046" s="9" t="n"/>
      <c r="H1046" s="3">
        <f>IF(AND(D1046&lt;&gt;"",F1046&lt;&gt;""),F1046-D1046-G1046,"")</f>
        <v/>
      </c>
      <c r="I1046" s="14">
        <f>IF(E1046&lt;&gt;"", YEARFRAC(C1046, E1046) * 12, "")</f>
        <v/>
      </c>
      <c r="J1046" s="2">
        <f>IF(I1046="", "", IF(AND(A1046="MF (Equity)", I1046&gt;12), "Long Term", "Short Term"))</f>
        <v/>
      </c>
      <c r="K1046" s="5">
        <f>IF(J1046="", "", IF(J1046="Long Term", 12.5%, 20%))</f>
        <v/>
      </c>
      <c r="L1046" s="3">
        <f>+IFERROR(IF(J1046="","",H1046*K1046),"")</f>
        <v/>
      </c>
    </row>
    <row r="1047">
      <c r="A1047" s="11" t="n"/>
      <c r="B1047" s="7" t="n"/>
      <c r="C1047" s="8" t="n"/>
      <c r="D1047" s="9" t="n"/>
      <c r="E1047" s="8" t="n"/>
      <c r="F1047" s="9" t="n"/>
      <c r="G1047" s="9" t="n"/>
      <c r="H1047" s="3">
        <f>IF(AND(D1047&lt;&gt;"",F1047&lt;&gt;""),F1047-D1047-G1047,"")</f>
        <v/>
      </c>
      <c r="I1047" s="14">
        <f>IF(E1047&lt;&gt;"", YEARFRAC(C1047, E1047) * 12, "")</f>
        <v/>
      </c>
      <c r="J1047" s="2">
        <f>IF(I1047="", "", IF(AND(A1047="MF (Equity)", I1047&gt;12), "Long Term", "Short Term"))</f>
        <v/>
      </c>
      <c r="K1047" s="5">
        <f>IF(J1047="", "", IF(J1047="Long Term", 12.5%, 20%))</f>
        <v/>
      </c>
      <c r="L1047" s="3">
        <f>+IFERROR(IF(J1047="","",H1047*K1047),"")</f>
        <v/>
      </c>
    </row>
    <row r="1048">
      <c r="A1048" s="11" t="n"/>
      <c r="B1048" s="7" t="n"/>
      <c r="C1048" s="8" t="n"/>
      <c r="D1048" s="9" t="n"/>
      <c r="E1048" s="8" t="n"/>
      <c r="F1048" s="9" t="n"/>
      <c r="G1048" s="9" t="n"/>
      <c r="H1048" s="3">
        <f>IF(AND(D1048&lt;&gt;"",F1048&lt;&gt;""),F1048-D1048-G1048,"")</f>
        <v/>
      </c>
      <c r="I1048" s="14">
        <f>IF(E1048&lt;&gt;"", YEARFRAC(C1048, E1048) * 12, "")</f>
        <v/>
      </c>
      <c r="J1048" s="2">
        <f>IF(I1048="", "", IF(AND(A1048="MF (Equity)", I1048&gt;12), "Long Term", "Short Term"))</f>
        <v/>
      </c>
      <c r="K1048" s="5">
        <f>IF(J1048="", "", IF(J1048="Long Term", 12.5%, 20%))</f>
        <v/>
      </c>
      <c r="L1048" s="3">
        <f>+IFERROR(IF(J1048="","",H1048*K1048),"")</f>
        <v/>
      </c>
    </row>
    <row r="1049">
      <c r="A1049" s="11" t="n"/>
      <c r="B1049" s="7" t="n"/>
      <c r="C1049" s="8" t="n"/>
      <c r="D1049" s="9" t="n"/>
      <c r="E1049" s="8" t="n"/>
      <c r="F1049" s="9" t="n"/>
      <c r="G1049" s="9" t="n"/>
      <c r="H1049" s="3">
        <f>IF(AND(D1049&lt;&gt;"",F1049&lt;&gt;""),F1049-D1049-G1049,"")</f>
        <v/>
      </c>
      <c r="I1049" s="14">
        <f>IF(E1049&lt;&gt;"", YEARFRAC(C1049, E1049) * 12, "")</f>
        <v/>
      </c>
      <c r="J1049" s="2">
        <f>IF(I1049="", "", IF(AND(A1049="MF (Equity)", I1049&gt;12), "Long Term", "Short Term"))</f>
        <v/>
      </c>
      <c r="K1049" s="5">
        <f>IF(J1049="", "", IF(J1049="Long Term", 12.5%, 20%))</f>
        <v/>
      </c>
      <c r="L1049" s="3">
        <f>+IFERROR(IF(J1049="","",H1049*K1049),"")</f>
        <v/>
      </c>
    </row>
    <row r="1050">
      <c r="A1050" s="11" t="n"/>
      <c r="B1050" s="7" t="n"/>
      <c r="C1050" s="8" t="n"/>
      <c r="D1050" s="9" t="n"/>
      <c r="E1050" s="8" t="n"/>
      <c r="F1050" s="9" t="n"/>
      <c r="G1050" s="9" t="n"/>
      <c r="H1050" s="3">
        <f>IF(AND(D1050&lt;&gt;"",F1050&lt;&gt;""),F1050-D1050-G1050,"")</f>
        <v/>
      </c>
      <c r="I1050" s="14">
        <f>IF(E1050&lt;&gt;"", YEARFRAC(C1050, E1050) * 12, "")</f>
        <v/>
      </c>
      <c r="J1050" s="2">
        <f>IF(I1050="", "", IF(AND(A1050="MF (Equity)", I1050&gt;12), "Long Term", "Short Term"))</f>
        <v/>
      </c>
      <c r="K1050" s="5">
        <f>IF(J1050="", "", IF(J1050="Long Term", 12.5%, 20%))</f>
        <v/>
      </c>
      <c r="L1050" s="3">
        <f>+IFERROR(IF(J1050="","",H1050*K1050),"")</f>
        <v/>
      </c>
    </row>
    <row r="1051">
      <c r="A1051" s="11" t="n"/>
      <c r="B1051" s="7" t="n"/>
      <c r="C1051" s="8" t="n"/>
      <c r="D1051" s="9" t="n"/>
      <c r="E1051" s="8" t="n"/>
      <c r="F1051" s="9" t="n"/>
      <c r="G1051" s="9" t="n"/>
      <c r="H1051" s="3">
        <f>IF(AND(D1051&lt;&gt;"",F1051&lt;&gt;""),F1051-D1051-G1051,"")</f>
        <v/>
      </c>
      <c r="I1051" s="14">
        <f>IF(E1051&lt;&gt;"", YEARFRAC(C1051, E1051) * 12, "")</f>
        <v/>
      </c>
      <c r="J1051" s="2">
        <f>IF(I1051="", "", IF(AND(A1051="MF (Equity)", I1051&gt;12), "Long Term", "Short Term"))</f>
        <v/>
      </c>
      <c r="K1051" s="5">
        <f>IF(J1051="", "", IF(J1051="Long Term", 12.5%, 20%))</f>
        <v/>
      </c>
      <c r="L1051" s="3">
        <f>+IFERROR(IF(J1051="","",H1051*K1051),"")</f>
        <v/>
      </c>
    </row>
    <row r="1052">
      <c r="A1052" s="11" t="n"/>
      <c r="B1052" s="7" t="n"/>
      <c r="C1052" s="8" t="n"/>
      <c r="D1052" s="9" t="n"/>
      <c r="E1052" s="8" t="n"/>
      <c r="F1052" s="9" t="n"/>
      <c r="G1052" s="9" t="n"/>
      <c r="H1052" s="3">
        <f>IF(AND(D1052&lt;&gt;"",F1052&lt;&gt;""),F1052-D1052-G1052,"")</f>
        <v/>
      </c>
      <c r="I1052" s="14">
        <f>IF(E1052&lt;&gt;"", YEARFRAC(C1052, E1052) * 12, "")</f>
        <v/>
      </c>
      <c r="J1052" s="2">
        <f>IF(I1052="", "", IF(AND(A1052="MF (Equity)", I1052&gt;12), "Long Term", "Short Term"))</f>
        <v/>
      </c>
      <c r="K1052" s="5">
        <f>IF(J1052="", "", IF(J1052="Long Term", 12.5%, 20%))</f>
        <v/>
      </c>
      <c r="L1052" s="3">
        <f>+IFERROR(IF(J1052="","",H1052*K1052),"")</f>
        <v/>
      </c>
    </row>
    <row r="1053">
      <c r="A1053" s="11" t="n"/>
      <c r="B1053" s="7" t="n"/>
      <c r="C1053" s="8" t="n"/>
      <c r="D1053" s="9" t="n"/>
      <c r="E1053" s="8" t="n"/>
      <c r="F1053" s="9" t="n"/>
      <c r="G1053" s="9" t="n"/>
      <c r="H1053" s="3">
        <f>IF(AND(D1053&lt;&gt;"",F1053&lt;&gt;""),F1053-D1053-G1053,"")</f>
        <v/>
      </c>
      <c r="I1053" s="14">
        <f>IF(E1053&lt;&gt;"", YEARFRAC(C1053, E1053) * 12, "")</f>
        <v/>
      </c>
      <c r="J1053" s="2">
        <f>IF(I1053="", "", IF(AND(A1053="MF (Equity)", I1053&gt;12), "Long Term", "Short Term"))</f>
        <v/>
      </c>
      <c r="K1053" s="5">
        <f>IF(J1053="", "", IF(J1053="Long Term", 12.5%, 20%))</f>
        <v/>
      </c>
      <c r="L1053" s="3">
        <f>+IFERROR(IF(J1053="","",H1053*K1053),"")</f>
        <v/>
      </c>
    </row>
    <row r="1054">
      <c r="A1054" s="11" t="n"/>
      <c r="B1054" s="7" t="n"/>
      <c r="C1054" s="8" t="n"/>
      <c r="D1054" s="9" t="n"/>
      <c r="E1054" s="8" t="n"/>
      <c r="F1054" s="9" t="n"/>
      <c r="G1054" s="9" t="n"/>
      <c r="H1054" s="3">
        <f>IF(AND(D1054&lt;&gt;"",F1054&lt;&gt;""),F1054-D1054-G1054,"")</f>
        <v/>
      </c>
      <c r="I1054" s="14">
        <f>IF(E1054&lt;&gt;"", YEARFRAC(C1054, E1054) * 12, "")</f>
        <v/>
      </c>
      <c r="J1054" s="2">
        <f>IF(I1054="", "", IF(AND(A1054="MF (Equity)", I1054&gt;12), "Long Term", "Short Term"))</f>
        <v/>
      </c>
      <c r="K1054" s="5">
        <f>IF(J1054="", "", IF(J1054="Long Term", 12.5%, 20%))</f>
        <v/>
      </c>
      <c r="L1054" s="3">
        <f>+IFERROR(IF(J1054="","",H1054*K1054),"")</f>
        <v/>
      </c>
    </row>
    <row r="1055">
      <c r="A1055" s="11" t="n"/>
      <c r="B1055" s="7" t="n"/>
      <c r="C1055" s="8" t="n"/>
      <c r="D1055" s="9" t="n"/>
      <c r="E1055" s="8" t="n"/>
      <c r="F1055" s="9" t="n"/>
      <c r="G1055" s="9" t="n"/>
      <c r="H1055" s="3">
        <f>IF(AND(D1055&lt;&gt;"",F1055&lt;&gt;""),F1055-D1055-G1055,"")</f>
        <v/>
      </c>
      <c r="I1055" s="14">
        <f>IF(E1055&lt;&gt;"", YEARFRAC(C1055, E1055) * 12, "")</f>
        <v/>
      </c>
      <c r="J1055" s="2">
        <f>IF(I1055="", "", IF(AND(A1055="MF (Equity)", I1055&gt;12), "Long Term", "Short Term"))</f>
        <v/>
      </c>
      <c r="K1055" s="5">
        <f>IF(J1055="", "", IF(J1055="Long Term", 12.5%, 20%))</f>
        <v/>
      </c>
      <c r="L1055" s="3">
        <f>+IFERROR(IF(J1055="","",H1055*K1055),"")</f>
        <v/>
      </c>
    </row>
    <row r="1056">
      <c r="A1056" s="11" t="n"/>
      <c r="B1056" s="7" t="n"/>
      <c r="C1056" s="8" t="n"/>
      <c r="D1056" s="9" t="n"/>
      <c r="E1056" s="8" t="n"/>
      <c r="F1056" s="9" t="n"/>
      <c r="G1056" s="9" t="n"/>
      <c r="H1056" s="3">
        <f>IF(AND(D1056&lt;&gt;"",F1056&lt;&gt;""),F1056-D1056-G1056,"")</f>
        <v/>
      </c>
      <c r="I1056" s="14">
        <f>IF(E1056&lt;&gt;"", YEARFRAC(C1056, E1056) * 12, "")</f>
        <v/>
      </c>
      <c r="J1056" s="2">
        <f>IF(I1056="", "", IF(AND(A1056="MF (Equity)", I1056&gt;12), "Long Term", "Short Term"))</f>
        <v/>
      </c>
      <c r="K1056" s="5">
        <f>IF(J1056="", "", IF(J1056="Long Term", 12.5%, 20%))</f>
        <v/>
      </c>
      <c r="L1056" s="3">
        <f>+IFERROR(IF(J1056="","",H1056*K1056),"")</f>
        <v/>
      </c>
    </row>
    <row r="1057">
      <c r="A1057" s="11" t="n"/>
      <c r="B1057" s="7" t="n"/>
      <c r="C1057" s="8" t="n"/>
      <c r="D1057" s="9" t="n"/>
      <c r="E1057" s="8" t="n"/>
      <c r="F1057" s="9" t="n"/>
      <c r="G1057" s="9" t="n"/>
      <c r="H1057" s="3">
        <f>IF(AND(D1057&lt;&gt;"",F1057&lt;&gt;""),F1057-D1057-G1057,"")</f>
        <v/>
      </c>
      <c r="I1057" s="14">
        <f>IF(E1057&lt;&gt;"", YEARFRAC(C1057, E1057) * 12, "")</f>
        <v/>
      </c>
      <c r="J1057" s="2">
        <f>IF(I1057="", "", IF(AND(A1057="MF (Equity)", I1057&gt;12), "Long Term", "Short Term"))</f>
        <v/>
      </c>
      <c r="K1057" s="5">
        <f>IF(J1057="", "", IF(J1057="Long Term", 12.5%, 20%))</f>
        <v/>
      </c>
      <c r="L1057" s="3">
        <f>+IFERROR(IF(J1057="","",H1057*K1057),"")</f>
        <v/>
      </c>
    </row>
    <row r="1058">
      <c r="A1058" s="11" t="n"/>
      <c r="B1058" s="7" t="n"/>
      <c r="C1058" s="8" t="n"/>
      <c r="D1058" s="9" t="n"/>
      <c r="E1058" s="8" t="n"/>
      <c r="F1058" s="9" t="n"/>
      <c r="G1058" s="9" t="n"/>
      <c r="H1058" s="3">
        <f>IF(AND(D1058&lt;&gt;"",F1058&lt;&gt;""),F1058-D1058-G1058,"")</f>
        <v/>
      </c>
      <c r="I1058" s="14">
        <f>IF(E1058&lt;&gt;"", YEARFRAC(C1058, E1058) * 12, "")</f>
        <v/>
      </c>
      <c r="J1058" s="2">
        <f>IF(I1058="", "", IF(AND(A1058="MF (Equity)", I1058&gt;12), "Long Term", "Short Term"))</f>
        <v/>
      </c>
      <c r="K1058" s="5">
        <f>IF(J1058="", "", IF(J1058="Long Term", 12.5%, 20%))</f>
        <v/>
      </c>
      <c r="L1058" s="3">
        <f>+IFERROR(IF(J1058="","",H1058*K1058),"")</f>
        <v/>
      </c>
    </row>
    <row r="1059">
      <c r="A1059" s="11" t="n"/>
      <c r="B1059" s="7" t="n"/>
      <c r="C1059" s="8" t="n"/>
      <c r="D1059" s="9" t="n"/>
      <c r="E1059" s="8" t="n"/>
      <c r="F1059" s="9" t="n"/>
      <c r="G1059" s="9" t="n"/>
      <c r="H1059" s="3">
        <f>IF(AND(D1059&lt;&gt;"",F1059&lt;&gt;""),F1059-D1059-G1059,"")</f>
        <v/>
      </c>
      <c r="I1059" s="14">
        <f>IF(E1059&lt;&gt;"", YEARFRAC(C1059, E1059) * 12, "")</f>
        <v/>
      </c>
      <c r="J1059" s="2">
        <f>IF(I1059="", "", IF(AND(A1059="MF (Equity)", I1059&gt;12), "Long Term", "Short Term"))</f>
        <v/>
      </c>
      <c r="K1059" s="5">
        <f>IF(J1059="", "", IF(J1059="Long Term", 12.5%, 20%))</f>
        <v/>
      </c>
      <c r="L1059" s="3">
        <f>+IFERROR(IF(J1059="","",H1059*K1059),"")</f>
        <v/>
      </c>
    </row>
    <row r="1060">
      <c r="A1060" s="11" t="n"/>
      <c r="B1060" s="7" t="n"/>
      <c r="C1060" s="8" t="n"/>
      <c r="D1060" s="9" t="n"/>
      <c r="E1060" s="8" t="n"/>
      <c r="F1060" s="9" t="n"/>
      <c r="G1060" s="9" t="n"/>
      <c r="H1060" s="3">
        <f>IF(AND(D1060&lt;&gt;"",F1060&lt;&gt;""),F1060-D1060-G1060,"")</f>
        <v/>
      </c>
      <c r="I1060" s="14">
        <f>IF(E1060&lt;&gt;"", YEARFRAC(C1060, E1060) * 12, "")</f>
        <v/>
      </c>
      <c r="J1060" s="2">
        <f>IF(I1060="", "", IF(AND(A1060="MF (Equity)", I1060&gt;12), "Long Term", "Short Term"))</f>
        <v/>
      </c>
      <c r="K1060" s="5">
        <f>IF(J1060="", "", IF(J1060="Long Term", 12.5%, 20%))</f>
        <v/>
      </c>
      <c r="L1060" s="3">
        <f>+IFERROR(IF(J1060="","",H1060*K1060),"")</f>
        <v/>
      </c>
    </row>
    <row r="1061">
      <c r="A1061" s="11" t="n"/>
      <c r="B1061" s="7" t="n"/>
      <c r="C1061" s="8" t="n"/>
      <c r="D1061" s="9" t="n"/>
      <c r="E1061" s="8" t="n"/>
      <c r="F1061" s="9" t="n"/>
      <c r="G1061" s="9" t="n"/>
      <c r="H1061" s="3">
        <f>IF(AND(D1061&lt;&gt;"",F1061&lt;&gt;""),F1061-D1061-G1061,"")</f>
        <v/>
      </c>
      <c r="I1061" s="14">
        <f>IF(E1061&lt;&gt;"", YEARFRAC(C1061, E1061) * 12, "")</f>
        <v/>
      </c>
      <c r="J1061" s="2">
        <f>IF(I1061="", "", IF(AND(A1061="MF (Equity)", I1061&gt;12), "Long Term", "Short Term"))</f>
        <v/>
      </c>
      <c r="K1061" s="5">
        <f>IF(J1061="", "", IF(J1061="Long Term", 12.5%, 20%))</f>
        <v/>
      </c>
      <c r="L1061" s="3">
        <f>+IFERROR(IF(J1061="","",H1061*K1061),"")</f>
        <v/>
      </c>
    </row>
    <row r="1062">
      <c r="A1062" s="11" t="n"/>
      <c r="B1062" s="7" t="n"/>
      <c r="C1062" s="8" t="n"/>
      <c r="D1062" s="9" t="n"/>
      <c r="E1062" s="8" t="n"/>
      <c r="F1062" s="9" t="n"/>
      <c r="G1062" s="9" t="n"/>
      <c r="H1062" s="3">
        <f>IF(AND(D1062&lt;&gt;"",F1062&lt;&gt;""),F1062-D1062-G1062,"")</f>
        <v/>
      </c>
      <c r="I1062" s="14">
        <f>IF(E1062&lt;&gt;"", YEARFRAC(C1062, E1062) * 12, "")</f>
        <v/>
      </c>
      <c r="J1062" s="2">
        <f>IF(I1062="", "", IF(AND(A1062="MF (Equity)", I1062&gt;12), "Long Term", "Short Term"))</f>
        <v/>
      </c>
      <c r="K1062" s="5">
        <f>IF(J1062="", "", IF(J1062="Long Term", 12.5%, 20%))</f>
        <v/>
      </c>
      <c r="L1062" s="3">
        <f>+IFERROR(IF(J1062="","",H1062*K1062),"")</f>
        <v/>
      </c>
    </row>
    <row r="1063">
      <c r="A1063" s="11" t="n"/>
      <c r="B1063" s="7" t="n"/>
      <c r="C1063" s="8" t="n"/>
      <c r="D1063" s="9" t="n"/>
      <c r="E1063" s="8" t="n"/>
      <c r="F1063" s="9" t="n"/>
      <c r="G1063" s="9" t="n"/>
      <c r="H1063" s="3">
        <f>IF(AND(D1063&lt;&gt;"",F1063&lt;&gt;""),F1063-D1063-G1063,"")</f>
        <v/>
      </c>
      <c r="I1063" s="14">
        <f>IF(E1063&lt;&gt;"", YEARFRAC(C1063, E1063) * 12, "")</f>
        <v/>
      </c>
      <c r="J1063" s="2">
        <f>IF(I1063="", "", IF(AND(A1063="MF (Equity)", I1063&gt;12), "Long Term", "Short Term"))</f>
        <v/>
      </c>
      <c r="K1063" s="5">
        <f>IF(J1063="", "", IF(J1063="Long Term", 12.5%, 20%))</f>
        <v/>
      </c>
      <c r="L1063" s="3">
        <f>+IFERROR(IF(J1063="","",H1063*K1063),"")</f>
        <v/>
      </c>
    </row>
    <row r="1064">
      <c r="A1064" s="11" t="n"/>
      <c r="B1064" s="7" t="n"/>
      <c r="C1064" s="8" t="n"/>
      <c r="D1064" s="9" t="n"/>
      <c r="E1064" s="8" t="n"/>
      <c r="F1064" s="9" t="n"/>
      <c r="G1064" s="9" t="n"/>
      <c r="H1064" s="3">
        <f>IF(AND(D1064&lt;&gt;"",F1064&lt;&gt;""),F1064-D1064-G1064,"")</f>
        <v/>
      </c>
      <c r="I1064" s="14">
        <f>IF(E1064&lt;&gt;"", YEARFRAC(C1064, E1064) * 12, "")</f>
        <v/>
      </c>
      <c r="J1064" s="2">
        <f>IF(I1064="", "", IF(AND(A1064="MF (Equity)", I1064&gt;12), "Long Term", "Short Term"))</f>
        <v/>
      </c>
      <c r="K1064" s="5">
        <f>IF(J1064="", "", IF(J1064="Long Term", 12.5%, 20%))</f>
        <v/>
      </c>
      <c r="L1064" s="3">
        <f>+IFERROR(IF(J1064="","",H1064*K1064),"")</f>
        <v/>
      </c>
    </row>
    <row r="1065">
      <c r="A1065" s="11" t="n"/>
      <c r="B1065" s="7" t="n"/>
      <c r="C1065" s="8" t="n"/>
      <c r="D1065" s="9" t="n"/>
      <c r="E1065" s="8" t="n"/>
      <c r="F1065" s="9" t="n"/>
      <c r="G1065" s="9" t="n"/>
      <c r="H1065" s="3">
        <f>IF(AND(D1065&lt;&gt;"",F1065&lt;&gt;""),F1065-D1065-G1065,"")</f>
        <v/>
      </c>
      <c r="I1065" s="14">
        <f>IF(E1065&lt;&gt;"", YEARFRAC(C1065, E1065) * 12, "")</f>
        <v/>
      </c>
      <c r="J1065" s="2">
        <f>IF(I1065="", "", IF(AND(A1065="MF (Equity)", I1065&gt;12), "Long Term", "Short Term"))</f>
        <v/>
      </c>
      <c r="K1065" s="5">
        <f>IF(J1065="", "", IF(J1065="Long Term", 12.5%, 20%))</f>
        <v/>
      </c>
      <c r="L1065" s="3">
        <f>+IFERROR(IF(J1065="","",H1065*K1065),"")</f>
        <v/>
      </c>
    </row>
    <row r="1066">
      <c r="A1066" s="11" t="n"/>
      <c r="B1066" s="7" t="n"/>
      <c r="C1066" s="8" t="n"/>
      <c r="D1066" s="9" t="n"/>
      <c r="E1066" s="8" t="n"/>
      <c r="F1066" s="9" t="n"/>
      <c r="G1066" s="9" t="n"/>
      <c r="H1066" s="3">
        <f>IF(AND(D1066&lt;&gt;"",F1066&lt;&gt;""),F1066-D1066-G1066,"")</f>
        <v/>
      </c>
      <c r="I1066" s="14">
        <f>IF(E1066&lt;&gt;"", YEARFRAC(C1066, E1066) * 12, "")</f>
        <v/>
      </c>
      <c r="J1066" s="2">
        <f>IF(I1066="", "", IF(AND(A1066="MF (Equity)", I1066&gt;12), "Long Term", "Short Term"))</f>
        <v/>
      </c>
      <c r="K1066" s="5">
        <f>IF(J1066="", "", IF(J1066="Long Term", 12.5%, 20%))</f>
        <v/>
      </c>
      <c r="L1066" s="3">
        <f>+IFERROR(IF(J1066="","",H1066*K1066),"")</f>
        <v/>
      </c>
    </row>
    <row r="1067">
      <c r="A1067" s="11" t="n"/>
      <c r="B1067" s="7" t="n"/>
      <c r="C1067" s="8" t="n"/>
      <c r="D1067" s="9" t="n"/>
      <c r="E1067" s="8" t="n"/>
      <c r="F1067" s="9" t="n"/>
      <c r="G1067" s="9" t="n"/>
      <c r="H1067" s="3">
        <f>IF(AND(D1067&lt;&gt;"",F1067&lt;&gt;""),F1067-D1067-G1067,"")</f>
        <v/>
      </c>
      <c r="I1067" s="14">
        <f>IF(E1067&lt;&gt;"", YEARFRAC(C1067, E1067) * 12, "")</f>
        <v/>
      </c>
      <c r="J1067" s="2">
        <f>IF(I1067="", "", IF(AND(A1067="MF (Equity)", I1067&gt;12), "Long Term", "Short Term"))</f>
        <v/>
      </c>
      <c r="K1067" s="5">
        <f>IF(J1067="", "", IF(J1067="Long Term", 12.5%, 20%))</f>
        <v/>
      </c>
      <c r="L1067" s="3">
        <f>+IFERROR(IF(J1067="","",H1067*K1067),"")</f>
        <v/>
      </c>
    </row>
    <row r="1068">
      <c r="A1068" s="11" t="n"/>
      <c r="B1068" s="7" t="n"/>
      <c r="C1068" s="8" t="n"/>
      <c r="D1068" s="9" t="n"/>
      <c r="E1068" s="8" t="n"/>
      <c r="F1068" s="9" t="n"/>
      <c r="G1068" s="9" t="n"/>
      <c r="H1068" s="3">
        <f>IF(AND(D1068&lt;&gt;"",F1068&lt;&gt;""),F1068-D1068-G1068,"")</f>
        <v/>
      </c>
      <c r="I1068" s="14">
        <f>IF(E1068&lt;&gt;"", YEARFRAC(C1068, E1068) * 12, "")</f>
        <v/>
      </c>
      <c r="J1068" s="2">
        <f>IF(I1068="", "", IF(AND(A1068="MF (Equity)", I1068&gt;12), "Long Term", "Short Term"))</f>
        <v/>
      </c>
      <c r="K1068" s="5">
        <f>IF(J1068="", "", IF(J1068="Long Term", 12.5%, 20%))</f>
        <v/>
      </c>
      <c r="L1068" s="3">
        <f>+IFERROR(IF(J1068="","",H1068*K1068),"")</f>
        <v/>
      </c>
    </row>
    <row r="1069">
      <c r="A1069" s="11" t="n"/>
      <c r="B1069" s="7" t="n"/>
      <c r="C1069" s="8" t="n"/>
      <c r="D1069" s="9" t="n"/>
      <c r="E1069" s="8" t="n"/>
      <c r="F1069" s="9" t="n"/>
      <c r="G1069" s="9" t="n"/>
      <c r="H1069" s="3">
        <f>IF(AND(D1069&lt;&gt;"",F1069&lt;&gt;""),F1069-D1069-G1069,"")</f>
        <v/>
      </c>
      <c r="I1069" s="14">
        <f>IF(E1069&lt;&gt;"", YEARFRAC(C1069, E1069) * 12, "")</f>
        <v/>
      </c>
      <c r="J1069" s="2">
        <f>IF(I1069="", "", IF(AND(A1069="MF (Equity)", I1069&gt;12), "Long Term", "Short Term"))</f>
        <v/>
      </c>
      <c r="K1069" s="5">
        <f>IF(J1069="", "", IF(J1069="Long Term", 12.5%, 20%))</f>
        <v/>
      </c>
      <c r="L1069" s="3">
        <f>+IFERROR(IF(J1069="","",H1069*K1069),"")</f>
        <v/>
      </c>
    </row>
    <row r="1070">
      <c r="A1070" s="11" t="n"/>
      <c r="B1070" s="7" t="n"/>
      <c r="C1070" s="8" t="n"/>
      <c r="D1070" s="9" t="n"/>
      <c r="E1070" s="8" t="n"/>
      <c r="F1070" s="9" t="n"/>
      <c r="G1070" s="9" t="n"/>
      <c r="H1070" s="3">
        <f>IF(AND(D1070&lt;&gt;"",F1070&lt;&gt;""),F1070-D1070-G1070,"")</f>
        <v/>
      </c>
      <c r="I1070" s="14">
        <f>IF(E1070&lt;&gt;"", YEARFRAC(C1070, E1070) * 12, "")</f>
        <v/>
      </c>
      <c r="J1070" s="2">
        <f>IF(I1070="", "", IF(AND(A1070="MF (Equity)", I1070&gt;12), "Long Term", "Short Term"))</f>
        <v/>
      </c>
      <c r="K1070" s="5">
        <f>IF(J1070="", "", IF(J1070="Long Term", 12.5%, 20%))</f>
        <v/>
      </c>
      <c r="L1070" s="3">
        <f>+IFERROR(IF(J1070="","",H1070*K1070),"")</f>
        <v/>
      </c>
    </row>
    <row r="1071">
      <c r="A1071" s="11" t="n"/>
      <c r="B1071" s="7" t="n"/>
      <c r="C1071" s="8" t="n"/>
      <c r="D1071" s="9" t="n"/>
      <c r="E1071" s="8" t="n"/>
      <c r="F1071" s="9" t="n"/>
      <c r="G1071" s="9" t="n"/>
      <c r="H1071" s="3">
        <f>IF(AND(D1071&lt;&gt;"",F1071&lt;&gt;""),F1071-D1071-G1071,"")</f>
        <v/>
      </c>
      <c r="I1071" s="14">
        <f>IF(E1071&lt;&gt;"", YEARFRAC(C1071, E1071) * 12, "")</f>
        <v/>
      </c>
      <c r="J1071" s="2">
        <f>IF(I1071="", "", IF(AND(A1071="MF (Equity)", I1071&gt;12), "Long Term", "Short Term"))</f>
        <v/>
      </c>
      <c r="K1071" s="5">
        <f>IF(J1071="", "", IF(J1071="Long Term", 12.5%, 20%))</f>
        <v/>
      </c>
      <c r="L1071" s="3">
        <f>+IFERROR(IF(J1071="","",H1071*K1071),"")</f>
        <v/>
      </c>
    </row>
    <row r="1072">
      <c r="A1072" s="11" t="n"/>
      <c r="B1072" s="7" t="n"/>
      <c r="C1072" s="8" t="n"/>
      <c r="D1072" s="9" t="n"/>
      <c r="E1072" s="8" t="n"/>
      <c r="F1072" s="9" t="n"/>
      <c r="G1072" s="9" t="n"/>
      <c r="H1072" s="3">
        <f>IF(AND(D1072&lt;&gt;"",F1072&lt;&gt;""),F1072-D1072-G1072,"")</f>
        <v/>
      </c>
      <c r="I1072" s="14">
        <f>IF(E1072&lt;&gt;"", YEARFRAC(C1072, E1072) * 12, "")</f>
        <v/>
      </c>
      <c r="J1072" s="2">
        <f>IF(I1072="", "", IF(AND(A1072="MF (Equity)", I1072&gt;12), "Long Term", "Short Term"))</f>
        <v/>
      </c>
      <c r="K1072" s="5">
        <f>IF(J1072="", "", IF(J1072="Long Term", 12.5%, 20%))</f>
        <v/>
      </c>
      <c r="L1072" s="3">
        <f>+IFERROR(IF(J1072="","",H1072*K1072),"")</f>
        <v/>
      </c>
    </row>
    <row r="1073">
      <c r="A1073" s="11" t="n"/>
      <c r="B1073" s="7" t="n"/>
      <c r="C1073" s="8" t="n"/>
      <c r="D1073" s="9" t="n"/>
      <c r="E1073" s="8" t="n"/>
      <c r="F1073" s="9" t="n"/>
      <c r="G1073" s="9" t="n"/>
      <c r="H1073" s="3">
        <f>IF(AND(D1073&lt;&gt;"",F1073&lt;&gt;""),F1073-D1073-G1073,"")</f>
        <v/>
      </c>
      <c r="I1073" s="14">
        <f>IF(E1073&lt;&gt;"", YEARFRAC(C1073, E1073) * 12, "")</f>
        <v/>
      </c>
      <c r="J1073" s="2">
        <f>IF(I1073="", "", IF(AND(A1073="MF (Equity)", I1073&gt;12), "Long Term", "Short Term"))</f>
        <v/>
      </c>
      <c r="K1073" s="5">
        <f>IF(J1073="", "", IF(J1073="Long Term", 12.5%, 20%))</f>
        <v/>
      </c>
      <c r="L1073" s="3">
        <f>+IFERROR(IF(J1073="","",H1073*K1073),"")</f>
        <v/>
      </c>
    </row>
    <row r="1074">
      <c r="A1074" s="11" t="n"/>
      <c r="B1074" s="7" t="n"/>
      <c r="C1074" s="8" t="n"/>
      <c r="D1074" s="9" t="n"/>
      <c r="E1074" s="8" t="n"/>
      <c r="F1074" s="9" t="n"/>
      <c r="G1074" s="9" t="n"/>
      <c r="H1074" s="3">
        <f>IF(AND(D1074&lt;&gt;"",F1074&lt;&gt;""),F1074-D1074-G1074,"")</f>
        <v/>
      </c>
      <c r="I1074" s="14">
        <f>IF(E1074&lt;&gt;"", YEARFRAC(C1074, E1074) * 12, "")</f>
        <v/>
      </c>
      <c r="J1074" s="2">
        <f>IF(I1074="", "", IF(AND(A1074="MF (Equity)", I1074&gt;12), "Long Term", "Short Term"))</f>
        <v/>
      </c>
      <c r="K1074" s="5">
        <f>IF(J1074="", "", IF(J1074="Long Term", 12.5%, 20%))</f>
        <v/>
      </c>
      <c r="L1074" s="3">
        <f>+IFERROR(IF(J1074="","",H1074*K1074),"")</f>
        <v/>
      </c>
    </row>
    <row r="1075">
      <c r="A1075" s="11" t="n"/>
      <c r="B1075" s="7" t="n"/>
      <c r="C1075" s="8" t="n"/>
      <c r="D1075" s="9" t="n"/>
      <c r="E1075" s="8" t="n"/>
      <c r="F1075" s="9" t="n"/>
      <c r="G1075" s="9" t="n"/>
      <c r="H1075" s="3">
        <f>IF(AND(D1075&lt;&gt;"",F1075&lt;&gt;""),F1075-D1075-G1075,"")</f>
        <v/>
      </c>
      <c r="I1075" s="14">
        <f>IF(E1075&lt;&gt;"", YEARFRAC(C1075, E1075) * 12, "")</f>
        <v/>
      </c>
      <c r="J1075" s="2">
        <f>IF(I1075="", "", IF(AND(A1075="MF (Equity)", I1075&gt;12), "Long Term", "Short Term"))</f>
        <v/>
      </c>
      <c r="K1075" s="5">
        <f>IF(J1075="", "", IF(J1075="Long Term", 12.5%, 20%))</f>
        <v/>
      </c>
      <c r="L1075" s="3">
        <f>+IFERROR(IF(J1075="","",H1075*K1075),"")</f>
        <v/>
      </c>
    </row>
    <row r="1076">
      <c r="A1076" s="11" t="n"/>
      <c r="B1076" s="7" t="n"/>
      <c r="C1076" s="8" t="n"/>
      <c r="D1076" s="9" t="n"/>
      <c r="E1076" s="8" t="n"/>
      <c r="F1076" s="9" t="n"/>
      <c r="G1076" s="9" t="n"/>
      <c r="H1076" s="3">
        <f>IF(AND(D1076&lt;&gt;"",F1076&lt;&gt;""),F1076-D1076-G1076,"")</f>
        <v/>
      </c>
      <c r="I1076" s="14">
        <f>IF(E1076&lt;&gt;"", YEARFRAC(C1076, E1076) * 12, "")</f>
        <v/>
      </c>
      <c r="J1076" s="2">
        <f>IF(I1076="", "", IF(AND(A1076="MF (Equity)", I1076&gt;12), "Long Term", "Short Term"))</f>
        <v/>
      </c>
      <c r="K1076" s="5">
        <f>IF(J1076="", "", IF(J1076="Long Term", 12.5%, 20%))</f>
        <v/>
      </c>
      <c r="L1076" s="3">
        <f>+IFERROR(IF(J1076="","",H1076*K1076),"")</f>
        <v/>
      </c>
    </row>
    <row r="1077">
      <c r="A1077" s="11" t="n"/>
      <c r="B1077" s="7" t="n"/>
      <c r="C1077" s="8" t="n"/>
      <c r="D1077" s="9" t="n"/>
      <c r="E1077" s="8" t="n"/>
      <c r="F1077" s="9" t="n"/>
      <c r="G1077" s="9" t="n"/>
      <c r="H1077" s="3">
        <f>IF(AND(D1077&lt;&gt;"",F1077&lt;&gt;""),F1077-D1077-G1077,"")</f>
        <v/>
      </c>
      <c r="I1077" s="14">
        <f>IF(E1077&lt;&gt;"", YEARFRAC(C1077, E1077) * 12, "")</f>
        <v/>
      </c>
      <c r="J1077" s="2">
        <f>IF(I1077="", "", IF(AND(A1077="MF (Equity)", I1077&gt;12), "Long Term", "Short Term"))</f>
        <v/>
      </c>
      <c r="K1077" s="5">
        <f>IF(J1077="", "", IF(J1077="Long Term", 12.5%, 20%))</f>
        <v/>
      </c>
      <c r="L1077" s="3">
        <f>+IFERROR(IF(J1077="","",H1077*K1077),"")</f>
        <v/>
      </c>
    </row>
    <row r="1078">
      <c r="A1078" s="11" t="n"/>
      <c r="B1078" s="7" t="n"/>
      <c r="C1078" s="8" t="n"/>
      <c r="D1078" s="9" t="n"/>
      <c r="E1078" s="8" t="n"/>
      <c r="F1078" s="9" t="n"/>
      <c r="G1078" s="9" t="n"/>
      <c r="H1078" s="3">
        <f>IF(AND(D1078&lt;&gt;"",F1078&lt;&gt;""),F1078-D1078-G1078,"")</f>
        <v/>
      </c>
      <c r="I1078" s="14">
        <f>IF(E1078&lt;&gt;"", YEARFRAC(C1078, E1078) * 12, "")</f>
        <v/>
      </c>
      <c r="J1078" s="2">
        <f>IF(I1078="", "", IF(AND(A1078="MF (Equity)", I1078&gt;12), "Long Term", "Short Term"))</f>
        <v/>
      </c>
      <c r="K1078" s="5">
        <f>IF(J1078="", "", IF(J1078="Long Term", 12.5%, 20%))</f>
        <v/>
      </c>
      <c r="L1078" s="3">
        <f>+IFERROR(IF(J1078="","",H1078*K1078),"")</f>
        <v/>
      </c>
    </row>
    <row r="1079">
      <c r="A1079" s="11" t="n"/>
      <c r="B1079" s="7" t="n"/>
      <c r="C1079" s="8" t="n"/>
      <c r="D1079" s="9" t="n"/>
      <c r="E1079" s="8" t="n"/>
      <c r="F1079" s="9" t="n"/>
      <c r="G1079" s="9" t="n"/>
      <c r="H1079" s="3">
        <f>IF(AND(D1079&lt;&gt;"",F1079&lt;&gt;""),F1079-D1079-G1079,"")</f>
        <v/>
      </c>
      <c r="I1079" s="14">
        <f>IF(E1079&lt;&gt;"", YEARFRAC(C1079, E1079) * 12, "")</f>
        <v/>
      </c>
      <c r="J1079" s="2">
        <f>IF(I1079="", "", IF(AND(A1079="MF (Equity)", I1079&gt;12), "Long Term", "Short Term"))</f>
        <v/>
      </c>
      <c r="K1079" s="5">
        <f>IF(J1079="", "", IF(J1079="Long Term", 12.5%, 20%))</f>
        <v/>
      </c>
      <c r="L1079" s="3">
        <f>+IFERROR(IF(J1079="","",H1079*K1079),"")</f>
        <v/>
      </c>
    </row>
    <row r="1080">
      <c r="A1080" s="11" t="n"/>
      <c r="B1080" s="7" t="n"/>
      <c r="C1080" s="8" t="n"/>
      <c r="D1080" s="9" t="n"/>
      <c r="E1080" s="8" t="n"/>
      <c r="F1080" s="9" t="n"/>
      <c r="G1080" s="9" t="n"/>
      <c r="H1080" s="3">
        <f>IF(AND(D1080&lt;&gt;"",F1080&lt;&gt;""),F1080-D1080-G1080,"")</f>
        <v/>
      </c>
      <c r="I1080" s="14">
        <f>IF(E1080&lt;&gt;"", YEARFRAC(C1080, E1080) * 12, "")</f>
        <v/>
      </c>
      <c r="J1080" s="2">
        <f>IF(I1080="", "", IF(AND(A1080="MF (Equity)", I1080&gt;12), "Long Term", "Short Term"))</f>
        <v/>
      </c>
      <c r="K1080" s="5">
        <f>IF(J1080="", "", IF(J1080="Long Term", 12.5%, 20%))</f>
        <v/>
      </c>
      <c r="L1080" s="3">
        <f>+IFERROR(IF(J1080="","",H1080*K1080),"")</f>
        <v/>
      </c>
    </row>
    <row r="1081">
      <c r="A1081" s="11" t="n"/>
      <c r="B1081" s="7" t="n"/>
      <c r="C1081" s="8" t="n"/>
      <c r="D1081" s="9" t="n"/>
      <c r="E1081" s="8" t="n"/>
      <c r="F1081" s="9" t="n"/>
      <c r="G1081" s="9" t="n"/>
      <c r="H1081" s="3">
        <f>IF(AND(D1081&lt;&gt;"",F1081&lt;&gt;""),F1081-D1081-G1081,"")</f>
        <v/>
      </c>
      <c r="I1081" s="14">
        <f>IF(E1081&lt;&gt;"", YEARFRAC(C1081, E1081) * 12, "")</f>
        <v/>
      </c>
      <c r="J1081" s="2">
        <f>IF(I1081="", "", IF(AND(A1081="MF (Equity)", I1081&gt;12), "Long Term", "Short Term"))</f>
        <v/>
      </c>
      <c r="K1081" s="5">
        <f>IF(J1081="", "", IF(J1081="Long Term", 12.5%, 20%))</f>
        <v/>
      </c>
      <c r="L1081" s="3">
        <f>+IFERROR(IF(J1081="","",H1081*K1081),"")</f>
        <v/>
      </c>
    </row>
    <row r="1082">
      <c r="A1082" s="11" t="n"/>
      <c r="B1082" s="7" t="n"/>
      <c r="C1082" s="8" t="n"/>
      <c r="D1082" s="9" t="n"/>
      <c r="E1082" s="8" t="n"/>
      <c r="F1082" s="9" t="n"/>
      <c r="G1082" s="9" t="n"/>
      <c r="H1082" s="3">
        <f>IF(AND(D1082&lt;&gt;"",F1082&lt;&gt;""),F1082-D1082-G1082,"")</f>
        <v/>
      </c>
      <c r="I1082" s="14">
        <f>IF(E1082&lt;&gt;"", YEARFRAC(C1082, E1082) * 12, "")</f>
        <v/>
      </c>
      <c r="J1082" s="2">
        <f>IF(I1082="", "", IF(AND(A1082="MF (Equity)", I1082&gt;12), "Long Term", "Short Term"))</f>
        <v/>
      </c>
      <c r="K1082" s="5">
        <f>IF(J1082="", "", IF(J1082="Long Term", 12.5%, 20%))</f>
        <v/>
      </c>
      <c r="L1082" s="3">
        <f>+IFERROR(IF(J1082="","",H1082*K1082),"")</f>
        <v/>
      </c>
    </row>
    <row r="1083">
      <c r="A1083" s="11" t="n"/>
      <c r="B1083" s="7" t="n"/>
      <c r="C1083" s="8" t="n"/>
      <c r="D1083" s="9" t="n"/>
      <c r="E1083" s="8" t="n"/>
      <c r="F1083" s="9" t="n"/>
      <c r="G1083" s="9" t="n"/>
      <c r="H1083" s="3">
        <f>IF(AND(D1083&lt;&gt;"",F1083&lt;&gt;""),F1083-D1083-G1083,"")</f>
        <v/>
      </c>
      <c r="I1083" s="14">
        <f>IF(E1083&lt;&gt;"", YEARFRAC(C1083, E1083) * 12, "")</f>
        <v/>
      </c>
      <c r="J1083" s="2">
        <f>IF(I1083="", "", IF(AND(A1083="MF (Equity)", I1083&gt;12), "Long Term", "Short Term"))</f>
        <v/>
      </c>
      <c r="K1083" s="5">
        <f>IF(J1083="", "", IF(J1083="Long Term", 12.5%, 20%))</f>
        <v/>
      </c>
      <c r="L1083" s="3">
        <f>+IFERROR(IF(J1083="","",H1083*K1083),"")</f>
        <v/>
      </c>
    </row>
    <row r="1084">
      <c r="A1084" s="11" t="n"/>
      <c r="B1084" s="7" t="n"/>
      <c r="C1084" s="8" t="n"/>
      <c r="D1084" s="9" t="n"/>
      <c r="E1084" s="8" t="n"/>
      <c r="F1084" s="9" t="n"/>
      <c r="G1084" s="9" t="n"/>
      <c r="H1084" s="3">
        <f>IF(AND(D1084&lt;&gt;"",F1084&lt;&gt;""),F1084-D1084-G1084,"")</f>
        <v/>
      </c>
      <c r="I1084" s="14">
        <f>IF(E1084&lt;&gt;"", YEARFRAC(C1084, E1084) * 12, "")</f>
        <v/>
      </c>
      <c r="J1084" s="2">
        <f>IF(I1084="", "", IF(AND(A1084="MF (Equity)", I1084&gt;12), "Long Term", "Short Term"))</f>
        <v/>
      </c>
      <c r="K1084" s="5">
        <f>IF(J1084="", "", IF(J1084="Long Term", 12.5%, 20%))</f>
        <v/>
      </c>
      <c r="L1084" s="3">
        <f>+IFERROR(IF(J1084="","",H1084*K1084),"")</f>
        <v/>
      </c>
    </row>
    <row r="1085">
      <c r="A1085" s="11" t="n"/>
      <c r="B1085" s="7" t="n"/>
      <c r="C1085" s="8" t="n"/>
      <c r="D1085" s="9" t="n"/>
      <c r="E1085" s="8" t="n"/>
      <c r="F1085" s="9" t="n"/>
      <c r="G1085" s="9" t="n"/>
      <c r="H1085" s="3">
        <f>IF(AND(D1085&lt;&gt;"",F1085&lt;&gt;""),F1085-D1085-G1085,"")</f>
        <v/>
      </c>
      <c r="I1085" s="14">
        <f>IF(E1085&lt;&gt;"", YEARFRAC(C1085, E1085) * 12, "")</f>
        <v/>
      </c>
      <c r="J1085" s="2">
        <f>IF(I1085="", "", IF(AND(A1085="MF (Equity)", I1085&gt;12), "Long Term", "Short Term"))</f>
        <v/>
      </c>
      <c r="K1085" s="5">
        <f>IF(J1085="", "", IF(J1085="Long Term", 12.5%, 20%))</f>
        <v/>
      </c>
      <c r="L1085" s="3">
        <f>+IFERROR(IF(J1085="","",H1085*K1085),"")</f>
        <v/>
      </c>
    </row>
    <row r="1086">
      <c r="A1086" s="11" t="n"/>
      <c r="B1086" s="7" t="n"/>
      <c r="C1086" s="8" t="n"/>
      <c r="D1086" s="9" t="n"/>
      <c r="E1086" s="8" t="n"/>
      <c r="F1086" s="9" t="n"/>
      <c r="G1086" s="9" t="n"/>
      <c r="H1086" s="3">
        <f>IF(AND(D1086&lt;&gt;"",F1086&lt;&gt;""),F1086-D1086-G1086,"")</f>
        <v/>
      </c>
      <c r="I1086" s="14">
        <f>IF(E1086&lt;&gt;"", YEARFRAC(C1086, E1086) * 12, "")</f>
        <v/>
      </c>
      <c r="J1086" s="2">
        <f>IF(I1086="", "", IF(AND(A1086="MF (Equity)", I1086&gt;12), "Long Term", "Short Term"))</f>
        <v/>
      </c>
      <c r="K1086" s="5">
        <f>IF(J1086="", "", IF(J1086="Long Term", 12.5%, 20%))</f>
        <v/>
      </c>
      <c r="L1086" s="3">
        <f>+IFERROR(IF(J1086="","",H1086*K1086),"")</f>
        <v/>
      </c>
    </row>
    <row r="1087">
      <c r="A1087" s="11" t="n"/>
      <c r="B1087" s="7" t="n"/>
      <c r="C1087" s="8" t="n"/>
      <c r="D1087" s="9" t="n"/>
      <c r="E1087" s="8" t="n"/>
      <c r="F1087" s="9" t="n"/>
      <c r="G1087" s="9" t="n"/>
      <c r="H1087" s="3">
        <f>IF(AND(D1087&lt;&gt;"",F1087&lt;&gt;""),F1087-D1087-G1087,"")</f>
        <v/>
      </c>
      <c r="I1087" s="14">
        <f>IF(E1087&lt;&gt;"", YEARFRAC(C1087, E1087) * 12, "")</f>
        <v/>
      </c>
      <c r="J1087" s="2">
        <f>IF(I1087="", "", IF(AND(A1087="MF (Equity)", I1087&gt;12), "Long Term", "Short Term"))</f>
        <v/>
      </c>
      <c r="K1087" s="5">
        <f>IF(J1087="", "", IF(J1087="Long Term", 12.5%, 20%))</f>
        <v/>
      </c>
      <c r="L1087" s="3">
        <f>+IFERROR(IF(J1087="","",H1087*K1087),"")</f>
        <v/>
      </c>
    </row>
    <row r="1088">
      <c r="A1088" s="11" t="n"/>
      <c r="B1088" s="7" t="n"/>
      <c r="C1088" s="8" t="n"/>
      <c r="D1088" s="9" t="n"/>
      <c r="E1088" s="8" t="n"/>
      <c r="F1088" s="9" t="n"/>
      <c r="G1088" s="9" t="n"/>
      <c r="H1088" s="3">
        <f>IF(AND(D1088&lt;&gt;"",F1088&lt;&gt;""),F1088-D1088-G1088,"")</f>
        <v/>
      </c>
      <c r="I1088" s="14">
        <f>IF(E1088&lt;&gt;"", YEARFRAC(C1088, E1088) * 12, "")</f>
        <v/>
      </c>
      <c r="J1088" s="2">
        <f>IF(I1088="", "", IF(AND(A1088="MF (Equity)", I1088&gt;12), "Long Term", "Short Term"))</f>
        <v/>
      </c>
      <c r="K1088" s="5">
        <f>IF(J1088="", "", IF(J1088="Long Term", 12.5%, 20%))</f>
        <v/>
      </c>
      <c r="L1088" s="3">
        <f>+IFERROR(IF(J1088="","",H1088*K1088),"")</f>
        <v/>
      </c>
    </row>
    <row r="1089">
      <c r="A1089" s="11" t="n"/>
      <c r="B1089" s="7" t="n"/>
      <c r="C1089" s="8" t="n"/>
      <c r="D1089" s="9" t="n"/>
      <c r="E1089" s="8" t="n"/>
      <c r="F1089" s="9" t="n"/>
      <c r="G1089" s="9" t="n"/>
      <c r="H1089" s="3">
        <f>IF(AND(D1089&lt;&gt;"",F1089&lt;&gt;""),F1089-D1089-G1089,"")</f>
        <v/>
      </c>
      <c r="I1089" s="14">
        <f>IF(E1089&lt;&gt;"", YEARFRAC(C1089, E1089) * 12, "")</f>
        <v/>
      </c>
      <c r="J1089" s="2">
        <f>IF(I1089="", "", IF(AND(A1089="MF (Equity)", I1089&gt;12), "Long Term", "Short Term"))</f>
        <v/>
      </c>
      <c r="K1089" s="5">
        <f>IF(J1089="", "", IF(J1089="Long Term", 12.5%, 20%))</f>
        <v/>
      </c>
      <c r="L1089" s="3">
        <f>+IFERROR(IF(J1089="","",H1089*K1089),"")</f>
        <v/>
      </c>
    </row>
    <row r="1090">
      <c r="A1090" s="11" t="n"/>
      <c r="B1090" s="7" t="n"/>
      <c r="C1090" s="8" t="n"/>
      <c r="D1090" s="9" t="n"/>
      <c r="E1090" s="8" t="n"/>
      <c r="F1090" s="9" t="n"/>
      <c r="G1090" s="9" t="n"/>
      <c r="H1090" s="3">
        <f>IF(AND(D1090&lt;&gt;"",F1090&lt;&gt;""),F1090-D1090-G1090,"")</f>
        <v/>
      </c>
      <c r="I1090" s="14">
        <f>IF(E1090&lt;&gt;"", YEARFRAC(C1090, E1090) * 12, "")</f>
        <v/>
      </c>
      <c r="J1090" s="2">
        <f>IF(I1090="", "", IF(AND(A1090="MF (Equity)", I1090&gt;12), "Long Term", "Short Term"))</f>
        <v/>
      </c>
      <c r="K1090" s="5">
        <f>IF(J1090="", "", IF(J1090="Long Term", 12.5%, 20%))</f>
        <v/>
      </c>
      <c r="L1090" s="3">
        <f>+IFERROR(IF(J1090="","",H1090*K1090),"")</f>
        <v/>
      </c>
    </row>
    <row r="1091">
      <c r="A1091" s="11" t="n"/>
      <c r="B1091" s="7" t="n"/>
      <c r="C1091" s="8" t="n"/>
      <c r="D1091" s="9" t="n"/>
      <c r="E1091" s="8" t="n"/>
      <c r="F1091" s="9" t="n"/>
      <c r="G1091" s="9" t="n"/>
      <c r="H1091" s="3">
        <f>IF(AND(D1091&lt;&gt;"",F1091&lt;&gt;""),F1091-D1091-G1091,"")</f>
        <v/>
      </c>
      <c r="I1091" s="14">
        <f>IF(E1091&lt;&gt;"", YEARFRAC(C1091, E1091) * 12, "")</f>
        <v/>
      </c>
      <c r="J1091" s="2">
        <f>IF(I1091="", "", IF(AND(A1091="MF (Equity)", I1091&gt;12), "Long Term", "Short Term"))</f>
        <v/>
      </c>
      <c r="K1091" s="5">
        <f>IF(J1091="", "", IF(J1091="Long Term", 12.5%, 20%))</f>
        <v/>
      </c>
      <c r="L1091" s="3">
        <f>+IFERROR(IF(J1091="","",H1091*K1091),"")</f>
        <v/>
      </c>
    </row>
    <row r="1092">
      <c r="A1092" s="11" t="n"/>
      <c r="B1092" s="7" t="n"/>
      <c r="C1092" s="8" t="n"/>
      <c r="D1092" s="9" t="n"/>
      <c r="E1092" s="8" t="n"/>
      <c r="F1092" s="9" t="n"/>
      <c r="G1092" s="9" t="n"/>
      <c r="H1092" s="3">
        <f>IF(AND(D1092&lt;&gt;"",F1092&lt;&gt;""),F1092-D1092-G1092,"")</f>
        <v/>
      </c>
      <c r="I1092" s="14">
        <f>IF(E1092&lt;&gt;"", YEARFRAC(C1092, E1092) * 12, "")</f>
        <v/>
      </c>
      <c r="J1092" s="2">
        <f>IF(I1092="", "", IF(AND(A1092="MF (Equity)", I1092&gt;12), "Long Term", "Short Term"))</f>
        <v/>
      </c>
      <c r="K1092" s="5">
        <f>IF(J1092="", "", IF(J1092="Long Term", 12.5%, 20%))</f>
        <v/>
      </c>
      <c r="L1092" s="3">
        <f>+IFERROR(IF(J1092="","",H1092*K1092),"")</f>
        <v/>
      </c>
    </row>
    <row r="1093">
      <c r="A1093" s="11" t="n"/>
      <c r="B1093" s="7" t="n"/>
      <c r="C1093" s="8" t="n"/>
      <c r="D1093" s="9" t="n"/>
      <c r="E1093" s="8" t="n"/>
      <c r="F1093" s="9" t="n"/>
      <c r="G1093" s="9" t="n"/>
      <c r="H1093" s="3">
        <f>IF(AND(D1093&lt;&gt;"",F1093&lt;&gt;""),F1093-D1093-G1093,"")</f>
        <v/>
      </c>
      <c r="I1093" s="14">
        <f>IF(E1093&lt;&gt;"", YEARFRAC(C1093, E1093) * 12, "")</f>
        <v/>
      </c>
      <c r="J1093" s="2">
        <f>IF(I1093="", "", IF(AND(A1093="MF (Equity)", I1093&gt;12), "Long Term", "Short Term"))</f>
        <v/>
      </c>
      <c r="K1093" s="5">
        <f>IF(J1093="", "", IF(J1093="Long Term", 12.5%, 20%))</f>
        <v/>
      </c>
      <c r="L1093" s="3">
        <f>+IFERROR(IF(J1093="","",H1093*K1093),"")</f>
        <v/>
      </c>
    </row>
    <row r="1094">
      <c r="A1094" s="11" t="n"/>
      <c r="B1094" s="7" t="n"/>
      <c r="C1094" s="8" t="n"/>
      <c r="D1094" s="9" t="n"/>
      <c r="E1094" s="8" t="n"/>
      <c r="F1094" s="9" t="n"/>
      <c r="G1094" s="9" t="n"/>
      <c r="H1094" s="3">
        <f>IF(AND(D1094&lt;&gt;"",F1094&lt;&gt;""),F1094-D1094-G1094,"")</f>
        <v/>
      </c>
      <c r="I1094" s="14">
        <f>IF(E1094&lt;&gt;"", YEARFRAC(C1094, E1094) * 12, "")</f>
        <v/>
      </c>
      <c r="J1094" s="2">
        <f>IF(I1094="", "", IF(AND(A1094="MF (Equity)", I1094&gt;12), "Long Term", "Short Term"))</f>
        <v/>
      </c>
      <c r="K1094" s="5">
        <f>IF(J1094="", "", IF(J1094="Long Term", 12.5%, 20%))</f>
        <v/>
      </c>
      <c r="L1094" s="3">
        <f>+IFERROR(IF(J1094="","",H1094*K1094),"")</f>
        <v/>
      </c>
    </row>
    <row r="1095">
      <c r="A1095" s="11" t="n"/>
      <c r="B1095" s="7" t="n"/>
      <c r="C1095" s="8" t="n"/>
      <c r="D1095" s="9" t="n"/>
      <c r="E1095" s="8" t="n"/>
      <c r="F1095" s="9" t="n"/>
      <c r="G1095" s="9" t="n"/>
      <c r="H1095" s="3">
        <f>IF(AND(D1095&lt;&gt;"",F1095&lt;&gt;""),F1095-D1095-G1095,"")</f>
        <v/>
      </c>
      <c r="I1095" s="14">
        <f>IF(E1095&lt;&gt;"", YEARFRAC(C1095, E1095) * 12, "")</f>
        <v/>
      </c>
      <c r="J1095" s="2">
        <f>IF(I1095="", "", IF(AND(A1095="MF (Equity)", I1095&gt;12), "Long Term", "Short Term"))</f>
        <v/>
      </c>
      <c r="K1095" s="5">
        <f>IF(J1095="", "", IF(J1095="Long Term", 12.5%, 20%))</f>
        <v/>
      </c>
      <c r="L1095" s="3">
        <f>+IFERROR(IF(J1095="","",H1095*K1095),"")</f>
        <v/>
      </c>
    </row>
    <row r="1096">
      <c r="A1096" s="11" t="n"/>
      <c r="B1096" s="7" t="n"/>
      <c r="C1096" s="8" t="n"/>
      <c r="D1096" s="9" t="n"/>
      <c r="E1096" s="8" t="n"/>
      <c r="F1096" s="9" t="n"/>
      <c r="G1096" s="9" t="n"/>
      <c r="H1096" s="3">
        <f>IF(AND(D1096&lt;&gt;"",F1096&lt;&gt;""),F1096-D1096-G1096,"")</f>
        <v/>
      </c>
      <c r="I1096" s="14">
        <f>IF(E1096&lt;&gt;"", YEARFRAC(C1096, E1096) * 12, "")</f>
        <v/>
      </c>
      <c r="J1096" s="2">
        <f>IF(I1096="", "", IF(AND(A1096="MF (Equity)", I1096&gt;12), "Long Term", "Short Term"))</f>
        <v/>
      </c>
      <c r="K1096" s="5">
        <f>IF(J1096="", "", IF(J1096="Long Term", 12.5%, 20%))</f>
        <v/>
      </c>
      <c r="L1096" s="3">
        <f>+IFERROR(IF(J1096="","",H1096*K1096),"")</f>
        <v/>
      </c>
    </row>
    <row r="1097">
      <c r="A1097" s="11" t="n"/>
      <c r="B1097" s="7" t="n"/>
      <c r="C1097" s="8" t="n"/>
      <c r="D1097" s="9" t="n"/>
      <c r="E1097" s="8" t="n"/>
      <c r="F1097" s="9" t="n"/>
      <c r="G1097" s="9" t="n"/>
      <c r="H1097" s="3">
        <f>IF(AND(D1097&lt;&gt;"",F1097&lt;&gt;""),F1097-D1097-G1097,"")</f>
        <v/>
      </c>
      <c r="I1097" s="14">
        <f>IF(E1097&lt;&gt;"", YEARFRAC(C1097, E1097) * 12, "")</f>
        <v/>
      </c>
      <c r="J1097" s="2">
        <f>IF(I1097="", "", IF(AND(A1097="MF (Equity)", I1097&gt;12), "Long Term", "Short Term"))</f>
        <v/>
      </c>
      <c r="K1097" s="5">
        <f>IF(J1097="", "", IF(J1097="Long Term", 12.5%, 20%))</f>
        <v/>
      </c>
      <c r="L1097" s="3">
        <f>+IFERROR(IF(J1097="","",H1097*K1097),"")</f>
        <v/>
      </c>
    </row>
    <row r="1098">
      <c r="A1098" s="11" t="n"/>
      <c r="B1098" s="7" t="n"/>
      <c r="C1098" s="8" t="n"/>
      <c r="D1098" s="9" t="n"/>
      <c r="E1098" s="8" t="n"/>
      <c r="F1098" s="9" t="n"/>
      <c r="G1098" s="9" t="n"/>
      <c r="H1098" s="3">
        <f>IF(AND(D1098&lt;&gt;"",F1098&lt;&gt;""),F1098-D1098-G1098,"")</f>
        <v/>
      </c>
      <c r="I1098" s="14">
        <f>IF(E1098&lt;&gt;"", YEARFRAC(C1098, E1098) * 12, "")</f>
        <v/>
      </c>
      <c r="J1098" s="2">
        <f>IF(I1098="", "", IF(AND(A1098="MF (Equity)", I1098&gt;12), "Long Term", "Short Term"))</f>
        <v/>
      </c>
      <c r="K1098" s="5">
        <f>IF(J1098="", "", IF(J1098="Long Term", 12.5%, 20%))</f>
        <v/>
      </c>
      <c r="L1098" s="3">
        <f>+IFERROR(IF(J1098="","",H1098*K1098),"")</f>
        <v/>
      </c>
    </row>
    <row r="1099">
      <c r="A1099" s="11" t="n"/>
      <c r="B1099" s="7" t="n"/>
      <c r="C1099" s="8" t="n"/>
      <c r="D1099" s="9" t="n"/>
      <c r="E1099" s="8" t="n"/>
      <c r="F1099" s="9" t="n"/>
      <c r="G1099" s="9" t="n"/>
      <c r="H1099" s="3">
        <f>IF(AND(D1099&lt;&gt;"",F1099&lt;&gt;""),F1099-D1099-G1099,"")</f>
        <v/>
      </c>
      <c r="I1099" s="14">
        <f>IF(E1099&lt;&gt;"", YEARFRAC(C1099, E1099) * 12, "")</f>
        <v/>
      </c>
      <c r="J1099" s="2">
        <f>IF(I1099="", "", IF(AND(A1099="MF (Equity)", I1099&gt;12), "Long Term", "Short Term"))</f>
        <v/>
      </c>
      <c r="K1099" s="5">
        <f>IF(J1099="", "", IF(J1099="Long Term", 12.5%, 20%))</f>
        <v/>
      </c>
      <c r="L1099" s="3">
        <f>+IFERROR(IF(J1099="","",H1099*K1099),"")</f>
        <v/>
      </c>
    </row>
    <row r="1100">
      <c r="A1100" s="11" t="n"/>
      <c r="B1100" s="7" t="n"/>
      <c r="C1100" s="8" t="n"/>
      <c r="D1100" s="9" t="n"/>
      <c r="E1100" s="8" t="n"/>
      <c r="F1100" s="9" t="n"/>
      <c r="G1100" s="9" t="n"/>
      <c r="H1100" s="3">
        <f>IF(AND(D1100&lt;&gt;"",F1100&lt;&gt;""),F1100-D1100-G1100,"")</f>
        <v/>
      </c>
      <c r="I1100" s="14">
        <f>IF(E1100&lt;&gt;"", YEARFRAC(C1100, E1100) * 12, "")</f>
        <v/>
      </c>
      <c r="J1100" s="2">
        <f>IF(I1100="", "", IF(AND(A1100="MF (Equity)", I1100&gt;12), "Long Term", "Short Term"))</f>
        <v/>
      </c>
      <c r="K1100" s="5">
        <f>IF(J1100="", "", IF(J1100="Long Term", 12.5%, 20%))</f>
        <v/>
      </c>
      <c r="L1100" s="3">
        <f>+IFERROR(IF(J1100="","",H1100*K1100),"")</f>
        <v/>
      </c>
    </row>
    <row r="1101">
      <c r="A1101" s="11" t="n"/>
      <c r="B1101" s="7" t="n"/>
      <c r="C1101" s="8" t="n"/>
      <c r="D1101" s="9" t="n"/>
      <c r="E1101" s="8" t="n"/>
      <c r="F1101" s="9" t="n"/>
      <c r="G1101" s="9" t="n"/>
      <c r="H1101" s="3">
        <f>IF(AND(D1101&lt;&gt;"",F1101&lt;&gt;""),F1101-D1101-G1101,"")</f>
        <v/>
      </c>
      <c r="I1101" s="14">
        <f>IF(E1101&lt;&gt;"", YEARFRAC(C1101, E1101) * 12, "")</f>
        <v/>
      </c>
      <c r="J1101" s="2">
        <f>IF(I1101="", "", IF(AND(A1101="MF (Equity)", I1101&gt;12), "Long Term", "Short Term"))</f>
        <v/>
      </c>
      <c r="K1101" s="5">
        <f>IF(J1101="", "", IF(J1101="Long Term", 12.5%, 20%))</f>
        <v/>
      </c>
      <c r="L1101" s="3">
        <f>+IFERROR(IF(J1101="","",H1101*K1101),"")</f>
        <v/>
      </c>
    </row>
    <row r="1102">
      <c r="A1102" s="11" t="n"/>
      <c r="B1102" s="7" t="n"/>
      <c r="C1102" s="8" t="n"/>
      <c r="D1102" s="9" t="n"/>
      <c r="E1102" s="8" t="n"/>
      <c r="F1102" s="9" t="n"/>
      <c r="G1102" s="9" t="n"/>
      <c r="H1102" s="3">
        <f>IF(AND(D1102&lt;&gt;"",F1102&lt;&gt;""),F1102-D1102-G1102,"")</f>
        <v/>
      </c>
      <c r="I1102" s="14">
        <f>IF(E1102&lt;&gt;"", YEARFRAC(C1102, E1102) * 12, "")</f>
        <v/>
      </c>
      <c r="J1102" s="2">
        <f>IF(I1102="", "", IF(AND(A1102="MF (Equity)", I1102&gt;12), "Long Term", "Short Term"))</f>
        <v/>
      </c>
      <c r="K1102" s="5">
        <f>IF(J1102="", "", IF(J1102="Long Term", 12.5%, 20%))</f>
        <v/>
      </c>
      <c r="L1102" s="3">
        <f>+IFERROR(IF(J1102="","",H1102*K1102),"")</f>
        <v/>
      </c>
    </row>
    <row r="1103">
      <c r="A1103" s="11" t="n"/>
      <c r="B1103" s="7" t="n"/>
      <c r="C1103" s="8" t="n"/>
      <c r="D1103" s="9" t="n"/>
      <c r="E1103" s="8" t="n"/>
      <c r="F1103" s="9" t="n"/>
      <c r="G1103" s="9" t="n"/>
      <c r="H1103" s="3">
        <f>IF(AND(D1103&lt;&gt;"",F1103&lt;&gt;""),F1103-D1103-G1103,"")</f>
        <v/>
      </c>
      <c r="I1103" s="14">
        <f>IF(E1103&lt;&gt;"", YEARFRAC(C1103, E1103) * 12, "")</f>
        <v/>
      </c>
      <c r="J1103" s="2">
        <f>IF(I1103="", "", IF(AND(A1103="MF (Equity)", I1103&gt;12), "Long Term", "Short Term"))</f>
        <v/>
      </c>
      <c r="K1103" s="5">
        <f>IF(J1103="", "", IF(J1103="Long Term", 12.5%, 20%))</f>
        <v/>
      </c>
      <c r="L1103" s="3">
        <f>+IFERROR(IF(J1103="","",H1103*K1103),"")</f>
        <v/>
      </c>
    </row>
    <row r="1104">
      <c r="A1104" s="11" t="n"/>
      <c r="B1104" s="7" t="n"/>
      <c r="C1104" s="8" t="n"/>
      <c r="D1104" s="9" t="n"/>
      <c r="E1104" s="8" t="n"/>
      <c r="F1104" s="9" t="n"/>
      <c r="G1104" s="9" t="n"/>
      <c r="H1104" s="3">
        <f>IF(AND(D1104&lt;&gt;"",F1104&lt;&gt;""),F1104-D1104-G1104,"")</f>
        <v/>
      </c>
      <c r="I1104" s="14">
        <f>IF(E1104&lt;&gt;"", YEARFRAC(C1104, E1104) * 12, "")</f>
        <v/>
      </c>
      <c r="J1104" s="2">
        <f>IF(I1104="", "", IF(AND(A1104="MF (Equity)", I1104&gt;12), "Long Term", "Short Term"))</f>
        <v/>
      </c>
      <c r="K1104" s="5">
        <f>IF(J1104="", "", IF(J1104="Long Term", 12.5%, 20%))</f>
        <v/>
      </c>
      <c r="L1104" s="3">
        <f>+IFERROR(IF(J1104="","",H1104*K1104),"")</f>
        <v/>
      </c>
    </row>
    <row r="1105">
      <c r="A1105" s="11" t="n"/>
      <c r="B1105" s="7" t="n"/>
      <c r="C1105" s="8" t="n"/>
      <c r="D1105" s="9" t="n"/>
      <c r="E1105" s="8" t="n"/>
      <c r="F1105" s="9" t="n"/>
      <c r="G1105" s="9" t="n"/>
      <c r="H1105" s="3">
        <f>IF(AND(D1105&lt;&gt;"",F1105&lt;&gt;""),F1105-D1105-G1105,"")</f>
        <v/>
      </c>
      <c r="I1105" s="14">
        <f>IF(E1105&lt;&gt;"", YEARFRAC(C1105, E1105) * 12, "")</f>
        <v/>
      </c>
      <c r="J1105" s="2">
        <f>IF(I1105="", "", IF(AND(A1105="MF (Equity)", I1105&gt;12), "Long Term", "Short Term"))</f>
        <v/>
      </c>
      <c r="K1105" s="5">
        <f>IF(J1105="", "", IF(J1105="Long Term", 12.5%, 20%))</f>
        <v/>
      </c>
      <c r="L1105" s="3">
        <f>+IFERROR(IF(J1105="","",H1105*K1105),"")</f>
        <v/>
      </c>
    </row>
    <row r="1106">
      <c r="A1106" s="11" t="n"/>
      <c r="B1106" s="7" t="n"/>
      <c r="C1106" s="8" t="n"/>
      <c r="D1106" s="9" t="n"/>
      <c r="E1106" s="8" t="n"/>
      <c r="F1106" s="9" t="n"/>
      <c r="G1106" s="9" t="n"/>
      <c r="H1106" s="3">
        <f>IF(AND(D1106&lt;&gt;"",F1106&lt;&gt;""),F1106-D1106-G1106,"")</f>
        <v/>
      </c>
      <c r="I1106" s="14">
        <f>IF(E1106&lt;&gt;"", YEARFRAC(C1106, E1106) * 12, "")</f>
        <v/>
      </c>
      <c r="J1106" s="2">
        <f>IF(I1106="", "", IF(AND(A1106="MF (Equity)", I1106&gt;12), "Long Term", "Short Term"))</f>
        <v/>
      </c>
      <c r="K1106" s="5">
        <f>IF(J1106="", "", IF(J1106="Long Term", 12.5%, 20%))</f>
        <v/>
      </c>
      <c r="L1106" s="3">
        <f>+IFERROR(IF(J1106="","",H1106*K1106),"")</f>
        <v/>
      </c>
    </row>
    <row r="1107">
      <c r="A1107" s="11" t="n"/>
      <c r="B1107" s="7" t="n"/>
      <c r="C1107" s="8" t="n"/>
      <c r="D1107" s="9" t="n"/>
      <c r="E1107" s="8" t="n"/>
      <c r="F1107" s="9" t="n"/>
      <c r="G1107" s="9" t="n"/>
      <c r="H1107" s="3">
        <f>IF(AND(D1107&lt;&gt;"",F1107&lt;&gt;""),F1107-D1107-G1107,"")</f>
        <v/>
      </c>
      <c r="I1107" s="14">
        <f>IF(E1107&lt;&gt;"", YEARFRAC(C1107, E1107) * 12, "")</f>
        <v/>
      </c>
      <c r="J1107" s="2">
        <f>IF(I1107="", "", IF(AND(A1107="MF (Equity)", I1107&gt;12), "Long Term", "Short Term"))</f>
        <v/>
      </c>
      <c r="K1107" s="5">
        <f>IF(J1107="", "", IF(J1107="Long Term", 12.5%, 20%))</f>
        <v/>
      </c>
      <c r="L1107" s="3">
        <f>+IFERROR(IF(J1107="","",H1107*K1107),"")</f>
        <v/>
      </c>
    </row>
    <row r="1108">
      <c r="A1108" s="11" t="n"/>
      <c r="B1108" s="7" t="n"/>
      <c r="C1108" s="8" t="n"/>
      <c r="D1108" s="9" t="n"/>
      <c r="E1108" s="8" t="n"/>
      <c r="F1108" s="9" t="n"/>
      <c r="G1108" s="9" t="n"/>
      <c r="H1108" s="3">
        <f>IF(AND(D1108&lt;&gt;"",F1108&lt;&gt;""),F1108-D1108-G1108,"")</f>
        <v/>
      </c>
      <c r="I1108" s="14">
        <f>IF(E1108&lt;&gt;"", YEARFRAC(C1108, E1108) * 12, "")</f>
        <v/>
      </c>
      <c r="J1108" s="2">
        <f>IF(I1108="", "", IF(AND(A1108="MF (Equity)", I1108&gt;12), "Long Term", "Short Term"))</f>
        <v/>
      </c>
      <c r="K1108" s="5">
        <f>IF(J1108="", "", IF(J1108="Long Term", 12.5%, 20%))</f>
        <v/>
      </c>
      <c r="L1108" s="3">
        <f>+IFERROR(IF(J1108="","",H1108*K1108),"")</f>
        <v/>
      </c>
    </row>
    <row r="1109">
      <c r="A1109" s="11" t="n"/>
      <c r="B1109" s="7" t="n"/>
      <c r="C1109" s="8" t="n"/>
      <c r="D1109" s="9" t="n"/>
      <c r="E1109" s="8" t="n"/>
      <c r="F1109" s="9" t="n"/>
      <c r="G1109" s="9" t="n"/>
      <c r="H1109" s="3">
        <f>IF(AND(D1109&lt;&gt;"",F1109&lt;&gt;""),F1109-D1109-G1109,"")</f>
        <v/>
      </c>
      <c r="I1109" s="14">
        <f>IF(E1109&lt;&gt;"", YEARFRAC(C1109, E1109) * 12, "")</f>
        <v/>
      </c>
      <c r="J1109" s="2">
        <f>IF(I1109="", "", IF(AND(A1109="MF (Equity)", I1109&gt;12), "Long Term", "Short Term"))</f>
        <v/>
      </c>
      <c r="K1109" s="5">
        <f>IF(J1109="", "", IF(J1109="Long Term", 12.5%, 20%))</f>
        <v/>
      </c>
      <c r="L1109" s="3">
        <f>+IFERROR(IF(J1109="","",H1109*K1109),"")</f>
        <v/>
      </c>
    </row>
    <row r="1110">
      <c r="A1110" s="11" t="n"/>
      <c r="B1110" s="7" t="n"/>
      <c r="C1110" s="8" t="n"/>
      <c r="D1110" s="9" t="n"/>
      <c r="E1110" s="8" t="n"/>
      <c r="F1110" s="9" t="n"/>
      <c r="G1110" s="9" t="n"/>
      <c r="H1110" s="3">
        <f>IF(AND(D1110&lt;&gt;"",F1110&lt;&gt;""),F1110-D1110-G1110,"")</f>
        <v/>
      </c>
      <c r="I1110" s="14">
        <f>IF(E1110&lt;&gt;"", YEARFRAC(C1110, E1110) * 12, "")</f>
        <v/>
      </c>
      <c r="J1110" s="2">
        <f>IF(I1110="", "", IF(AND(A1110="MF (Equity)", I1110&gt;12), "Long Term", "Short Term"))</f>
        <v/>
      </c>
      <c r="K1110" s="5">
        <f>IF(J1110="", "", IF(J1110="Long Term", 12.5%, 20%))</f>
        <v/>
      </c>
      <c r="L1110" s="3">
        <f>+IFERROR(IF(J1110="","",H1110*K1110),"")</f>
        <v/>
      </c>
    </row>
    <row r="1111">
      <c r="A1111" s="11" t="n"/>
      <c r="B1111" s="7" t="n"/>
      <c r="C1111" s="8" t="n"/>
      <c r="D1111" s="9" t="n"/>
      <c r="E1111" s="8" t="n"/>
      <c r="F1111" s="9" t="n"/>
      <c r="G1111" s="9" t="n"/>
      <c r="H1111" s="3">
        <f>IF(AND(D1111&lt;&gt;"",F1111&lt;&gt;""),F1111-D1111-G1111,"")</f>
        <v/>
      </c>
      <c r="I1111" s="14">
        <f>IF(E1111&lt;&gt;"", YEARFRAC(C1111, E1111) * 12, "")</f>
        <v/>
      </c>
      <c r="J1111" s="2">
        <f>IF(I1111="", "", IF(AND(A1111="MF (Equity)", I1111&gt;12), "Long Term", "Short Term"))</f>
        <v/>
      </c>
      <c r="K1111" s="5">
        <f>IF(J1111="", "", IF(J1111="Long Term", 12.5%, 20%))</f>
        <v/>
      </c>
      <c r="L1111" s="3">
        <f>+IFERROR(IF(J1111="","",H1111*K1111),"")</f>
        <v/>
      </c>
    </row>
    <row r="1112">
      <c r="A1112" s="11" t="n"/>
      <c r="B1112" s="7" t="n"/>
      <c r="C1112" s="8" t="n"/>
      <c r="D1112" s="9" t="n"/>
      <c r="E1112" s="8" t="n"/>
      <c r="F1112" s="9" t="n"/>
      <c r="G1112" s="9" t="n"/>
      <c r="H1112" s="3">
        <f>IF(AND(D1112&lt;&gt;"",F1112&lt;&gt;""),F1112-D1112-G1112,"")</f>
        <v/>
      </c>
      <c r="I1112" s="14">
        <f>IF(E1112&lt;&gt;"", YEARFRAC(C1112, E1112) * 12, "")</f>
        <v/>
      </c>
      <c r="J1112" s="2">
        <f>IF(I1112="", "", IF(AND(A1112="MF (Equity)", I1112&gt;12), "Long Term", "Short Term"))</f>
        <v/>
      </c>
      <c r="K1112" s="5">
        <f>IF(J1112="", "", IF(J1112="Long Term", 12.5%, 20%))</f>
        <v/>
      </c>
      <c r="L1112" s="3">
        <f>+IFERROR(IF(J1112="","",H1112*K1112),"")</f>
        <v/>
      </c>
    </row>
    <row r="1113">
      <c r="A1113" s="11" t="n"/>
      <c r="B1113" s="7" t="n"/>
      <c r="C1113" s="8" t="n"/>
      <c r="D1113" s="9" t="n"/>
      <c r="E1113" s="8" t="n"/>
      <c r="F1113" s="9" t="n"/>
      <c r="G1113" s="9" t="n"/>
      <c r="H1113" s="3">
        <f>IF(AND(D1113&lt;&gt;"",F1113&lt;&gt;""),F1113-D1113-G1113,"")</f>
        <v/>
      </c>
      <c r="I1113" s="14">
        <f>IF(E1113&lt;&gt;"", YEARFRAC(C1113, E1113) * 12, "")</f>
        <v/>
      </c>
      <c r="J1113" s="2">
        <f>IF(I1113="", "", IF(AND(A1113="MF (Equity)", I1113&gt;12), "Long Term", "Short Term"))</f>
        <v/>
      </c>
      <c r="K1113" s="5">
        <f>IF(J1113="", "", IF(J1113="Long Term", 12.5%, 20%))</f>
        <v/>
      </c>
      <c r="L1113" s="3">
        <f>+IFERROR(IF(J1113="","",H1113*K1113),"")</f>
        <v/>
      </c>
    </row>
    <row r="1114">
      <c r="A1114" s="11" t="n"/>
      <c r="B1114" s="7" t="n"/>
      <c r="C1114" s="8" t="n"/>
      <c r="D1114" s="9" t="n"/>
      <c r="E1114" s="8" t="n"/>
      <c r="F1114" s="9" t="n"/>
      <c r="G1114" s="9" t="n"/>
      <c r="H1114" s="3">
        <f>IF(AND(D1114&lt;&gt;"",F1114&lt;&gt;""),F1114-D1114-G1114,"")</f>
        <v/>
      </c>
      <c r="I1114" s="14">
        <f>IF(E1114&lt;&gt;"", YEARFRAC(C1114, E1114) * 12, "")</f>
        <v/>
      </c>
      <c r="J1114" s="2">
        <f>IF(I1114="", "", IF(AND(A1114="MF (Equity)", I1114&gt;12), "Long Term", "Short Term"))</f>
        <v/>
      </c>
      <c r="K1114" s="5">
        <f>IF(J1114="", "", IF(J1114="Long Term", 12.5%, 20%))</f>
        <v/>
      </c>
      <c r="L1114" s="3">
        <f>+IFERROR(IF(J1114="","",H1114*K1114),"")</f>
        <v/>
      </c>
    </row>
    <row r="1115">
      <c r="A1115" s="11" t="n"/>
      <c r="B1115" s="7" t="n"/>
      <c r="C1115" s="8" t="n"/>
      <c r="D1115" s="9" t="n"/>
      <c r="E1115" s="8" t="n"/>
      <c r="F1115" s="9" t="n"/>
      <c r="G1115" s="9" t="n"/>
      <c r="H1115" s="3">
        <f>IF(AND(D1115&lt;&gt;"",F1115&lt;&gt;""),F1115-D1115-G1115,"")</f>
        <v/>
      </c>
      <c r="I1115" s="14">
        <f>IF(E1115&lt;&gt;"", YEARFRAC(C1115, E1115) * 12, "")</f>
        <v/>
      </c>
      <c r="J1115" s="2">
        <f>IF(I1115="", "", IF(AND(A1115="MF (Equity)", I1115&gt;12), "Long Term", "Short Term"))</f>
        <v/>
      </c>
      <c r="K1115" s="5">
        <f>IF(J1115="", "", IF(J1115="Long Term", 12.5%, 20%))</f>
        <v/>
      </c>
      <c r="L1115" s="3">
        <f>+IFERROR(IF(J1115="","",H1115*K1115),"")</f>
        <v/>
      </c>
    </row>
    <row r="1116">
      <c r="A1116" s="11" t="n"/>
      <c r="B1116" s="7" t="n"/>
      <c r="C1116" s="8" t="n"/>
      <c r="D1116" s="9" t="n"/>
      <c r="E1116" s="8" t="n"/>
      <c r="F1116" s="9" t="n"/>
      <c r="G1116" s="9" t="n"/>
      <c r="H1116" s="3">
        <f>IF(AND(D1116&lt;&gt;"",F1116&lt;&gt;""),F1116-D1116-G1116,"")</f>
        <v/>
      </c>
      <c r="I1116" s="14">
        <f>IF(E1116&lt;&gt;"", YEARFRAC(C1116, E1116) * 12, "")</f>
        <v/>
      </c>
      <c r="J1116" s="2">
        <f>IF(I1116="", "", IF(AND(A1116="MF (Equity)", I1116&gt;12), "Long Term", "Short Term"))</f>
        <v/>
      </c>
      <c r="K1116" s="5">
        <f>IF(J1116="", "", IF(J1116="Long Term", 12.5%, 20%))</f>
        <v/>
      </c>
      <c r="L1116" s="3">
        <f>+IFERROR(IF(J1116="","",H1116*K1116),"")</f>
        <v/>
      </c>
    </row>
    <row r="1117">
      <c r="A1117" s="11" t="n"/>
      <c r="B1117" s="7" t="n"/>
      <c r="C1117" s="8" t="n"/>
      <c r="D1117" s="9" t="n"/>
      <c r="E1117" s="8" t="n"/>
      <c r="F1117" s="9" t="n"/>
      <c r="G1117" s="9" t="n"/>
      <c r="H1117" s="3">
        <f>IF(AND(D1117&lt;&gt;"",F1117&lt;&gt;""),F1117-D1117-G1117,"")</f>
        <v/>
      </c>
      <c r="I1117" s="14">
        <f>IF(E1117&lt;&gt;"", YEARFRAC(C1117, E1117) * 12, "")</f>
        <v/>
      </c>
      <c r="J1117" s="2">
        <f>IF(I1117="", "", IF(AND(A1117="MF (Equity)", I1117&gt;12), "Long Term", "Short Term"))</f>
        <v/>
      </c>
      <c r="K1117" s="5">
        <f>IF(J1117="", "", IF(J1117="Long Term", 12.5%, 20%))</f>
        <v/>
      </c>
      <c r="L1117" s="3">
        <f>+IFERROR(IF(J1117="","",H1117*K1117),"")</f>
        <v/>
      </c>
    </row>
    <row r="1118">
      <c r="A1118" s="11" t="n"/>
      <c r="B1118" s="7" t="n"/>
      <c r="C1118" s="8" t="n"/>
      <c r="D1118" s="9" t="n"/>
      <c r="E1118" s="8" t="n"/>
      <c r="F1118" s="9" t="n"/>
      <c r="G1118" s="9" t="n"/>
      <c r="H1118" s="3">
        <f>IF(AND(D1118&lt;&gt;"",F1118&lt;&gt;""),F1118-D1118-G1118,"")</f>
        <v/>
      </c>
      <c r="I1118" s="14">
        <f>IF(E1118&lt;&gt;"", YEARFRAC(C1118, E1118) * 12, "")</f>
        <v/>
      </c>
      <c r="J1118" s="2">
        <f>IF(I1118="", "", IF(AND(A1118="MF (Equity)", I1118&gt;12), "Long Term", "Short Term"))</f>
        <v/>
      </c>
      <c r="K1118" s="5">
        <f>IF(J1118="", "", IF(J1118="Long Term", 12.5%, 20%))</f>
        <v/>
      </c>
      <c r="L1118" s="3">
        <f>+IFERROR(IF(J1118="","",H1118*K1118),"")</f>
        <v/>
      </c>
    </row>
    <row r="1119">
      <c r="A1119" s="11" t="n"/>
      <c r="B1119" s="7" t="n"/>
      <c r="C1119" s="8" t="n"/>
      <c r="D1119" s="9" t="n"/>
      <c r="E1119" s="8" t="n"/>
      <c r="F1119" s="9" t="n"/>
      <c r="G1119" s="9" t="n"/>
      <c r="H1119" s="3">
        <f>IF(AND(D1119&lt;&gt;"",F1119&lt;&gt;""),F1119-D1119-G1119,"")</f>
        <v/>
      </c>
      <c r="I1119" s="14">
        <f>IF(E1119&lt;&gt;"", YEARFRAC(C1119, E1119) * 12, "")</f>
        <v/>
      </c>
      <c r="J1119" s="2">
        <f>IF(I1119="", "", IF(AND(A1119="MF (Equity)", I1119&gt;12), "Long Term", "Short Term"))</f>
        <v/>
      </c>
      <c r="K1119" s="5">
        <f>IF(J1119="", "", IF(J1119="Long Term", 12.5%, 20%))</f>
        <v/>
      </c>
      <c r="L1119" s="3">
        <f>+IFERROR(IF(J1119="","",H1119*K1119),"")</f>
        <v/>
      </c>
    </row>
    <row r="1120">
      <c r="A1120" s="11" t="n"/>
      <c r="B1120" s="7" t="n"/>
      <c r="C1120" s="8" t="n"/>
      <c r="D1120" s="9" t="n"/>
      <c r="E1120" s="8" t="n"/>
      <c r="F1120" s="9" t="n"/>
      <c r="G1120" s="9" t="n"/>
      <c r="H1120" s="3">
        <f>IF(AND(D1120&lt;&gt;"",F1120&lt;&gt;""),F1120-D1120-G1120,"")</f>
        <v/>
      </c>
      <c r="I1120" s="14">
        <f>IF(E1120&lt;&gt;"", YEARFRAC(C1120, E1120) * 12, "")</f>
        <v/>
      </c>
      <c r="J1120" s="2">
        <f>IF(I1120="", "", IF(AND(A1120="MF (Equity)", I1120&gt;12), "Long Term", "Short Term"))</f>
        <v/>
      </c>
      <c r="K1120" s="5">
        <f>IF(J1120="", "", IF(J1120="Long Term", 12.5%, 20%))</f>
        <v/>
      </c>
      <c r="L1120" s="3">
        <f>+IFERROR(IF(J1120="","",H1120*K1120),"")</f>
        <v/>
      </c>
    </row>
    <row r="1121">
      <c r="A1121" s="11" t="n"/>
      <c r="B1121" s="7" t="n"/>
      <c r="C1121" s="8" t="n"/>
      <c r="D1121" s="9" t="n"/>
      <c r="E1121" s="8" t="n"/>
      <c r="F1121" s="9" t="n"/>
      <c r="G1121" s="9" t="n"/>
      <c r="H1121" s="3">
        <f>IF(AND(D1121&lt;&gt;"",F1121&lt;&gt;""),F1121-D1121-G1121,"")</f>
        <v/>
      </c>
      <c r="I1121" s="14">
        <f>IF(E1121&lt;&gt;"", YEARFRAC(C1121, E1121) * 12, "")</f>
        <v/>
      </c>
      <c r="J1121" s="2">
        <f>IF(I1121="", "", IF(AND(A1121="MF (Equity)", I1121&gt;12), "Long Term", "Short Term"))</f>
        <v/>
      </c>
      <c r="K1121" s="5">
        <f>IF(J1121="", "", IF(J1121="Long Term", 12.5%, 20%))</f>
        <v/>
      </c>
      <c r="L1121" s="3">
        <f>+IFERROR(IF(J1121="","",H1121*K1121),"")</f>
        <v/>
      </c>
    </row>
    <row r="1122">
      <c r="A1122" s="11" t="n"/>
      <c r="B1122" s="7" t="n"/>
      <c r="C1122" s="8" t="n"/>
      <c r="D1122" s="9" t="n"/>
      <c r="E1122" s="8" t="n"/>
      <c r="F1122" s="9" t="n"/>
      <c r="G1122" s="9" t="n"/>
      <c r="H1122" s="3">
        <f>IF(AND(D1122&lt;&gt;"",F1122&lt;&gt;""),F1122-D1122-G1122,"")</f>
        <v/>
      </c>
      <c r="I1122" s="14">
        <f>IF(E1122&lt;&gt;"", YEARFRAC(C1122, E1122) * 12, "")</f>
        <v/>
      </c>
      <c r="J1122" s="2">
        <f>IF(I1122="", "", IF(AND(A1122="MF (Equity)", I1122&gt;12), "Long Term", "Short Term"))</f>
        <v/>
      </c>
      <c r="K1122" s="5">
        <f>IF(J1122="", "", IF(J1122="Long Term", 12.5%, 20%))</f>
        <v/>
      </c>
      <c r="L1122" s="3">
        <f>+IFERROR(IF(J1122="","",H1122*K1122),"")</f>
        <v/>
      </c>
    </row>
    <row r="1123">
      <c r="A1123" s="11" t="n"/>
      <c r="B1123" s="7" t="n"/>
      <c r="C1123" s="8" t="n"/>
      <c r="D1123" s="9" t="n"/>
      <c r="E1123" s="8" t="n"/>
      <c r="F1123" s="9" t="n"/>
      <c r="G1123" s="9" t="n"/>
      <c r="H1123" s="3">
        <f>IF(AND(D1123&lt;&gt;"",F1123&lt;&gt;""),F1123-D1123-G1123,"")</f>
        <v/>
      </c>
      <c r="I1123" s="14">
        <f>IF(E1123&lt;&gt;"", YEARFRAC(C1123, E1123) * 12, "")</f>
        <v/>
      </c>
      <c r="J1123" s="2">
        <f>IF(I1123="", "", IF(AND(A1123="MF (Equity)", I1123&gt;12), "Long Term", "Short Term"))</f>
        <v/>
      </c>
      <c r="K1123" s="5">
        <f>IF(J1123="", "", IF(J1123="Long Term", 12.5%, 20%))</f>
        <v/>
      </c>
      <c r="L1123" s="3">
        <f>+IFERROR(IF(J1123="","",H1123*K1123),"")</f>
        <v/>
      </c>
    </row>
    <row r="1124">
      <c r="A1124" s="11" t="n"/>
      <c r="B1124" s="7" t="n"/>
      <c r="C1124" s="8" t="n"/>
      <c r="D1124" s="9" t="n"/>
      <c r="E1124" s="8" t="n"/>
      <c r="F1124" s="9" t="n"/>
      <c r="G1124" s="9" t="n"/>
      <c r="H1124" s="3">
        <f>IF(AND(D1124&lt;&gt;"",F1124&lt;&gt;""),F1124-D1124-G1124,"")</f>
        <v/>
      </c>
      <c r="I1124" s="14">
        <f>IF(E1124&lt;&gt;"", YEARFRAC(C1124, E1124) * 12, "")</f>
        <v/>
      </c>
      <c r="J1124" s="2">
        <f>IF(I1124="", "", IF(AND(A1124="MF (Equity)", I1124&gt;12), "Long Term", "Short Term"))</f>
        <v/>
      </c>
      <c r="K1124" s="5">
        <f>IF(J1124="", "", IF(J1124="Long Term", 12.5%, 20%))</f>
        <v/>
      </c>
      <c r="L1124" s="3">
        <f>+IFERROR(IF(J1124="","",H1124*K1124),"")</f>
        <v/>
      </c>
    </row>
    <row r="1125">
      <c r="A1125" s="11" t="n"/>
      <c r="B1125" s="7" t="n"/>
      <c r="C1125" s="8" t="n"/>
      <c r="D1125" s="9" t="n"/>
      <c r="E1125" s="8" t="n"/>
      <c r="F1125" s="9" t="n"/>
      <c r="G1125" s="9" t="n"/>
      <c r="H1125" s="3">
        <f>IF(AND(D1125&lt;&gt;"",F1125&lt;&gt;""),F1125-D1125-G1125,"")</f>
        <v/>
      </c>
      <c r="I1125" s="14">
        <f>IF(E1125&lt;&gt;"", YEARFRAC(C1125, E1125) * 12, "")</f>
        <v/>
      </c>
      <c r="J1125" s="2">
        <f>IF(I1125="", "", IF(AND(A1125="MF (Equity)", I1125&gt;12), "Long Term", "Short Term"))</f>
        <v/>
      </c>
      <c r="K1125" s="5">
        <f>IF(J1125="", "", IF(J1125="Long Term", 12.5%, 20%))</f>
        <v/>
      </c>
      <c r="L1125" s="3">
        <f>+IFERROR(IF(J1125="","",H1125*K1125),"")</f>
        <v/>
      </c>
    </row>
    <row r="1126">
      <c r="A1126" s="11" t="n"/>
      <c r="B1126" s="7" t="n"/>
      <c r="C1126" s="8" t="n"/>
      <c r="D1126" s="9" t="n"/>
      <c r="E1126" s="8" t="n"/>
      <c r="F1126" s="9" t="n"/>
      <c r="G1126" s="9" t="n"/>
      <c r="H1126" s="3">
        <f>IF(AND(D1126&lt;&gt;"",F1126&lt;&gt;""),F1126-D1126-G1126,"")</f>
        <v/>
      </c>
      <c r="I1126" s="14">
        <f>IF(E1126&lt;&gt;"", YEARFRAC(C1126, E1126) * 12, "")</f>
        <v/>
      </c>
      <c r="J1126" s="2">
        <f>IF(I1126="", "", IF(AND(A1126="MF (Equity)", I1126&gt;12), "Long Term", "Short Term"))</f>
        <v/>
      </c>
      <c r="K1126" s="5">
        <f>IF(J1126="", "", IF(J1126="Long Term", 12.5%, 20%))</f>
        <v/>
      </c>
      <c r="L1126" s="3">
        <f>+IFERROR(IF(J1126="","",H1126*K1126),"")</f>
        <v/>
      </c>
    </row>
    <row r="1127">
      <c r="A1127" s="11" t="n"/>
      <c r="B1127" s="7" t="n"/>
      <c r="C1127" s="8" t="n"/>
      <c r="D1127" s="9" t="n"/>
      <c r="E1127" s="8" t="n"/>
      <c r="F1127" s="9" t="n"/>
      <c r="G1127" s="9" t="n"/>
      <c r="H1127" s="3">
        <f>IF(AND(D1127&lt;&gt;"",F1127&lt;&gt;""),F1127-D1127-G1127,"")</f>
        <v/>
      </c>
      <c r="I1127" s="14">
        <f>IF(E1127&lt;&gt;"", YEARFRAC(C1127, E1127) * 12, "")</f>
        <v/>
      </c>
      <c r="J1127" s="2">
        <f>IF(I1127="", "", IF(AND(A1127="MF (Equity)", I1127&gt;12), "Long Term", "Short Term"))</f>
        <v/>
      </c>
      <c r="K1127" s="5">
        <f>IF(J1127="", "", IF(J1127="Long Term", 12.5%, 20%))</f>
        <v/>
      </c>
      <c r="L1127" s="3">
        <f>+IFERROR(IF(J1127="","",H1127*K1127),"")</f>
        <v/>
      </c>
    </row>
    <row r="1128">
      <c r="A1128" s="11" t="n"/>
      <c r="B1128" s="7" t="n"/>
      <c r="C1128" s="8" t="n"/>
      <c r="D1128" s="9" t="n"/>
      <c r="E1128" s="8" t="n"/>
      <c r="F1128" s="9" t="n"/>
      <c r="G1128" s="9" t="n"/>
      <c r="H1128" s="3">
        <f>IF(AND(D1128&lt;&gt;"",F1128&lt;&gt;""),F1128-D1128-G1128,"")</f>
        <v/>
      </c>
      <c r="I1128" s="14">
        <f>IF(E1128&lt;&gt;"", YEARFRAC(C1128, E1128) * 12, "")</f>
        <v/>
      </c>
      <c r="J1128" s="2">
        <f>IF(I1128="", "", IF(AND(A1128="MF (Equity)", I1128&gt;12), "Long Term", "Short Term"))</f>
        <v/>
      </c>
      <c r="K1128" s="5">
        <f>IF(J1128="", "", IF(J1128="Long Term", 12.5%, 20%))</f>
        <v/>
      </c>
      <c r="L1128" s="3">
        <f>+IFERROR(IF(J1128="","",H1128*K1128),"")</f>
        <v/>
      </c>
    </row>
    <row r="1129">
      <c r="A1129" s="11" t="n"/>
      <c r="B1129" s="7" t="n"/>
      <c r="C1129" s="8" t="n"/>
      <c r="D1129" s="9" t="n"/>
      <c r="E1129" s="8" t="n"/>
      <c r="F1129" s="9" t="n"/>
      <c r="G1129" s="9" t="n"/>
      <c r="H1129" s="3">
        <f>IF(AND(D1129&lt;&gt;"",F1129&lt;&gt;""),F1129-D1129-G1129,"")</f>
        <v/>
      </c>
      <c r="I1129" s="14">
        <f>IF(E1129&lt;&gt;"", YEARFRAC(C1129, E1129) * 12, "")</f>
        <v/>
      </c>
      <c r="J1129" s="2">
        <f>IF(I1129="", "", IF(AND(A1129="MF (Equity)", I1129&gt;12), "Long Term", "Short Term"))</f>
        <v/>
      </c>
      <c r="K1129" s="5">
        <f>IF(J1129="", "", IF(J1129="Long Term", 12.5%, 20%))</f>
        <v/>
      </c>
      <c r="L1129" s="3">
        <f>+IFERROR(IF(J1129="","",H1129*K1129),"")</f>
        <v/>
      </c>
    </row>
    <row r="1130">
      <c r="A1130" s="11" t="n"/>
      <c r="B1130" s="7" t="n"/>
      <c r="C1130" s="8" t="n"/>
      <c r="D1130" s="9" t="n"/>
      <c r="E1130" s="8" t="n"/>
      <c r="F1130" s="9" t="n"/>
      <c r="G1130" s="9" t="n"/>
      <c r="H1130" s="3">
        <f>IF(AND(D1130&lt;&gt;"",F1130&lt;&gt;""),F1130-D1130-G1130,"")</f>
        <v/>
      </c>
      <c r="I1130" s="14">
        <f>IF(E1130&lt;&gt;"", YEARFRAC(C1130, E1130) * 12, "")</f>
        <v/>
      </c>
      <c r="J1130" s="2">
        <f>IF(I1130="", "", IF(AND(A1130="MF (Equity)", I1130&gt;12), "Long Term", "Short Term"))</f>
        <v/>
      </c>
      <c r="K1130" s="5">
        <f>IF(J1130="", "", IF(J1130="Long Term", 12.5%, 20%))</f>
        <v/>
      </c>
      <c r="L1130" s="3">
        <f>+IFERROR(IF(J1130="","",H1130*K1130),"")</f>
        <v/>
      </c>
    </row>
    <row r="1131">
      <c r="A1131" s="11" t="n"/>
      <c r="B1131" s="7" t="n"/>
      <c r="C1131" s="8" t="n"/>
      <c r="D1131" s="9" t="n"/>
      <c r="E1131" s="8" t="n"/>
      <c r="F1131" s="9" t="n"/>
      <c r="G1131" s="9" t="n"/>
      <c r="H1131" s="3">
        <f>IF(AND(D1131&lt;&gt;"",F1131&lt;&gt;""),F1131-D1131-G1131,"")</f>
        <v/>
      </c>
      <c r="I1131" s="14">
        <f>IF(E1131&lt;&gt;"", YEARFRAC(C1131, E1131) * 12, "")</f>
        <v/>
      </c>
      <c r="J1131" s="2">
        <f>IF(I1131="", "", IF(AND(A1131="MF (Equity)", I1131&gt;12), "Long Term", "Short Term"))</f>
        <v/>
      </c>
      <c r="K1131" s="5">
        <f>IF(J1131="", "", IF(J1131="Long Term", 12.5%, 20%))</f>
        <v/>
      </c>
      <c r="L1131" s="3">
        <f>+IFERROR(IF(J1131="","",H1131*K1131),"")</f>
        <v/>
      </c>
    </row>
    <row r="1132">
      <c r="A1132" s="11" t="n"/>
      <c r="B1132" s="7" t="n"/>
      <c r="C1132" s="8" t="n"/>
      <c r="D1132" s="9" t="n"/>
      <c r="E1132" s="8" t="n"/>
      <c r="F1132" s="9" t="n"/>
      <c r="G1132" s="9" t="n"/>
      <c r="H1132" s="3">
        <f>IF(AND(D1132&lt;&gt;"",F1132&lt;&gt;""),F1132-D1132-G1132,"")</f>
        <v/>
      </c>
      <c r="I1132" s="14">
        <f>IF(E1132&lt;&gt;"", YEARFRAC(C1132, E1132) * 12, "")</f>
        <v/>
      </c>
      <c r="J1132" s="2">
        <f>IF(I1132="", "", IF(AND(A1132="MF (Equity)", I1132&gt;12), "Long Term", "Short Term"))</f>
        <v/>
      </c>
      <c r="K1132" s="5">
        <f>IF(J1132="", "", IF(J1132="Long Term", 12.5%, 20%))</f>
        <v/>
      </c>
      <c r="L1132" s="3">
        <f>+IFERROR(IF(J1132="","",H1132*K1132),"")</f>
        <v/>
      </c>
    </row>
    <row r="1133">
      <c r="A1133" s="11" t="n"/>
      <c r="B1133" s="7" t="n"/>
      <c r="C1133" s="8" t="n"/>
      <c r="D1133" s="9" t="n"/>
      <c r="E1133" s="8" t="n"/>
      <c r="F1133" s="9" t="n"/>
      <c r="G1133" s="9" t="n"/>
      <c r="H1133" s="3">
        <f>IF(AND(D1133&lt;&gt;"",F1133&lt;&gt;""),F1133-D1133-G1133,"")</f>
        <v/>
      </c>
      <c r="I1133" s="14">
        <f>IF(E1133&lt;&gt;"", YEARFRAC(C1133, E1133) * 12, "")</f>
        <v/>
      </c>
      <c r="J1133" s="2">
        <f>IF(I1133="", "", IF(AND(A1133="MF (Equity)", I1133&gt;12), "Long Term", "Short Term"))</f>
        <v/>
      </c>
      <c r="K1133" s="5">
        <f>IF(J1133="", "", IF(J1133="Long Term", 12.5%, 20%))</f>
        <v/>
      </c>
      <c r="L1133" s="3">
        <f>+IFERROR(IF(J1133="","",H1133*K1133),"")</f>
        <v/>
      </c>
    </row>
    <row r="1134">
      <c r="A1134" s="11" t="n"/>
      <c r="B1134" s="7" t="n"/>
      <c r="C1134" s="8" t="n"/>
      <c r="D1134" s="9" t="n"/>
      <c r="E1134" s="8" t="n"/>
      <c r="F1134" s="9" t="n"/>
      <c r="G1134" s="9" t="n"/>
      <c r="H1134" s="3">
        <f>IF(AND(D1134&lt;&gt;"",F1134&lt;&gt;""),F1134-D1134-G1134,"")</f>
        <v/>
      </c>
      <c r="I1134" s="14">
        <f>IF(E1134&lt;&gt;"", YEARFRAC(C1134, E1134) * 12, "")</f>
        <v/>
      </c>
      <c r="J1134" s="2">
        <f>IF(I1134="", "", IF(AND(A1134="MF (Equity)", I1134&gt;12), "Long Term", "Short Term"))</f>
        <v/>
      </c>
      <c r="K1134" s="5">
        <f>IF(J1134="", "", IF(J1134="Long Term", 12.5%, 20%))</f>
        <v/>
      </c>
      <c r="L1134" s="3">
        <f>+IFERROR(IF(J1134="","",H1134*K1134),"")</f>
        <v/>
      </c>
    </row>
    <row r="1135">
      <c r="A1135" s="11" t="n"/>
      <c r="B1135" s="7" t="n"/>
      <c r="C1135" s="8" t="n"/>
      <c r="D1135" s="9" t="n"/>
      <c r="E1135" s="8" t="n"/>
      <c r="F1135" s="9" t="n"/>
      <c r="G1135" s="9" t="n"/>
      <c r="H1135" s="3">
        <f>IF(AND(D1135&lt;&gt;"",F1135&lt;&gt;""),F1135-D1135-G1135,"")</f>
        <v/>
      </c>
      <c r="I1135" s="14">
        <f>IF(E1135&lt;&gt;"", YEARFRAC(C1135, E1135) * 12, "")</f>
        <v/>
      </c>
      <c r="J1135" s="2">
        <f>IF(I1135="", "", IF(AND(A1135="MF (Equity)", I1135&gt;12), "Long Term", "Short Term"))</f>
        <v/>
      </c>
      <c r="K1135" s="5">
        <f>IF(J1135="", "", IF(J1135="Long Term", 12.5%, 20%))</f>
        <v/>
      </c>
      <c r="L1135" s="3">
        <f>+IFERROR(IF(J1135="","",H1135*K1135),"")</f>
        <v/>
      </c>
    </row>
    <row r="1136">
      <c r="A1136" s="11" t="n"/>
      <c r="B1136" s="7" t="n"/>
      <c r="C1136" s="8" t="n"/>
      <c r="D1136" s="9" t="n"/>
      <c r="E1136" s="8" t="n"/>
      <c r="F1136" s="9" t="n"/>
      <c r="G1136" s="9" t="n"/>
      <c r="H1136" s="3">
        <f>IF(AND(D1136&lt;&gt;"",F1136&lt;&gt;""),F1136-D1136-G1136,"")</f>
        <v/>
      </c>
      <c r="I1136" s="14">
        <f>IF(E1136&lt;&gt;"", YEARFRAC(C1136, E1136) * 12, "")</f>
        <v/>
      </c>
      <c r="J1136" s="2">
        <f>IF(I1136="", "", IF(AND(A1136="MF (Equity)", I1136&gt;12), "Long Term", "Short Term"))</f>
        <v/>
      </c>
      <c r="K1136" s="5">
        <f>IF(J1136="", "", IF(J1136="Long Term", 12.5%, 20%))</f>
        <v/>
      </c>
      <c r="L1136" s="3">
        <f>+IFERROR(IF(J1136="","",H1136*K1136),"")</f>
        <v/>
      </c>
    </row>
    <row r="1137">
      <c r="A1137" s="11" t="n"/>
      <c r="B1137" s="7" t="n"/>
      <c r="C1137" s="8" t="n"/>
      <c r="D1137" s="9" t="n"/>
      <c r="E1137" s="8" t="n"/>
      <c r="F1137" s="9" t="n"/>
      <c r="G1137" s="9" t="n"/>
      <c r="H1137" s="3">
        <f>IF(AND(D1137&lt;&gt;"",F1137&lt;&gt;""),F1137-D1137-G1137,"")</f>
        <v/>
      </c>
      <c r="I1137" s="14">
        <f>IF(E1137&lt;&gt;"", YEARFRAC(C1137, E1137) * 12, "")</f>
        <v/>
      </c>
      <c r="J1137" s="2">
        <f>IF(I1137="", "", IF(AND(A1137="MF (Equity)", I1137&gt;12), "Long Term", "Short Term"))</f>
        <v/>
      </c>
      <c r="K1137" s="5">
        <f>IF(J1137="", "", IF(J1137="Long Term", 12.5%, 20%))</f>
        <v/>
      </c>
      <c r="L1137" s="3">
        <f>+IFERROR(IF(J1137="","",H1137*K1137),"")</f>
        <v/>
      </c>
    </row>
    <row r="1138">
      <c r="A1138" s="11" t="n"/>
      <c r="B1138" s="7" t="n"/>
      <c r="C1138" s="8" t="n"/>
      <c r="D1138" s="9" t="n"/>
      <c r="E1138" s="8" t="n"/>
      <c r="F1138" s="9" t="n"/>
      <c r="G1138" s="9" t="n"/>
      <c r="H1138" s="3">
        <f>IF(AND(D1138&lt;&gt;"",F1138&lt;&gt;""),F1138-D1138-G1138,"")</f>
        <v/>
      </c>
      <c r="I1138" s="14">
        <f>IF(E1138&lt;&gt;"", YEARFRAC(C1138, E1138) * 12, "")</f>
        <v/>
      </c>
      <c r="J1138" s="2">
        <f>IF(I1138="", "", IF(AND(A1138="MF (Equity)", I1138&gt;12), "Long Term", "Short Term"))</f>
        <v/>
      </c>
      <c r="K1138" s="5">
        <f>IF(J1138="", "", IF(J1138="Long Term", 12.5%, 20%))</f>
        <v/>
      </c>
      <c r="L1138" s="3">
        <f>+IFERROR(IF(J1138="","",H1138*K1138),"")</f>
        <v/>
      </c>
    </row>
    <row r="1139">
      <c r="A1139" s="11" t="n"/>
      <c r="B1139" s="7" t="n"/>
      <c r="C1139" s="8" t="n"/>
      <c r="D1139" s="9" t="n"/>
      <c r="E1139" s="8" t="n"/>
      <c r="F1139" s="9" t="n"/>
      <c r="G1139" s="9" t="n"/>
      <c r="H1139" s="3">
        <f>IF(AND(D1139&lt;&gt;"",F1139&lt;&gt;""),F1139-D1139-G1139,"")</f>
        <v/>
      </c>
      <c r="I1139" s="14">
        <f>IF(E1139&lt;&gt;"", YEARFRAC(C1139, E1139) * 12, "")</f>
        <v/>
      </c>
      <c r="J1139" s="2">
        <f>IF(I1139="", "", IF(AND(A1139="MF (Equity)", I1139&gt;12), "Long Term", "Short Term"))</f>
        <v/>
      </c>
      <c r="K1139" s="5">
        <f>IF(J1139="", "", IF(J1139="Long Term", 12.5%, 20%))</f>
        <v/>
      </c>
      <c r="L1139" s="3">
        <f>+IFERROR(IF(J1139="","",H1139*K1139),"")</f>
        <v/>
      </c>
    </row>
    <row r="1140">
      <c r="A1140" s="11" t="n"/>
      <c r="B1140" s="7" t="n"/>
      <c r="C1140" s="8" t="n"/>
      <c r="D1140" s="9" t="n"/>
      <c r="E1140" s="8" t="n"/>
      <c r="F1140" s="9" t="n"/>
      <c r="G1140" s="9" t="n"/>
      <c r="H1140" s="3">
        <f>IF(AND(D1140&lt;&gt;"",F1140&lt;&gt;""),F1140-D1140-G1140,"")</f>
        <v/>
      </c>
      <c r="I1140" s="14">
        <f>IF(E1140&lt;&gt;"", YEARFRAC(C1140, E1140) * 12, "")</f>
        <v/>
      </c>
      <c r="J1140" s="2">
        <f>IF(I1140="", "", IF(AND(A1140="MF (Equity)", I1140&gt;12), "Long Term", "Short Term"))</f>
        <v/>
      </c>
      <c r="K1140" s="5">
        <f>IF(J1140="", "", IF(J1140="Long Term", 12.5%, 20%))</f>
        <v/>
      </c>
      <c r="L1140" s="3">
        <f>+IFERROR(IF(J1140="","",H1140*K1140),"")</f>
        <v/>
      </c>
    </row>
    <row r="1141">
      <c r="A1141" s="11" t="n"/>
      <c r="B1141" s="7" t="n"/>
      <c r="C1141" s="8" t="n"/>
      <c r="D1141" s="9" t="n"/>
      <c r="E1141" s="8" t="n"/>
      <c r="F1141" s="9" t="n"/>
      <c r="G1141" s="9" t="n"/>
      <c r="H1141" s="3">
        <f>IF(AND(D1141&lt;&gt;"",F1141&lt;&gt;""),F1141-D1141-G1141,"")</f>
        <v/>
      </c>
      <c r="I1141" s="14">
        <f>IF(E1141&lt;&gt;"", YEARFRAC(C1141, E1141) * 12, "")</f>
        <v/>
      </c>
      <c r="J1141" s="2">
        <f>IF(I1141="", "", IF(AND(A1141="MF (Equity)", I1141&gt;12), "Long Term", "Short Term"))</f>
        <v/>
      </c>
      <c r="K1141" s="5">
        <f>IF(J1141="", "", IF(J1141="Long Term", 12.5%, 20%))</f>
        <v/>
      </c>
      <c r="L1141" s="3">
        <f>+IFERROR(IF(J1141="","",H1141*K1141),"")</f>
        <v/>
      </c>
    </row>
    <row r="1142">
      <c r="A1142" s="11" t="n"/>
      <c r="B1142" s="7" t="n"/>
      <c r="C1142" s="8" t="n"/>
      <c r="D1142" s="9" t="n"/>
      <c r="E1142" s="8" t="n"/>
      <c r="F1142" s="9" t="n"/>
      <c r="G1142" s="9" t="n"/>
      <c r="H1142" s="3">
        <f>IF(AND(D1142&lt;&gt;"",F1142&lt;&gt;""),F1142-D1142-G1142,"")</f>
        <v/>
      </c>
      <c r="I1142" s="14">
        <f>IF(E1142&lt;&gt;"", YEARFRAC(C1142, E1142) * 12, "")</f>
        <v/>
      </c>
      <c r="J1142" s="2">
        <f>IF(I1142="", "", IF(AND(A1142="MF (Equity)", I1142&gt;12), "Long Term", "Short Term"))</f>
        <v/>
      </c>
      <c r="K1142" s="5">
        <f>IF(J1142="", "", IF(J1142="Long Term", 12.5%, 20%))</f>
        <v/>
      </c>
      <c r="L1142" s="3">
        <f>+IFERROR(IF(J1142="","",H1142*K1142),"")</f>
        <v/>
      </c>
    </row>
    <row r="1143">
      <c r="A1143" s="11" t="n"/>
      <c r="B1143" s="7" t="n"/>
      <c r="C1143" s="8" t="n"/>
      <c r="D1143" s="9" t="n"/>
      <c r="E1143" s="8" t="n"/>
      <c r="F1143" s="9" t="n"/>
      <c r="G1143" s="9" t="n"/>
      <c r="H1143" s="3">
        <f>IF(AND(D1143&lt;&gt;"",F1143&lt;&gt;""),F1143-D1143-G1143,"")</f>
        <v/>
      </c>
      <c r="I1143" s="14">
        <f>IF(E1143&lt;&gt;"", YEARFRAC(C1143, E1143) * 12, "")</f>
        <v/>
      </c>
      <c r="J1143" s="2">
        <f>IF(I1143="", "", IF(AND(A1143="MF (Equity)", I1143&gt;12), "Long Term", "Short Term"))</f>
        <v/>
      </c>
      <c r="K1143" s="5">
        <f>IF(J1143="", "", IF(J1143="Long Term", 12.5%, 20%))</f>
        <v/>
      </c>
      <c r="L1143" s="3">
        <f>+IFERROR(IF(J1143="","",H1143*K1143),"")</f>
        <v/>
      </c>
    </row>
    <row r="1144">
      <c r="A1144" s="11" t="n"/>
      <c r="B1144" s="7" t="n"/>
      <c r="C1144" s="8" t="n"/>
      <c r="D1144" s="9" t="n"/>
      <c r="E1144" s="8" t="n"/>
      <c r="F1144" s="9" t="n"/>
      <c r="G1144" s="9" t="n"/>
      <c r="H1144" s="3">
        <f>IF(AND(D1144&lt;&gt;"",F1144&lt;&gt;""),F1144-D1144-G1144,"")</f>
        <v/>
      </c>
      <c r="I1144" s="14">
        <f>IF(E1144&lt;&gt;"", YEARFRAC(C1144, E1144) * 12, "")</f>
        <v/>
      </c>
      <c r="J1144" s="2">
        <f>IF(I1144="", "", IF(AND(A1144="MF (Equity)", I1144&gt;12), "Long Term", "Short Term"))</f>
        <v/>
      </c>
      <c r="K1144" s="5">
        <f>IF(J1144="", "", IF(J1144="Long Term", 12.5%, 20%))</f>
        <v/>
      </c>
      <c r="L1144" s="3">
        <f>+IFERROR(IF(J1144="","",H1144*K1144),"")</f>
        <v/>
      </c>
    </row>
    <row r="1145">
      <c r="A1145" s="11" t="n"/>
      <c r="B1145" s="7" t="n"/>
      <c r="C1145" s="8" t="n"/>
      <c r="D1145" s="9" t="n"/>
      <c r="E1145" s="8" t="n"/>
      <c r="F1145" s="9" t="n"/>
      <c r="G1145" s="9" t="n"/>
      <c r="H1145" s="3">
        <f>IF(AND(D1145&lt;&gt;"",F1145&lt;&gt;""),F1145-D1145-G1145,"")</f>
        <v/>
      </c>
      <c r="I1145" s="14">
        <f>IF(E1145&lt;&gt;"", YEARFRAC(C1145, E1145) * 12, "")</f>
        <v/>
      </c>
      <c r="J1145" s="2">
        <f>IF(I1145="", "", IF(AND(A1145="MF (Equity)", I1145&gt;12), "Long Term", "Short Term"))</f>
        <v/>
      </c>
      <c r="K1145" s="5">
        <f>IF(J1145="", "", IF(J1145="Long Term", 12.5%, 20%))</f>
        <v/>
      </c>
      <c r="L1145" s="3">
        <f>+IFERROR(IF(J1145="","",H1145*K1145),"")</f>
        <v/>
      </c>
    </row>
    <row r="1146">
      <c r="A1146" s="11" t="n"/>
      <c r="B1146" s="7" t="n"/>
      <c r="C1146" s="8" t="n"/>
      <c r="D1146" s="9" t="n"/>
      <c r="E1146" s="8" t="n"/>
      <c r="F1146" s="9" t="n"/>
      <c r="G1146" s="9" t="n"/>
      <c r="H1146" s="3">
        <f>IF(AND(D1146&lt;&gt;"",F1146&lt;&gt;""),F1146-D1146-G1146,"")</f>
        <v/>
      </c>
      <c r="I1146" s="14">
        <f>IF(E1146&lt;&gt;"", YEARFRAC(C1146, E1146) * 12, "")</f>
        <v/>
      </c>
      <c r="J1146" s="2">
        <f>IF(I1146="", "", IF(AND(A1146="MF (Equity)", I1146&gt;12), "Long Term", "Short Term"))</f>
        <v/>
      </c>
      <c r="K1146" s="5">
        <f>IF(J1146="", "", IF(J1146="Long Term", 12.5%, 20%))</f>
        <v/>
      </c>
      <c r="L1146" s="3">
        <f>+IFERROR(IF(J1146="","",H1146*K1146),"")</f>
        <v/>
      </c>
    </row>
    <row r="1147">
      <c r="A1147" s="11" t="n"/>
      <c r="B1147" s="7" t="n"/>
      <c r="C1147" s="8" t="n"/>
      <c r="D1147" s="9" t="n"/>
      <c r="E1147" s="8" t="n"/>
      <c r="F1147" s="9" t="n"/>
      <c r="G1147" s="9" t="n"/>
      <c r="H1147" s="3">
        <f>IF(AND(D1147&lt;&gt;"",F1147&lt;&gt;""),F1147-D1147-G1147,"")</f>
        <v/>
      </c>
      <c r="I1147" s="14">
        <f>IF(E1147&lt;&gt;"", YEARFRAC(C1147, E1147) * 12, "")</f>
        <v/>
      </c>
      <c r="J1147" s="2">
        <f>IF(I1147="", "", IF(AND(A1147="MF (Equity)", I1147&gt;12), "Long Term", "Short Term"))</f>
        <v/>
      </c>
      <c r="K1147" s="5">
        <f>IF(J1147="", "", IF(J1147="Long Term", 12.5%, 20%))</f>
        <v/>
      </c>
      <c r="L1147" s="3">
        <f>+IFERROR(IF(J1147="","",H1147*K1147),"")</f>
        <v/>
      </c>
    </row>
    <row r="1148">
      <c r="A1148" s="11" t="n"/>
      <c r="B1148" s="7" t="n"/>
      <c r="C1148" s="8" t="n"/>
      <c r="D1148" s="9" t="n"/>
      <c r="E1148" s="8" t="n"/>
      <c r="F1148" s="9" t="n"/>
      <c r="G1148" s="9" t="n"/>
      <c r="H1148" s="3">
        <f>IF(AND(D1148&lt;&gt;"",F1148&lt;&gt;""),F1148-D1148-G1148,"")</f>
        <v/>
      </c>
      <c r="I1148" s="14">
        <f>IF(E1148&lt;&gt;"", YEARFRAC(C1148, E1148) * 12, "")</f>
        <v/>
      </c>
      <c r="J1148" s="2">
        <f>IF(I1148="", "", IF(AND(A1148="MF (Equity)", I1148&gt;12), "Long Term", "Short Term"))</f>
        <v/>
      </c>
      <c r="K1148" s="5">
        <f>IF(J1148="", "", IF(J1148="Long Term", 12.5%, 20%))</f>
        <v/>
      </c>
      <c r="L1148" s="3">
        <f>+IFERROR(IF(J1148="","",H1148*K1148),"")</f>
        <v/>
      </c>
    </row>
    <row r="1149">
      <c r="A1149" s="11" t="n"/>
      <c r="B1149" s="7" t="n"/>
      <c r="C1149" s="8" t="n"/>
      <c r="D1149" s="9" t="n"/>
      <c r="E1149" s="8" t="n"/>
      <c r="F1149" s="9" t="n"/>
      <c r="G1149" s="9" t="n"/>
      <c r="H1149" s="3">
        <f>IF(AND(D1149&lt;&gt;"",F1149&lt;&gt;""),F1149-D1149-G1149,"")</f>
        <v/>
      </c>
      <c r="I1149" s="14">
        <f>IF(E1149&lt;&gt;"", YEARFRAC(C1149, E1149) * 12, "")</f>
        <v/>
      </c>
      <c r="J1149" s="2">
        <f>IF(I1149="", "", IF(AND(A1149="MF (Equity)", I1149&gt;12), "Long Term", "Short Term"))</f>
        <v/>
      </c>
      <c r="K1149" s="5">
        <f>IF(J1149="", "", IF(J1149="Long Term", 12.5%, 20%))</f>
        <v/>
      </c>
      <c r="L1149" s="3">
        <f>+IFERROR(IF(J1149="","",H1149*K1149),"")</f>
        <v/>
      </c>
    </row>
    <row r="1150">
      <c r="A1150" s="11" t="n"/>
      <c r="B1150" s="7" t="n"/>
      <c r="C1150" s="8" t="n"/>
      <c r="D1150" s="9" t="n"/>
      <c r="E1150" s="8" t="n"/>
      <c r="F1150" s="9" t="n"/>
      <c r="G1150" s="9" t="n"/>
      <c r="H1150" s="3">
        <f>IF(AND(D1150&lt;&gt;"",F1150&lt;&gt;""),F1150-D1150-G1150,"")</f>
        <v/>
      </c>
      <c r="I1150" s="14">
        <f>IF(E1150&lt;&gt;"", YEARFRAC(C1150, E1150) * 12, "")</f>
        <v/>
      </c>
      <c r="J1150" s="2">
        <f>IF(I1150="", "", IF(AND(A1150="MF (Equity)", I1150&gt;12), "Long Term", "Short Term"))</f>
        <v/>
      </c>
      <c r="K1150" s="5">
        <f>IF(J1150="", "", IF(J1150="Long Term", 12.5%, 20%))</f>
        <v/>
      </c>
      <c r="L1150" s="3">
        <f>+IFERROR(IF(J1150="","",H1150*K1150),"")</f>
        <v/>
      </c>
    </row>
    <row r="1151">
      <c r="A1151" s="11" t="n"/>
      <c r="B1151" s="7" t="n"/>
      <c r="C1151" s="8" t="n"/>
      <c r="D1151" s="9" t="n"/>
      <c r="E1151" s="8" t="n"/>
      <c r="F1151" s="9" t="n"/>
      <c r="G1151" s="9" t="n"/>
      <c r="H1151" s="3">
        <f>IF(AND(D1151&lt;&gt;"",F1151&lt;&gt;""),F1151-D1151-G1151,"")</f>
        <v/>
      </c>
      <c r="I1151" s="14">
        <f>IF(E1151&lt;&gt;"", YEARFRAC(C1151, E1151) * 12, "")</f>
        <v/>
      </c>
      <c r="J1151" s="2">
        <f>IF(I1151="", "", IF(AND(A1151="MF (Equity)", I1151&gt;12), "Long Term", "Short Term"))</f>
        <v/>
      </c>
      <c r="K1151" s="5">
        <f>IF(J1151="", "", IF(J1151="Long Term", 12.5%, 20%))</f>
        <v/>
      </c>
      <c r="L1151" s="3">
        <f>+IFERROR(IF(J1151="","",H1151*K1151),"")</f>
        <v/>
      </c>
    </row>
    <row r="1152">
      <c r="A1152" s="11" t="n"/>
      <c r="B1152" s="7" t="n"/>
      <c r="C1152" s="8" t="n"/>
      <c r="D1152" s="9" t="n"/>
      <c r="E1152" s="8" t="n"/>
      <c r="F1152" s="9" t="n"/>
      <c r="G1152" s="9" t="n"/>
      <c r="H1152" s="3">
        <f>IF(AND(D1152&lt;&gt;"",F1152&lt;&gt;""),F1152-D1152-G1152,"")</f>
        <v/>
      </c>
      <c r="I1152" s="14">
        <f>IF(E1152&lt;&gt;"", YEARFRAC(C1152, E1152) * 12, "")</f>
        <v/>
      </c>
      <c r="J1152" s="2">
        <f>IF(I1152="", "", IF(AND(A1152="MF (Equity)", I1152&gt;12), "Long Term", "Short Term"))</f>
        <v/>
      </c>
      <c r="K1152" s="5">
        <f>IF(J1152="", "", IF(J1152="Long Term", 12.5%, 20%))</f>
        <v/>
      </c>
      <c r="L1152" s="3">
        <f>+IFERROR(IF(J1152="","",H1152*K1152),"")</f>
        <v/>
      </c>
    </row>
    <row r="1153">
      <c r="A1153" s="11" t="n"/>
      <c r="B1153" s="7" t="n"/>
      <c r="C1153" s="8" t="n"/>
      <c r="D1153" s="9" t="n"/>
      <c r="E1153" s="8" t="n"/>
      <c r="F1153" s="9" t="n"/>
      <c r="G1153" s="9" t="n"/>
      <c r="H1153" s="3">
        <f>IF(AND(D1153&lt;&gt;"",F1153&lt;&gt;""),F1153-D1153-G1153,"")</f>
        <v/>
      </c>
      <c r="I1153" s="14">
        <f>IF(E1153&lt;&gt;"", YEARFRAC(C1153, E1153) * 12, "")</f>
        <v/>
      </c>
      <c r="J1153" s="2">
        <f>IF(I1153="", "", IF(AND(A1153="MF (Equity)", I1153&gt;12), "Long Term", "Short Term"))</f>
        <v/>
      </c>
      <c r="K1153" s="5">
        <f>IF(J1153="", "", IF(J1153="Long Term", 12.5%, 20%))</f>
        <v/>
      </c>
      <c r="L1153" s="3">
        <f>+IFERROR(IF(J1153="","",H1153*K1153),"")</f>
        <v/>
      </c>
    </row>
    <row r="1154">
      <c r="A1154" s="11" t="n"/>
      <c r="B1154" s="7" t="n"/>
      <c r="C1154" s="8" t="n"/>
      <c r="D1154" s="9" t="n"/>
      <c r="E1154" s="8" t="n"/>
      <c r="F1154" s="9" t="n"/>
      <c r="G1154" s="9" t="n"/>
      <c r="H1154" s="3">
        <f>IF(AND(D1154&lt;&gt;"",F1154&lt;&gt;""),F1154-D1154-G1154,"")</f>
        <v/>
      </c>
      <c r="I1154" s="14">
        <f>IF(E1154&lt;&gt;"", YEARFRAC(C1154, E1154) * 12, "")</f>
        <v/>
      </c>
      <c r="J1154" s="2">
        <f>IF(I1154="", "", IF(AND(A1154="MF (Equity)", I1154&gt;12), "Long Term", "Short Term"))</f>
        <v/>
      </c>
      <c r="K1154" s="5">
        <f>IF(J1154="", "", IF(J1154="Long Term", 12.5%, 20%))</f>
        <v/>
      </c>
      <c r="L1154" s="3">
        <f>+IFERROR(IF(J1154="","",H1154*K1154),"")</f>
        <v/>
      </c>
    </row>
    <row r="1155">
      <c r="A1155" s="11" t="n"/>
      <c r="B1155" s="7" t="n"/>
      <c r="C1155" s="8" t="n"/>
      <c r="D1155" s="9" t="n"/>
      <c r="E1155" s="8" t="n"/>
      <c r="F1155" s="9" t="n"/>
      <c r="G1155" s="9" t="n"/>
      <c r="H1155" s="3">
        <f>IF(AND(D1155&lt;&gt;"",F1155&lt;&gt;""),F1155-D1155-G1155,"")</f>
        <v/>
      </c>
      <c r="I1155" s="14">
        <f>IF(E1155&lt;&gt;"", YEARFRAC(C1155, E1155) * 12, "")</f>
        <v/>
      </c>
      <c r="J1155" s="2">
        <f>IF(I1155="", "", IF(AND(A1155="MF (Equity)", I1155&gt;12), "Long Term", "Short Term"))</f>
        <v/>
      </c>
      <c r="K1155" s="5">
        <f>IF(J1155="", "", IF(J1155="Long Term", 12.5%, 20%))</f>
        <v/>
      </c>
      <c r="L1155" s="3">
        <f>+IFERROR(IF(J1155="","",H1155*K1155),"")</f>
        <v/>
      </c>
    </row>
    <row r="1156">
      <c r="A1156" s="11" t="n"/>
      <c r="B1156" s="7" t="n"/>
      <c r="C1156" s="8" t="n"/>
      <c r="D1156" s="9" t="n"/>
      <c r="E1156" s="8" t="n"/>
      <c r="F1156" s="9" t="n"/>
      <c r="G1156" s="9" t="n"/>
      <c r="H1156" s="3">
        <f>IF(AND(D1156&lt;&gt;"",F1156&lt;&gt;""),F1156-D1156-G1156,"")</f>
        <v/>
      </c>
      <c r="I1156" s="14">
        <f>IF(E1156&lt;&gt;"", YEARFRAC(C1156, E1156) * 12, "")</f>
        <v/>
      </c>
      <c r="J1156" s="2">
        <f>IF(I1156="", "", IF(AND(A1156="MF (Equity)", I1156&gt;12), "Long Term", "Short Term"))</f>
        <v/>
      </c>
      <c r="K1156" s="5">
        <f>IF(J1156="", "", IF(J1156="Long Term", 12.5%, 20%))</f>
        <v/>
      </c>
      <c r="L1156" s="3">
        <f>+IFERROR(IF(J1156="","",H1156*K1156),"")</f>
        <v/>
      </c>
    </row>
    <row r="1157">
      <c r="A1157" s="11" t="n"/>
      <c r="B1157" s="7" t="n"/>
      <c r="C1157" s="8" t="n"/>
      <c r="D1157" s="9" t="n"/>
      <c r="E1157" s="8" t="n"/>
      <c r="F1157" s="9" t="n"/>
      <c r="G1157" s="9" t="n"/>
      <c r="H1157" s="3">
        <f>IF(AND(D1157&lt;&gt;"",F1157&lt;&gt;""),F1157-D1157-G1157,"")</f>
        <v/>
      </c>
      <c r="I1157" s="14">
        <f>IF(E1157&lt;&gt;"", YEARFRAC(C1157, E1157) * 12, "")</f>
        <v/>
      </c>
      <c r="J1157" s="2">
        <f>IF(I1157="", "", IF(AND(A1157="MF (Equity)", I1157&gt;12), "Long Term", "Short Term"))</f>
        <v/>
      </c>
      <c r="K1157" s="5">
        <f>IF(J1157="", "", IF(J1157="Long Term", 12.5%, 20%))</f>
        <v/>
      </c>
      <c r="L1157" s="3">
        <f>+IFERROR(IF(J1157="","",H1157*K1157),"")</f>
        <v/>
      </c>
    </row>
    <row r="1158">
      <c r="A1158" s="11" t="n"/>
      <c r="B1158" s="7" t="n"/>
      <c r="C1158" s="8" t="n"/>
      <c r="D1158" s="9" t="n"/>
      <c r="E1158" s="8" t="n"/>
      <c r="F1158" s="9" t="n"/>
      <c r="G1158" s="9" t="n"/>
      <c r="H1158" s="3">
        <f>IF(AND(D1158&lt;&gt;"",F1158&lt;&gt;""),F1158-D1158-G1158,"")</f>
        <v/>
      </c>
      <c r="I1158" s="14">
        <f>IF(E1158&lt;&gt;"", YEARFRAC(C1158, E1158) * 12, "")</f>
        <v/>
      </c>
      <c r="J1158" s="2">
        <f>IF(I1158="", "", IF(AND(A1158="MF (Equity)", I1158&gt;12), "Long Term", "Short Term"))</f>
        <v/>
      </c>
      <c r="K1158" s="5">
        <f>IF(J1158="", "", IF(J1158="Long Term", 12.5%, 20%))</f>
        <v/>
      </c>
      <c r="L1158" s="3">
        <f>+IFERROR(IF(J1158="","",H1158*K1158),"")</f>
        <v/>
      </c>
    </row>
    <row r="1159">
      <c r="A1159" s="11" t="n"/>
      <c r="B1159" s="7" t="n"/>
      <c r="C1159" s="8" t="n"/>
      <c r="D1159" s="9" t="n"/>
      <c r="E1159" s="8" t="n"/>
      <c r="F1159" s="9" t="n"/>
      <c r="G1159" s="9" t="n"/>
      <c r="H1159" s="3">
        <f>IF(AND(D1159&lt;&gt;"",F1159&lt;&gt;""),F1159-D1159-G1159,"")</f>
        <v/>
      </c>
      <c r="I1159" s="14">
        <f>IF(E1159&lt;&gt;"", YEARFRAC(C1159, E1159) * 12, "")</f>
        <v/>
      </c>
      <c r="J1159" s="2">
        <f>IF(I1159="", "", IF(AND(A1159="MF (Equity)", I1159&gt;12), "Long Term", "Short Term"))</f>
        <v/>
      </c>
      <c r="K1159" s="5">
        <f>IF(J1159="", "", IF(J1159="Long Term", 12.5%, 20%))</f>
        <v/>
      </c>
      <c r="L1159" s="3">
        <f>+IFERROR(IF(J1159="","",H1159*K1159),"")</f>
        <v/>
      </c>
    </row>
    <row r="1160">
      <c r="A1160" s="11" t="n"/>
      <c r="B1160" s="7" t="n"/>
      <c r="C1160" s="8" t="n"/>
      <c r="D1160" s="9" t="n"/>
      <c r="E1160" s="8" t="n"/>
      <c r="F1160" s="9" t="n"/>
      <c r="G1160" s="9" t="n"/>
      <c r="H1160" s="3">
        <f>IF(AND(D1160&lt;&gt;"",F1160&lt;&gt;""),F1160-D1160-G1160,"")</f>
        <v/>
      </c>
      <c r="I1160" s="14">
        <f>IF(E1160&lt;&gt;"", YEARFRAC(C1160, E1160) * 12, "")</f>
        <v/>
      </c>
      <c r="J1160" s="2">
        <f>IF(I1160="", "", IF(AND(A1160="MF (Equity)", I1160&gt;12), "Long Term", "Short Term"))</f>
        <v/>
      </c>
      <c r="K1160" s="5">
        <f>IF(J1160="", "", IF(J1160="Long Term", 12.5%, 20%))</f>
        <v/>
      </c>
      <c r="L1160" s="3">
        <f>+IFERROR(IF(J1160="","",H1160*K1160),"")</f>
        <v/>
      </c>
    </row>
    <row r="1161">
      <c r="A1161" s="11" t="n"/>
      <c r="B1161" s="7" t="n"/>
      <c r="C1161" s="8" t="n"/>
      <c r="D1161" s="9" t="n"/>
      <c r="E1161" s="8" t="n"/>
      <c r="F1161" s="9" t="n"/>
      <c r="G1161" s="9" t="n"/>
      <c r="H1161" s="3">
        <f>IF(AND(D1161&lt;&gt;"",F1161&lt;&gt;""),F1161-D1161-G1161,"")</f>
        <v/>
      </c>
      <c r="I1161" s="14">
        <f>IF(E1161&lt;&gt;"", YEARFRAC(C1161, E1161) * 12, "")</f>
        <v/>
      </c>
      <c r="J1161" s="2">
        <f>IF(I1161="", "", IF(AND(A1161="MF (Equity)", I1161&gt;12), "Long Term", "Short Term"))</f>
        <v/>
      </c>
      <c r="K1161" s="5">
        <f>IF(J1161="", "", IF(J1161="Long Term", 12.5%, 20%))</f>
        <v/>
      </c>
      <c r="L1161" s="3">
        <f>+IFERROR(IF(J1161="","",H1161*K1161),"")</f>
        <v/>
      </c>
    </row>
    <row r="1162">
      <c r="A1162" s="11" t="n"/>
      <c r="B1162" s="7" t="n"/>
      <c r="C1162" s="8" t="n"/>
      <c r="D1162" s="9" t="n"/>
      <c r="E1162" s="8" t="n"/>
      <c r="F1162" s="9" t="n"/>
      <c r="G1162" s="9" t="n"/>
      <c r="H1162" s="3">
        <f>IF(AND(D1162&lt;&gt;"",F1162&lt;&gt;""),F1162-D1162-G1162,"")</f>
        <v/>
      </c>
      <c r="I1162" s="14">
        <f>IF(E1162&lt;&gt;"", YEARFRAC(C1162, E1162) * 12, "")</f>
        <v/>
      </c>
      <c r="J1162" s="2">
        <f>IF(I1162="", "", IF(AND(A1162="MF (Equity)", I1162&gt;12), "Long Term", "Short Term"))</f>
        <v/>
      </c>
      <c r="K1162" s="5">
        <f>IF(J1162="", "", IF(J1162="Long Term", 12.5%, 20%))</f>
        <v/>
      </c>
      <c r="L1162" s="3">
        <f>+IFERROR(IF(J1162="","",H1162*K1162),"")</f>
        <v/>
      </c>
    </row>
    <row r="1163">
      <c r="A1163" s="11" t="n"/>
      <c r="B1163" s="7" t="n"/>
      <c r="C1163" s="8" t="n"/>
      <c r="D1163" s="9" t="n"/>
      <c r="E1163" s="8" t="n"/>
      <c r="F1163" s="9" t="n"/>
      <c r="G1163" s="9" t="n"/>
      <c r="H1163" s="3">
        <f>IF(AND(D1163&lt;&gt;"",F1163&lt;&gt;""),F1163-D1163-G1163,"")</f>
        <v/>
      </c>
      <c r="I1163" s="14">
        <f>IF(E1163&lt;&gt;"", YEARFRAC(C1163, E1163) * 12, "")</f>
        <v/>
      </c>
      <c r="J1163" s="2">
        <f>IF(I1163="", "", IF(AND(A1163="MF (Equity)", I1163&gt;12), "Long Term", "Short Term"))</f>
        <v/>
      </c>
      <c r="K1163" s="5">
        <f>IF(J1163="", "", IF(J1163="Long Term", 12.5%, 20%))</f>
        <v/>
      </c>
      <c r="L1163" s="3">
        <f>+IFERROR(IF(J1163="","",H1163*K1163),"")</f>
        <v/>
      </c>
    </row>
    <row r="1164">
      <c r="A1164" s="11" t="n"/>
      <c r="B1164" s="7" t="n"/>
      <c r="C1164" s="8" t="n"/>
      <c r="D1164" s="9" t="n"/>
      <c r="E1164" s="8" t="n"/>
      <c r="F1164" s="9" t="n"/>
      <c r="G1164" s="9" t="n"/>
      <c r="H1164" s="3">
        <f>IF(AND(D1164&lt;&gt;"",F1164&lt;&gt;""),F1164-D1164-G1164,"")</f>
        <v/>
      </c>
      <c r="I1164" s="14">
        <f>IF(E1164&lt;&gt;"", YEARFRAC(C1164, E1164) * 12, "")</f>
        <v/>
      </c>
      <c r="J1164" s="2">
        <f>IF(I1164="", "", IF(AND(A1164="MF (Equity)", I1164&gt;12), "Long Term", "Short Term"))</f>
        <v/>
      </c>
      <c r="K1164" s="5">
        <f>IF(J1164="", "", IF(J1164="Long Term", 12.5%, 20%))</f>
        <v/>
      </c>
      <c r="L1164" s="3">
        <f>+IFERROR(IF(J1164="","",H1164*K1164),"")</f>
        <v/>
      </c>
    </row>
    <row r="1165">
      <c r="A1165" s="11" t="n"/>
      <c r="B1165" s="7" t="n"/>
      <c r="C1165" s="8" t="n"/>
      <c r="D1165" s="9" t="n"/>
      <c r="E1165" s="8" t="n"/>
      <c r="F1165" s="9" t="n"/>
      <c r="G1165" s="9" t="n"/>
      <c r="H1165" s="3">
        <f>IF(AND(D1165&lt;&gt;"",F1165&lt;&gt;""),F1165-D1165-G1165,"")</f>
        <v/>
      </c>
      <c r="I1165" s="14">
        <f>IF(E1165&lt;&gt;"", YEARFRAC(C1165, E1165) * 12, "")</f>
        <v/>
      </c>
      <c r="J1165" s="2">
        <f>IF(I1165="", "", IF(AND(A1165="MF (Equity)", I1165&gt;12), "Long Term", "Short Term"))</f>
        <v/>
      </c>
      <c r="K1165" s="5">
        <f>IF(J1165="", "", IF(J1165="Long Term", 12.5%, 20%))</f>
        <v/>
      </c>
      <c r="L1165" s="3">
        <f>+IFERROR(IF(J1165="","",H1165*K1165),"")</f>
        <v/>
      </c>
    </row>
    <row r="1166">
      <c r="A1166" s="11" t="n"/>
      <c r="B1166" s="7" t="n"/>
      <c r="C1166" s="8" t="n"/>
      <c r="D1166" s="9" t="n"/>
      <c r="E1166" s="8" t="n"/>
      <c r="F1166" s="9" t="n"/>
      <c r="G1166" s="9" t="n"/>
      <c r="H1166" s="3">
        <f>IF(AND(D1166&lt;&gt;"",F1166&lt;&gt;""),F1166-D1166-G1166,"")</f>
        <v/>
      </c>
      <c r="I1166" s="14">
        <f>IF(E1166&lt;&gt;"", YEARFRAC(C1166, E1166) * 12, "")</f>
        <v/>
      </c>
      <c r="J1166" s="2">
        <f>IF(I1166="", "", IF(AND(A1166="MF (Equity)", I1166&gt;12), "Long Term", "Short Term"))</f>
        <v/>
      </c>
      <c r="K1166" s="5">
        <f>IF(J1166="", "", IF(J1166="Long Term", 12.5%, 20%))</f>
        <v/>
      </c>
      <c r="L1166" s="3">
        <f>+IFERROR(IF(J1166="","",H1166*K1166),"")</f>
        <v/>
      </c>
    </row>
    <row r="1167">
      <c r="A1167" s="11" t="n"/>
      <c r="B1167" s="7" t="n"/>
      <c r="C1167" s="8" t="n"/>
      <c r="D1167" s="9" t="n"/>
      <c r="E1167" s="8" t="n"/>
      <c r="F1167" s="9" t="n"/>
      <c r="G1167" s="9" t="n"/>
      <c r="H1167" s="3">
        <f>IF(AND(D1167&lt;&gt;"",F1167&lt;&gt;""),F1167-D1167-G1167,"")</f>
        <v/>
      </c>
      <c r="I1167" s="14">
        <f>IF(E1167&lt;&gt;"", YEARFRAC(C1167, E1167) * 12, "")</f>
        <v/>
      </c>
      <c r="J1167" s="2">
        <f>IF(I1167="", "", IF(AND(A1167="MF (Equity)", I1167&gt;12), "Long Term", "Short Term"))</f>
        <v/>
      </c>
      <c r="K1167" s="5">
        <f>IF(J1167="", "", IF(J1167="Long Term", 12.5%, 20%))</f>
        <v/>
      </c>
      <c r="L1167" s="3">
        <f>+IFERROR(IF(J1167="","",H1167*K1167),"")</f>
        <v/>
      </c>
    </row>
    <row r="1168">
      <c r="A1168" s="11" t="n"/>
      <c r="B1168" s="7" t="n"/>
      <c r="C1168" s="8" t="n"/>
      <c r="D1168" s="9" t="n"/>
      <c r="E1168" s="8" t="n"/>
      <c r="F1168" s="9" t="n"/>
      <c r="G1168" s="9" t="n"/>
      <c r="H1168" s="3">
        <f>IF(AND(D1168&lt;&gt;"",F1168&lt;&gt;""),F1168-D1168-G1168,"")</f>
        <v/>
      </c>
      <c r="I1168" s="14">
        <f>IF(E1168&lt;&gt;"", YEARFRAC(C1168, E1168) * 12, "")</f>
        <v/>
      </c>
      <c r="J1168" s="2">
        <f>IF(I1168="", "", IF(AND(A1168="MF (Equity)", I1168&gt;12), "Long Term", "Short Term"))</f>
        <v/>
      </c>
      <c r="K1168" s="5">
        <f>IF(J1168="", "", IF(J1168="Long Term", 12.5%, 20%))</f>
        <v/>
      </c>
      <c r="L1168" s="3">
        <f>+IFERROR(IF(J1168="","",H1168*K1168),"")</f>
        <v/>
      </c>
    </row>
    <row r="1169">
      <c r="A1169" s="11" t="n"/>
      <c r="B1169" s="7" t="n"/>
      <c r="C1169" s="8" t="n"/>
      <c r="D1169" s="9" t="n"/>
      <c r="E1169" s="8" t="n"/>
      <c r="F1169" s="9" t="n"/>
      <c r="G1169" s="9" t="n"/>
      <c r="H1169" s="3">
        <f>IF(AND(D1169&lt;&gt;"",F1169&lt;&gt;""),F1169-D1169-G1169,"")</f>
        <v/>
      </c>
      <c r="I1169" s="14">
        <f>IF(E1169&lt;&gt;"", YEARFRAC(C1169, E1169) * 12, "")</f>
        <v/>
      </c>
      <c r="J1169" s="2">
        <f>IF(I1169="", "", IF(AND(A1169="MF (Equity)", I1169&gt;12), "Long Term", "Short Term"))</f>
        <v/>
      </c>
      <c r="K1169" s="5">
        <f>IF(J1169="", "", IF(J1169="Long Term", 12.5%, 20%))</f>
        <v/>
      </c>
      <c r="L1169" s="3">
        <f>+IFERROR(IF(J1169="","",H1169*K1169),"")</f>
        <v/>
      </c>
    </row>
    <row r="1170">
      <c r="A1170" s="11" t="n"/>
      <c r="B1170" s="7" t="n"/>
      <c r="C1170" s="8" t="n"/>
      <c r="D1170" s="9" t="n"/>
      <c r="E1170" s="8" t="n"/>
      <c r="F1170" s="9" t="n"/>
      <c r="G1170" s="9" t="n"/>
      <c r="H1170" s="3">
        <f>IF(AND(D1170&lt;&gt;"",F1170&lt;&gt;""),F1170-D1170-G1170,"")</f>
        <v/>
      </c>
      <c r="I1170" s="14">
        <f>IF(E1170&lt;&gt;"", YEARFRAC(C1170, E1170) * 12, "")</f>
        <v/>
      </c>
      <c r="J1170" s="2">
        <f>IF(I1170="", "", IF(AND(A1170="MF (Equity)", I1170&gt;12), "Long Term", "Short Term"))</f>
        <v/>
      </c>
      <c r="K1170" s="5">
        <f>IF(J1170="", "", IF(J1170="Long Term", 12.5%, 20%))</f>
        <v/>
      </c>
      <c r="L1170" s="3">
        <f>+IFERROR(IF(J1170="","",H1170*K1170),"")</f>
        <v/>
      </c>
    </row>
    <row r="1171">
      <c r="A1171" s="11" t="n"/>
      <c r="B1171" s="7" t="n"/>
      <c r="C1171" s="8" t="n"/>
      <c r="D1171" s="9" t="n"/>
      <c r="E1171" s="8" t="n"/>
      <c r="F1171" s="9" t="n"/>
      <c r="G1171" s="9" t="n"/>
      <c r="H1171" s="3">
        <f>IF(AND(D1171&lt;&gt;"",F1171&lt;&gt;""),F1171-D1171-G1171,"")</f>
        <v/>
      </c>
      <c r="I1171" s="14">
        <f>IF(E1171&lt;&gt;"", YEARFRAC(C1171, E1171) * 12, "")</f>
        <v/>
      </c>
      <c r="J1171" s="2">
        <f>IF(I1171="", "", IF(AND(A1171="MF (Equity)", I1171&gt;12), "Long Term", "Short Term"))</f>
        <v/>
      </c>
      <c r="K1171" s="5">
        <f>IF(J1171="", "", IF(J1171="Long Term", 12.5%, 20%))</f>
        <v/>
      </c>
      <c r="L1171" s="3">
        <f>+IFERROR(IF(J1171="","",H1171*K1171),"")</f>
        <v/>
      </c>
    </row>
    <row r="1172">
      <c r="A1172" s="11" t="n"/>
      <c r="B1172" s="7" t="n"/>
      <c r="C1172" s="8" t="n"/>
      <c r="D1172" s="9" t="n"/>
      <c r="E1172" s="8" t="n"/>
      <c r="F1172" s="9" t="n"/>
      <c r="G1172" s="9" t="n"/>
      <c r="H1172" s="3">
        <f>IF(AND(D1172&lt;&gt;"",F1172&lt;&gt;""),F1172-D1172-G1172,"")</f>
        <v/>
      </c>
      <c r="I1172" s="14">
        <f>IF(E1172&lt;&gt;"", YEARFRAC(C1172, E1172) * 12, "")</f>
        <v/>
      </c>
      <c r="J1172" s="2">
        <f>IF(I1172="", "", IF(AND(A1172="MF (Equity)", I1172&gt;12), "Long Term", "Short Term"))</f>
        <v/>
      </c>
      <c r="K1172" s="5">
        <f>IF(J1172="", "", IF(J1172="Long Term", 12.5%, 20%))</f>
        <v/>
      </c>
      <c r="L1172" s="3">
        <f>+IFERROR(IF(J1172="","",H1172*K1172),"")</f>
        <v/>
      </c>
    </row>
    <row r="1173">
      <c r="A1173" s="11" t="n"/>
      <c r="B1173" s="7" t="n"/>
      <c r="C1173" s="8" t="n"/>
      <c r="D1173" s="9" t="n"/>
      <c r="E1173" s="8" t="n"/>
      <c r="F1173" s="9" t="n"/>
      <c r="G1173" s="9" t="n"/>
      <c r="H1173" s="3">
        <f>IF(AND(D1173&lt;&gt;"",F1173&lt;&gt;""),F1173-D1173-G1173,"")</f>
        <v/>
      </c>
      <c r="I1173" s="14">
        <f>IF(E1173&lt;&gt;"", YEARFRAC(C1173, E1173) * 12, "")</f>
        <v/>
      </c>
      <c r="J1173" s="2">
        <f>IF(I1173="", "", IF(AND(A1173="MF (Equity)", I1173&gt;12), "Long Term", "Short Term"))</f>
        <v/>
      </c>
      <c r="K1173" s="5">
        <f>IF(J1173="", "", IF(J1173="Long Term", 12.5%, 20%))</f>
        <v/>
      </c>
      <c r="L1173" s="3">
        <f>+IFERROR(IF(J1173="","",H1173*K1173),"")</f>
        <v/>
      </c>
    </row>
    <row r="1174">
      <c r="A1174" s="11" t="n"/>
      <c r="B1174" s="7" t="n"/>
      <c r="C1174" s="8" t="n"/>
      <c r="D1174" s="9" t="n"/>
      <c r="E1174" s="8" t="n"/>
      <c r="F1174" s="9" t="n"/>
      <c r="G1174" s="9" t="n"/>
      <c r="H1174" s="3">
        <f>IF(AND(D1174&lt;&gt;"",F1174&lt;&gt;""),F1174-D1174-G1174,"")</f>
        <v/>
      </c>
      <c r="I1174" s="14">
        <f>IF(E1174&lt;&gt;"", YEARFRAC(C1174, E1174) * 12, "")</f>
        <v/>
      </c>
      <c r="J1174" s="2">
        <f>IF(I1174="", "", IF(AND(A1174="MF (Equity)", I1174&gt;12), "Long Term", "Short Term"))</f>
        <v/>
      </c>
      <c r="K1174" s="5">
        <f>IF(J1174="", "", IF(J1174="Long Term", 12.5%, 20%))</f>
        <v/>
      </c>
      <c r="L1174" s="3">
        <f>+IFERROR(IF(J1174="","",H1174*K1174),"")</f>
        <v/>
      </c>
    </row>
    <row r="1175">
      <c r="A1175" s="11" t="n"/>
      <c r="B1175" s="7" t="n"/>
      <c r="C1175" s="8" t="n"/>
      <c r="D1175" s="9" t="n"/>
      <c r="E1175" s="8" t="n"/>
      <c r="F1175" s="9" t="n"/>
      <c r="G1175" s="9" t="n"/>
      <c r="H1175" s="3">
        <f>IF(AND(D1175&lt;&gt;"",F1175&lt;&gt;""),F1175-D1175-G1175,"")</f>
        <v/>
      </c>
      <c r="I1175" s="14">
        <f>IF(E1175&lt;&gt;"", YEARFRAC(C1175, E1175) * 12, "")</f>
        <v/>
      </c>
      <c r="J1175" s="2">
        <f>IF(I1175="", "", IF(AND(A1175="MF (Equity)", I1175&gt;12), "Long Term", "Short Term"))</f>
        <v/>
      </c>
      <c r="K1175" s="5">
        <f>IF(J1175="", "", IF(J1175="Long Term", 12.5%, 20%))</f>
        <v/>
      </c>
      <c r="L1175" s="3">
        <f>+IFERROR(IF(J1175="","",H1175*K1175),"")</f>
        <v/>
      </c>
    </row>
    <row r="1176">
      <c r="A1176" s="11" t="n"/>
      <c r="B1176" s="7" t="n"/>
      <c r="C1176" s="8" t="n"/>
      <c r="D1176" s="9" t="n"/>
      <c r="E1176" s="8" t="n"/>
      <c r="F1176" s="9" t="n"/>
      <c r="G1176" s="9" t="n"/>
      <c r="H1176" s="3">
        <f>IF(AND(D1176&lt;&gt;"",F1176&lt;&gt;""),F1176-D1176-G1176,"")</f>
        <v/>
      </c>
      <c r="I1176" s="14">
        <f>IF(E1176&lt;&gt;"", YEARFRAC(C1176, E1176) * 12, "")</f>
        <v/>
      </c>
      <c r="J1176" s="2">
        <f>IF(I1176="", "", IF(AND(A1176="MF (Equity)", I1176&gt;12), "Long Term", "Short Term"))</f>
        <v/>
      </c>
      <c r="K1176" s="5">
        <f>IF(J1176="", "", IF(J1176="Long Term", 12.5%, 20%))</f>
        <v/>
      </c>
      <c r="L1176" s="3">
        <f>+IFERROR(IF(J1176="","",H1176*K1176),"")</f>
        <v/>
      </c>
    </row>
    <row r="1177">
      <c r="A1177" s="11" t="n"/>
      <c r="B1177" s="7" t="n"/>
      <c r="C1177" s="8" t="n"/>
      <c r="D1177" s="9" t="n"/>
      <c r="E1177" s="8" t="n"/>
      <c r="F1177" s="9" t="n"/>
      <c r="G1177" s="9" t="n"/>
      <c r="H1177" s="3">
        <f>IF(AND(D1177&lt;&gt;"",F1177&lt;&gt;""),F1177-D1177-G1177,"")</f>
        <v/>
      </c>
      <c r="I1177" s="14">
        <f>IF(E1177&lt;&gt;"", YEARFRAC(C1177, E1177) * 12, "")</f>
        <v/>
      </c>
      <c r="J1177" s="2">
        <f>IF(I1177="", "", IF(AND(A1177="MF (Equity)", I1177&gt;12), "Long Term", "Short Term"))</f>
        <v/>
      </c>
      <c r="K1177" s="5">
        <f>IF(J1177="", "", IF(J1177="Long Term", 12.5%, 20%))</f>
        <v/>
      </c>
      <c r="L1177" s="3">
        <f>+IFERROR(IF(J1177="","",H1177*K1177),"")</f>
        <v/>
      </c>
    </row>
    <row r="1178">
      <c r="A1178" s="11" t="n"/>
      <c r="B1178" s="7" t="n"/>
      <c r="C1178" s="8" t="n"/>
      <c r="D1178" s="9" t="n"/>
      <c r="E1178" s="8" t="n"/>
      <c r="F1178" s="9" t="n"/>
      <c r="G1178" s="9" t="n"/>
      <c r="H1178" s="3">
        <f>IF(AND(D1178&lt;&gt;"",F1178&lt;&gt;""),F1178-D1178-G1178,"")</f>
        <v/>
      </c>
      <c r="I1178" s="14">
        <f>IF(E1178&lt;&gt;"", YEARFRAC(C1178, E1178) * 12, "")</f>
        <v/>
      </c>
      <c r="J1178" s="2">
        <f>IF(I1178="", "", IF(AND(A1178="MF (Equity)", I1178&gt;12), "Long Term", "Short Term"))</f>
        <v/>
      </c>
      <c r="K1178" s="5">
        <f>IF(J1178="", "", IF(J1178="Long Term", 12.5%, 20%))</f>
        <v/>
      </c>
      <c r="L1178" s="3">
        <f>+IFERROR(IF(J1178="","",H1178*K1178),"")</f>
        <v/>
      </c>
    </row>
    <row r="1179">
      <c r="A1179" s="11" t="n"/>
      <c r="B1179" s="7" t="n"/>
      <c r="C1179" s="8" t="n"/>
      <c r="D1179" s="9" t="n"/>
      <c r="E1179" s="8" t="n"/>
      <c r="F1179" s="9" t="n"/>
      <c r="G1179" s="9" t="n"/>
      <c r="H1179" s="3">
        <f>IF(AND(D1179&lt;&gt;"",F1179&lt;&gt;""),F1179-D1179-G1179,"")</f>
        <v/>
      </c>
      <c r="I1179" s="14">
        <f>IF(E1179&lt;&gt;"", YEARFRAC(C1179, E1179) * 12, "")</f>
        <v/>
      </c>
      <c r="J1179" s="2">
        <f>IF(I1179="", "", IF(AND(A1179="MF (Equity)", I1179&gt;12), "Long Term", "Short Term"))</f>
        <v/>
      </c>
      <c r="K1179" s="5">
        <f>IF(J1179="", "", IF(J1179="Long Term", 12.5%, 20%))</f>
        <v/>
      </c>
      <c r="L1179" s="3">
        <f>+IFERROR(IF(J1179="","",H1179*K1179),"")</f>
        <v/>
      </c>
    </row>
    <row r="1180">
      <c r="A1180" s="11" t="n"/>
      <c r="B1180" s="7" t="n"/>
      <c r="C1180" s="8" t="n"/>
      <c r="D1180" s="9" t="n"/>
      <c r="E1180" s="8" t="n"/>
      <c r="F1180" s="9" t="n"/>
      <c r="G1180" s="9" t="n"/>
      <c r="H1180" s="3">
        <f>IF(AND(D1180&lt;&gt;"",F1180&lt;&gt;""),F1180-D1180-G1180,"")</f>
        <v/>
      </c>
      <c r="I1180" s="14">
        <f>IF(E1180&lt;&gt;"", YEARFRAC(C1180, E1180) * 12, "")</f>
        <v/>
      </c>
      <c r="J1180" s="2">
        <f>IF(I1180="", "", IF(AND(A1180="MF (Equity)", I1180&gt;12), "Long Term", "Short Term"))</f>
        <v/>
      </c>
      <c r="K1180" s="5">
        <f>IF(J1180="", "", IF(J1180="Long Term", 12.5%, 20%))</f>
        <v/>
      </c>
      <c r="L1180" s="3">
        <f>+IFERROR(IF(J1180="","",H1180*K1180),"")</f>
        <v/>
      </c>
    </row>
    <row r="1181">
      <c r="A1181" s="11" t="n"/>
      <c r="B1181" s="7" t="n"/>
      <c r="C1181" s="8" t="n"/>
      <c r="D1181" s="9" t="n"/>
      <c r="E1181" s="8" t="n"/>
      <c r="F1181" s="9" t="n"/>
      <c r="G1181" s="9" t="n"/>
      <c r="H1181" s="3">
        <f>IF(AND(D1181&lt;&gt;"",F1181&lt;&gt;""),F1181-D1181-G1181,"")</f>
        <v/>
      </c>
      <c r="I1181" s="14">
        <f>IF(E1181&lt;&gt;"", YEARFRAC(C1181, E1181) * 12, "")</f>
        <v/>
      </c>
      <c r="J1181" s="2">
        <f>IF(I1181="", "", IF(AND(A1181="MF (Equity)", I1181&gt;12), "Long Term", "Short Term"))</f>
        <v/>
      </c>
      <c r="K1181" s="5">
        <f>IF(J1181="", "", IF(J1181="Long Term", 12.5%, 20%))</f>
        <v/>
      </c>
      <c r="L1181" s="3">
        <f>+IFERROR(IF(J1181="","",H1181*K1181),"")</f>
        <v/>
      </c>
    </row>
    <row r="1182">
      <c r="A1182" s="11" t="n"/>
      <c r="B1182" s="7" t="n"/>
      <c r="C1182" s="8" t="n"/>
      <c r="D1182" s="9" t="n"/>
      <c r="E1182" s="8" t="n"/>
      <c r="F1182" s="9" t="n"/>
      <c r="G1182" s="9" t="n"/>
      <c r="H1182" s="3">
        <f>IF(AND(D1182&lt;&gt;"",F1182&lt;&gt;""),F1182-D1182-G1182,"")</f>
        <v/>
      </c>
      <c r="I1182" s="14">
        <f>IF(E1182&lt;&gt;"", YEARFRAC(C1182, E1182) * 12, "")</f>
        <v/>
      </c>
      <c r="J1182" s="2">
        <f>IF(I1182="", "", IF(AND(A1182="MF (Equity)", I1182&gt;12), "Long Term", "Short Term"))</f>
        <v/>
      </c>
      <c r="K1182" s="5">
        <f>IF(J1182="", "", IF(J1182="Long Term", 12.5%, 20%))</f>
        <v/>
      </c>
      <c r="L1182" s="3">
        <f>+IFERROR(IF(J1182="","",H1182*K1182),"")</f>
        <v/>
      </c>
    </row>
    <row r="1183">
      <c r="A1183" s="11" t="n"/>
      <c r="B1183" s="7" t="n"/>
      <c r="C1183" s="8" t="n"/>
      <c r="D1183" s="9" t="n"/>
      <c r="E1183" s="8" t="n"/>
      <c r="F1183" s="9" t="n"/>
      <c r="G1183" s="9" t="n"/>
      <c r="H1183" s="3">
        <f>IF(AND(D1183&lt;&gt;"",F1183&lt;&gt;""),F1183-D1183-G1183,"")</f>
        <v/>
      </c>
      <c r="I1183" s="14">
        <f>IF(E1183&lt;&gt;"", YEARFRAC(C1183, E1183) * 12, "")</f>
        <v/>
      </c>
      <c r="J1183" s="2">
        <f>IF(I1183="", "", IF(AND(A1183="MF (Equity)", I1183&gt;12), "Long Term", "Short Term"))</f>
        <v/>
      </c>
      <c r="K1183" s="5">
        <f>IF(J1183="", "", IF(J1183="Long Term", 12.5%, 20%))</f>
        <v/>
      </c>
      <c r="L1183" s="3">
        <f>+IFERROR(IF(J1183="","",H1183*K1183),"")</f>
        <v/>
      </c>
    </row>
    <row r="1184">
      <c r="A1184" s="11" t="n"/>
      <c r="B1184" s="7" t="n"/>
      <c r="C1184" s="8" t="n"/>
      <c r="D1184" s="9" t="n"/>
      <c r="E1184" s="8" t="n"/>
      <c r="F1184" s="9" t="n"/>
      <c r="G1184" s="9" t="n"/>
      <c r="H1184" s="3">
        <f>IF(AND(D1184&lt;&gt;"",F1184&lt;&gt;""),F1184-D1184-G1184,"")</f>
        <v/>
      </c>
      <c r="I1184" s="14">
        <f>IF(E1184&lt;&gt;"", YEARFRAC(C1184, E1184) * 12, "")</f>
        <v/>
      </c>
      <c r="J1184" s="2">
        <f>IF(I1184="", "", IF(AND(A1184="MF (Equity)", I1184&gt;12), "Long Term", "Short Term"))</f>
        <v/>
      </c>
      <c r="K1184" s="5">
        <f>IF(J1184="", "", IF(J1184="Long Term", 12.5%, 20%))</f>
        <v/>
      </c>
      <c r="L1184" s="3">
        <f>+IFERROR(IF(J1184="","",H1184*K1184),"")</f>
        <v/>
      </c>
    </row>
    <row r="1185">
      <c r="A1185" s="11" t="n"/>
      <c r="B1185" s="7" t="n"/>
      <c r="C1185" s="8" t="n"/>
      <c r="D1185" s="9" t="n"/>
      <c r="E1185" s="8" t="n"/>
      <c r="F1185" s="9" t="n"/>
      <c r="G1185" s="9" t="n"/>
      <c r="H1185" s="3">
        <f>IF(AND(D1185&lt;&gt;"",F1185&lt;&gt;""),F1185-D1185-G1185,"")</f>
        <v/>
      </c>
      <c r="I1185" s="14">
        <f>IF(E1185&lt;&gt;"", YEARFRAC(C1185, E1185) * 12, "")</f>
        <v/>
      </c>
      <c r="J1185" s="2">
        <f>IF(I1185="", "", IF(AND(A1185="MF (Equity)", I1185&gt;12), "Long Term", "Short Term"))</f>
        <v/>
      </c>
      <c r="K1185" s="5">
        <f>IF(J1185="", "", IF(J1185="Long Term", 12.5%, 20%))</f>
        <v/>
      </c>
      <c r="L1185" s="3">
        <f>+IFERROR(IF(J1185="","",H1185*K1185),"")</f>
        <v/>
      </c>
    </row>
    <row r="1186">
      <c r="A1186" s="11" t="n"/>
      <c r="B1186" s="7" t="n"/>
      <c r="C1186" s="8" t="n"/>
      <c r="D1186" s="9" t="n"/>
      <c r="E1186" s="8" t="n"/>
      <c r="F1186" s="9" t="n"/>
      <c r="G1186" s="9" t="n"/>
      <c r="H1186" s="3">
        <f>IF(AND(D1186&lt;&gt;"",F1186&lt;&gt;""),F1186-D1186-G1186,"")</f>
        <v/>
      </c>
      <c r="I1186" s="14">
        <f>IF(E1186&lt;&gt;"", YEARFRAC(C1186, E1186) * 12, "")</f>
        <v/>
      </c>
      <c r="J1186" s="2">
        <f>IF(I1186="", "", IF(AND(A1186="MF (Equity)", I1186&gt;12), "Long Term", "Short Term"))</f>
        <v/>
      </c>
      <c r="K1186" s="5">
        <f>IF(J1186="", "", IF(J1186="Long Term", 12.5%, 20%))</f>
        <v/>
      </c>
      <c r="L1186" s="3">
        <f>+IFERROR(IF(J1186="","",H1186*K1186),"")</f>
        <v/>
      </c>
    </row>
    <row r="1187">
      <c r="A1187" s="11" t="n"/>
      <c r="B1187" s="7" t="n"/>
      <c r="C1187" s="8" t="n"/>
      <c r="D1187" s="9" t="n"/>
      <c r="E1187" s="8" t="n"/>
      <c r="F1187" s="9" t="n"/>
      <c r="G1187" s="9" t="n"/>
      <c r="H1187" s="3">
        <f>IF(AND(D1187&lt;&gt;"",F1187&lt;&gt;""),F1187-D1187-G1187,"")</f>
        <v/>
      </c>
      <c r="I1187" s="14">
        <f>IF(E1187&lt;&gt;"", YEARFRAC(C1187, E1187) * 12, "")</f>
        <v/>
      </c>
      <c r="J1187" s="2">
        <f>IF(I1187="", "", IF(AND(A1187="MF (Equity)", I1187&gt;12), "Long Term", "Short Term"))</f>
        <v/>
      </c>
      <c r="K1187" s="5">
        <f>IF(J1187="", "", IF(J1187="Long Term", 12.5%, 20%))</f>
        <v/>
      </c>
      <c r="L1187" s="3">
        <f>+IFERROR(IF(J1187="","",H1187*K1187),"")</f>
        <v/>
      </c>
    </row>
    <row r="1188">
      <c r="A1188" s="11" t="n"/>
      <c r="B1188" s="7" t="n"/>
      <c r="C1188" s="8" t="n"/>
      <c r="D1188" s="9" t="n"/>
      <c r="E1188" s="8" t="n"/>
      <c r="F1188" s="9" t="n"/>
      <c r="G1188" s="9" t="n"/>
      <c r="H1188" s="3">
        <f>IF(AND(D1188&lt;&gt;"",F1188&lt;&gt;""),F1188-D1188-G1188,"")</f>
        <v/>
      </c>
      <c r="I1188" s="14">
        <f>IF(E1188&lt;&gt;"", YEARFRAC(C1188, E1188) * 12, "")</f>
        <v/>
      </c>
      <c r="J1188" s="2">
        <f>IF(I1188="", "", IF(AND(A1188="MF (Equity)", I1188&gt;12), "Long Term", "Short Term"))</f>
        <v/>
      </c>
      <c r="K1188" s="5">
        <f>IF(J1188="", "", IF(J1188="Long Term", 12.5%, 20%))</f>
        <v/>
      </c>
      <c r="L1188" s="3">
        <f>+IFERROR(IF(J1188="","",H1188*K1188),"")</f>
        <v/>
      </c>
    </row>
    <row r="1189">
      <c r="A1189" s="11" t="n"/>
      <c r="B1189" s="7" t="n"/>
      <c r="C1189" s="8" t="n"/>
      <c r="D1189" s="9" t="n"/>
      <c r="E1189" s="8" t="n"/>
      <c r="F1189" s="9" t="n"/>
      <c r="G1189" s="9" t="n"/>
      <c r="H1189" s="3">
        <f>IF(AND(D1189&lt;&gt;"",F1189&lt;&gt;""),F1189-D1189-G1189,"")</f>
        <v/>
      </c>
      <c r="I1189" s="14">
        <f>IF(E1189&lt;&gt;"", YEARFRAC(C1189, E1189) * 12, "")</f>
        <v/>
      </c>
      <c r="J1189" s="2">
        <f>IF(I1189="", "", IF(AND(A1189="MF (Equity)", I1189&gt;12), "Long Term", "Short Term"))</f>
        <v/>
      </c>
      <c r="K1189" s="5">
        <f>IF(J1189="", "", IF(J1189="Long Term", 12.5%, 20%))</f>
        <v/>
      </c>
      <c r="L1189" s="3">
        <f>+IFERROR(IF(J1189="","",H1189*K1189),"")</f>
        <v/>
      </c>
    </row>
    <row r="1190">
      <c r="A1190" s="11" t="n"/>
      <c r="B1190" s="7" t="n"/>
      <c r="C1190" s="8" t="n"/>
      <c r="D1190" s="9" t="n"/>
      <c r="E1190" s="8" t="n"/>
      <c r="F1190" s="9" t="n"/>
      <c r="G1190" s="9" t="n"/>
      <c r="H1190" s="3">
        <f>IF(AND(D1190&lt;&gt;"",F1190&lt;&gt;""),F1190-D1190-G1190,"")</f>
        <v/>
      </c>
      <c r="I1190" s="14">
        <f>IF(E1190&lt;&gt;"", YEARFRAC(C1190, E1190) * 12, "")</f>
        <v/>
      </c>
      <c r="J1190" s="2">
        <f>IF(I1190="", "", IF(AND(A1190="MF (Equity)", I1190&gt;12), "Long Term", "Short Term"))</f>
        <v/>
      </c>
      <c r="K1190" s="5">
        <f>IF(J1190="", "", IF(J1190="Long Term", 12.5%, 20%))</f>
        <v/>
      </c>
      <c r="L1190" s="3">
        <f>+IFERROR(IF(J1190="","",H1190*K1190),"")</f>
        <v/>
      </c>
    </row>
    <row r="1191">
      <c r="A1191" s="11" t="n"/>
      <c r="B1191" s="7" t="n"/>
      <c r="C1191" s="8" t="n"/>
      <c r="D1191" s="9" t="n"/>
      <c r="E1191" s="8" t="n"/>
      <c r="F1191" s="9" t="n"/>
      <c r="G1191" s="9" t="n"/>
      <c r="H1191" s="3">
        <f>IF(AND(D1191&lt;&gt;"",F1191&lt;&gt;""),F1191-D1191-G1191,"")</f>
        <v/>
      </c>
      <c r="I1191" s="14">
        <f>IF(E1191&lt;&gt;"", YEARFRAC(C1191, E1191) * 12, "")</f>
        <v/>
      </c>
      <c r="J1191" s="2">
        <f>IF(I1191="", "", IF(AND(A1191="MF (Equity)", I1191&gt;12), "Long Term", "Short Term"))</f>
        <v/>
      </c>
      <c r="K1191" s="5">
        <f>IF(J1191="", "", IF(J1191="Long Term", 12.5%, 20%))</f>
        <v/>
      </c>
      <c r="L1191" s="3">
        <f>+IFERROR(IF(J1191="","",H1191*K1191),"")</f>
        <v/>
      </c>
    </row>
    <row r="1192">
      <c r="A1192" s="11" t="n"/>
      <c r="B1192" s="7" t="n"/>
      <c r="C1192" s="8" t="n"/>
      <c r="D1192" s="9" t="n"/>
      <c r="E1192" s="8" t="n"/>
      <c r="F1192" s="9" t="n"/>
      <c r="G1192" s="9" t="n"/>
      <c r="H1192" s="3">
        <f>IF(AND(D1192&lt;&gt;"",F1192&lt;&gt;""),F1192-D1192-G1192,"")</f>
        <v/>
      </c>
      <c r="I1192" s="14">
        <f>IF(E1192&lt;&gt;"", YEARFRAC(C1192, E1192) * 12, "")</f>
        <v/>
      </c>
      <c r="J1192" s="2">
        <f>IF(I1192="", "", IF(AND(A1192="MF (Equity)", I1192&gt;12), "Long Term", "Short Term"))</f>
        <v/>
      </c>
      <c r="K1192" s="5">
        <f>IF(J1192="", "", IF(J1192="Long Term", 12.5%, 20%))</f>
        <v/>
      </c>
      <c r="L1192" s="3">
        <f>+IFERROR(IF(J1192="","",H1192*K1192),"")</f>
        <v/>
      </c>
    </row>
    <row r="1193">
      <c r="A1193" s="11" t="n"/>
      <c r="B1193" s="7" t="n"/>
      <c r="C1193" s="8" t="n"/>
      <c r="D1193" s="9" t="n"/>
      <c r="E1193" s="8" t="n"/>
      <c r="F1193" s="9" t="n"/>
      <c r="G1193" s="9" t="n"/>
      <c r="H1193" s="3">
        <f>IF(AND(D1193&lt;&gt;"",F1193&lt;&gt;""),F1193-D1193-G1193,"")</f>
        <v/>
      </c>
      <c r="I1193" s="14">
        <f>IF(E1193&lt;&gt;"", YEARFRAC(C1193, E1193) * 12, "")</f>
        <v/>
      </c>
      <c r="J1193" s="2">
        <f>IF(I1193="", "", IF(AND(A1193="MF (Equity)", I1193&gt;12), "Long Term", "Short Term"))</f>
        <v/>
      </c>
      <c r="K1193" s="5">
        <f>IF(J1193="", "", IF(J1193="Long Term", 12.5%, 20%))</f>
        <v/>
      </c>
      <c r="L1193" s="3">
        <f>+IFERROR(IF(J1193="","",H1193*K1193),"")</f>
        <v/>
      </c>
    </row>
    <row r="1194">
      <c r="A1194" s="11" t="n"/>
      <c r="B1194" s="7" t="n"/>
      <c r="C1194" s="8" t="n"/>
      <c r="D1194" s="9" t="n"/>
      <c r="E1194" s="8" t="n"/>
      <c r="F1194" s="9" t="n"/>
      <c r="G1194" s="9" t="n"/>
      <c r="H1194" s="3">
        <f>IF(AND(D1194&lt;&gt;"",F1194&lt;&gt;""),F1194-D1194-G1194,"")</f>
        <v/>
      </c>
      <c r="I1194" s="14">
        <f>IF(E1194&lt;&gt;"", YEARFRAC(C1194, E1194) * 12, "")</f>
        <v/>
      </c>
      <c r="J1194" s="2">
        <f>IF(I1194="", "", IF(AND(A1194="MF (Equity)", I1194&gt;12), "Long Term", "Short Term"))</f>
        <v/>
      </c>
      <c r="K1194" s="5">
        <f>IF(J1194="", "", IF(J1194="Long Term", 12.5%, 20%))</f>
        <v/>
      </c>
      <c r="L1194" s="3">
        <f>+IFERROR(IF(J1194="","",H1194*K1194),"")</f>
        <v/>
      </c>
    </row>
    <row r="1195">
      <c r="A1195" s="11" t="n"/>
      <c r="B1195" s="7" t="n"/>
      <c r="C1195" s="8" t="n"/>
      <c r="D1195" s="9" t="n"/>
      <c r="E1195" s="8" t="n"/>
      <c r="F1195" s="9" t="n"/>
      <c r="G1195" s="9" t="n"/>
      <c r="H1195" s="3">
        <f>IF(AND(D1195&lt;&gt;"",F1195&lt;&gt;""),F1195-D1195-G1195,"")</f>
        <v/>
      </c>
      <c r="I1195" s="14">
        <f>IF(E1195&lt;&gt;"", YEARFRAC(C1195, E1195) * 12, "")</f>
        <v/>
      </c>
      <c r="J1195" s="2">
        <f>IF(I1195="", "", IF(AND(A1195="MF (Equity)", I1195&gt;12), "Long Term", "Short Term"))</f>
        <v/>
      </c>
      <c r="K1195" s="5">
        <f>IF(J1195="", "", IF(J1195="Long Term", 12.5%, 20%))</f>
        <v/>
      </c>
      <c r="L1195" s="3">
        <f>+IFERROR(IF(J1195="","",H1195*K1195),"")</f>
        <v/>
      </c>
    </row>
    <row r="1196">
      <c r="A1196" s="11" t="n"/>
      <c r="B1196" s="7" t="n"/>
      <c r="C1196" s="8" t="n"/>
      <c r="D1196" s="9" t="n"/>
      <c r="E1196" s="8" t="n"/>
      <c r="F1196" s="9" t="n"/>
      <c r="G1196" s="9" t="n"/>
      <c r="H1196" s="3">
        <f>IF(AND(D1196&lt;&gt;"",F1196&lt;&gt;""),F1196-D1196-G1196,"")</f>
        <v/>
      </c>
      <c r="I1196" s="14">
        <f>IF(E1196&lt;&gt;"", YEARFRAC(C1196, E1196) * 12, "")</f>
        <v/>
      </c>
      <c r="J1196" s="2">
        <f>IF(I1196="", "", IF(AND(A1196="MF (Equity)", I1196&gt;12), "Long Term", "Short Term"))</f>
        <v/>
      </c>
      <c r="K1196" s="5">
        <f>IF(J1196="", "", IF(J1196="Long Term", 12.5%, 20%))</f>
        <v/>
      </c>
      <c r="L1196" s="3">
        <f>+IFERROR(IF(J1196="","",H1196*K1196),"")</f>
        <v/>
      </c>
    </row>
    <row r="1197">
      <c r="A1197" s="11" t="n"/>
      <c r="B1197" s="7" t="n"/>
      <c r="C1197" s="8" t="n"/>
      <c r="D1197" s="9" t="n"/>
      <c r="E1197" s="8" t="n"/>
      <c r="F1197" s="9" t="n"/>
      <c r="G1197" s="9" t="n"/>
      <c r="H1197" s="3">
        <f>IF(AND(D1197&lt;&gt;"",F1197&lt;&gt;""),F1197-D1197-G1197,"")</f>
        <v/>
      </c>
      <c r="I1197" s="14">
        <f>IF(E1197&lt;&gt;"", YEARFRAC(C1197, E1197) * 12, "")</f>
        <v/>
      </c>
      <c r="J1197" s="2">
        <f>IF(I1197="", "", IF(AND(A1197="MF (Equity)", I1197&gt;12), "Long Term", "Short Term"))</f>
        <v/>
      </c>
      <c r="K1197" s="5">
        <f>IF(J1197="", "", IF(J1197="Long Term", 12.5%, 20%))</f>
        <v/>
      </c>
      <c r="L1197" s="3">
        <f>+IFERROR(IF(J1197="","",H1197*K1197),"")</f>
        <v/>
      </c>
    </row>
    <row r="1198">
      <c r="A1198" s="11" t="n"/>
      <c r="B1198" s="7" t="n"/>
      <c r="C1198" s="8" t="n"/>
      <c r="D1198" s="9" t="n"/>
      <c r="E1198" s="8" t="n"/>
      <c r="F1198" s="9" t="n"/>
      <c r="G1198" s="9" t="n"/>
      <c r="H1198" s="3">
        <f>IF(AND(D1198&lt;&gt;"",F1198&lt;&gt;""),F1198-D1198-G1198,"")</f>
        <v/>
      </c>
      <c r="I1198" s="14">
        <f>IF(E1198&lt;&gt;"", YEARFRAC(C1198, E1198) * 12, "")</f>
        <v/>
      </c>
      <c r="J1198" s="2">
        <f>IF(I1198="", "", IF(AND(A1198="MF (Equity)", I1198&gt;12), "Long Term", "Short Term"))</f>
        <v/>
      </c>
      <c r="K1198" s="5">
        <f>IF(J1198="", "", IF(J1198="Long Term", 12.5%, 20%))</f>
        <v/>
      </c>
      <c r="L1198" s="3">
        <f>+IFERROR(IF(J1198="","",H1198*K1198),"")</f>
        <v/>
      </c>
    </row>
    <row r="1199">
      <c r="A1199" s="11" t="n"/>
      <c r="B1199" s="7" t="n"/>
      <c r="C1199" s="8" t="n"/>
      <c r="D1199" s="9" t="n"/>
      <c r="E1199" s="8" t="n"/>
      <c r="F1199" s="9" t="n"/>
      <c r="G1199" s="9" t="n"/>
      <c r="H1199" s="3">
        <f>IF(AND(D1199&lt;&gt;"",F1199&lt;&gt;""),F1199-D1199-G1199,"")</f>
        <v/>
      </c>
      <c r="I1199" s="14">
        <f>IF(E1199&lt;&gt;"", YEARFRAC(C1199, E1199) * 12, "")</f>
        <v/>
      </c>
      <c r="J1199" s="2">
        <f>IF(I1199="", "", IF(AND(A1199="MF (Equity)", I1199&gt;12), "Long Term", "Short Term"))</f>
        <v/>
      </c>
      <c r="K1199" s="5">
        <f>IF(J1199="", "", IF(J1199="Long Term", 12.5%, 20%))</f>
        <v/>
      </c>
      <c r="L1199" s="3">
        <f>+IFERROR(IF(J1199="","",H1199*K1199),"")</f>
        <v/>
      </c>
    </row>
    <row r="1200">
      <c r="A1200" s="11" t="n"/>
      <c r="B1200" s="7" t="n"/>
      <c r="C1200" s="8" t="n"/>
      <c r="D1200" s="9" t="n"/>
      <c r="E1200" s="8" t="n"/>
      <c r="F1200" s="9" t="n"/>
      <c r="G1200" s="9" t="n"/>
      <c r="H1200" s="3">
        <f>IF(AND(D1200&lt;&gt;"",F1200&lt;&gt;""),F1200-D1200-G1200,"")</f>
        <v/>
      </c>
      <c r="I1200" s="14">
        <f>IF(E1200&lt;&gt;"", YEARFRAC(C1200, E1200) * 12, "")</f>
        <v/>
      </c>
      <c r="J1200" s="2">
        <f>IF(I1200="", "", IF(AND(A1200="MF (Equity)", I1200&gt;12), "Long Term", "Short Term"))</f>
        <v/>
      </c>
      <c r="K1200" s="5">
        <f>IF(J1200="", "", IF(J1200="Long Term", 12.5%, 20%))</f>
        <v/>
      </c>
      <c r="L1200" s="3">
        <f>+IFERROR(IF(J1200="","",H1200*K1200),"")</f>
        <v/>
      </c>
    </row>
    <row r="1201">
      <c r="A1201" s="11" t="n"/>
      <c r="B1201" s="7" t="n"/>
      <c r="C1201" s="8" t="n"/>
      <c r="D1201" s="9" t="n"/>
      <c r="E1201" s="8" t="n"/>
      <c r="F1201" s="9" t="n"/>
      <c r="G1201" s="9" t="n"/>
      <c r="H1201" s="3">
        <f>IF(AND(D1201&lt;&gt;"",F1201&lt;&gt;""),F1201-D1201-G1201,"")</f>
        <v/>
      </c>
      <c r="I1201" s="14">
        <f>IF(E1201&lt;&gt;"", YEARFRAC(C1201, E1201) * 12, "")</f>
        <v/>
      </c>
      <c r="J1201" s="2">
        <f>IF(I1201="", "", IF(AND(A1201="MF (Equity)", I1201&gt;12), "Long Term", "Short Term"))</f>
        <v/>
      </c>
      <c r="K1201" s="5">
        <f>IF(J1201="", "", IF(J1201="Long Term", 12.5%, 20%))</f>
        <v/>
      </c>
      <c r="L1201" s="3">
        <f>+IFERROR(IF(J1201="","",H1201*K1201),"")</f>
        <v/>
      </c>
    </row>
    <row r="1202">
      <c r="A1202" s="11" t="n"/>
      <c r="B1202" s="7" t="n"/>
      <c r="C1202" s="8" t="n"/>
      <c r="D1202" s="9" t="n"/>
      <c r="E1202" s="8" t="n"/>
      <c r="F1202" s="9" t="n"/>
      <c r="G1202" s="9" t="n"/>
      <c r="H1202" s="3">
        <f>IF(AND(D1202&lt;&gt;"",F1202&lt;&gt;""),F1202-D1202-G1202,"")</f>
        <v/>
      </c>
      <c r="I1202" s="14">
        <f>IF(E1202&lt;&gt;"", YEARFRAC(C1202, E1202) * 12, "")</f>
        <v/>
      </c>
      <c r="J1202" s="2">
        <f>IF(I1202="", "", IF(AND(A1202="MF (Equity)", I1202&gt;12), "Long Term", "Short Term"))</f>
        <v/>
      </c>
      <c r="K1202" s="5">
        <f>IF(J1202="", "", IF(J1202="Long Term", 12.5%, 20%))</f>
        <v/>
      </c>
      <c r="L1202" s="3">
        <f>+IFERROR(IF(J1202="","",H1202*K1202),"")</f>
        <v/>
      </c>
    </row>
    <row r="1203">
      <c r="A1203" s="11" t="n"/>
      <c r="B1203" s="7" t="n"/>
      <c r="C1203" s="8" t="n"/>
      <c r="D1203" s="9" t="n"/>
      <c r="E1203" s="8" t="n"/>
      <c r="F1203" s="9" t="n"/>
      <c r="G1203" s="9" t="n"/>
      <c r="H1203" s="3">
        <f>IF(AND(D1203&lt;&gt;"",F1203&lt;&gt;""),F1203-D1203-G1203,"")</f>
        <v/>
      </c>
      <c r="I1203" s="14">
        <f>IF(E1203&lt;&gt;"", YEARFRAC(C1203, E1203) * 12, "")</f>
        <v/>
      </c>
      <c r="J1203" s="2">
        <f>IF(I1203="", "", IF(AND(A1203="MF (Equity)", I1203&gt;12), "Long Term", "Short Term"))</f>
        <v/>
      </c>
      <c r="K1203" s="5">
        <f>IF(J1203="", "", IF(J1203="Long Term", 12.5%, 20%))</f>
        <v/>
      </c>
      <c r="L1203" s="3">
        <f>+IFERROR(IF(J1203="","",H1203*K1203),"")</f>
        <v/>
      </c>
    </row>
    <row r="1204">
      <c r="A1204" s="11" t="n"/>
      <c r="B1204" s="7" t="n"/>
      <c r="C1204" s="8" t="n"/>
      <c r="D1204" s="9" t="n"/>
      <c r="E1204" s="8" t="n"/>
      <c r="F1204" s="9" t="n"/>
      <c r="G1204" s="9" t="n"/>
      <c r="H1204" s="3">
        <f>IF(AND(D1204&lt;&gt;"",F1204&lt;&gt;""),F1204-D1204-G1204,"")</f>
        <v/>
      </c>
      <c r="I1204" s="14">
        <f>IF(E1204&lt;&gt;"", YEARFRAC(C1204, E1204) * 12, "")</f>
        <v/>
      </c>
      <c r="J1204" s="2">
        <f>IF(I1204="", "", IF(AND(A1204="MF (Equity)", I1204&gt;12), "Long Term", "Short Term"))</f>
        <v/>
      </c>
      <c r="K1204" s="5">
        <f>IF(J1204="", "", IF(J1204="Long Term", 12.5%, 20%))</f>
        <v/>
      </c>
      <c r="L1204" s="3">
        <f>+IFERROR(IF(J1204="","",H1204*K1204),"")</f>
        <v/>
      </c>
    </row>
    <row r="1205">
      <c r="A1205" s="11" t="n"/>
      <c r="B1205" s="7" t="n"/>
      <c r="C1205" s="8" t="n"/>
      <c r="D1205" s="9" t="n"/>
      <c r="E1205" s="8" t="n"/>
      <c r="F1205" s="9" t="n"/>
      <c r="G1205" s="9" t="n"/>
      <c r="H1205" s="3">
        <f>IF(AND(D1205&lt;&gt;"",F1205&lt;&gt;""),F1205-D1205-G1205,"")</f>
        <v/>
      </c>
      <c r="I1205" s="14">
        <f>IF(E1205&lt;&gt;"", YEARFRAC(C1205, E1205) * 12, "")</f>
        <v/>
      </c>
      <c r="J1205" s="2">
        <f>IF(I1205="", "", IF(AND(A1205="MF (Equity)", I1205&gt;12), "Long Term", "Short Term"))</f>
        <v/>
      </c>
      <c r="K1205" s="5">
        <f>IF(J1205="", "", IF(J1205="Long Term", 12.5%, 20%))</f>
        <v/>
      </c>
      <c r="L1205" s="3">
        <f>+IFERROR(IF(J1205="","",H1205*K1205),"")</f>
        <v/>
      </c>
    </row>
    <row r="1206">
      <c r="A1206" s="11" t="n"/>
      <c r="B1206" s="7" t="n"/>
      <c r="C1206" s="8" t="n"/>
      <c r="D1206" s="9" t="n"/>
      <c r="E1206" s="8" t="n"/>
      <c r="F1206" s="9" t="n"/>
      <c r="G1206" s="9" t="n"/>
      <c r="H1206" s="3">
        <f>IF(AND(D1206&lt;&gt;"",F1206&lt;&gt;""),F1206-D1206-G1206,"")</f>
        <v/>
      </c>
      <c r="I1206" s="14">
        <f>IF(E1206&lt;&gt;"", YEARFRAC(C1206, E1206) * 12, "")</f>
        <v/>
      </c>
      <c r="J1206" s="2">
        <f>IF(I1206="", "", IF(AND(A1206="MF (Equity)", I1206&gt;12), "Long Term", "Short Term"))</f>
        <v/>
      </c>
      <c r="K1206" s="5">
        <f>IF(J1206="", "", IF(J1206="Long Term", 12.5%, 20%))</f>
        <v/>
      </c>
      <c r="L1206" s="3">
        <f>+IFERROR(IF(J1206="","",H1206*K1206),"")</f>
        <v/>
      </c>
    </row>
    <row r="1207">
      <c r="A1207" s="11" t="n"/>
      <c r="B1207" s="7" t="n"/>
      <c r="C1207" s="8" t="n"/>
      <c r="D1207" s="9" t="n"/>
      <c r="E1207" s="8" t="n"/>
      <c r="F1207" s="9" t="n"/>
      <c r="G1207" s="9" t="n"/>
      <c r="H1207" s="3">
        <f>IF(AND(D1207&lt;&gt;"",F1207&lt;&gt;""),F1207-D1207-G1207,"")</f>
        <v/>
      </c>
      <c r="I1207" s="14">
        <f>IF(E1207&lt;&gt;"", YEARFRAC(C1207, E1207) * 12, "")</f>
        <v/>
      </c>
      <c r="J1207" s="2">
        <f>IF(I1207="", "", IF(AND(A1207="MF (Equity)", I1207&gt;12), "Long Term", "Short Term"))</f>
        <v/>
      </c>
      <c r="K1207" s="5">
        <f>IF(J1207="", "", IF(J1207="Long Term", 12.5%, 20%))</f>
        <v/>
      </c>
      <c r="L1207" s="3">
        <f>+IFERROR(IF(J1207="","",H1207*K1207),"")</f>
        <v/>
      </c>
    </row>
    <row r="1208">
      <c r="A1208" s="11" t="n"/>
      <c r="B1208" s="7" t="n"/>
      <c r="C1208" s="8" t="n"/>
      <c r="D1208" s="9" t="n"/>
      <c r="E1208" s="8" t="n"/>
      <c r="F1208" s="9" t="n"/>
      <c r="G1208" s="9" t="n"/>
      <c r="H1208" s="3">
        <f>IF(AND(D1208&lt;&gt;"",F1208&lt;&gt;""),F1208-D1208-G1208,"")</f>
        <v/>
      </c>
      <c r="I1208" s="14">
        <f>IF(E1208&lt;&gt;"", YEARFRAC(C1208, E1208) * 12, "")</f>
        <v/>
      </c>
      <c r="J1208" s="2">
        <f>IF(I1208="", "", IF(AND(A1208="MF (Equity)", I1208&gt;12), "Long Term", "Short Term"))</f>
        <v/>
      </c>
      <c r="K1208" s="5">
        <f>IF(J1208="", "", IF(J1208="Long Term", 12.5%, 20%))</f>
        <v/>
      </c>
      <c r="L1208" s="3">
        <f>+IFERROR(IF(J1208="","",H1208*K1208),"")</f>
        <v/>
      </c>
    </row>
    <row r="1209">
      <c r="A1209" s="11" t="n"/>
      <c r="B1209" s="7" t="n"/>
      <c r="C1209" s="8" t="n"/>
      <c r="D1209" s="9" t="n"/>
      <c r="E1209" s="8" t="n"/>
      <c r="F1209" s="9" t="n"/>
      <c r="G1209" s="9" t="n"/>
      <c r="H1209" s="3">
        <f>IF(AND(D1209&lt;&gt;"",F1209&lt;&gt;""),F1209-D1209-G1209,"")</f>
        <v/>
      </c>
      <c r="I1209" s="14">
        <f>IF(E1209&lt;&gt;"", YEARFRAC(C1209, E1209) * 12, "")</f>
        <v/>
      </c>
      <c r="J1209" s="2">
        <f>IF(I1209="", "", IF(AND(A1209="MF (Equity)", I1209&gt;12), "Long Term", "Short Term"))</f>
        <v/>
      </c>
      <c r="K1209" s="5">
        <f>IF(J1209="", "", IF(J1209="Long Term", 12.5%, 20%))</f>
        <v/>
      </c>
      <c r="L1209" s="3">
        <f>+IFERROR(IF(J1209="","",H1209*K1209),"")</f>
        <v/>
      </c>
    </row>
    <row r="1210">
      <c r="A1210" s="11" t="n"/>
      <c r="B1210" s="7" t="n"/>
      <c r="C1210" s="8" t="n"/>
      <c r="D1210" s="9" t="n"/>
      <c r="E1210" s="8" t="n"/>
      <c r="F1210" s="9" t="n"/>
      <c r="G1210" s="9" t="n"/>
      <c r="H1210" s="3">
        <f>IF(AND(D1210&lt;&gt;"",F1210&lt;&gt;""),F1210-D1210-G1210,"")</f>
        <v/>
      </c>
      <c r="I1210" s="14">
        <f>IF(E1210&lt;&gt;"", YEARFRAC(C1210, E1210) * 12, "")</f>
        <v/>
      </c>
      <c r="J1210" s="2">
        <f>IF(I1210="", "", IF(AND(A1210="MF (Equity)", I1210&gt;12), "Long Term", "Short Term"))</f>
        <v/>
      </c>
      <c r="K1210" s="5">
        <f>IF(J1210="", "", IF(J1210="Long Term", 12.5%, 20%))</f>
        <v/>
      </c>
      <c r="L1210" s="3">
        <f>+IFERROR(IF(J1210="","",H1210*K1210),"")</f>
        <v/>
      </c>
    </row>
    <row r="1211">
      <c r="A1211" s="11" t="n"/>
      <c r="B1211" s="7" t="n"/>
      <c r="C1211" s="8" t="n"/>
      <c r="D1211" s="9" t="n"/>
      <c r="E1211" s="8" t="n"/>
      <c r="F1211" s="9" t="n"/>
      <c r="G1211" s="9" t="n"/>
      <c r="H1211" s="3">
        <f>IF(AND(D1211&lt;&gt;"",F1211&lt;&gt;""),F1211-D1211-G1211,"")</f>
        <v/>
      </c>
      <c r="I1211" s="14">
        <f>IF(E1211&lt;&gt;"", YEARFRAC(C1211, E1211) * 12, "")</f>
        <v/>
      </c>
      <c r="J1211" s="2">
        <f>IF(I1211="", "", IF(AND(A1211="MF (Equity)", I1211&gt;12), "Long Term", "Short Term"))</f>
        <v/>
      </c>
      <c r="K1211" s="5">
        <f>IF(J1211="", "", IF(J1211="Long Term", 12.5%, 20%))</f>
        <v/>
      </c>
      <c r="L1211" s="3">
        <f>+IFERROR(IF(J1211="","",H1211*K1211),"")</f>
        <v/>
      </c>
    </row>
    <row r="1212">
      <c r="A1212" s="11" t="n"/>
      <c r="B1212" s="7" t="n"/>
      <c r="C1212" s="8" t="n"/>
      <c r="D1212" s="9" t="n"/>
      <c r="E1212" s="8" t="n"/>
      <c r="F1212" s="9" t="n"/>
      <c r="G1212" s="9" t="n"/>
      <c r="H1212" s="3">
        <f>IF(AND(D1212&lt;&gt;"",F1212&lt;&gt;""),F1212-D1212-G1212,"")</f>
        <v/>
      </c>
      <c r="I1212" s="14">
        <f>IF(E1212&lt;&gt;"", YEARFRAC(C1212, E1212) * 12, "")</f>
        <v/>
      </c>
      <c r="J1212" s="2">
        <f>IF(I1212="", "", IF(AND(A1212="MF (Equity)", I1212&gt;12), "Long Term", "Short Term"))</f>
        <v/>
      </c>
      <c r="K1212" s="5">
        <f>IF(J1212="", "", IF(J1212="Long Term", 12.5%, 20%))</f>
        <v/>
      </c>
      <c r="L1212" s="3">
        <f>+IFERROR(IF(J1212="","",H1212*K1212),"")</f>
        <v/>
      </c>
    </row>
    <row r="1213">
      <c r="A1213" s="11" t="n"/>
      <c r="B1213" s="7" t="n"/>
      <c r="C1213" s="8" t="n"/>
      <c r="D1213" s="9" t="n"/>
      <c r="E1213" s="8" t="n"/>
      <c r="F1213" s="9" t="n"/>
      <c r="G1213" s="9" t="n"/>
      <c r="H1213" s="3">
        <f>IF(AND(D1213&lt;&gt;"",F1213&lt;&gt;""),F1213-D1213-G1213,"")</f>
        <v/>
      </c>
      <c r="I1213" s="14">
        <f>IF(E1213&lt;&gt;"", YEARFRAC(C1213, E1213) * 12, "")</f>
        <v/>
      </c>
      <c r="J1213" s="2">
        <f>IF(I1213="", "", IF(AND(A1213="MF (Equity)", I1213&gt;12), "Long Term", "Short Term"))</f>
        <v/>
      </c>
      <c r="K1213" s="5">
        <f>IF(J1213="", "", IF(J1213="Long Term", 12.5%, 20%))</f>
        <v/>
      </c>
      <c r="L1213" s="3">
        <f>+IFERROR(IF(J1213="","",H1213*K1213),"")</f>
        <v/>
      </c>
    </row>
    <row r="1214">
      <c r="A1214" s="11" t="n"/>
      <c r="B1214" s="7" t="n"/>
      <c r="C1214" s="8" t="n"/>
      <c r="D1214" s="9" t="n"/>
      <c r="E1214" s="8" t="n"/>
      <c r="F1214" s="9" t="n"/>
      <c r="G1214" s="9" t="n"/>
      <c r="H1214" s="3">
        <f>IF(AND(D1214&lt;&gt;"",F1214&lt;&gt;""),F1214-D1214-G1214,"")</f>
        <v/>
      </c>
      <c r="I1214" s="14">
        <f>IF(E1214&lt;&gt;"", YEARFRAC(C1214, E1214) * 12, "")</f>
        <v/>
      </c>
      <c r="J1214" s="2">
        <f>IF(I1214="", "", IF(AND(A1214="MF (Equity)", I1214&gt;12), "Long Term", "Short Term"))</f>
        <v/>
      </c>
      <c r="K1214" s="5">
        <f>IF(J1214="", "", IF(J1214="Long Term", 12.5%, 20%))</f>
        <v/>
      </c>
      <c r="L1214" s="3">
        <f>+IFERROR(IF(J1214="","",H1214*K1214),"")</f>
        <v/>
      </c>
    </row>
    <row r="1215">
      <c r="A1215" s="11" t="n"/>
      <c r="B1215" s="7" t="n"/>
      <c r="C1215" s="8" t="n"/>
      <c r="D1215" s="9" t="n"/>
      <c r="E1215" s="8" t="n"/>
      <c r="F1215" s="9" t="n"/>
      <c r="G1215" s="9" t="n"/>
      <c r="H1215" s="3">
        <f>IF(AND(D1215&lt;&gt;"",F1215&lt;&gt;""),F1215-D1215-G1215,"")</f>
        <v/>
      </c>
      <c r="I1215" s="14">
        <f>IF(E1215&lt;&gt;"", YEARFRAC(C1215, E1215) * 12, "")</f>
        <v/>
      </c>
      <c r="J1215" s="2">
        <f>IF(I1215="", "", IF(AND(A1215="MF (Equity)", I1215&gt;12), "Long Term", "Short Term"))</f>
        <v/>
      </c>
      <c r="K1215" s="5">
        <f>IF(J1215="", "", IF(J1215="Long Term", 12.5%, 20%))</f>
        <v/>
      </c>
      <c r="L1215" s="3">
        <f>+IFERROR(IF(J1215="","",H1215*K1215),"")</f>
        <v/>
      </c>
    </row>
    <row r="1216">
      <c r="A1216" s="11" t="n"/>
      <c r="B1216" s="7" t="n"/>
      <c r="C1216" s="8" t="n"/>
      <c r="D1216" s="9" t="n"/>
      <c r="E1216" s="8" t="n"/>
      <c r="F1216" s="9" t="n"/>
      <c r="G1216" s="9" t="n"/>
      <c r="H1216" s="3">
        <f>IF(AND(D1216&lt;&gt;"",F1216&lt;&gt;""),F1216-D1216-G1216,"")</f>
        <v/>
      </c>
      <c r="I1216" s="14">
        <f>IF(E1216&lt;&gt;"", YEARFRAC(C1216, E1216) * 12, "")</f>
        <v/>
      </c>
      <c r="J1216" s="2">
        <f>IF(I1216="", "", IF(AND(A1216="MF (Equity)", I1216&gt;12), "Long Term", "Short Term"))</f>
        <v/>
      </c>
      <c r="K1216" s="5">
        <f>IF(J1216="", "", IF(J1216="Long Term", 12.5%, 20%))</f>
        <v/>
      </c>
      <c r="L1216" s="3">
        <f>+IFERROR(IF(J1216="","",H1216*K1216),"")</f>
        <v/>
      </c>
    </row>
    <row r="1217">
      <c r="A1217" s="11" t="n"/>
      <c r="B1217" s="7" t="n"/>
      <c r="C1217" s="8" t="n"/>
      <c r="D1217" s="9" t="n"/>
      <c r="E1217" s="8" t="n"/>
      <c r="F1217" s="9" t="n"/>
      <c r="G1217" s="9" t="n"/>
      <c r="H1217" s="3">
        <f>IF(AND(D1217&lt;&gt;"",F1217&lt;&gt;""),F1217-D1217-G1217,"")</f>
        <v/>
      </c>
      <c r="I1217" s="14">
        <f>IF(E1217&lt;&gt;"", YEARFRAC(C1217, E1217) * 12, "")</f>
        <v/>
      </c>
      <c r="J1217" s="2">
        <f>IF(I1217="", "", IF(AND(A1217="MF (Equity)", I1217&gt;12), "Long Term", "Short Term"))</f>
        <v/>
      </c>
      <c r="K1217" s="5">
        <f>IF(J1217="", "", IF(J1217="Long Term", 12.5%, 20%))</f>
        <v/>
      </c>
      <c r="L1217" s="3">
        <f>+IFERROR(IF(J1217="","",H1217*K1217),"")</f>
        <v/>
      </c>
    </row>
    <row r="1218">
      <c r="A1218" s="11" t="n"/>
      <c r="B1218" s="7" t="n"/>
      <c r="C1218" s="8" t="n"/>
      <c r="D1218" s="9" t="n"/>
      <c r="E1218" s="8" t="n"/>
      <c r="F1218" s="9" t="n"/>
      <c r="G1218" s="9" t="n"/>
      <c r="H1218" s="3">
        <f>IF(AND(D1218&lt;&gt;"",F1218&lt;&gt;""),F1218-D1218-G1218,"")</f>
        <v/>
      </c>
      <c r="I1218" s="14">
        <f>IF(E1218&lt;&gt;"", YEARFRAC(C1218, E1218) * 12, "")</f>
        <v/>
      </c>
      <c r="J1218" s="2">
        <f>IF(I1218="", "", IF(AND(A1218="MF (Equity)", I1218&gt;12), "Long Term", "Short Term"))</f>
        <v/>
      </c>
      <c r="K1218" s="5">
        <f>IF(J1218="", "", IF(J1218="Long Term", 12.5%, 20%))</f>
        <v/>
      </c>
      <c r="L1218" s="3">
        <f>+IFERROR(IF(J1218="","",H1218*K1218),"")</f>
        <v/>
      </c>
    </row>
    <row r="1219">
      <c r="A1219" s="11" t="n"/>
      <c r="B1219" s="7" t="n"/>
      <c r="C1219" s="8" t="n"/>
      <c r="D1219" s="9" t="n"/>
      <c r="E1219" s="8" t="n"/>
      <c r="F1219" s="9" t="n"/>
      <c r="G1219" s="9" t="n"/>
      <c r="H1219" s="3">
        <f>IF(AND(D1219&lt;&gt;"",F1219&lt;&gt;""),F1219-D1219-G1219,"")</f>
        <v/>
      </c>
      <c r="I1219" s="14">
        <f>IF(E1219&lt;&gt;"", YEARFRAC(C1219, E1219) * 12, "")</f>
        <v/>
      </c>
      <c r="J1219" s="2">
        <f>IF(I1219="", "", IF(AND(A1219="MF (Equity)", I1219&gt;12), "Long Term", "Short Term"))</f>
        <v/>
      </c>
      <c r="K1219" s="5">
        <f>IF(J1219="", "", IF(J1219="Long Term", 12.5%, 20%))</f>
        <v/>
      </c>
      <c r="L1219" s="3">
        <f>+IFERROR(IF(J1219="","",H1219*K1219),"")</f>
        <v/>
      </c>
    </row>
    <row r="1220">
      <c r="A1220" s="11" t="n"/>
      <c r="B1220" s="7" t="n"/>
      <c r="C1220" s="8" t="n"/>
      <c r="D1220" s="9" t="n"/>
      <c r="E1220" s="8" t="n"/>
      <c r="F1220" s="9" t="n"/>
      <c r="G1220" s="9" t="n"/>
      <c r="H1220" s="3">
        <f>IF(AND(D1220&lt;&gt;"",F1220&lt;&gt;""),F1220-D1220-G1220,"")</f>
        <v/>
      </c>
      <c r="I1220" s="14">
        <f>IF(E1220&lt;&gt;"", YEARFRAC(C1220, E1220) * 12, "")</f>
        <v/>
      </c>
      <c r="J1220" s="2">
        <f>IF(I1220="", "", IF(AND(A1220="MF (Equity)", I1220&gt;12), "Long Term", "Short Term"))</f>
        <v/>
      </c>
      <c r="K1220" s="5">
        <f>IF(J1220="", "", IF(J1220="Long Term", 12.5%, 20%))</f>
        <v/>
      </c>
      <c r="L1220" s="3">
        <f>+IFERROR(IF(J1220="","",H1220*K1220),"")</f>
        <v/>
      </c>
    </row>
    <row r="1221">
      <c r="A1221" s="11" t="n"/>
      <c r="B1221" s="7" t="n"/>
      <c r="C1221" s="8" t="n"/>
      <c r="D1221" s="9" t="n"/>
      <c r="E1221" s="8" t="n"/>
      <c r="F1221" s="9" t="n"/>
      <c r="G1221" s="9" t="n"/>
      <c r="H1221" s="3">
        <f>IF(AND(D1221&lt;&gt;"",F1221&lt;&gt;""),F1221-D1221-G1221,"")</f>
        <v/>
      </c>
      <c r="I1221" s="14">
        <f>IF(E1221&lt;&gt;"", YEARFRAC(C1221, E1221) * 12, "")</f>
        <v/>
      </c>
      <c r="J1221" s="2">
        <f>IF(I1221="", "", IF(AND(A1221="MF (Equity)", I1221&gt;12), "Long Term", "Short Term"))</f>
        <v/>
      </c>
      <c r="K1221" s="5">
        <f>IF(J1221="", "", IF(J1221="Long Term", 12.5%, 20%))</f>
        <v/>
      </c>
      <c r="L1221" s="3">
        <f>+IFERROR(IF(J1221="","",H1221*K1221),"")</f>
        <v/>
      </c>
    </row>
    <row r="1222">
      <c r="A1222" s="11" t="n"/>
      <c r="B1222" s="7" t="n"/>
      <c r="C1222" s="8" t="n"/>
      <c r="D1222" s="9" t="n"/>
      <c r="E1222" s="8" t="n"/>
      <c r="F1222" s="9" t="n"/>
      <c r="G1222" s="9" t="n"/>
      <c r="H1222" s="3">
        <f>IF(AND(D1222&lt;&gt;"",F1222&lt;&gt;""),F1222-D1222-G1222,"")</f>
        <v/>
      </c>
      <c r="I1222" s="14">
        <f>IF(E1222&lt;&gt;"", YEARFRAC(C1222, E1222) * 12, "")</f>
        <v/>
      </c>
      <c r="J1222" s="2">
        <f>IF(I1222="", "", IF(AND(A1222="MF (Equity)", I1222&gt;12), "Long Term", "Short Term"))</f>
        <v/>
      </c>
      <c r="K1222" s="5">
        <f>IF(J1222="", "", IF(J1222="Long Term", 12.5%, 20%))</f>
        <v/>
      </c>
      <c r="L1222" s="3">
        <f>+IFERROR(IF(J1222="","",H1222*K1222),"")</f>
        <v/>
      </c>
    </row>
    <row r="1223">
      <c r="A1223" s="11" t="n"/>
      <c r="B1223" s="7" t="n"/>
      <c r="C1223" s="8" t="n"/>
      <c r="D1223" s="9" t="n"/>
      <c r="E1223" s="8" t="n"/>
      <c r="F1223" s="9" t="n"/>
      <c r="G1223" s="9" t="n"/>
      <c r="H1223" s="3">
        <f>IF(AND(D1223&lt;&gt;"",F1223&lt;&gt;""),F1223-D1223-G1223,"")</f>
        <v/>
      </c>
      <c r="I1223" s="14">
        <f>IF(E1223&lt;&gt;"", YEARFRAC(C1223, E1223) * 12, "")</f>
        <v/>
      </c>
      <c r="J1223" s="2">
        <f>IF(I1223="", "", IF(AND(A1223="MF (Equity)", I1223&gt;12), "Long Term", "Short Term"))</f>
        <v/>
      </c>
      <c r="K1223" s="5">
        <f>IF(J1223="", "", IF(J1223="Long Term", 12.5%, 20%))</f>
        <v/>
      </c>
      <c r="L1223" s="3">
        <f>+IFERROR(IF(J1223="","",H1223*K1223),"")</f>
        <v/>
      </c>
    </row>
    <row r="1224">
      <c r="A1224" s="11" t="n"/>
      <c r="B1224" s="7" t="n"/>
      <c r="C1224" s="8" t="n"/>
      <c r="D1224" s="9" t="n"/>
      <c r="E1224" s="8" t="n"/>
      <c r="F1224" s="9" t="n"/>
      <c r="G1224" s="9" t="n"/>
      <c r="H1224" s="3">
        <f>IF(AND(D1224&lt;&gt;"",F1224&lt;&gt;""),F1224-D1224-G1224,"")</f>
        <v/>
      </c>
      <c r="I1224" s="14">
        <f>IF(E1224&lt;&gt;"", YEARFRAC(C1224, E1224) * 12, "")</f>
        <v/>
      </c>
      <c r="J1224" s="2">
        <f>IF(I1224="", "", IF(AND(A1224="MF (Equity)", I1224&gt;12), "Long Term", "Short Term"))</f>
        <v/>
      </c>
      <c r="K1224" s="5">
        <f>IF(J1224="", "", IF(J1224="Long Term", 12.5%, 20%))</f>
        <v/>
      </c>
      <c r="L1224" s="3">
        <f>+IFERROR(IF(J1224="","",H1224*K1224),"")</f>
        <v/>
      </c>
    </row>
    <row r="1225">
      <c r="A1225" s="11" t="n"/>
      <c r="B1225" s="7" t="n"/>
      <c r="C1225" s="8" t="n"/>
      <c r="D1225" s="9" t="n"/>
      <c r="E1225" s="8" t="n"/>
      <c r="F1225" s="9" t="n"/>
      <c r="G1225" s="9" t="n"/>
      <c r="H1225" s="3">
        <f>IF(AND(D1225&lt;&gt;"",F1225&lt;&gt;""),F1225-D1225-G1225,"")</f>
        <v/>
      </c>
      <c r="I1225" s="14">
        <f>IF(E1225&lt;&gt;"", YEARFRAC(C1225, E1225) * 12, "")</f>
        <v/>
      </c>
      <c r="J1225" s="2">
        <f>IF(I1225="", "", IF(AND(A1225="MF (Equity)", I1225&gt;12), "Long Term", "Short Term"))</f>
        <v/>
      </c>
      <c r="K1225" s="5">
        <f>IF(J1225="", "", IF(J1225="Long Term", 12.5%, 20%))</f>
        <v/>
      </c>
      <c r="L1225" s="3">
        <f>+IFERROR(IF(J1225="","",H1225*K1225),"")</f>
        <v/>
      </c>
    </row>
    <row r="1226">
      <c r="A1226" s="11" t="n"/>
      <c r="B1226" s="7" t="n"/>
      <c r="C1226" s="8" t="n"/>
      <c r="D1226" s="9" t="n"/>
      <c r="E1226" s="8" t="n"/>
      <c r="F1226" s="9" t="n"/>
      <c r="G1226" s="9" t="n"/>
      <c r="H1226" s="3">
        <f>IF(AND(D1226&lt;&gt;"",F1226&lt;&gt;""),F1226-D1226-G1226,"")</f>
        <v/>
      </c>
      <c r="I1226" s="14">
        <f>IF(E1226&lt;&gt;"", YEARFRAC(C1226, E1226) * 12, "")</f>
        <v/>
      </c>
      <c r="J1226" s="2">
        <f>IF(I1226="", "", IF(AND(A1226="MF (Equity)", I1226&gt;12), "Long Term", "Short Term"))</f>
        <v/>
      </c>
      <c r="K1226" s="5">
        <f>IF(J1226="", "", IF(J1226="Long Term", 12.5%, 20%))</f>
        <v/>
      </c>
      <c r="L1226" s="3">
        <f>+IFERROR(IF(J1226="","",H1226*K1226),"")</f>
        <v/>
      </c>
    </row>
    <row r="1227">
      <c r="A1227" s="11" t="n"/>
      <c r="B1227" s="7" t="n"/>
      <c r="C1227" s="8" t="n"/>
      <c r="D1227" s="9" t="n"/>
      <c r="E1227" s="8" t="n"/>
      <c r="F1227" s="9" t="n"/>
      <c r="G1227" s="9" t="n"/>
      <c r="H1227" s="3">
        <f>IF(AND(D1227&lt;&gt;"",F1227&lt;&gt;""),F1227-D1227-G1227,"")</f>
        <v/>
      </c>
      <c r="I1227" s="14">
        <f>IF(E1227&lt;&gt;"", YEARFRAC(C1227, E1227) * 12, "")</f>
        <v/>
      </c>
      <c r="J1227" s="2">
        <f>IF(I1227="", "", IF(AND(A1227="MF (Equity)", I1227&gt;12), "Long Term", "Short Term"))</f>
        <v/>
      </c>
      <c r="K1227" s="5">
        <f>IF(J1227="", "", IF(J1227="Long Term", 12.5%, 20%))</f>
        <v/>
      </c>
      <c r="L1227" s="3">
        <f>+IFERROR(IF(J1227="","",H1227*K1227),"")</f>
        <v/>
      </c>
    </row>
    <row r="1228">
      <c r="A1228" s="11" t="n"/>
      <c r="B1228" s="7" t="n"/>
      <c r="C1228" s="8" t="n"/>
      <c r="D1228" s="9" t="n"/>
      <c r="E1228" s="8" t="n"/>
      <c r="F1228" s="9" t="n"/>
      <c r="G1228" s="9" t="n"/>
      <c r="H1228" s="3">
        <f>IF(AND(D1228&lt;&gt;"",F1228&lt;&gt;""),F1228-D1228-G1228,"")</f>
        <v/>
      </c>
      <c r="I1228" s="14">
        <f>IF(E1228&lt;&gt;"", YEARFRAC(C1228, E1228) * 12, "")</f>
        <v/>
      </c>
      <c r="J1228" s="2">
        <f>IF(I1228="", "", IF(AND(A1228="MF (Equity)", I1228&gt;12), "Long Term", "Short Term"))</f>
        <v/>
      </c>
      <c r="K1228" s="5">
        <f>IF(J1228="", "", IF(J1228="Long Term", 12.5%, 20%))</f>
        <v/>
      </c>
      <c r="L1228" s="3">
        <f>+IFERROR(IF(J1228="","",H1228*K1228),"")</f>
        <v/>
      </c>
    </row>
    <row r="1229">
      <c r="A1229" s="11" t="n"/>
      <c r="B1229" s="7" t="n"/>
      <c r="C1229" s="8" t="n"/>
      <c r="D1229" s="9" t="n"/>
      <c r="E1229" s="8" t="n"/>
      <c r="F1229" s="9" t="n"/>
      <c r="G1229" s="9" t="n"/>
      <c r="H1229" s="3">
        <f>IF(AND(D1229&lt;&gt;"",F1229&lt;&gt;""),F1229-D1229-G1229,"")</f>
        <v/>
      </c>
      <c r="I1229" s="14">
        <f>IF(E1229&lt;&gt;"", YEARFRAC(C1229, E1229) * 12, "")</f>
        <v/>
      </c>
      <c r="J1229" s="2">
        <f>IF(I1229="", "", IF(AND(A1229="MF (Equity)", I1229&gt;12), "Long Term", "Short Term"))</f>
        <v/>
      </c>
      <c r="K1229" s="5">
        <f>IF(J1229="", "", IF(J1229="Long Term", 12.5%, 20%))</f>
        <v/>
      </c>
      <c r="L1229" s="3">
        <f>+IFERROR(IF(J1229="","",H1229*K1229),"")</f>
        <v/>
      </c>
    </row>
    <row r="1230">
      <c r="A1230" s="11" t="n"/>
      <c r="B1230" s="7" t="n"/>
      <c r="C1230" s="8" t="n"/>
      <c r="D1230" s="9" t="n"/>
      <c r="E1230" s="8" t="n"/>
      <c r="F1230" s="9" t="n"/>
      <c r="G1230" s="9" t="n"/>
      <c r="H1230" s="3">
        <f>IF(AND(D1230&lt;&gt;"",F1230&lt;&gt;""),F1230-D1230-G1230,"")</f>
        <v/>
      </c>
      <c r="I1230" s="14">
        <f>IF(E1230&lt;&gt;"", YEARFRAC(C1230, E1230) * 12, "")</f>
        <v/>
      </c>
      <c r="J1230" s="2">
        <f>IF(I1230="", "", IF(AND(A1230="MF (Equity)", I1230&gt;12), "Long Term", "Short Term"))</f>
        <v/>
      </c>
      <c r="K1230" s="5">
        <f>IF(J1230="", "", IF(J1230="Long Term", 12.5%, 20%))</f>
        <v/>
      </c>
      <c r="L1230" s="3">
        <f>+IFERROR(IF(J1230="","",H1230*K1230),"")</f>
        <v/>
      </c>
    </row>
    <row r="1231">
      <c r="A1231" s="11" t="n"/>
      <c r="B1231" s="7" t="n"/>
      <c r="C1231" s="8" t="n"/>
      <c r="D1231" s="9" t="n"/>
      <c r="E1231" s="8" t="n"/>
      <c r="F1231" s="9" t="n"/>
      <c r="G1231" s="9" t="n"/>
      <c r="H1231" s="3">
        <f>IF(AND(D1231&lt;&gt;"",F1231&lt;&gt;""),F1231-D1231-G1231,"")</f>
        <v/>
      </c>
      <c r="I1231" s="14">
        <f>IF(E1231&lt;&gt;"", YEARFRAC(C1231, E1231) * 12, "")</f>
        <v/>
      </c>
      <c r="J1231" s="2">
        <f>IF(I1231="", "", IF(AND(A1231="MF (Equity)", I1231&gt;12), "Long Term", "Short Term"))</f>
        <v/>
      </c>
      <c r="K1231" s="5">
        <f>IF(J1231="", "", IF(J1231="Long Term", 12.5%, 20%))</f>
        <v/>
      </c>
      <c r="L1231" s="3">
        <f>+IFERROR(IF(J1231="","",H1231*K1231),"")</f>
        <v/>
      </c>
    </row>
    <row r="1232">
      <c r="A1232" s="11" t="n"/>
      <c r="B1232" s="7" t="n"/>
      <c r="C1232" s="8" t="n"/>
      <c r="D1232" s="9" t="n"/>
      <c r="E1232" s="8" t="n"/>
      <c r="F1232" s="9" t="n"/>
      <c r="G1232" s="9" t="n"/>
      <c r="H1232" s="3">
        <f>IF(AND(D1232&lt;&gt;"",F1232&lt;&gt;""),F1232-D1232-G1232,"")</f>
        <v/>
      </c>
      <c r="I1232" s="14">
        <f>IF(E1232&lt;&gt;"", YEARFRAC(C1232, E1232) * 12, "")</f>
        <v/>
      </c>
      <c r="J1232" s="2">
        <f>IF(I1232="", "", IF(AND(A1232="MF (Equity)", I1232&gt;12), "Long Term", "Short Term"))</f>
        <v/>
      </c>
      <c r="K1232" s="5">
        <f>IF(J1232="", "", IF(J1232="Long Term", 12.5%, 20%))</f>
        <v/>
      </c>
      <c r="L1232" s="3">
        <f>+IFERROR(IF(J1232="","",H1232*K1232),"")</f>
        <v/>
      </c>
    </row>
    <row r="1233">
      <c r="A1233" s="11" t="n"/>
      <c r="B1233" s="7" t="n"/>
      <c r="C1233" s="8" t="n"/>
      <c r="D1233" s="9" t="n"/>
      <c r="E1233" s="8" t="n"/>
      <c r="F1233" s="9" t="n"/>
      <c r="G1233" s="9" t="n"/>
      <c r="H1233" s="3">
        <f>IF(AND(D1233&lt;&gt;"",F1233&lt;&gt;""),F1233-D1233-G1233,"")</f>
        <v/>
      </c>
      <c r="I1233" s="14">
        <f>IF(E1233&lt;&gt;"", YEARFRAC(C1233, E1233) * 12, "")</f>
        <v/>
      </c>
      <c r="J1233" s="2">
        <f>IF(I1233="", "", IF(AND(A1233="MF (Equity)", I1233&gt;12), "Long Term", "Short Term"))</f>
        <v/>
      </c>
      <c r="K1233" s="5">
        <f>IF(J1233="", "", IF(J1233="Long Term", 12.5%, 20%))</f>
        <v/>
      </c>
      <c r="L1233" s="3">
        <f>+IFERROR(IF(J1233="","",H1233*K1233),"")</f>
        <v/>
      </c>
    </row>
    <row r="1234">
      <c r="A1234" s="11" t="n"/>
      <c r="B1234" s="7" t="n"/>
      <c r="C1234" s="8" t="n"/>
      <c r="D1234" s="9" t="n"/>
      <c r="E1234" s="8" t="n"/>
      <c r="F1234" s="9" t="n"/>
      <c r="G1234" s="9" t="n"/>
      <c r="H1234" s="3">
        <f>IF(AND(D1234&lt;&gt;"",F1234&lt;&gt;""),F1234-D1234-G1234,"")</f>
        <v/>
      </c>
      <c r="I1234" s="14">
        <f>IF(E1234&lt;&gt;"", YEARFRAC(C1234, E1234) * 12, "")</f>
        <v/>
      </c>
      <c r="J1234" s="2">
        <f>IF(I1234="", "", IF(AND(A1234="MF (Equity)", I1234&gt;12), "Long Term", "Short Term"))</f>
        <v/>
      </c>
      <c r="K1234" s="5">
        <f>IF(J1234="", "", IF(J1234="Long Term", 12.5%, 20%))</f>
        <v/>
      </c>
      <c r="L1234" s="3">
        <f>+IFERROR(IF(J1234="","",H1234*K1234),"")</f>
        <v/>
      </c>
    </row>
    <row r="1235">
      <c r="A1235" s="11" t="n"/>
      <c r="B1235" s="7" t="n"/>
      <c r="C1235" s="8" t="n"/>
      <c r="D1235" s="9" t="n"/>
      <c r="E1235" s="8" t="n"/>
      <c r="F1235" s="9" t="n"/>
      <c r="G1235" s="9" t="n"/>
      <c r="H1235" s="3">
        <f>IF(AND(D1235&lt;&gt;"",F1235&lt;&gt;""),F1235-D1235-G1235,"")</f>
        <v/>
      </c>
      <c r="I1235" s="14">
        <f>IF(E1235&lt;&gt;"", YEARFRAC(C1235, E1235) * 12, "")</f>
        <v/>
      </c>
      <c r="J1235" s="2">
        <f>IF(I1235="", "", IF(AND(A1235="MF (Equity)", I1235&gt;12), "Long Term", "Short Term"))</f>
        <v/>
      </c>
      <c r="K1235" s="5">
        <f>IF(J1235="", "", IF(J1235="Long Term", 12.5%, 20%))</f>
        <v/>
      </c>
      <c r="L1235" s="3">
        <f>+IFERROR(IF(J1235="","",H1235*K1235),"")</f>
        <v/>
      </c>
    </row>
    <row r="1236">
      <c r="A1236" s="11" t="n"/>
      <c r="B1236" s="7" t="n"/>
      <c r="C1236" s="8" t="n"/>
      <c r="D1236" s="9" t="n"/>
      <c r="E1236" s="8" t="n"/>
      <c r="F1236" s="9" t="n"/>
      <c r="G1236" s="9" t="n"/>
      <c r="H1236" s="3">
        <f>IF(AND(D1236&lt;&gt;"",F1236&lt;&gt;""),F1236-D1236-G1236,"")</f>
        <v/>
      </c>
      <c r="I1236" s="14">
        <f>IF(E1236&lt;&gt;"", YEARFRAC(C1236, E1236) * 12, "")</f>
        <v/>
      </c>
      <c r="J1236" s="2">
        <f>IF(I1236="", "", IF(AND(A1236="MF (Equity)", I1236&gt;12), "Long Term", "Short Term"))</f>
        <v/>
      </c>
      <c r="K1236" s="5">
        <f>IF(J1236="", "", IF(J1236="Long Term", 12.5%, 20%))</f>
        <v/>
      </c>
      <c r="L1236" s="3">
        <f>+IFERROR(IF(J1236="","",H1236*K1236),"")</f>
        <v/>
      </c>
    </row>
    <row r="1237">
      <c r="A1237" s="11" t="n"/>
      <c r="B1237" s="7" t="n"/>
      <c r="C1237" s="8" t="n"/>
      <c r="D1237" s="9" t="n"/>
      <c r="E1237" s="8" t="n"/>
      <c r="F1237" s="9" t="n"/>
      <c r="G1237" s="9" t="n"/>
      <c r="H1237" s="3">
        <f>IF(AND(D1237&lt;&gt;"",F1237&lt;&gt;""),F1237-D1237-G1237,"")</f>
        <v/>
      </c>
      <c r="I1237" s="14">
        <f>IF(E1237&lt;&gt;"", YEARFRAC(C1237, E1237) * 12, "")</f>
        <v/>
      </c>
      <c r="J1237" s="2">
        <f>IF(I1237="", "", IF(AND(A1237="MF (Equity)", I1237&gt;12), "Long Term", "Short Term"))</f>
        <v/>
      </c>
      <c r="K1237" s="5">
        <f>IF(J1237="", "", IF(J1237="Long Term", 12.5%, 20%))</f>
        <v/>
      </c>
      <c r="L1237" s="3">
        <f>+IFERROR(IF(J1237="","",H1237*K1237),"")</f>
        <v/>
      </c>
    </row>
    <row r="1238">
      <c r="A1238" s="11" t="n"/>
      <c r="B1238" s="7" t="n"/>
      <c r="C1238" s="8" t="n"/>
      <c r="D1238" s="9" t="n"/>
      <c r="E1238" s="8" t="n"/>
      <c r="F1238" s="9" t="n"/>
      <c r="G1238" s="9" t="n"/>
      <c r="H1238" s="3">
        <f>IF(AND(D1238&lt;&gt;"",F1238&lt;&gt;""),F1238-D1238-G1238,"")</f>
        <v/>
      </c>
      <c r="I1238" s="14">
        <f>IF(E1238&lt;&gt;"", YEARFRAC(C1238, E1238) * 12, "")</f>
        <v/>
      </c>
      <c r="J1238" s="2">
        <f>IF(I1238="", "", IF(AND(A1238="MF (Equity)", I1238&gt;12), "Long Term", "Short Term"))</f>
        <v/>
      </c>
      <c r="K1238" s="5">
        <f>IF(J1238="", "", IF(J1238="Long Term", 12.5%, 20%))</f>
        <v/>
      </c>
      <c r="L1238" s="3">
        <f>+IFERROR(IF(J1238="","",H1238*K1238),"")</f>
        <v/>
      </c>
    </row>
    <row r="1239">
      <c r="A1239" s="11" t="n"/>
      <c r="B1239" s="7" t="n"/>
      <c r="C1239" s="8" t="n"/>
      <c r="D1239" s="9" t="n"/>
      <c r="E1239" s="8" t="n"/>
      <c r="F1239" s="9" t="n"/>
      <c r="G1239" s="9" t="n"/>
      <c r="H1239" s="3">
        <f>IF(AND(D1239&lt;&gt;"",F1239&lt;&gt;""),F1239-D1239-G1239,"")</f>
        <v/>
      </c>
      <c r="I1239" s="14">
        <f>IF(E1239&lt;&gt;"", YEARFRAC(C1239, E1239) * 12, "")</f>
        <v/>
      </c>
      <c r="J1239" s="2">
        <f>IF(I1239="", "", IF(AND(A1239="MF (Equity)", I1239&gt;12), "Long Term", "Short Term"))</f>
        <v/>
      </c>
      <c r="K1239" s="5">
        <f>IF(J1239="", "", IF(J1239="Long Term", 12.5%, 20%))</f>
        <v/>
      </c>
      <c r="L1239" s="3">
        <f>+IFERROR(IF(J1239="","",H1239*K1239),"")</f>
        <v/>
      </c>
    </row>
    <row r="1240">
      <c r="A1240" s="11" t="n"/>
      <c r="B1240" s="7" t="n"/>
      <c r="C1240" s="8" t="n"/>
      <c r="D1240" s="9" t="n"/>
      <c r="E1240" s="8" t="n"/>
      <c r="F1240" s="9" t="n"/>
      <c r="G1240" s="9" t="n"/>
      <c r="H1240" s="3">
        <f>IF(AND(D1240&lt;&gt;"",F1240&lt;&gt;""),F1240-D1240-G1240,"")</f>
        <v/>
      </c>
      <c r="I1240" s="14">
        <f>IF(E1240&lt;&gt;"", YEARFRAC(C1240, E1240) * 12, "")</f>
        <v/>
      </c>
      <c r="J1240" s="2">
        <f>IF(I1240="", "", IF(AND(A1240="MF (Equity)", I1240&gt;12), "Long Term", "Short Term"))</f>
        <v/>
      </c>
      <c r="K1240" s="5">
        <f>IF(J1240="", "", IF(J1240="Long Term", 12.5%, 20%))</f>
        <v/>
      </c>
      <c r="L1240" s="3">
        <f>+IFERROR(IF(J1240="","",H1240*K1240),"")</f>
        <v/>
      </c>
    </row>
    <row r="1241">
      <c r="A1241" s="11" t="n"/>
      <c r="B1241" s="7" t="n"/>
      <c r="C1241" s="8" t="n"/>
      <c r="D1241" s="9" t="n"/>
      <c r="E1241" s="8" t="n"/>
      <c r="F1241" s="9" t="n"/>
      <c r="G1241" s="9" t="n"/>
      <c r="H1241" s="3">
        <f>IF(AND(D1241&lt;&gt;"",F1241&lt;&gt;""),F1241-D1241-G1241,"")</f>
        <v/>
      </c>
      <c r="I1241" s="14">
        <f>IF(E1241&lt;&gt;"", YEARFRAC(C1241, E1241) * 12, "")</f>
        <v/>
      </c>
      <c r="J1241" s="2">
        <f>IF(I1241="", "", IF(AND(A1241="MF (Equity)", I1241&gt;12), "Long Term", "Short Term"))</f>
        <v/>
      </c>
      <c r="K1241" s="5">
        <f>IF(J1241="", "", IF(J1241="Long Term", 12.5%, 20%))</f>
        <v/>
      </c>
      <c r="L1241" s="3">
        <f>+IFERROR(IF(J1241="","",H1241*K1241),"")</f>
        <v/>
      </c>
    </row>
    <row r="1242">
      <c r="A1242" s="11" t="n"/>
      <c r="B1242" s="7" t="n"/>
      <c r="C1242" s="8" t="n"/>
      <c r="D1242" s="9" t="n"/>
      <c r="E1242" s="8" t="n"/>
      <c r="F1242" s="9" t="n"/>
      <c r="G1242" s="9" t="n"/>
      <c r="H1242" s="3">
        <f>IF(AND(D1242&lt;&gt;"",F1242&lt;&gt;""),F1242-D1242-G1242,"")</f>
        <v/>
      </c>
      <c r="I1242" s="14">
        <f>IF(E1242&lt;&gt;"", YEARFRAC(C1242, E1242) * 12, "")</f>
        <v/>
      </c>
      <c r="J1242" s="2">
        <f>IF(I1242="", "", IF(AND(A1242="MF (Equity)", I1242&gt;12), "Long Term", "Short Term"))</f>
        <v/>
      </c>
      <c r="K1242" s="5">
        <f>IF(J1242="", "", IF(J1242="Long Term", 12.5%, 20%))</f>
        <v/>
      </c>
      <c r="L1242" s="3">
        <f>+IFERROR(IF(J1242="","",H1242*K1242),"")</f>
        <v/>
      </c>
    </row>
    <row r="1243">
      <c r="A1243" s="11" t="n"/>
      <c r="B1243" s="7" t="n"/>
      <c r="C1243" s="8" t="n"/>
      <c r="D1243" s="9" t="n"/>
      <c r="E1243" s="8" t="n"/>
      <c r="F1243" s="9" t="n"/>
      <c r="G1243" s="9" t="n"/>
      <c r="H1243" s="3">
        <f>IF(AND(D1243&lt;&gt;"",F1243&lt;&gt;""),F1243-D1243-G1243,"")</f>
        <v/>
      </c>
      <c r="I1243" s="14">
        <f>IF(E1243&lt;&gt;"", YEARFRAC(C1243, E1243) * 12, "")</f>
        <v/>
      </c>
      <c r="J1243" s="2">
        <f>IF(I1243="", "", IF(AND(A1243="MF (Equity)", I1243&gt;12), "Long Term", "Short Term"))</f>
        <v/>
      </c>
      <c r="K1243" s="5">
        <f>IF(J1243="", "", IF(J1243="Long Term", 12.5%, 20%))</f>
        <v/>
      </c>
      <c r="L1243" s="3">
        <f>+IFERROR(IF(J1243="","",H1243*K1243),"")</f>
        <v/>
      </c>
    </row>
    <row r="1244">
      <c r="A1244" s="11" t="n"/>
      <c r="B1244" s="7" t="n"/>
      <c r="C1244" s="8" t="n"/>
      <c r="D1244" s="9" t="n"/>
      <c r="E1244" s="8" t="n"/>
      <c r="F1244" s="9" t="n"/>
      <c r="G1244" s="9" t="n"/>
      <c r="H1244" s="3">
        <f>IF(AND(D1244&lt;&gt;"",F1244&lt;&gt;""),F1244-D1244-G1244,"")</f>
        <v/>
      </c>
      <c r="I1244" s="14">
        <f>IF(E1244&lt;&gt;"", YEARFRAC(C1244, E1244) * 12, "")</f>
        <v/>
      </c>
      <c r="J1244" s="2">
        <f>IF(I1244="", "", IF(AND(A1244="MF (Equity)", I1244&gt;12), "Long Term", "Short Term"))</f>
        <v/>
      </c>
      <c r="K1244" s="5">
        <f>IF(J1244="", "", IF(J1244="Long Term", 12.5%, 20%))</f>
        <v/>
      </c>
      <c r="L1244" s="3">
        <f>+IFERROR(IF(J1244="","",H1244*K1244),"")</f>
        <v/>
      </c>
    </row>
    <row r="1245">
      <c r="A1245" s="11" t="n"/>
      <c r="B1245" s="7" t="n"/>
      <c r="C1245" s="8" t="n"/>
      <c r="D1245" s="9" t="n"/>
      <c r="E1245" s="8" t="n"/>
      <c r="F1245" s="9" t="n"/>
      <c r="G1245" s="9" t="n"/>
      <c r="H1245" s="3">
        <f>IF(AND(D1245&lt;&gt;"",F1245&lt;&gt;""),F1245-D1245-G1245,"")</f>
        <v/>
      </c>
      <c r="I1245" s="14">
        <f>IF(E1245&lt;&gt;"", YEARFRAC(C1245, E1245) * 12, "")</f>
        <v/>
      </c>
      <c r="J1245" s="2">
        <f>IF(I1245="", "", IF(AND(A1245="MF (Equity)", I1245&gt;12), "Long Term", "Short Term"))</f>
        <v/>
      </c>
      <c r="K1245" s="5">
        <f>IF(J1245="", "", IF(J1245="Long Term", 12.5%, 20%))</f>
        <v/>
      </c>
      <c r="L1245" s="3">
        <f>+IFERROR(IF(J1245="","",H1245*K1245),"")</f>
        <v/>
      </c>
    </row>
    <row r="1246">
      <c r="A1246" s="11" t="n"/>
      <c r="B1246" s="7" t="n"/>
      <c r="C1246" s="8" t="n"/>
      <c r="D1246" s="9" t="n"/>
      <c r="E1246" s="8" t="n"/>
      <c r="F1246" s="9" t="n"/>
      <c r="G1246" s="9" t="n"/>
      <c r="H1246" s="3">
        <f>IF(AND(D1246&lt;&gt;"",F1246&lt;&gt;""),F1246-D1246-G1246,"")</f>
        <v/>
      </c>
      <c r="I1246" s="14">
        <f>IF(E1246&lt;&gt;"", YEARFRAC(C1246, E1246) * 12, "")</f>
        <v/>
      </c>
      <c r="J1246" s="2">
        <f>IF(I1246="", "", IF(AND(A1246="MF (Equity)", I1246&gt;12), "Long Term", "Short Term"))</f>
        <v/>
      </c>
      <c r="K1246" s="5">
        <f>IF(J1246="", "", IF(J1246="Long Term", 12.5%, 20%))</f>
        <v/>
      </c>
      <c r="L1246" s="3">
        <f>+IFERROR(IF(J1246="","",H1246*K1246),"")</f>
        <v/>
      </c>
    </row>
    <row r="1247">
      <c r="A1247" s="11" t="n"/>
      <c r="B1247" s="7" t="n"/>
      <c r="C1247" s="8" t="n"/>
      <c r="D1247" s="9" t="n"/>
      <c r="E1247" s="8" t="n"/>
      <c r="F1247" s="9" t="n"/>
      <c r="G1247" s="9" t="n"/>
      <c r="H1247" s="3">
        <f>IF(AND(D1247&lt;&gt;"",F1247&lt;&gt;""),F1247-D1247-G1247,"")</f>
        <v/>
      </c>
      <c r="I1247" s="14">
        <f>IF(E1247&lt;&gt;"", YEARFRAC(C1247, E1247) * 12, "")</f>
        <v/>
      </c>
      <c r="J1247" s="2">
        <f>IF(I1247="", "", IF(AND(A1247="MF (Equity)", I1247&gt;12), "Long Term", "Short Term"))</f>
        <v/>
      </c>
      <c r="K1247" s="5">
        <f>IF(J1247="", "", IF(J1247="Long Term", 12.5%, 20%))</f>
        <v/>
      </c>
      <c r="L1247" s="3">
        <f>+IFERROR(IF(J1247="","",H1247*K1247),"")</f>
        <v/>
      </c>
    </row>
    <row r="1248">
      <c r="A1248" s="11" t="n"/>
      <c r="B1248" s="7" t="n"/>
      <c r="C1248" s="8" t="n"/>
      <c r="D1248" s="9" t="n"/>
      <c r="E1248" s="8" t="n"/>
      <c r="F1248" s="9" t="n"/>
      <c r="G1248" s="9" t="n"/>
      <c r="H1248" s="3">
        <f>IF(AND(D1248&lt;&gt;"",F1248&lt;&gt;""),F1248-D1248-G1248,"")</f>
        <v/>
      </c>
      <c r="I1248" s="14">
        <f>IF(E1248&lt;&gt;"", YEARFRAC(C1248, E1248) * 12, "")</f>
        <v/>
      </c>
      <c r="J1248" s="2">
        <f>IF(I1248="", "", IF(AND(A1248="MF (Equity)", I1248&gt;12), "Long Term", "Short Term"))</f>
        <v/>
      </c>
      <c r="K1248" s="5">
        <f>IF(J1248="", "", IF(J1248="Long Term", 12.5%, 20%))</f>
        <v/>
      </c>
      <c r="L1248" s="3">
        <f>+IFERROR(IF(J1248="","",H1248*K1248),"")</f>
        <v/>
      </c>
    </row>
    <row r="1249">
      <c r="A1249" s="11" t="n"/>
      <c r="B1249" s="7" t="n"/>
      <c r="C1249" s="8" t="n"/>
      <c r="D1249" s="9" t="n"/>
      <c r="E1249" s="8" t="n"/>
      <c r="F1249" s="9" t="n"/>
      <c r="G1249" s="9" t="n"/>
      <c r="H1249" s="3">
        <f>IF(AND(D1249&lt;&gt;"",F1249&lt;&gt;""),F1249-D1249-G1249,"")</f>
        <v/>
      </c>
      <c r="I1249" s="14">
        <f>IF(E1249&lt;&gt;"", YEARFRAC(C1249, E1249) * 12, "")</f>
        <v/>
      </c>
      <c r="J1249" s="2">
        <f>IF(I1249="", "", IF(AND(A1249="MF (Equity)", I1249&gt;12), "Long Term", "Short Term"))</f>
        <v/>
      </c>
      <c r="K1249" s="5">
        <f>IF(J1249="", "", IF(J1249="Long Term", 12.5%, 20%))</f>
        <v/>
      </c>
      <c r="L1249" s="3">
        <f>+IFERROR(IF(J1249="","",H1249*K1249),"")</f>
        <v/>
      </c>
    </row>
    <row r="1250">
      <c r="A1250" s="11" t="n"/>
      <c r="B1250" s="7" t="n"/>
      <c r="C1250" s="8" t="n"/>
      <c r="D1250" s="9" t="n"/>
      <c r="E1250" s="8" t="n"/>
      <c r="F1250" s="9" t="n"/>
      <c r="G1250" s="9" t="n"/>
      <c r="H1250" s="3">
        <f>IF(AND(D1250&lt;&gt;"",F1250&lt;&gt;""),F1250-D1250-G1250,"")</f>
        <v/>
      </c>
      <c r="I1250" s="14">
        <f>IF(E1250&lt;&gt;"", YEARFRAC(C1250, E1250) * 12, "")</f>
        <v/>
      </c>
      <c r="J1250" s="2">
        <f>IF(I1250="", "", IF(AND(A1250="MF (Equity)", I1250&gt;12), "Long Term", "Short Term"))</f>
        <v/>
      </c>
      <c r="K1250" s="5">
        <f>IF(J1250="", "", IF(J1250="Long Term", 12.5%, 20%))</f>
        <v/>
      </c>
      <c r="L1250" s="3">
        <f>+IFERROR(IF(J1250="","",H1250*K1250),"")</f>
        <v/>
      </c>
    </row>
    <row r="1251">
      <c r="A1251" s="11" t="n"/>
      <c r="B1251" s="7" t="n"/>
      <c r="C1251" s="8" t="n"/>
      <c r="D1251" s="9" t="n"/>
      <c r="E1251" s="8" t="n"/>
      <c r="F1251" s="9" t="n"/>
      <c r="G1251" s="9" t="n"/>
      <c r="H1251" s="3">
        <f>IF(AND(D1251&lt;&gt;"",F1251&lt;&gt;""),F1251-D1251-G1251,"")</f>
        <v/>
      </c>
      <c r="I1251" s="14">
        <f>IF(E1251&lt;&gt;"", YEARFRAC(C1251, E1251) * 12, "")</f>
        <v/>
      </c>
      <c r="J1251" s="2">
        <f>IF(I1251="", "", IF(AND(A1251="MF (Equity)", I1251&gt;12), "Long Term", "Short Term"))</f>
        <v/>
      </c>
      <c r="K1251" s="5">
        <f>IF(J1251="", "", IF(J1251="Long Term", 12.5%, 20%))</f>
        <v/>
      </c>
      <c r="L1251" s="3">
        <f>+IFERROR(IF(J1251="","",H1251*K1251),"")</f>
        <v/>
      </c>
    </row>
    <row r="1252">
      <c r="A1252" s="11" t="n"/>
      <c r="B1252" s="7" t="n"/>
      <c r="C1252" s="8" t="n"/>
      <c r="D1252" s="9" t="n"/>
      <c r="E1252" s="8" t="n"/>
      <c r="F1252" s="9" t="n"/>
      <c r="G1252" s="9" t="n"/>
      <c r="H1252" s="3">
        <f>IF(AND(D1252&lt;&gt;"",F1252&lt;&gt;""),F1252-D1252-G1252,"")</f>
        <v/>
      </c>
      <c r="I1252" s="14">
        <f>IF(E1252&lt;&gt;"", YEARFRAC(C1252, E1252) * 12, "")</f>
        <v/>
      </c>
      <c r="J1252" s="2">
        <f>IF(I1252="", "", IF(AND(A1252="MF (Equity)", I1252&gt;12), "Long Term", "Short Term"))</f>
        <v/>
      </c>
      <c r="K1252" s="5">
        <f>IF(J1252="", "", IF(J1252="Long Term", 12.5%, 20%))</f>
        <v/>
      </c>
      <c r="L1252" s="3">
        <f>+IFERROR(IF(J1252="","",H1252*K1252),"")</f>
        <v/>
      </c>
    </row>
    <row r="1253">
      <c r="A1253" s="11" t="n"/>
      <c r="B1253" s="7" t="n"/>
      <c r="C1253" s="8" t="n"/>
      <c r="D1253" s="9" t="n"/>
      <c r="E1253" s="8" t="n"/>
      <c r="F1253" s="9" t="n"/>
      <c r="G1253" s="9" t="n"/>
      <c r="H1253" s="3">
        <f>IF(AND(D1253&lt;&gt;"",F1253&lt;&gt;""),F1253-D1253-G1253,"")</f>
        <v/>
      </c>
      <c r="I1253" s="14">
        <f>IF(E1253&lt;&gt;"", YEARFRAC(C1253, E1253) * 12, "")</f>
        <v/>
      </c>
      <c r="J1253" s="2">
        <f>IF(I1253="", "", IF(AND(A1253="MF (Equity)", I1253&gt;12), "Long Term", "Short Term"))</f>
        <v/>
      </c>
      <c r="K1253" s="5">
        <f>IF(J1253="", "", IF(J1253="Long Term", 12.5%, 20%))</f>
        <v/>
      </c>
      <c r="L1253" s="3">
        <f>+IFERROR(IF(J1253="","",H1253*K1253),"")</f>
        <v/>
      </c>
    </row>
    <row r="1254">
      <c r="A1254" s="11" t="n"/>
      <c r="B1254" s="7" t="n"/>
      <c r="C1254" s="8" t="n"/>
      <c r="D1254" s="9" t="n"/>
      <c r="E1254" s="8" t="n"/>
      <c r="F1254" s="9" t="n"/>
      <c r="G1254" s="9" t="n"/>
      <c r="H1254" s="3">
        <f>IF(AND(D1254&lt;&gt;"",F1254&lt;&gt;""),F1254-D1254-G1254,"")</f>
        <v/>
      </c>
      <c r="I1254" s="14">
        <f>IF(E1254&lt;&gt;"", YEARFRAC(C1254, E1254) * 12, "")</f>
        <v/>
      </c>
      <c r="J1254" s="2">
        <f>IF(I1254="", "", IF(AND(A1254="MF (Equity)", I1254&gt;12), "Long Term", "Short Term"))</f>
        <v/>
      </c>
      <c r="K1254" s="5">
        <f>IF(J1254="", "", IF(J1254="Long Term", 12.5%, 20%))</f>
        <v/>
      </c>
      <c r="L1254" s="3">
        <f>+IFERROR(IF(J1254="","",H1254*K1254),"")</f>
        <v/>
      </c>
    </row>
    <row r="1255">
      <c r="A1255" s="11" t="n"/>
      <c r="B1255" s="7" t="n"/>
      <c r="C1255" s="8" t="n"/>
      <c r="D1255" s="9" t="n"/>
      <c r="E1255" s="8" t="n"/>
      <c r="F1255" s="9" t="n"/>
      <c r="G1255" s="9" t="n"/>
      <c r="H1255" s="3">
        <f>IF(AND(D1255&lt;&gt;"",F1255&lt;&gt;""),F1255-D1255-G1255,"")</f>
        <v/>
      </c>
      <c r="I1255" s="14">
        <f>IF(E1255&lt;&gt;"", YEARFRAC(C1255, E1255) * 12, "")</f>
        <v/>
      </c>
      <c r="J1255" s="2">
        <f>IF(I1255="", "", IF(AND(A1255="MF (Equity)", I1255&gt;12), "Long Term", "Short Term"))</f>
        <v/>
      </c>
      <c r="K1255" s="5">
        <f>IF(J1255="", "", IF(J1255="Long Term", 12.5%, 20%))</f>
        <v/>
      </c>
      <c r="L1255" s="3">
        <f>+IFERROR(IF(J1255="","",H1255*K1255),"")</f>
        <v/>
      </c>
    </row>
    <row r="1256">
      <c r="A1256" s="11" t="n"/>
      <c r="B1256" s="7" t="n"/>
      <c r="C1256" s="8" t="n"/>
      <c r="D1256" s="9" t="n"/>
      <c r="E1256" s="8" t="n"/>
      <c r="F1256" s="9" t="n"/>
      <c r="G1256" s="9" t="n"/>
      <c r="H1256" s="3">
        <f>IF(AND(D1256&lt;&gt;"",F1256&lt;&gt;""),F1256-D1256-G1256,"")</f>
        <v/>
      </c>
      <c r="I1256" s="14">
        <f>IF(E1256&lt;&gt;"", YEARFRAC(C1256, E1256) * 12, "")</f>
        <v/>
      </c>
      <c r="J1256" s="2">
        <f>IF(I1256="", "", IF(AND(A1256="MF (Equity)", I1256&gt;12), "Long Term", "Short Term"))</f>
        <v/>
      </c>
      <c r="K1256" s="5">
        <f>IF(J1256="", "", IF(J1256="Long Term", 12.5%, 20%))</f>
        <v/>
      </c>
      <c r="L1256" s="3">
        <f>+IFERROR(IF(J1256="","",H1256*K1256),"")</f>
        <v/>
      </c>
    </row>
    <row r="1257">
      <c r="A1257" s="11" t="n"/>
      <c r="B1257" s="7" t="n"/>
      <c r="C1257" s="8" t="n"/>
      <c r="D1257" s="9" t="n"/>
      <c r="E1257" s="8" t="n"/>
      <c r="F1257" s="9" t="n"/>
      <c r="G1257" s="9" t="n"/>
      <c r="H1257" s="3">
        <f>IF(AND(D1257&lt;&gt;"",F1257&lt;&gt;""),F1257-D1257-G1257,"")</f>
        <v/>
      </c>
      <c r="I1257" s="14">
        <f>IF(E1257&lt;&gt;"", YEARFRAC(C1257, E1257) * 12, "")</f>
        <v/>
      </c>
      <c r="J1257" s="2">
        <f>IF(I1257="", "", IF(AND(A1257="MF (Equity)", I1257&gt;12), "Long Term", "Short Term"))</f>
        <v/>
      </c>
      <c r="K1257" s="5">
        <f>IF(J1257="", "", IF(J1257="Long Term", 12.5%, 20%))</f>
        <v/>
      </c>
      <c r="L1257" s="3">
        <f>+IFERROR(IF(J1257="","",H1257*K1257),"")</f>
        <v/>
      </c>
    </row>
    <row r="1258">
      <c r="A1258" s="11" t="n"/>
      <c r="B1258" s="7" t="n"/>
      <c r="C1258" s="8" t="n"/>
      <c r="D1258" s="9" t="n"/>
      <c r="E1258" s="8" t="n"/>
      <c r="F1258" s="9" t="n"/>
      <c r="G1258" s="9" t="n"/>
      <c r="H1258" s="3">
        <f>IF(AND(D1258&lt;&gt;"",F1258&lt;&gt;""),F1258-D1258-G1258,"")</f>
        <v/>
      </c>
      <c r="I1258" s="14">
        <f>IF(E1258&lt;&gt;"", YEARFRAC(C1258, E1258) * 12, "")</f>
        <v/>
      </c>
      <c r="J1258" s="2">
        <f>IF(I1258="", "", IF(AND(A1258="MF (Equity)", I1258&gt;12), "Long Term", "Short Term"))</f>
        <v/>
      </c>
      <c r="K1258" s="5">
        <f>IF(J1258="", "", IF(J1258="Long Term", 12.5%, 20%))</f>
        <v/>
      </c>
      <c r="L1258" s="3">
        <f>+IFERROR(IF(J1258="","",H1258*K1258),"")</f>
        <v/>
      </c>
    </row>
    <row r="1259">
      <c r="A1259" s="11" t="n"/>
      <c r="B1259" s="7" t="n"/>
      <c r="C1259" s="8" t="n"/>
      <c r="D1259" s="9" t="n"/>
      <c r="E1259" s="8" t="n"/>
      <c r="F1259" s="9" t="n"/>
      <c r="G1259" s="9" t="n"/>
      <c r="H1259" s="3">
        <f>IF(AND(D1259&lt;&gt;"",F1259&lt;&gt;""),F1259-D1259-G1259,"")</f>
        <v/>
      </c>
      <c r="I1259" s="14">
        <f>IF(E1259&lt;&gt;"", YEARFRAC(C1259, E1259) * 12, "")</f>
        <v/>
      </c>
      <c r="J1259" s="2">
        <f>IF(I1259="", "", IF(AND(A1259="MF (Equity)", I1259&gt;12), "Long Term", "Short Term"))</f>
        <v/>
      </c>
      <c r="K1259" s="5">
        <f>IF(J1259="", "", IF(J1259="Long Term", 12.5%, 20%))</f>
        <v/>
      </c>
      <c r="L1259" s="3">
        <f>+IFERROR(IF(J1259="","",H1259*K1259),"")</f>
        <v/>
      </c>
    </row>
    <row r="1260">
      <c r="A1260" s="11" t="n"/>
      <c r="B1260" s="7" t="n"/>
      <c r="C1260" s="8" t="n"/>
      <c r="D1260" s="9" t="n"/>
      <c r="E1260" s="8" t="n"/>
      <c r="F1260" s="9" t="n"/>
      <c r="G1260" s="9" t="n"/>
      <c r="H1260" s="3">
        <f>IF(AND(D1260&lt;&gt;"",F1260&lt;&gt;""),F1260-D1260-G1260,"")</f>
        <v/>
      </c>
      <c r="I1260" s="14">
        <f>IF(E1260&lt;&gt;"", YEARFRAC(C1260, E1260) * 12, "")</f>
        <v/>
      </c>
      <c r="J1260" s="2">
        <f>IF(I1260="", "", IF(AND(A1260="MF (Equity)", I1260&gt;12), "Long Term", "Short Term"))</f>
        <v/>
      </c>
      <c r="K1260" s="5">
        <f>IF(J1260="", "", IF(J1260="Long Term", 12.5%, 20%))</f>
        <v/>
      </c>
      <c r="L1260" s="3">
        <f>+IFERROR(IF(J1260="","",H1260*K1260),"")</f>
        <v/>
      </c>
    </row>
    <row r="1261">
      <c r="A1261" s="11" t="n"/>
      <c r="B1261" s="7" t="n"/>
      <c r="C1261" s="8" t="n"/>
      <c r="D1261" s="9" t="n"/>
      <c r="E1261" s="8" t="n"/>
      <c r="F1261" s="9" t="n"/>
      <c r="G1261" s="9" t="n"/>
      <c r="H1261" s="3">
        <f>IF(AND(D1261&lt;&gt;"",F1261&lt;&gt;""),F1261-D1261-G1261,"")</f>
        <v/>
      </c>
      <c r="I1261" s="14">
        <f>IF(E1261&lt;&gt;"", YEARFRAC(C1261, E1261) * 12, "")</f>
        <v/>
      </c>
      <c r="J1261" s="2">
        <f>IF(I1261="", "", IF(AND(A1261="MF (Equity)", I1261&gt;12), "Long Term", "Short Term"))</f>
        <v/>
      </c>
      <c r="K1261" s="5">
        <f>IF(J1261="", "", IF(J1261="Long Term", 12.5%, 20%))</f>
        <v/>
      </c>
      <c r="L1261" s="3">
        <f>+IFERROR(IF(J1261="","",H1261*K1261),"")</f>
        <v/>
      </c>
    </row>
    <row r="1262">
      <c r="A1262" s="11" t="n"/>
      <c r="B1262" s="7" t="n"/>
      <c r="C1262" s="8" t="n"/>
      <c r="D1262" s="9" t="n"/>
      <c r="E1262" s="8" t="n"/>
      <c r="F1262" s="9" t="n"/>
      <c r="G1262" s="9" t="n"/>
      <c r="H1262" s="3">
        <f>IF(AND(D1262&lt;&gt;"",F1262&lt;&gt;""),F1262-D1262-G1262,"")</f>
        <v/>
      </c>
      <c r="I1262" s="14">
        <f>IF(E1262&lt;&gt;"", YEARFRAC(C1262, E1262) * 12, "")</f>
        <v/>
      </c>
      <c r="J1262" s="2">
        <f>IF(I1262="", "", IF(AND(A1262="MF (Equity)", I1262&gt;12), "Long Term", "Short Term"))</f>
        <v/>
      </c>
      <c r="K1262" s="5">
        <f>IF(J1262="", "", IF(J1262="Long Term", 12.5%, 20%))</f>
        <v/>
      </c>
      <c r="L1262" s="3">
        <f>+IFERROR(IF(J1262="","",H1262*K1262),"")</f>
        <v/>
      </c>
    </row>
    <row r="1263">
      <c r="A1263" s="11" t="n"/>
      <c r="B1263" s="7" t="n"/>
      <c r="C1263" s="8" t="n"/>
      <c r="D1263" s="9" t="n"/>
      <c r="E1263" s="8" t="n"/>
      <c r="F1263" s="9" t="n"/>
      <c r="G1263" s="9" t="n"/>
      <c r="H1263" s="3">
        <f>IF(AND(D1263&lt;&gt;"",F1263&lt;&gt;""),F1263-D1263-G1263,"")</f>
        <v/>
      </c>
      <c r="I1263" s="14">
        <f>IF(E1263&lt;&gt;"", YEARFRAC(C1263, E1263) * 12, "")</f>
        <v/>
      </c>
      <c r="J1263" s="2">
        <f>IF(I1263="", "", IF(AND(A1263="MF (Equity)", I1263&gt;12), "Long Term", "Short Term"))</f>
        <v/>
      </c>
      <c r="K1263" s="5">
        <f>IF(J1263="", "", IF(J1263="Long Term", 12.5%, 20%))</f>
        <v/>
      </c>
      <c r="L1263" s="3">
        <f>+IFERROR(IF(J1263="","",H1263*K1263),"")</f>
        <v/>
      </c>
    </row>
    <row r="1264">
      <c r="A1264" s="11" t="n"/>
      <c r="B1264" s="7" t="n"/>
      <c r="C1264" s="8" t="n"/>
      <c r="D1264" s="9" t="n"/>
      <c r="E1264" s="8" t="n"/>
      <c r="F1264" s="9" t="n"/>
      <c r="G1264" s="9" t="n"/>
      <c r="H1264" s="3">
        <f>IF(AND(D1264&lt;&gt;"",F1264&lt;&gt;""),F1264-D1264-G1264,"")</f>
        <v/>
      </c>
      <c r="I1264" s="14">
        <f>IF(E1264&lt;&gt;"", YEARFRAC(C1264, E1264) * 12, "")</f>
        <v/>
      </c>
      <c r="J1264" s="2">
        <f>IF(I1264="", "", IF(AND(A1264="MF (Equity)", I1264&gt;12), "Long Term", "Short Term"))</f>
        <v/>
      </c>
      <c r="K1264" s="5">
        <f>IF(J1264="", "", IF(J1264="Long Term", 12.5%, 20%))</f>
        <v/>
      </c>
      <c r="L1264" s="3">
        <f>+IFERROR(IF(J1264="","",H1264*K1264),"")</f>
        <v/>
      </c>
    </row>
    <row r="1265">
      <c r="A1265" s="11" t="n"/>
      <c r="B1265" s="7" t="n"/>
      <c r="C1265" s="8" t="n"/>
      <c r="D1265" s="9" t="n"/>
      <c r="E1265" s="8" t="n"/>
      <c r="F1265" s="9" t="n"/>
      <c r="G1265" s="9" t="n"/>
      <c r="H1265" s="3">
        <f>IF(AND(D1265&lt;&gt;"",F1265&lt;&gt;""),F1265-D1265-G1265,"")</f>
        <v/>
      </c>
      <c r="I1265" s="14">
        <f>IF(E1265&lt;&gt;"", YEARFRAC(C1265, E1265) * 12, "")</f>
        <v/>
      </c>
      <c r="J1265" s="2">
        <f>IF(I1265="", "", IF(AND(A1265="MF (Equity)", I1265&gt;12), "Long Term", "Short Term"))</f>
        <v/>
      </c>
      <c r="K1265" s="5">
        <f>IF(J1265="", "", IF(J1265="Long Term", 12.5%, 20%))</f>
        <v/>
      </c>
      <c r="L1265" s="3">
        <f>+IFERROR(IF(J1265="","",H1265*K1265),"")</f>
        <v/>
      </c>
    </row>
    <row r="1266">
      <c r="A1266" s="11" t="n"/>
      <c r="B1266" s="7" t="n"/>
      <c r="C1266" s="8" t="n"/>
      <c r="D1266" s="9" t="n"/>
      <c r="E1266" s="8" t="n"/>
      <c r="F1266" s="9" t="n"/>
      <c r="G1266" s="9" t="n"/>
      <c r="H1266" s="3">
        <f>IF(AND(D1266&lt;&gt;"",F1266&lt;&gt;""),F1266-D1266-G1266,"")</f>
        <v/>
      </c>
      <c r="I1266" s="14">
        <f>IF(E1266&lt;&gt;"", YEARFRAC(C1266, E1266) * 12, "")</f>
        <v/>
      </c>
      <c r="J1266" s="2">
        <f>IF(I1266="", "", IF(AND(A1266="MF (Equity)", I1266&gt;12), "Long Term", "Short Term"))</f>
        <v/>
      </c>
      <c r="K1266" s="5">
        <f>IF(J1266="", "", IF(J1266="Long Term", 12.5%, 20%))</f>
        <v/>
      </c>
      <c r="L1266" s="3">
        <f>+IFERROR(IF(J1266="","",H1266*K1266),"")</f>
        <v/>
      </c>
    </row>
    <row r="1267">
      <c r="A1267" s="11" t="n"/>
      <c r="B1267" s="7" t="n"/>
      <c r="C1267" s="8" t="n"/>
      <c r="D1267" s="9" t="n"/>
      <c r="E1267" s="8" t="n"/>
      <c r="F1267" s="9" t="n"/>
      <c r="G1267" s="9" t="n"/>
      <c r="H1267" s="3">
        <f>IF(AND(D1267&lt;&gt;"",F1267&lt;&gt;""),F1267-D1267-G1267,"")</f>
        <v/>
      </c>
      <c r="I1267" s="14">
        <f>IF(E1267&lt;&gt;"", YEARFRAC(C1267, E1267) * 12, "")</f>
        <v/>
      </c>
      <c r="J1267" s="2">
        <f>IF(I1267="", "", IF(AND(A1267="MF (Equity)", I1267&gt;12), "Long Term", "Short Term"))</f>
        <v/>
      </c>
      <c r="K1267" s="5">
        <f>IF(J1267="", "", IF(J1267="Long Term", 12.5%, 20%))</f>
        <v/>
      </c>
      <c r="L1267" s="3">
        <f>+IFERROR(IF(J1267="","",H1267*K1267),"")</f>
        <v/>
      </c>
    </row>
    <row r="1268">
      <c r="A1268" s="11" t="n"/>
      <c r="B1268" s="7" t="n"/>
      <c r="C1268" s="8" t="n"/>
      <c r="D1268" s="9" t="n"/>
      <c r="E1268" s="8" t="n"/>
      <c r="F1268" s="9" t="n"/>
      <c r="G1268" s="9" t="n"/>
      <c r="H1268" s="3">
        <f>IF(AND(D1268&lt;&gt;"",F1268&lt;&gt;""),F1268-D1268-G1268,"")</f>
        <v/>
      </c>
      <c r="I1268" s="14">
        <f>IF(E1268&lt;&gt;"", YEARFRAC(C1268, E1268) * 12, "")</f>
        <v/>
      </c>
      <c r="J1268" s="2">
        <f>IF(I1268="", "", IF(AND(A1268="MF (Equity)", I1268&gt;12), "Long Term", "Short Term"))</f>
        <v/>
      </c>
      <c r="K1268" s="5">
        <f>IF(J1268="", "", IF(J1268="Long Term", 12.5%, 20%))</f>
        <v/>
      </c>
      <c r="L1268" s="3">
        <f>+IFERROR(IF(J1268="","",H1268*K1268),"")</f>
        <v/>
      </c>
    </row>
    <row r="1269">
      <c r="A1269" s="11" t="n"/>
      <c r="B1269" s="7" t="n"/>
      <c r="C1269" s="8" t="n"/>
      <c r="D1269" s="9" t="n"/>
      <c r="E1269" s="8" t="n"/>
      <c r="F1269" s="9" t="n"/>
      <c r="G1269" s="9" t="n"/>
      <c r="H1269" s="3">
        <f>IF(AND(D1269&lt;&gt;"",F1269&lt;&gt;""),F1269-D1269-G1269,"")</f>
        <v/>
      </c>
      <c r="I1269" s="14">
        <f>IF(E1269&lt;&gt;"", YEARFRAC(C1269, E1269) * 12, "")</f>
        <v/>
      </c>
      <c r="J1269" s="2">
        <f>IF(I1269="", "", IF(AND(A1269="MF (Equity)", I1269&gt;12), "Long Term", "Short Term"))</f>
        <v/>
      </c>
      <c r="K1269" s="5">
        <f>IF(J1269="", "", IF(J1269="Long Term", 12.5%, 20%))</f>
        <v/>
      </c>
      <c r="L1269" s="3">
        <f>+IFERROR(IF(J1269="","",H1269*K1269),"")</f>
        <v/>
      </c>
    </row>
    <row r="1270">
      <c r="A1270" s="11" t="n"/>
      <c r="B1270" s="7" t="n"/>
      <c r="C1270" s="8" t="n"/>
      <c r="D1270" s="9" t="n"/>
      <c r="E1270" s="8" t="n"/>
      <c r="F1270" s="9" t="n"/>
      <c r="G1270" s="9" t="n"/>
      <c r="H1270" s="3">
        <f>IF(AND(D1270&lt;&gt;"",F1270&lt;&gt;""),F1270-D1270-G1270,"")</f>
        <v/>
      </c>
      <c r="I1270" s="14">
        <f>IF(E1270&lt;&gt;"", YEARFRAC(C1270, E1270) * 12, "")</f>
        <v/>
      </c>
      <c r="J1270" s="2">
        <f>IF(I1270="", "", IF(AND(A1270="MF (Equity)", I1270&gt;12), "Long Term", "Short Term"))</f>
        <v/>
      </c>
      <c r="K1270" s="5">
        <f>IF(J1270="", "", IF(J1270="Long Term", 12.5%, 20%))</f>
        <v/>
      </c>
      <c r="L1270" s="3">
        <f>+IFERROR(IF(J1270="","",H1270*K1270),"")</f>
        <v/>
      </c>
    </row>
    <row r="1271">
      <c r="A1271" s="11" t="n"/>
      <c r="B1271" s="7" t="n"/>
      <c r="C1271" s="8" t="n"/>
      <c r="D1271" s="9" t="n"/>
      <c r="E1271" s="8" t="n"/>
      <c r="F1271" s="9" t="n"/>
      <c r="G1271" s="9" t="n"/>
      <c r="H1271" s="3">
        <f>IF(AND(D1271&lt;&gt;"",F1271&lt;&gt;""),F1271-D1271-G1271,"")</f>
        <v/>
      </c>
      <c r="I1271" s="14">
        <f>IF(E1271&lt;&gt;"", YEARFRAC(C1271, E1271) * 12, "")</f>
        <v/>
      </c>
      <c r="J1271" s="2">
        <f>IF(I1271="", "", IF(AND(A1271="MF (Equity)", I1271&gt;12), "Long Term", "Short Term"))</f>
        <v/>
      </c>
      <c r="K1271" s="5">
        <f>IF(J1271="", "", IF(J1271="Long Term", 12.5%, 20%))</f>
        <v/>
      </c>
      <c r="L1271" s="3">
        <f>+IFERROR(IF(J1271="","",H1271*K1271),"")</f>
        <v/>
      </c>
    </row>
    <row r="1272">
      <c r="A1272" s="11" t="n"/>
      <c r="B1272" s="7" t="n"/>
      <c r="C1272" s="8" t="n"/>
      <c r="D1272" s="9" t="n"/>
      <c r="E1272" s="8" t="n"/>
      <c r="F1272" s="9" t="n"/>
      <c r="G1272" s="9" t="n"/>
      <c r="H1272" s="3">
        <f>IF(AND(D1272&lt;&gt;"",F1272&lt;&gt;""),F1272-D1272-G1272,"")</f>
        <v/>
      </c>
      <c r="I1272" s="14">
        <f>IF(E1272&lt;&gt;"", YEARFRAC(C1272, E1272) * 12, "")</f>
        <v/>
      </c>
      <c r="J1272" s="2">
        <f>IF(I1272="", "", IF(AND(A1272="MF (Equity)", I1272&gt;12), "Long Term", "Short Term"))</f>
        <v/>
      </c>
      <c r="K1272" s="5">
        <f>IF(J1272="", "", IF(J1272="Long Term", 12.5%, 20%))</f>
        <v/>
      </c>
      <c r="L1272" s="3">
        <f>+IFERROR(IF(J1272="","",H1272*K1272),"")</f>
        <v/>
      </c>
    </row>
    <row r="1273">
      <c r="A1273" s="11" t="n"/>
      <c r="B1273" s="7" t="n"/>
      <c r="C1273" s="8" t="n"/>
      <c r="D1273" s="9" t="n"/>
      <c r="E1273" s="8" t="n"/>
      <c r="F1273" s="9" t="n"/>
      <c r="G1273" s="9" t="n"/>
      <c r="H1273" s="3">
        <f>IF(AND(D1273&lt;&gt;"",F1273&lt;&gt;""),F1273-D1273-G1273,"")</f>
        <v/>
      </c>
      <c r="I1273" s="14">
        <f>IF(E1273&lt;&gt;"", YEARFRAC(C1273, E1273) * 12, "")</f>
        <v/>
      </c>
      <c r="J1273" s="2">
        <f>IF(I1273="", "", IF(AND(A1273="MF (Equity)", I1273&gt;12), "Long Term", "Short Term"))</f>
        <v/>
      </c>
      <c r="K1273" s="5">
        <f>IF(J1273="", "", IF(J1273="Long Term", 12.5%, 20%))</f>
        <v/>
      </c>
      <c r="L1273" s="3">
        <f>+IFERROR(IF(J1273="","",H1273*K1273),"")</f>
        <v/>
      </c>
    </row>
    <row r="1274">
      <c r="A1274" s="11" t="n"/>
      <c r="B1274" s="7" t="n"/>
      <c r="C1274" s="8" t="n"/>
      <c r="D1274" s="9" t="n"/>
      <c r="E1274" s="8" t="n"/>
      <c r="F1274" s="9" t="n"/>
      <c r="G1274" s="9" t="n"/>
      <c r="H1274" s="3">
        <f>IF(AND(D1274&lt;&gt;"",F1274&lt;&gt;""),F1274-D1274-G1274,"")</f>
        <v/>
      </c>
      <c r="I1274" s="14">
        <f>IF(E1274&lt;&gt;"", YEARFRAC(C1274, E1274) * 12, "")</f>
        <v/>
      </c>
      <c r="J1274" s="2">
        <f>IF(I1274="", "", IF(AND(A1274="MF (Equity)", I1274&gt;12), "Long Term", "Short Term"))</f>
        <v/>
      </c>
      <c r="K1274" s="5">
        <f>IF(J1274="", "", IF(J1274="Long Term", 12.5%, 20%))</f>
        <v/>
      </c>
      <c r="L1274" s="3">
        <f>+IFERROR(IF(J1274="","",H1274*K1274),"")</f>
        <v/>
      </c>
    </row>
    <row r="1275">
      <c r="A1275" s="11" t="n"/>
      <c r="B1275" s="7" t="n"/>
      <c r="C1275" s="8" t="n"/>
      <c r="D1275" s="9" t="n"/>
      <c r="E1275" s="8" t="n"/>
      <c r="F1275" s="9" t="n"/>
      <c r="G1275" s="9" t="n"/>
      <c r="H1275" s="3">
        <f>IF(AND(D1275&lt;&gt;"",F1275&lt;&gt;""),F1275-D1275-G1275,"")</f>
        <v/>
      </c>
      <c r="I1275" s="14">
        <f>IF(E1275&lt;&gt;"", YEARFRAC(C1275, E1275) * 12, "")</f>
        <v/>
      </c>
      <c r="J1275" s="2">
        <f>IF(I1275="", "", IF(AND(A1275="MF (Equity)", I1275&gt;12), "Long Term", "Short Term"))</f>
        <v/>
      </c>
      <c r="K1275" s="5">
        <f>IF(J1275="", "", IF(J1275="Long Term", 12.5%, 20%))</f>
        <v/>
      </c>
      <c r="L1275" s="3">
        <f>+IFERROR(IF(J1275="","",H1275*K1275),"")</f>
        <v/>
      </c>
    </row>
    <row r="1276">
      <c r="A1276" s="11" t="n"/>
      <c r="B1276" s="7" t="n"/>
      <c r="C1276" s="8" t="n"/>
      <c r="D1276" s="9" t="n"/>
      <c r="E1276" s="8" t="n"/>
      <c r="F1276" s="9" t="n"/>
      <c r="G1276" s="9" t="n"/>
      <c r="H1276" s="3">
        <f>IF(AND(D1276&lt;&gt;"",F1276&lt;&gt;""),F1276-D1276-G1276,"")</f>
        <v/>
      </c>
      <c r="I1276" s="14">
        <f>IF(E1276&lt;&gt;"", YEARFRAC(C1276, E1276) * 12, "")</f>
        <v/>
      </c>
      <c r="J1276" s="2">
        <f>IF(I1276="", "", IF(AND(A1276="MF (Equity)", I1276&gt;12), "Long Term", "Short Term"))</f>
        <v/>
      </c>
      <c r="K1276" s="5">
        <f>IF(J1276="", "", IF(J1276="Long Term", 12.5%, 20%))</f>
        <v/>
      </c>
      <c r="L1276" s="3">
        <f>+IFERROR(IF(J1276="","",H1276*K1276),"")</f>
        <v/>
      </c>
    </row>
    <row r="1277">
      <c r="A1277" s="11" t="n"/>
      <c r="B1277" s="7" t="n"/>
      <c r="C1277" s="8" t="n"/>
      <c r="D1277" s="9" t="n"/>
      <c r="E1277" s="8" t="n"/>
      <c r="F1277" s="9" t="n"/>
      <c r="G1277" s="9" t="n"/>
      <c r="H1277" s="3">
        <f>IF(AND(D1277&lt;&gt;"",F1277&lt;&gt;""),F1277-D1277-G1277,"")</f>
        <v/>
      </c>
      <c r="I1277" s="14">
        <f>IF(E1277&lt;&gt;"", YEARFRAC(C1277, E1277) * 12, "")</f>
        <v/>
      </c>
      <c r="J1277" s="2">
        <f>IF(I1277="", "", IF(AND(A1277="MF (Equity)", I1277&gt;12), "Long Term", "Short Term"))</f>
        <v/>
      </c>
      <c r="K1277" s="5">
        <f>IF(J1277="", "", IF(J1277="Long Term", 12.5%, 20%))</f>
        <v/>
      </c>
      <c r="L1277" s="3">
        <f>+IFERROR(IF(J1277="","",H1277*K1277),"")</f>
        <v/>
      </c>
    </row>
    <row r="1278">
      <c r="A1278" s="11" t="n"/>
      <c r="B1278" s="7" t="n"/>
      <c r="C1278" s="8" t="n"/>
      <c r="D1278" s="9" t="n"/>
      <c r="E1278" s="8" t="n"/>
      <c r="F1278" s="9" t="n"/>
      <c r="G1278" s="9" t="n"/>
      <c r="H1278" s="3">
        <f>IF(AND(D1278&lt;&gt;"",F1278&lt;&gt;""),F1278-D1278-G1278,"")</f>
        <v/>
      </c>
      <c r="I1278" s="14">
        <f>IF(E1278&lt;&gt;"", YEARFRAC(C1278, E1278) * 12, "")</f>
        <v/>
      </c>
      <c r="J1278" s="2">
        <f>IF(I1278="", "", IF(AND(A1278="MF (Equity)", I1278&gt;12), "Long Term", "Short Term"))</f>
        <v/>
      </c>
      <c r="K1278" s="5">
        <f>IF(J1278="", "", IF(J1278="Long Term", 12.5%, 20%))</f>
        <v/>
      </c>
      <c r="L1278" s="3">
        <f>+IFERROR(IF(J1278="","",H1278*K1278),"")</f>
        <v/>
      </c>
    </row>
    <row r="1279">
      <c r="A1279" s="11" t="n"/>
      <c r="B1279" s="7" t="n"/>
      <c r="C1279" s="8" t="n"/>
      <c r="D1279" s="9" t="n"/>
      <c r="E1279" s="8" t="n"/>
      <c r="F1279" s="9" t="n"/>
      <c r="G1279" s="9" t="n"/>
      <c r="H1279" s="3">
        <f>IF(AND(D1279&lt;&gt;"",F1279&lt;&gt;""),F1279-D1279-G1279,"")</f>
        <v/>
      </c>
      <c r="I1279" s="14">
        <f>IF(E1279&lt;&gt;"", YEARFRAC(C1279, E1279) * 12, "")</f>
        <v/>
      </c>
      <c r="J1279" s="2">
        <f>IF(I1279="", "", IF(AND(A1279="MF (Equity)", I1279&gt;12), "Long Term", "Short Term"))</f>
        <v/>
      </c>
      <c r="K1279" s="5">
        <f>IF(J1279="", "", IF(J1279="Long Term", 12.5%, 20%))</f>
        <v/>
      </c>
      <c r="L1279" s="3">
        <f>+IFERROR(IF(J1279="","",H1279*K1279),"")</f>
        <v/>
      </c>
    </row>
    <row r="1280">
      <c r="A1280" s="11" t="n"/>
      <c r="B1280" s="7" t="n"/>
      <c r="C1280" s="8" t="n"/>
      <c r="D1280" s="9" t="n"/>
      <c r="E1280" s="8" t="n"/>
      <c r="F1280" s="9" t="n"/>
      <c r="G1280" s="9" t="n"/>
      <c r="H1280" s="3">
        <f>IF(AND(D1280&lt;&gt;"",F1280&lt;&gt;""),F1280-D1280-G1280,"")</f>
        <v/>
      </c>
      <c r="I1280" s="14">
        <f>IF(E1280&lt;&gt;"", YEARFRAC(C1280, E1280) * 12, "")</f>
        <v/>
      </c>
      <c r="J1280" s="2">
        <f>IF(I1280="", "", IF(AND(A1280="MF (Equity)", I1280&gt;12), "Long Term", "Short Term"))</f>
        <v/>
      </c>
      <c r="K1280" s="5">
        <f>IF(J1280="", "", IF(J1280="Long Term", 12.5%, 20%))</f>
        <v/>
      </c>
      <c r="L1280" s="3">
        <f>+IFERROR(IF(J1280="","",H1280*K1280),"")</f>
        <v/>
      </c>
    </row>
    <row r="1281">
      <c r="A1281" s="11" t="n"/>
      <c r="B1281" s="7" t="n"/>
      <c r="C1281" s="8" t="n"/>
      <c r="D1281" s="9" t="n"/>
      <c r="E1281" s="8" t="n"/>
      <c r="F1281" s="9" t="n"/>
      <c r="G1281" s="9" t="n"/>
      <c r="H1281" s="3">
        <f>IF(AND(D1281&lt;&gt;"",F1281&lt;&gt;""),F1281-D1281-G1281,"")</f>
        <v/>
      </c>
      <c r="I1281" s="14">
        <f>IF(E1281&lt;&gt;"", YEARFRAC(C1281, E1281) * 12, "")</f>
        <v/>
      </c>
      <c r="J1281" s="2">
        <f>IF(I1281="", "", IF(AND(A1281="MF (Equity)", I1281&gt;12), "Long Term", "Short Term"))</f>
        <v/>
      </c>
      <c r="K1281" s="5">
        <f>IF(J1281="", "", IF(J1281="Long Term", 12.5%, 20%))</f>
        <v/>
      </c>
      <c r="L1281" s="3">
        <f>+IFERROR(IF(J1281="","",H1281*K1281),"")</f>
        <v/>
      </c>
    </row>
    <row r="1282">
      <c r="A1282" s="11" t="n"/>
      <c r="B1282" s="7" t="n"/>
      <c r="C1282" s="8" t="n"/>
      <c r="D1282" s="9" t="n"/>
      <c r="E1282" s="8" t="n"/>
      <c r="F1282" s="9" t="n"/>
      <c r="G1282" s="9" t="n"/>
      <c r="H1282" s="3">
        <f>IF(AND(D1282&lt;&gt;"",F1282&lt;&gt;""),F1282-D1282-G1282,"")</f>
        <v/>
      </c>
      <c r="I1282" s="14">
        <f>IF(E1282&lt;&gt;"", YEARFRAC(C1282, E1282) * 12, "")</f>
        <v/>
      </c>
      <c r="J1282" s="2">
        <f>IF(I1282="", "", IF(AND(A1282="MF (Equity)", I1282&gt;12), "Long Term", "Short Term"))</f>
        <v/>
      </c>
      <c r="K1282" s="5">
        <f>IF(J1282="", "", IF(J1282="Long Term", 12.5%, 20%))</f>
        <v/>
      </c>
      <c r="L1282" s="3">
        <f>+IFERROR(IF(J1282="","",H1282*K1282),"")</f>
        <v/>
      </c>
    </row>
    <row r="1283">
      <c r="A1283" s="11" t="n"/>
      <c r="B1283" s="7" t="n"/>
      <c r="C1283" s="8" t="n"/>
      <c r="D1283" s="9" t="n"/>
      <c r="E1283" s="8" t="n"/>
      <c r="F1283" s="9" t="n"/>
      <c r="G1283" s="9" t="n"/>
      <c r="H1283" s="3">
        <f>IF(AND(D1283&lt;&gt;"",F1283&lt;&gt;""),F1283-D1283-G1283,"")</f>
        <v/>
      </c>
      <c r="I1283" s="14">
        <f>IF(E1283&lt;&gt;"", YEARFRAC(C1283, E1283) * 12, "")</f>
        <v/>
      </c>
      <c r="J1283" s="2">
        <f>IF(I1283="", "", IF(AND(A1283="MF (Equity)", I1283&gt;12), "Long Term", "Short Term"))</f>
        <v/>
      </c>
      <c r="K1283" s="5">
        <f>IF(J1283="", "", IF(J1283="Long Term", 12.5%, 20%))</f>
        <v/>
      </c>
      <c r="L1283" s="3">
        <f>+IFERROR(IF(J1283="","",H1283*K1283),"")</f>
        <v/>
      </c>
    </row>
    <row r="1284">
      <c r="A1284" s="11" t="n"/>
      <c r="B1284" s="7" t="n"/>
      <c r="C1284" s="8" t="n"/>
      <c r="D1284" s="9" t="n"/>
      <c r="E1284" s="8" t="n"/>
      <c r="F1284" s="9" t="n"/>
      <c r="G1284" s="9" t="n"/>
      <c r="H1284" s="3">
        <f>IF(AND(D1284&lt;&gt;"",F1284&lt;&gt;""),F1284-D1284-G1284,"")</f>
        <v/>
      </c>
      <c r="I1284" s="14">
        <f>IF(E1284&lt;&gt;"", YEARFRAC(C1284, E1284) * 12, "")</f>
        <v/>
      </c>
      <c r="J1284" s="2">
        <f>IF(I1284="", "", IF(AND(A1284="MF (Equity)", I1284&gt;12), "Long Term", "Short Term"))</f>
        <v/>
      </c>
      <c r="K1284" s="5">
        <f>IF(J1284="", "", IF(J1284="Long Term", 12.5%, 20%))</f>
        <v/>
      </c>
      <c r="L1284" s="3">
        <f>+IFERROR(IF(J1284="","",H1284*K1284),"")</f>
        <v/>
      </c>
    </row>
    <row r="1285">
      <c r="A1285" s="11" t="n"/>
      <c r="B1285" s="7" t="n"/>
      <c r="C1285" s="8" t="n"/>
      <c r="D1285" s="9" t="n"/>
      <c r="E1285" s="8" t="n"/>
      <c r="F1285" s="9" t="n"/>
      <c r="G1285" s="9" t="n"/>
      <c r="H1285" s="3">
        <f>IF(AND(D1285&lt;&gt;"",F1285&lt;&gt;""),F1285-D1285-G1285,"")</f>
        <v/>
      </c>
      <c r="I1285" s="14">
        <f>IF(E1285&lt;&gt;"", YEARFRAC(C1285, E1285) * 12, "")</f>
        <v/>
      </c>
      <c r="J1285" s="2">
        <f>IF(I1285="", "", IF(AND(A1285="MF (Equity)", I1285&gt;12), "Long Term", "Short Term"))</f>
        <v/>
      </c>
      <c r="K1285" s="5">
        <f>IF(J1285="", "", IF(J1285="Long Term", 12.5%, 20%))</f>
        <v/>
      </c>
      <c r="L1285" s="3">
        <f>+IFERROR(IF(J1285="","",H1285*K1285),"")</f>
        <v/>
      </c>
    </row>
    <row r="1286">
      <c r="A1286" s="11" t="n"/>
      <c r="B1286" s="7" t="n"/>
      <c r="C1286" s="8" t="n"/>
      <c r="D1286" s="9" t="n"/>
      <c r="E1286" s="8" t="n"/>
      <c r="F1286" s="9" t="n"/>
      <c r="G1286" s="9" t="n"/>
      <c r="H1286" s="3">
        <f>IF(AND(D1286&lt;&gt;"",F1286&lt;&gt;""),F1286-D1286-G1286,"")</f>
        <v/>
      </c>
      <c r="I1286" s="14">
        <f>IF(E1286&lt;&gt;"", YEARFRAC(C1286, E1286) * 12, "")</f>
        <v/>
      </c>
      <c r="J1286" s="2">
        <f>IF(I1286="", "", IF(AND(A1286="MF (Equity)", I1286&gt;12), "Long Term", "Short Term"))</f>
        <v/>
      </c>
      <c r="K1286" s="5">
        <f>IF(J1286="", "", IF(J1286="Long Term", 12.5%, 20%))</f>
        <v/>
      </c>
      <c r="L1286" s="3">
        <f>+IFERROR(IF(J1286="","",H1286*K1286),"")</f>
        <v/>
      </c>
    </row>
    <row r="1287">
      <c r="A1287" s="11" t="n"/>
      <c r="B1287" s="7" t="n"/>
      <c r="C1287" s="8" t="n"/>
      <c r="D1287" s="9" t="n"/>
      <c r="E1287" s="8" t="n"/>
      <c r="F1287" s="9" t="n"/>
      <c r="G1287" s="9" t="n"/>
      <c r="H1287" s="3">
        <f>IF(AND(D1287&lt;&gt;"",F1287&lt;&gt;""),F1287-D1287-G1287,"")</f>
        <v/>
      </c>
      <c r="I1287" s="14">
        <f>IF(E1287&lt;&gt;"", YEARFRAC(C1287, E1287) * 12, "")</f>
        <v/>
      </c>
      <c r="J1287" s="2">
        <f>IF(I1287="", "", IF(AND(A1287="MF (Equity)", I1287&gt;12), "Long Term", "Short Term"))</f>
        <v/>
      </c>
      <c r="K1287" s="5">
        <f>IF(J1287="", "", IF(J1287="Long Term", 12.5%, 20%))</f>
        <v/>
      </c>
      <c r="L1287" s="3">
        <f>+IFERROR(IF(J1287="","",H1287*K1287),"")</f>
        <v/>
      </c>
    </row>
    <row r="1288">
      <c r="A1288" s="11" t="n"/>
      <c r="B1288" s="7" t="n"/>
      <c r="C1288" s="8" t="n"/>
      <c r="D1288" s="9" t="n"/>
      <c r="E1288" s="8" t="n"/>
      <c r="F1288" s="9" t="n"/>
      <c r="G1288" s="9" t="n"/>
      <c r="H1288" s="3">
        <f>IF(AND(D1288&lt;&gt;"",F1288&lt;&gt;""),F1288-D1288-G1288,"")</f>
        <v/>
      </c>
      <c r="I1288" s="14">
        <f>IF(E1288&lt;&gt;"", YEARFRAC(C1288, E1288) * 12, "")</f>
        <v/>
      </c>
      <c r="J1288" s="2">
        <f>IF(I1288="", "", IF(AND(A1288="MF (Equity)", I1288&gt;12), "Long Term", "Short Term"))</f>
        <v/>
      </c>
      <c r="K1288" s="5">
        <f>IF(J1288="", "", IF(J1288="Long Term", 12.5%, 20%))</f>
        <v/>
      </c>
      <c r="L1288" s="3">
        <f>+IFERROR(IF(J1288="","",H1288*K1288),"")</f>
        <v/>
      </c>
    </row>
    <row r="1289">
      <c r="A1289" s="11" t="n"/>
      <c r="B1289" s="7" t="n"/>
      <c r="C1289" s="8" t="n"/>
      <c r="D1289" s="9" t="n"/>
      <c r="E1289" s="8" t="n"/>
      <c r="F1289" s="9" t="n"/>
      <c r="G1289" s="9" t="n"/>
      <c r="H1289" s="3">
        <f>IF(AND(D1289&lt;&gt;"",F1289&lt;&gt;""),F1289-D1289-G1289,"")</f>
        <v/>
      </c>
      <c r="I1289" s="14">
        <f>IF(E1289&lt;&gt;"", YEARFRAC(C1289, E1289) * 12, "")</f>
        <v/>
      </c>
      <c r="J1289" s="2">
        <f>IF(I1289="", "", IF(AND(A1289="MF (Equity)", I1289&gt;12), "Long Term", "Short Term"))</f>
        <v/>
      </c>
      <c r="K1289" s="5">
        <f>IF(J1289="", "", IF(J1289="Long Term", 12.5%, 20%))</f>
        <v/>
      </c>
      <c r="L1289" s="3">
        <f>+IFERROR(IF(J1289="","",H1289*K1289),"")</f>
        <v/>
      </c>
    </row>
    <row r="1290">
      <c r="A1290" s="11" t="n"/>
      <c r="B1290" s="7" t="n"/>
      <c r="C1290" s="8" t="n"/>
      <c r="D1290" s="9" t="n"/>
      <c r="E1290" s="8" t="n"/>
      <c r="F1290" s="9" t="n"/>
      <c r="G1290" s="9" t="n"/>
      <c r="H1290" s="3">
        <f>IF(AND(D1290&lt;&gt;"",F1290&lt;&gt;""),F1290-D1290-G1290,"")</f>
        <v/>
      </c>
      <c r="I1290" s="14">
        <f>IF(E1290&lt;&gt;"", YEARFRAC(C1290, E1290) * 12, "")</f>
        <v/>
      </c>
      <c r="J1290" s="2">
        <f>IF(I1290="", "", IF(AND(A1290="MF (Equity)", I1290&gt;12), "Long Term", "Short Term"))</f>
        <v/>
      </c>
      <c r="K1290" s="5">
        <f>IF(J1290="", "", IF(J1290="Long Term", 12.5%, 20%))</f>
        <v/>
      </c>
      <c r="L1290" s="3">
        <f>+IFERROR(IF(J1290="","",H1290*K1290),"")</f>
        <v/>
      </c>
    </row>
    <row r="1291">
      <c r="A1291" s="11" t="n"/>
      <c r="B1291" s="7" t="n"/>
      <c r="C1291" s="8" t="n"/>
      <c r="D1291" s="9" t="n"/>
      <c r="E1291" s="8" t="n"/>
      <c r="F1291" s="9" t="n"/>
      <c r="G1291" s="9" t="n"/>
      <c r="H1291" s="3">
        <f>IF(AND(D1291&lt;&gt;"",F1291&lt;&gt;""),F1291-D1291-G1291,"")</f>
        <v/>
      </c>
      <c r="I1291" s="14">
        <f>IF(E1291&lt;&gt;"", YEARFRAC(C1291, E1291) * 12, "")</f>
        <v/>
      </c>
      <c r="J1291" s="2">
        <f>IF(I1291="", "", IF(AND(A1291="MF (Equity)", I1291&gt;12), "Long Term", "Short Term"))</f>
        <v/>
      </c>
      <c r="K1291" s="5">
        <f>IF(J1291="", "", IF(J1291="Long Term", 12.5%, 20%))</f>
        <v/>
      </c>
      <c r="L1291" s="3">
        <f>+IFERROR(IF(J1291="","",H1291*K1291),"")</f>
        <v/>
      </c>
    </row>
    <row r="1292">
      <c r="A1292" s="11" t="n"/>
      <c r="B1292" s="7" t="n"/>
      <c r="C1292" s="8" t="n"/>
      <c r="D1292" s="9" t="n"/>
      <c r="E1292" s="8" t="n"/>
      <c r="F1292" s="9" t="n"/>
      <c r="G1292" s="9" t="n"/>
      <c r="H1292" s="3">
        <f>IF(AND(D1292&lt;&gt;"",F1292&lt;&gt;""),F1292-D1292-G1292,"")</f>
        <v/>
      </c>
      <c r="I1292" s="14">
        <f>IF(E1292&lt;&gt;"", YEARFRAC(C1292, E1292) * 12, "")</f>
        <v/>
      </c>
      <c r="J1292" s="2">
        <f>IF(I1292="", "", IF(AND(A1292="MF (Equity)", I1292&gt;12), "Long Term", "Short Term"))</f>
        <v/>
      </c>
      <c r="K1292" s="5">
        <f>IF(J1292="", "", IF(J1292="Long Term", 12.5%, 20%))</f>
        <v/>
      </c>
      <c r="L1292" s="3">
        <f>+IFERROR(IF(J1292="","",H1292*K1292),"")</f>
        <v/>
      </c>
    </row>
    <row r="1293">
      <c r="A1293" s="11" t="n"/>
      <c r="B1293" s="7" t="n"/>
      <c r="C1293" s="8" t="n"/>
      <c r="D1293" s="9" t="n"/>
      <c r="E1293" s="8" t="n"/>
      <c r="F1293" s="9" t="n"/>
      <c r="G1293" s="9" t="n"/>
      <c r="H1293" s="3">
        <f>IF(AND(D1293&lt;&gt;"",F1293&lt;&gt;""),F1293-D1293-G1293,"")</f>
        <v/>
      </c>
      <c r="I1293" s="14">
        <f>IF(E1293&lt;&gt;"", YEARFRAC(C1293, E1293) * 12, "")</f>
        <v/>
      </c>
      <c r="J1293" s="2">
        <f>IF(I1293="", "", IF(AND(A1293="MF (Equity)", I1293&gt;12), "Long Term", "Short Term"))</f>
        <v/>
      </c>
      <c r="K1293" s="5">
        <f>IF(J1293="", "", IF(J1293="Long Term", 12.5%, 20%))</f>
        <v/>
      </c>
      <c r="L1293" s="3">
        <f>+IFERROR(IF(J1293="","",H1293*K1293),"")</f>
        <v/>
      </c>
    </row>
    <row r="1294">
      <c r="A1294" s="11" t="n"/>
      <c r="B1294" s="7" t="n"/>
      <c r="C1294" s="8" t="n"/>
      <c r="D1294" s="9" t="n"/>
      <c r="E1294" s="8" t="n"/>
      <c r="F1294" s="9" t="n"/>
      <c r="G1294" s="9" t="n"/>
      <c r="H1294" s="3">
        <f>IF(AND(D1294&lt;&gt;"",F1294&lt;&gt;""),F1294-D1294-G1294,"")</f>
        <v/>
      </c>
      <c r="I1294" s="14">
        <f>IF(E1294&lt;&gt;"", YEARFRAC(C1294, E1294) * 12, "")</f>
        <v/>
      </c>
      <c r="J1294" s="2">
        <f>IF(I1294="", "", IF(AND(A1294="MF (Equity)", I1294&gt;12), "Long Term", "Short Term"))</f>
        <v/>
      </c>
      <c r="K1294" s="5">
        <f>IF(J1294="", "", IF(J1294="Long Term", 12.5%, 20%))</f>
        <v/>
      </c>
      <c r="L1294" s="3">
        <f>+IFERROR(IF(J1294="","",H1294*K1294),"")</f>
        <v/>
      </c>
    </row>
    <row r="1295">
      <c r="A1295" s="11" t="n"/>
      <c r="B1295" s="7" t="n"/>
      <c r="C1295" s="8" t="n"/>
      <c r="D1295" s="9" t="n"/>
      <c r="E1295" s="8" t="n"/>
      <c r="F1295" s="9" t="n"/>
      <c r="G1295" s="9" t="n"/>
      <c r="H1295" s="3">
        <f>IF(AND(D1295&lt;&gt;"",F1295&lt;&gt;""),F1295-D1295-G1295,"")</f>
        <v/>
      </c>
      <c r="I1295" s="14">
        <f>IF(E1295&lt;&gt;"", YEARFRAC(C1295, E1295) * 12, "")</f>
        <v/>
      </c>
      <c r="J1295" s="2">
        <f>IF(I1295="", "", IF(AND(A1295="MF (Equity)", I1295&gt;12), "Long Term", "Short Term"))</f>
        <v/>
      </c>
      <c r="K1295" s="5">
        <f>IF(J1295="", "", IF(J1295="Long Term", 12.5%, 20%))</f>
        <v/>
      </c>
      <c r="L1295" s="3">
        <f>+IFERROR(IF(J1295="","",H1295*K1295),"")</f>
        <v/>
      </c>
    </row>
    <row r="1296">
      <c r="A1296" s="11" t="n"/>
      <c r="B1296" s="7" t="n"/>
      <c r="C1296" s="8" t="n"/>
      <c r="D1296" s="9" t="n"/>
      <c r="E1296" s="8" t="n"/>
      <c r="F1296" s="9" t="n"/>
      <c r="G1296" s="9" t="n"/>
      <c r="H1296" s="3">
        <f>IF(AND(D1296&lt;&gt;"",F1296&lt;&gt;""),F1296-D1296-G1296,"")</f>
        <v/>
      </c>
      <c r="I1296" s="14">
        <f>IF(E1296&lt;&gt;"", YEARFRAC(C1296, E1296) * 12, "")</f>
        <v/>
      </c>
      <c r="J1296" s="2">
        <f>IF(I1296="", "", IF(AND(A1296="MF (Equity)", I1296&gt;12), "Long Term", "Short Term"))</f>
        <v/>
      </c>
      <c r="K1296" s="5">
        <f>IF(J1296="", "", IF(J1296="Long Term", 12.5%, 20%))</f>
        <v/>
      </c>
      <c r="L1296" s="3">
        <f>+IFERROR(IF(J1296="","",H1296*K1296),"")</f>
        <v/>
      </c>
    </row>
    <row r="1297">
      <c r="A1297" s="11" t="n"/>
      <c r="B1297" s="7" t="n"/>
      <c r="C1297" s="8" t="n"/>
      <c r="D1297" s="9" t="n"/>
      <c r="E1297" s="8" t="n"/>
      <c r="F1297" s="9" t="n"/>
      <c r="G1297" s="9" t="n"/>
      <c r="H1297" s="3">
        <f>IF(AND(D1297&lt;&gt;"",F1297&lt;&gt;""),F1297-D1297-G1297,"")</f>
        <v/>
      </c>
      <c r="I1297" s="14">
        <f>IF(E1297&lt;&gt;"", YEARFRAC(C1297, E1297) * 12, "")</f>
        <v/>
      </c>
      <c r="J1297" s="2">
        <f>IF(I1297="", "", IF(AND(A1297="MF (Equity)", I1297&gt;12), "Long Term", "Short Term"))</f>
        <v/>
      </c>
      <c r="K1297" s="5">
        <f>IF(J1297="", "", IF(J1297="Long Term", 12.5%, 20%))</f>
        <v/>
      </c>
      <c r="L1297" s="3">
        <f>+IFERROR(IF(J1297="","",H1297*K1297),"")</f>
        <v/>
      </c>
    </row>
    <row r="1298">
      <c r="A1298" s="11" t="n"/>
      <c r="B1298" s="7" t="n"/>
      <c r="C1298" s="8" t="n"/>
      <c r="D1298" s="9" t="n"/>
      <c r="E1298" s="8" t="n"/>
      <c r="F1298" s="9" t="n"/>
      <c r="G1298" s="9" t="n"/>
      <c r="H1298" s="3">
        <f>IF(AND(D1298&lt;&gt;"",F1298&lt;&gt;""),F1298-D1298-G1298,"")</f>
        <v/>
      </c>
      <c r="I1298" s="14">
        <f>IF(E1298&lt;&gt;"", YEARFRAC(C1298, E1298) * 12, "")</f>
        <v/>
      </c>
      <c r="J1298" s="2">
        <f>IF(I1298="", "", IF(AND(A1298="MF (Equity)", I1298&gt;12), "Long Term", "Short Term"))</f>
        <v/>
      </c>
      <c r="K1298" s="5">
        <f>IF(J1298="", "", IF(J1298="Long Term", 12.5%, 20%))</f>
        <v/>
      </c>
      <c r="L1298" s="3">
        <f>+IFERROR(IF(J1298="","",H1298*K1298),"")</f>
        <v/>
      </c>
    </row>
    <row r="1299">
      <c r="A1299" s="11" t="n"/>
      <c r="B1299" s="7" t="n"/>
      <c r="C1299" s="8" t="n"/>
      <c r="D1299" s="9" t="n"/>
      <c r="E1299" s="8" t="n"/>
      <c r="F1299" s="9" t="n"/>
      <c r="G1299" s="9" t="n"/>
      <c r="H1299" s="3">
        <f>IF(AND(D1299&lt;&gt;"",F1299&lt;&gt;""),F1299-D1299-G1299,"")</f>
        <v/>
      </c>
      <c r="I1299" s="14">
        <f>IF(E1299&lt;&gt;"", YEARFRAC(C1299, E1299) * 12, "")</f>
        <v/>
      </c>
      <c r="J1299" s="2">
        <f>IF(I1299="", "", IF(AND(A1299="MF (Equity)", I1299&gt;12), "Long Term", "Short Term"))</f>
        <v/>
      </c>
      <c r="K1299" s="5">
        <f>IF(J1299="", "", IF(J1299="Long Term", 12.5%, 20%))</f>
        <v/>
      </c>
      <c r="L1299" s="3">
        <f>+IFERROR(IF(J1299="","",H1299*K1299),"")</f>
        <v/>
      </c>
    </row>
    <row r="1300">
      <c r="A1300" s="11" t="n"/>
      <c r="B1300" s="7" t="n"/>
      <c r="C1300" s="8" t="n"/>
      <c r="D1300" s="9" t="n"/>
      <c r="E1300" s="8" t="n"/>
      <c r="F1300" s="9" t="n"/>
      <c r="G1300" s="9" t="n"/>
      <c r="H1300" s="3">
        <f>IF(AND(D1300&lt;&gt;"",F1300&lt;&gt;""),F1300-D1300-G1300,"")</f>
        <v/>
      </c>
      <c r="I1300" s="14">
        <f>IF(E1300&lt;&gt;"", YEARFRAC(C1300, E1300) * 12, "")</f>
        <v/>
      </c>
      <c r="J1300" s="2">
        <f>IF(I1300="", "", IF(AND(A1300="MF (Equity)", I1300&gt;12), "Long Term", "Short Term"))</f>
        <v/>
      </c>
      <c r="K1300" s="5">
        <f>IF(J1300="", "", IF(J1300="Long Term", 12.5%, 20%))</f>
        <v/>
      </c>
      <c r="L1300" s="3">
        <f>+IFERROR(IF(J1300="","",H1300*K1300),"")</f>
        <v/>
      </c>
    </row>
    <row r="1301">
      <c r="A1301" s="11" t="n"/>
      <c r="B1301" s="7" t="n"/>
      <c r="C1301" s="8" t="n"/>
      <c r="D1301" s="9" t="n"/>
      <c r="E1301" s="8" t="n"/>
      <c r="F1301" s="9" t="n"/>
      <c r="G1301" s="9" t="n"/>
      <c r="H1301" s="3">
        <f>IF(AND(D1301&lt;&gt;"",F1301&lt;&gt;""),F1301-D1301-G1301,"")</f>
        <v/>
      </c>
      <c r="I1301" s="14">
        <f>IF(E1301&lt;&gt;"", YEARFRAC(C1301, E1301) * 12, "")</f>
        <v/>
      </c>
      <c r="J1301" s="2">
        <f>IF(I1301="", "", IF(AND(A1301="MF (Equity)", I1301&gt;12), "Long Term", "Short Term"))</f>
        <v/>
      </c>
      <c r="K1301" s="5">
        <f>IF(J1301="", "", IF(J1301="Long Term", 12.5%, 20%))</f>
        <v/>
      </c>
      <c r="L1301" s="3">
        <f>+IFERROR(IF(J1301="","",H1301*K1301),"")</f>
        <v/>
      </c>
    </row>
    <row r="1302">
      <c r="A1302" s="11" t="n"/>
      <c r="B1302" s="7" t="n"/>
      <c r="C1302" s="8" t="n"/>
      <c r="D1302" s="9" t="n"/>
      <c r="E1302" s="8" t="n"/>
      <c r="F1302" s="9" t="n"/>
      <c r="G1302" s="9" t="n"/>
      <c r="H1302" s="3">
        <f>IF(AND(D1302&lt;&gt;"",F1302&lt;&gt;""),F1302-D1302-G1302,"")</f>
        <v/>
      </c>
      <c r="I1302" s="14">
        <f>IF(E1302&lt;&gt;"", YEARFRAC(C1302, E1302) * 12, "")</f>
        <v/>
      </c>
      <c r="J1302" s="2">
        <f>IF(I1302="", "", IF(AND(A1302="MF (Equity)", I1302&gt;12), "Long Term", "Short Term"))</f>
        <v/>
      </c>
      <c r="K1302" s="5">
        <f>IF(J1302="", "", IF(J1302="Long Term", 12.5%, 20%))</f>
        <v/>
      </c>
      <c r="L1302" s="3">
        <f>+IFERROR(IF(J1302="","",H1302*K1302),"")</f>
        <v/>
      </c>
    </row>
    <row r="1303">
      <c r="A1303" s="11" t="n"/>
      <c r="B1303" s="7" t="n"/>
      <c r="C1303" s="8" t="n"/>
      <c r="D1303" s="9" t="n"/>
      <c r="E1303" s="8" t="n"/>
      <c r="F1303" s="9" t="n"/>
      <c r="G1303" s="9" t="n"/>
      <c r="H1303" s="3">
        <f>IF(AND(D1303&lt;&gt;"",F1303&lt;&gt;""),F1303-D1303-G1303,"")</f>
        <v/>
      </c>
      <c r="I1303" s="14">
        <f>IF(E1303&lt;&gt;"", YEARFRAC(C1303, E1303) * 12, "")</f>
        <v/>
      </c>
      <c r="J1303" s="2">
        <f>IF(I1303="", "", IF(AND(A1303="MF (Equity)", I1303&gt;12), "Long Term", "Short Term"))</f>
        <v/>
      </c>
      <c r="K1303" s="5">
        <f>IF(J1303="", "", IF(J1303="Long Term", 12.5%, 20%))</f>
        <v/>
      </c>
      <c r="L1303" s="3">
        <f>+IFERROR(IF(J1303="","",H1303*K1303),"")</f>
        <v/>
      </c>
    </row>
    <row r="1304">
      <c r="A1304" s="11" t="n"/>
      <c r="B1304" s="7" t="n"/>
      <c r="C1304" s="8" t="n"/>
      <c r="D1304" s="9" t="n"/>
      <c r="E1304" s="8" t="n"/>
      <c r="F1304" s="9" t="n"/>
      <c r="G1304" s="9" t="n"/>
      <c r="H1304" s="3">
        <f>IF(AND(D1304&lt;&gt;"",F1304&lt;&gt;""),F1304-D1304-G1304,"")</f>
        <v/>
      </c>
      <c r="I1304" s="14">
        <f>IF(E1304&lt;&gt;"", YEARFRAC(C1304, E1304) * 12, "")</f>
        <v/>
      </c>
      <c r="J1304" s="2">
        <f>IF(I1304="", "", IF(AND(A1304="MF (Equity)", I1304&gt;12), "Long Term", "Short Term"))</f>
        <v/>
      </c>
      <c r="K1304" s="5">
        <f>IF(J1304="", "", IF(J1304="Long Term", 12.5%, 20%))</f>
        <v/>
      </c>
      <c r="L1304" s="3">
        <f>+IFERROR(IF(J1304="","",H1304*K1304),"")</f>
        <v/>
      </c>
    </row>
    <row r="1305">
      <c r="A1305" s="11" t="n"/>
      <c r="B1305" s="7" t="n"/>
      <c r="C1305" s="8" t="n"/>
      <c r="D1305" s="9" t="n"/>
      <c r="E1305" s="8" t="n"/>
      <c r="F1305" s="9" t="n"/>
      <c r="G1305" s="9" t="n"/>
      <c r="H1305" s="3">
        <f>IF(AND(D1305&lt;&gt;"",F1305&lt;&gt;""),F1305-D1305-G1305,"")</f>
        <v/>
      </c>
      <c r="I1305" s="14">
        <f>IF(E1305&lt;&gt;"", YEARFRAC(C1305, E1305) * 12, "")</f>
        <v/>
      </c>
      <c r="J1305" s="2">
        <f>IF(I1305="", "", IF(AND(A1305="MF (Equity)", I1305&gt;12), "Long Term", "Short Term"))</f>
        <v/>
      </c>
      <c r="K1305" s="5">
        <f>IF(J1305="", "", IF(J1305="Long Term", 12.5%, 20%))</f>
        <v/>
      </c>
      <c r="L1305" s="3">
        <f>+IFERROR(IF(J1305="","",H1305*K1305),"")</f>
        <v/>
      </c>
    </row>
    <row r="1306">
      <c r="A1306" s="11" t="n"/>
      <c r="B1306" s="7" t="n"/>
      <c r="C1306" s="8" t="n"/>
      <c r="D1306" s="9" t="n"/>
      <c r="E1306" s="8" t="n"/>
      <c r="F1306" s="9" t="n"/>
      <c r="G1306" s="9" t="n"/>
      <c r="H1306" s="3">
        <f>IF(AND(D1306&lt;&gt;"",F1306&lt;&gt;""),F1306-D1306-G1306,"")</f>
        <v/>
      </c>
      <c r="I1306" s="14">
        <f>IF(E1306&lt;&gt;"", YEARFRAC(C1306, E1306) * 12, "")</f>
        <v/>
      </c>
      <c r="J1306" s="2">
        <f>IF(I1306="", "", IF(AND(A1306="MF (Equity)", I1306&gt;12), "Long Term", "Short Term"))</f>
        <v/>
      </c>
      <c r="K1306" s="5">
        <f>IF(J1306="", "", IF(J1306="Long Term", 12.5%, 20%))</f>
        <v/>
      </c>
      <c r="L1306" s="3">
        <f>+IFERROR(IF(J1306="","",H1306*K1306),"")</f>
        <v/>
      </c>
    </row>
    <row r="1307">
      <c r="A1307" s="11" t="n"/>
      <c r="B1307" s="7" t="n"/>
      <c r="C1307" s="8" t="n"/>
      <c r="D1307" s="9" t="n"/>
      <c r="E1307" s="8" t="n"/>
      <c r="F1307" s="9" t="n"/>
      <c r="G1307" s="9" t="n"/>
      <c r="H1307" s="3">
        <f>IF(AND(D1307&lt;&gt;"",F1307&lt;&gt;""),F1307-D1307-G1307,"")</f>
        <v/>
      </c>
      <c r="I1307" s="14">
        <f>IF(E1307&lt;&gt;"", YEARFRAC(C1307, E1307) * 12, "")</f>
        <v/>
      </c>
      <c r="J1307" s="2">
        <f>IF(I1307="", "", IF(AND(A1307="MF (Equity)", I1307&gt;12), "Long Term", "Short Term"))</f>
        <v/>
      </c>
      <c r="K1307" s="5">
        <f>IF(J1307="", "", IF(J1307="Long Term", 12.5%, 20%))</f>
        <v/>
      </c>
      <c r="L1307" s="3">
        <f>+IFERROR(IF(J1307="","",H1307*K1307),"")</f>
        <v/>
      </c>
    </row>
    <row r="1308">
      <c r="A1308" s="11" t="n"/>
      <c r="B1308" s="7" t="n"/>
      <c r="C1308" s="8" t="n"/>
      <c r="D1308" s="9" t="n"/>
      <c r="E1308" s="8" t="n"/>
      <c r="F1308" s="9" t="n"/>
      <c r="G1308" s="9" t="n"/>
      <c r="H1308" s="3">
        <f>IF(AND(D1308&lt;&gt;"",F1308&lt;&gt;""),F1308-D1308-G1308,"")</f>
        <v/>
      </c>
      <c r="I1308" s="14">
        <f>IF(E1308&lt;&gt;"", YEARFRAC(C1308, E1308) * 12, "")</f>
        <v/>
      </c>
      <c r="J1308" s="2">
        <f>IF(I1308="", "", IF(AND(A1308="MF (Equity)", I1308&gt;12), "Long Term", "Short Term"))</f>
        <v/>
      </c>
      <c r="K1308" s="5">
        <f>IF(J1308="", "", IF(J1308="Long Term", 12.5%, 20%))</f>
        <v/>
      </c>
      <c r="L1308" s="3">
        <f>+IFERROR(IF(J1308="","",H1308*K1308),"")</f>
        <v/>
      </c>
    </row>
    <row r="1309">
      <c r="A1309" s="11" t="n"/>
      <c r="B1309" s="7" t="n"/>
      <c r="C1309" s="8" t="n"/>
      <c r="D1309" s="9" t="n"/>
      <c r="E1309" s="8" t="n"/>
      <c r="F1309" s="9" t="n"/>
      <c r="G1309" s="9" t="n"/>
      <c r="H1309" s="3">
        <f>IF(AND(D1309&lt;&gt;"",F1309&lt;&gt;""),F1309-D1309-G1309,"")</f>
        <v/>
      </c>
      <c r="I1309" s="14">
        <f>IF(E1309&lt;&gt;"", YEARFRAC(C1309, E1309) * 12, "")</f>
        <v/>
      </c>
      <c r="J1309" s="2">
        <f>IF(I1309="", "", IF(AND(A1309="MF (Equity)", I1309&gt;12), "Long Term", "Short Term"))</f>
        <v/>
      </c>
      <c r="K1309" s="5">
        <f>IF(J1309="", "", IF(J1309="Long Term", 12.5%, 20%))</f>
        <v/>
      </c>
      <c r="L1309" s="3">
        <f>+IFERROR(IF(J1309="","",H1309*K1309),"")</f>
        <v/>
      </c>
    </row>
    <row r="1310">
      <c r="A1310" s="11" t="n"/>
      <c r="B1310" s="7" t="n"/>
      <c r="C1310" s="8" t="n"/>
      <c r="D1310" s="9" t="n"/>
      <c r="E1310" s="8" t="n"/>
      <c r="F1310" s="9" t="n"/>
      <c r="G1310" s="9" t="n"/>
      <c r="H1310" s="3">
        <f>IF(AND(D1310&lt;&gt;"",F1310&lt;&gt;""),F1310-D1310-G1310,"")</f>
        <v/>
      </c>
      <c r="I1310" s="14">
        <f>IF(E1310&lt;&gt;"", YEARFRAC(C1310, E1310) * 12, "")</f>
        <v/>
      </c>
      <c r="J1310" s="2">
        <f>IF(I1310="", "", IF(AND(A1310="MF (Equity)", I1310&gt;12), "Long Term", "Short Term"))</f>
        <v/>
      </c>
      <c r="K1310" s="5">
        <f>IF(J1310="", "", IF(J1310="Long Term", 12.5%, 20%))</f>
        <v/>
      </c>
      <c r="L1310" s="3">
        <f>+IFERROR(IF(J1310="","",H1310*K1310),"")</f>
        <v/>
      </c>
    </row>
    <row r="1311">
      <c r="A1311" s="11" t="n"/>
      <c r="B1311" s="7" t="n"/>
      <c r="C1311" s="8" t="n"/>
      <c r="D1311" s="9" t="n"/>
      <c r="E1311" s="8" t="n"/>
      <c r="F1311" s="9" t="n"/>
      <c r="G1311" s="9" t="n"/>
      <c r="H1311" s="3">
        <f>IF(AND(D1311&lt;&gt;"",F1311&lt;&gt;""),F1311-D1311-G1311,"")</f>
        <v/>
      </c>
      <c r="I1311" s="14">
        <f>IF(E1311&lt;&gt;"", YEARFRAC(C1311, E1311) * 12, "")</f>
        <v/>
      </c>
      <c r="J1311" s="2">
        <f>IF(I1311="", "", IF(AND(A1311="MF (Equity)", I1311&gt;12), "Long Term", "Short Term"))</f>
        <v/>
      </c>
      <c r="K1311" s="5">
        <f>IF(J1311="", "", IF(J1311="Long Term", 12.5%, 20%))</f>
        <v/>
      </c>
      <c r="L1311" s="3">
        <f>+IFERROR(IF(J1311="","",H1311*K1311),"")</f>
        <v/>
      </c>
    </row>
    <row r="1312">
      <c r="A1312" s="11" t="n"/>
      <c r="B1312" s="7" t="n"/>
      <c r="C1312" s="8" t="n"/>
      <c r="D1312" s="9" t="n"/>
      <c r="E1312" s="8" t="n"/>
      <c r="F1312" s="9" t="n"/>
      <c r="G1312" s="9" t="n"/>
      <c r="H1312" s="3">
        <f>IF(AND(D1312&lt;&gt;"",F1312&lt;&gt;""),F1312-D1312-G1312,"")</f>
        <v/>
      </c>
      <c r="I1312" s="14">
        <f>IF(E1312&lt;&gt;"", YEARFRAC(C1312, E1312) * 12, "")</f>
        <v/>
      </c>
      <c r="J1312" s="2">
        <f>IF(I1312="", "", IF(AND(A1312="MF (Equity)", I1312&gt;12), "Long Term", "Short Term"))</f>
        <v/>
      </c>
      <c r="K1312" s="5">
        <f>IF(J1312="", "", IF(J1312="Long Term", 12.5%, 20%))</f>
        <v/>
      </c>
      <c r="L1312" s="3">
        <f>+IFERROR(IF(J1312="","",H1312*K1312),"")</f>
        <v/>
      </c>
    </row>
    <row r="1313">
      <c r="A1313" s="11" t="n"/>
      <c r="B1313" s="7" t="n"/>
      <c r="C1313" s="8" t="n"/>
      <c r="D1313" s="9" t="n"/>
      <c r="E1313" s="8" t="n"/>
      <c r="F1313" s="9" t="n"/>
      <c r="G1313" s="9" t="n"/>
      <c r="H1313" s="3">
        <f>IF(AND(D1313&lt;&gt;"",F1313&lt;&gt;""),F1313-D1313-G1313,"")</f>
        <v/>
      </c>
      <c r="I1313" s="14">
        <f>IF(E1313&lt;&gt;"", YEARFRAC(C1313, E1313) * 12, "")</f>
        <v/>
      </c>
      <c r="J1313" s="2">
        <f>IF(I1313="", "", IF(AND(A1313="MF (Equity)", I1313&gt;12), "Long Term", "Short Term"))</f>
        <v/>
      </c>
      <c r="K1313" s="5">
        <f>IF(J1313="", "", IF(J1313="Long Term", 12.5%, 20%))</f>
        <v/>
      </c>
      <c r="L1313" s="3">
        <f>+IFERROR(IF(J1313="","",H1313*K1313),"")</f>
        <v/>
      </c>
    </row>
    <row r="1314">
      <c r="A1314" s="11" t="n"/>
      <c r="B1314" s="7" t="n"/>
      <c r="C1314" s="8" t="n"/>
      <c r="D1314" s="9" t="n"/>
      <c r="E1314" s="8" t="n"/>
      <c r="F1314" s="9" t="n"/>
      <c r="G1314" s="9" t="n"/>
      <c r="H1314" s="3">
        <f>IF(AND(D1314&lt;&gt;"",F1314&lt;&gt;""),F1314-D1314-G1314,"")</f>
        <v/>
      </c>
      <c r="I1314" s="14">
        <f>IF(E1314&lt;&gt;"", YEARFRAC(C1314, E1314) * 12, "")</f>
        <v/>
      </c>
      <c r="J1314" s="2">
        <f>IF(I1314="", "", IF(AND(A1314="MF (Equity)", I1314&gt;12), "Long Term", "Short Term"))</f>
        <v/>
      </c>
      <c r="K1314" s="5">
        <f>IF(J1314="", "", IF(J1314="Long Term", 12.5%, 20%))</f>
        <v/>
      </c>
      <c r="L1314" s="3">
        <f>+IFERROR(IF(J1314="","",H1314*K1314),"")</f>
        <v/>
      </c>
    </row>
    <row r="1315">
      <c r="A1315" s="11" t="n"/>
      <c r="B1315" s="7" t="n"/>
      <c r="C1315" s="8" t="n"/>
      <c r="D1315" s="9" t="n"/>
      <c r="E1315" s="8" t="n"/>
      <c r="F1315" s="9" t="n"/>
      <c r="G1315" s="9" t="n"/>
      <c r="H1315" s="3">
        <f>IF(AND(D1315&lt;&gt;"",F1315&lt;&gt;""),F1315-D1315-G1315,"")</f>
        <v/>
      </c>
      <c r="I1315" s="14">
        <f>IF(E1315&lt;&gt;"", YEARFRAC(C1315, E1315) * 12, "")</f>
        <v/>
      </c>
      <c r="J1315" s="2">
        <f>IF(I1315="", "", IF(AND(A1315="MF (Equity)", I1315&gt;12), "Long Term", "Short Term"))</f>
        <v/>
      </c>
      <c r="K1315" s="5">
        <f>IF(J1315="", "", IF(J1315="Long Term", 12.5%, 20%))</f>
        <v/>
      </c>
      <c r="L1315" s="3">
        <f>+IFERROR(IF(J1315="","",H1315*K1315),"")</f>
        <v/>
      </c>
    </row>
    <row r="1316">
      <c r="A1316" s="11" t="n"/>
      <c r="B1316" s="7" t="n"/>
      <c r="C1316" s="8" t="n"/>
      <c r="D1316" s="9" t="n"/>
      <c r="E1316" s="8" t="n"/>
      <c r="F1316" s="9" t="n"/>
      <c r="G1316" s="9" t="n"/>
      <c r="H1316" s="3">
        <f>IF(AND(D1316&lt;&gt;"",F1316&lt;&gt;""),F1316-D1316-G1316,"")</f>
        <v/>
      </c>
      <c r="I1316" s="14">
        <f>IF(E1316&lt;&gt;"", YEARFRAC(C1316, E1316) * 12, "")</f>
        <v/>
      </c>
      <c r="J1316" s="2">
        <f>IF(I1316="", "", IF(AND(A1316="MF (Equity)", I1316&gt;12), "Long Term", "Short Term"))</f>
        <v/>
      </c>
      <c r="K1316" s="5">
        <f>IF(J1316="", "", IF(J1316="Long Term", 12.5%, 20%))</f>
        <v/>
      </c>
      <c r="L1316" s="3">
        <f>+IFERROR(IF(J1316="","",H1316*K1316),"")</f>
        <v/>
      </c>
    </row>
    <row r="1317">
      <c r="A1317" s="11" t="n"/>
      <c r="B1317" s="7" t="n"/>
      <c r="C1317" s="8" t="n"/>
      <c r="D1317" s="9" t="n"/>
      <c r="E1317" s="8" t="n"/>
      <c r="F1317" s="9" t="n"/>
      <c r="G1317" s="9" t="n"/>
      <c r="H1317" s="3">
        <f>IF(AND(D1317&lt;&gt;"",F1317&lt;&gt;""),F1317-D1317-G1317,"")</f>
        <v/>
      </c>
      <c r="I1317" s="14">
        <f>IF(E1317&lt;&gt;"", YEARFRAC(C1317, E1317) * 12, "")</f>
        <v/>
      </c>
      <c r="J1317" s="2">
        <f>IF(I1317="", "", IF(AND(A1317="MF (Equity)", I1317&gt;12), "Long Term", "Short Term"))</f>
        <v/>
      </c>
      <c r="K1317" s="5">
        <f>IF(J1317="", "", IF(J1317="Long Term", 12.5%, 20%))</f>
        <v/>
      </c>
      <c r="L1317" s="3">
        <f>+IFERROR(IF(J1317="","",H1317*K1317),"")</f>
        <v/>
      </c>
    </row>
    <row r="1318">
      <c r="A1318" s="11" t="n"/>
      <c r="B1318" s="7" t="n"/>
      <c r="C1318" s="8" t="n"/>
      <c r="D1318" s="9" t="n"/>
      <c r="E1318" s="8" t="n"/>
      <c r="F1318" s="9" t="n"/>
      <c r="G1318" s="9" t="n"/>
      <c r="H1318" s="3">
        <f>IF(AND(D1318&lt;&gt;"",F1318&lt;&gt;""),F1318-D1318-G1318,"")</f>
        <v/>
      </c>
      <c r="I1318" s="14">
        <f>IF(E1318&lt;&gt;"", YEARFRAC(C1318, E1318) * 12, "")</f>
        <v/>
      </c>
      <c r="J1318" s="2">
        <f>IF(I1318="", "", IF(AND(A1318="MF (Equity)", I1318&gt;12), "Long Term", "Short Term"))</f>
        <v/>
      </c>
      <c r="K1318" s="5">
        <f>IF(J1318="", "", IF(J1318="Long Term", 12.5%, 20%))</f>
        <v/>
      </c>
      <c r="L1318" s="3">
        <f>+IFERROR(IF(J1318="","",H1318*K1318),"")</f>
        <v/>
      </c>
    </row>
    <row r="1319">
      <c r="A1319" s="11" t="n"/>
      <c r="B1319" s="7" t="n"/>
      <c r="C1319" s="8" t="n"/>
      <c r="D1319" s="9" t="n"/>
      <c r="E1319" s="8" t="n"/>
      <c r="F1319" s="9" t="n"/>
      <c r="G1319" s="9" t="n"/>
      <c r="H1319" s="3">
        <f>IF(AND(D1319&lt;&gt;"",F1319&lt;&gt;""),F1319-D1319-G1319,"")</f>
        <v/>
      </c>
      <c r="I1319" s="14">
        <f>IF(E1319&lt;&gt;"", YEARFRAC(C1319, E1319) * 12, "")</f>
        <v/>
      </c>
      <c r="J1319" s="2">
        <f>IF(I1319="", "", IF(AND(A1319="MF (Equity)", I1319&gt;12), "Long Term", "Short Term"))</f>
        <v/>
      </c>
      <c r="K1319" s="5">
        <f>IF(J1319="", "", IF(J1319="Long Term", 12.5%, 20%))</f>
        <v/>
      </c>
      <c r="L1319" s="3">
        <f>+IFERROR(IF(J1319="","",H1319*K1319),"")</f>
        <v/>
      </c>
    </row>
    <row r="1320">
      <c r="A1320" s="11" t="n"/>
      <c r="B1320" s="7" t="n"/>
      <c r="C1320" s="8" t="n"/>
      <c r="D1320" s="9" t="n"/>
      <c r="E1320" s="8" t="n"/>
      <c r="F1320" s="9" t="n"/>
      <c r="G1320" s="9" t="n"/>
      <c r="H1320" s="3">
        <f>IF(AND(D1320&lt;&gt;"",F1320&lt;&gt;""),F1320-D1320-G1320,"")</f>
        <v/>
      </c>
      <c r="I1320" s="14">
        <f>IF(E1320&lt;&gt;"", YEARFRAC(C1320, E1320) * 12, "")</f>
        <v/>
      </c>
      <c r="J1320" s="2">
        <f>IF(I1320="", "", IF(AND(A1320="MF (Equity)", I1320&gt;12), "Long Term", "Short Term"))</f>
        <v/>
      </c>
      <c r="K1320" s="5">
        <f>IF(J1320="", "", IF(J1320="Long Term", 12.5%, 20%))</f>
        <v/>
      </c>
      <c r="L1320" s="3">
        <f>+IFERROR(IF(J1320="","",H1320*K1320),"")</f>
        <v/>
      </c>
    </row>
    <row r="1321">
      <c r="A1321" s="11" t="n"/>
      <c r="B1321" s="7" t="n"/>
      <c r="C1321" s="8" t="n"/>
      <c r="D1321" s="9" t="n"/>
      <c r="E1321" s="8" t="n"/>
      <c r="F1321" s="9" t="n"/>
      <c r="G1321" s="9" t="n"/>
      <c r="H1321" s="3">
        <f>IF(AND(D1321&lt;&gt;"",F1321&lt;&gt;""),F1321-D1321-G1321,"")</f>
        <v/>
      </c>
      <c r="I1321" s="14">
        <f>IF(E1321&lt;&gt;"", YEARFRAC(C1321, E1321) * 12, "")</f>
        <v/>
      </c>
      <c r="J1321" s="2">
        <f>IF(I1321="", "", IF(AND(A1321="MF (Equity)", I1321&gt;12), "Long Term", "Short Term"))</f>
        <v/>
      </c>
      <c r="K1321" s="5">
        <f>IF(J1321="", "", IF(J1321="Long Term", 12.5%, 20%))</f>
        <v/>
      </c>
      <c r="L1321" s="3">
        <f>+IFERROR(IF(J1321="","",H1321*K1321),"")</f>
        <v/>
      </c>
    </row>
    <row r="1322">
      <c r="A1322" s="11" t="n"/>
      <c r="B1322" s="7" t="n"/>
      <c r="C1322" s="8" t="n"/>
      <c r="D1322" s="9" t="n"/>
      <c r="E1322" s="8" t="n"/>
      <c r="F1322" s="9" t="n"/>
      <c r="G1322" s="9" t="n"/>
      <c r="H1322" s="3">
        <f>IF(AND(D1322&lt;&gt;"",F1322&lt;&gt;""),F1322-D1322-G1322,"")</f>
        <v/>
      </c>
      <c r="I1322" s="14">
        <f>IF(E1322&lt;&gt;"", YEARFRAC(C1322, E1322) * 12, "")</f>
        <v/>
      </c>
      <c r="J1322" s="2">
        <f>IF(I1322="", "", IF(AND(A1322="MF (Equity)", I1322&gt;12), "Long Term", "Short Term"))</f>
        <v/>
      </c>
      <c r="K1322" s="5">
        <f>IF(J1322="", "", IF(J1322="Long Term", 12.5%, 20%))</f>
        <v/>
      </c>
      <c r="L1322" s="3">
        <f>+IFERROR(IF(J1322="","",H1322*K1322),"")</f>
        <v/>
      </c>
    </row>
    <row r="1323">
      <c r="A1323" s="11" t="n"/>
      <c r="B1323" s="7" t="n"/>
      <c r="C1323" s="8" t="n"/>
      <c r="D1323" s="9" t="n"/>
      <c r="E1323" s="8" t="n"/>
      <c r="F1323" s="9" t="n"/>
      <c r="G1323" s="9" t="n"/>
      <c r="H1323" s="3">
        <f>IF(AND(D1323&lt;&gt;"",F1323&lt;&gt;""),F1323-D1323-G1323,"")</f>
        <v/>
      </c>
      <c r="I1323" s="14">
        <f>IF(E1323&lt;&gt;"", YEARFRAC(C1323, E1323) * 12, "")</f>
        <v/>
      </c>
      <c r="J1323" s="2">
        <f>IF(I1323="", "", IF(AND(A1323="MF (Equity)", I1323&gt;12), "Long Term", "Short Term"))</f>
        <v/>
      </c>
      <c r="K1323" s="5">
        <f>IF(J1323="", "", IF(J1323="Long Term", 12.5%, 20%))</f>
        <v/>
      </c>
      <c r="L1323" s="3">
        <f>+IFERROR(IF(J1323="","",H1323*K1323),"")</f>
        <v/>
      </c>
    </row>
    <row r="1324">
      <c r="A1324" s="11" t="n"/>
      <c r="B1324" s="7" t="n"/>
      <c r="C1324" s="8" t="n"/>
      <c r="D1324" s="9" t="n"/>
      <c r="E1324" s="8" t="n"/>
      <c r="F1324" s="9" t="n"/>
      <c r="G1324" s="9" t="n"/>
      <c r="H1324" s="3">
        <f>IF(AND(D1324&lt;&gt;"",F1324&lt;&gt;""),F1324-D1324-G1324,"")</f>
        <v/>
      </c>
      <c r="I1324" s="14">
        <f>IF(E1324&lt;&gt;"", YEARFRAC(C1324, E1324) * 12, "")</f>
        <v/>
      </c>
      <c r="J1324" s="2">
        <f>IF(I1324="", "", IF(AND(A1324="MF (Equity)", I1324&gt;12), "Long Term", "Short Term"))</f>
        <v/>
      </c>
      <c r="K1324" s="5">
        <f>IF(J1324="", "", IF(J1324="Long Term", 12.5%, 20%))</f>
        <v/>
      </c>
      <c r="L1324" s="3">
        <f>+IFERROR(IF(J1324="","",H1324*K1324),"")</f>
        <v/>
      </c>
    </row>
    <row r="1325">
      <c r="A1325" s="11" t="n"/>
      <c r="B1325" s="7" t="n"/>
      <c r="C1325" s="8" t="n"/>
      <c r="D1325" s="9" t="n"/>
      <c r="E1325" s="8" t="n"/>
      <c r="F1325" s="9" t="n"/>
      <c r="G1325" s="9" t="n"/>
      <c r="H1325" s="3">
        <f>IF(AND(D1325&lt;&gt;"",F1325&lt;&gt;""),F1325-D1325-G1325,"")</f>
        <v/>
      </c>
      <c r="I1325" s="14">
        <f>IF(E1325&lt;&gt;"", YEARFRAC(C1325, E1325) * 12, "")</f>
        <v/>
      </c>
      <c r="J1325" s="2">
        <f>IF(I1325="", "", IF(AND(A1325="MF (Equity)", I1325&gt;12), "Long Term", "Short Term"))</f>
        <v/>
      </c>
      <c r="K1325" s="5">
        <f>IF(J1325="", "", IF(J1325="Long Term", 12.5%, 20%))</f>
        <v/>
      </c>
      <c r="L1325" s="3">
        <f>+IFERROR(IF(J1325="","",H1325*K1325),"")</f>
        <v/>
      </c>
    </row>
    <row r="1326">
      <c r="A1326" s="11" t="n"/>
      <c r="B1326" s="7" t="n"/>
      <c r="C1326" s="8" t="n"/>
      <c r="D1326" s="9" t="n"/>
      <c r="E1326" s="8" t="n"/>
      <c r="F1326" s="9" t="n"/>
      <c r="G1326" s="9" t="n"/>
      <c r="H1326" s="3">
        <f>IF(AND(D1326&lt;&gt;"",F1326&lt;&gt;""),F1326-D1326-G1326,"")</f>
        <v/>
      </c>
      <c r="I1326" s="14">
        <f>IF(E1326&lt;&gt;"", YEARFRAC(C1326, E1326) * 12, "")</f>
        <v/>
      </c>
      <c r="J1326" s="2">
        <f>IF(I1326="", "", IF(AND(A1326="MF (Equity)", I1326&gt;12), "Long Term", "Short Term"))</f>
        <v/>
      </c>
      <c r="K1326" s="5">
        <f>IF(J1326="", "", IF(J1326="Long Term", 12.5%, 20%))</f>
        <v/>
      </c>
      <c r="L1326" s="3">
        <f>+IFERROR(IF(J1326="","",H1326*K1326),"")</f>
        <v/>
      </c>
    </row>
    <row r="1327">
      <c r="A1327" s="11" t="n"/>
      <c r="B1327" s="7" t="n"/>
      <c r="C1327" s="8" t="n"/>
      <c r="D1327" s="9" t="n"/>
      <c r="E1327" s="8" t="n"/>
      <c r="F1327" s="9" t="n"/>
      <c r="G1327" s="9" t="n"/>
      <c r="H1327" s="3">
        <f>IF(AND(D1327&lt;&gt;"",F1327&lt;&gt;""),F1327-D1327-G1327,"")</f>
        <v/>
      </c>
      <c r="I1327" s="14">
        <f>IF(E1327&lt;&gt;"", YEARFRAC(C1327, E1327) * 12, "")</f>
        <v/>
      </c>
      <c r="J1327" s="2">
        <f>IF(I1327="", "", IF(AND(A1327="MF (Equity)", I1327&gt;12), "Long Term", "Short Term"))</f>
        <v/>
      </c>
      <c r="K1327" s="5">
        <f>IF(J1327="", "", IF(J1327="Long Term", 12.5%, 20%))</f>
        <v/>
      </c>
      <c r="L1327" s="3">
        <f>+IFERROR(IF(J1327="","",H1327*K1327),"")</f>
        <v/>
      </c>
    </row>
    <row r="1328">
      <c r="A1328" s="11" t="n"/>
      <c r="B1328" s="7" t="n"/>
      <c r="C1328" s="8" t="n"/>
      <c r="D1328" s="9" t="n"/>
      <c r="E1328" s="8" t="n"/>
      <c r="F1328" s="9" t="n"/>
      <c r="G1328" s="9" t="n"/>
      <c r="H1328" s="3">
        <f>IF(AND(D1328&lt;&gt;"",F1328&lt;&gt;""),F1328-D1328-G1328,"")</f>
        <v/>
      </c>
      <c r="I1328" s="14">
        <f>IF(E1328&lt;&gt;"", YEARFRAC(C1328, E1328) * 12, "")</f>
        <v/>
      </c>
      <c r="J1328" s="2">
        <f>IF(I1328="", "", IF(AND(A1328="MF (Equity)", I1328&gt;12), "Long Term", "Short Term"))</f>
        <v/>
      </c>
      <c r="K1328" s="5">
        <f>IF(J1328="", "", IF(J1328="Long Term", 12.5%, 20%))</f>
        <v/>
      </c>
      <c r="L1328" s="3">
        <f>+IFERROR(IF(J1328="","",H1328*K1328),"")</f>
        <v/>
      </c>
    </row>
    <row r="1329">
      <c r="A1329" s="11" t="n"/>
      <c r="B1329" s="7" t="n"/>
      <c r="C1329" s="8" t="n"/>
      <c r="D1329" s="9" t="n"/>
      <c r="E1329" s="8" t="n"/>
      <c r="F1329" s="9" t="n"/>
      <c r="G1329" s="9" t="n"/>
      <c r="H1329" s="3">
        <f>IF(AND(D1329&lt;&gt;"",F1329&lt;&gt;""),F1329-D1329-G1329,"")</f>
        <v/>
      </c>
      <c r="I1329" s="14">
        <f>IF(E1329&lt;&gt;"", YEARFRAC(C1329, E1329) * 12, "")</f>
        <v/>
      </c>
      <c r="J1329" s="2">
        <f>IF(I1329="", "", IF(AND(A1329="MF (Equity)", I1329&gt;12), "Long Term", "Short Term"))</f>
        <v/>
      </c>
      <c r="K1329" s="5">
        <f>IF(J1329="", "", IF(J1329="Long Term", 12.5%, 20%))</f>
        <v/>
      </c>
      <c r="L1329" s="3">
        <f>+IFERROR(IF(J1329="","",H1329*K1329),"")</f>
        <v/>
      </c>
    </row>
    <row r="1330">
      <c r="A1330" s="11" t="n"/>
      <c r="B1330" s="7" t="n"/>
      <c r="C1330" s="8" t="n"/>
      <c r="D1330" s="9" t="n"/>
      <c r="E1330" s="8" t="n"/>
      <c r="F1330" s="9" t="n"/>
      <c r="G1330" s="9" t="n"/>
      <c r="H1330" s="3">
        <f>IF(AND(D1330&lt;&gt;"",F1330&lt;&gt;""),F1330-D1330-G1330,"")</f>
        <v/>
      </c>
      <c r="I1330" s="14">
        <f>IF(E1330&lt;&gt;"", YEARFRAC(C1330, E1330) * 12, "")</f>
        <v/>
      </c>
      <c r="J1330" s="2">
        <f>IF(I1330="", "", IF(AND(A1330="MF (Equity)", I1330&gt;12), "Long Term", "Short Term"))</f>
        <v/>
      </c>
      <c r="K1330" s="5">
        <f>IF(J1330="", "", IF(J1330="Long Term", 12.5%, 20%))</f>
        <v/>
      </c>
      <c r="L1330" s="3">
        <f>+IFERROR(IF(J1330="","",H1330*K1330),"")</f>
        <v/>
      </c>
    </row>
    <row r="1331">
      <c r="A1331" s="11" t="n"/>
      <c r="B1331" s="7" t="n"/>
      <c r="C1331" s="8" t="n"/>
      <c r="D1331" s="9" t="n"/>
      <c r="E1331" s="8" t="n"/>
      <c r="F1331" s="9" t="n"/>
      <c r="G1331" s="9" t="n"/>
      <c r="H1331" s="3">
        <f>IF(AND(D1331&lt;&gt;"",F1331&lt;&gt;""),F1331-D1331-G1331,"")</f>
        <v/>
      </c>
      <c r="I1331" s="14">
        <f>IF(E1331&lt;&gt;"", YEARFRAC(C1331, E1331) * 12, "")</f>
        <v/>
      </c>
      <c r="J1331" s="2">
        <f>IF(I1331="", "", IF(AND(A1331="MF (Equity)", I1331&gt;12), "Long Term", "Short Term"))</f>
        <v/>
      </c>
      <c r="K1331" s="5">
        <f>IF(J1331="", "", IF(J1331="Long Term", 12.5%, 20%))</f>
        <v/>
      </c>
      <c r="L1331" s="3">
        <f>+IFERROR(IF(J1331="","",H1331*K1331),"")</f>
        <v/>
      </c>
    </row>
    <row r="1332">
      <c r="A1332" s="11" t="n"/>
      <c r="B1332" s="7" t="n"/>
      <c r="C1332" s="8" t="n"/>
      <c r="D1332" s="9" t="n"/>
      <c r="E1332" s="8" t="n"/>
      <c r="F1332" s="9" t="n"/>
      <c r="G1332" s="9" t="n"/>
      <c r="H1332" s="3">
        <f>IF(AND(D1332&lt;&gt;"",F1332&lt;&gt;""),F1332-D1332-G1332,"")</f>
        <v/>
      </c>
      <c r="I1332" s="14">
        <f>IF(E1332&lt;&gt;"", YEARFRAC(C1332, E1332) * 12, "")</f>
        <v/>
      </c>
      <c r="J1332" s="2">
        <f>IF(I1332="", "", IF(AND(A1332="MF (Equity)", I1332&gt;12), "Long Term", "Short Term"))</f>
        <v/>
      </c>
      <c r="K1332" s="5">
        <f>IF(J1332="", "", IF(J1332="Long Term", 12.5%, 20%))</f>
        <v/>
      </c>
      <c r="L1332" s="3">
        <f>+IFERROR(IF(J1332="","",H1332*K1332),"")</f>
        <v/>
      </c>
    </row>
    <row r="1333">
      <c r="A1333" s="11" t="n"/>
      <c r="B1333" s="7" t="n"/>
      <c r="C1333" s="8" t="n"/>
      <c r="D1333" s="9" t="n"/>
      <c r="E1333" s="8" t="n"/>
      <c r="F1333" s="9" t="n"/>
      <c r="G1333" s="9" t="n"/>
      <c r="H1333" s="3">
        <f>IF(AND(D1333&lt;&gt;"",F1333&lt;&gt;""),F1333-D1333-G1333,"")</f>
        <v/>
      </c>
      <c r="I1333" s="14">
        <f>IF(E1333&lt;&gt;"", YEARFRAC(C1333, E1333) * 12, "")</f>
        <v/>
      </c>
      <c r="J1333" s="2">
        <f>IF(I1333="", "", IF(AND(A1333="MF (Equity)", I1333&gt;12), "Long Term", "Short Term"))</f>
        <v/>
      </c>
      <c r="K1333" s="5">
        <f>IF(J1333="", "", IF(J1333="Long Term", 12.5%, 20%))</f>
        <v/>
      </c>
      <c r="L1333" s="3">
        <f>+IFERROR(IF(J1333="","",H1333*K1333),"")</f>
        <v/>
      </c>
    </row>
    <row r="1334">
      <c r="A1334" s="11" t="n"/>
      <c r="B1334" s="7" t="n"/>
      <c r="C1334" s="8" t="n"/>
      <c r="D1334" s="9" t="n"/>
      <c r="E1334" s="8" t="n"/>
      <c r="F1334" s="9" t="n"/>
      <c r="G1334" s="9" t="n"/>
      <c r="H1334" s="3">
        <f>IF(AND(D1334&lt;&gt;"",F1334&lt;&gt;""),F1334-D1334-G1334,"")</f>
        <v/>
      </c>
      <c r="I1334" s="14">
        <f>IF(E1334&lt;&gt;"", YEARFRAC(C1334, E1334) * 12, "")</f>
        <v/>
      </c>
      <c r="J1334" s="2">
        <f>IF(I1334="", "", IF(AND(A1334="MF (Equity)", I1334&gt;12), "Long Term", "Short Term"))</f>
        <v/>
      </c>
      <c r="K1334" s="5">
        <f>IF(J1334="", "", IF(J1334="Long Term", 12.5%, 20%))</f>
        <v/>
      </c>
      <c r="L1334" s="3">
        <f>+IFERROR(IF(J1334="","",H1334*K1334),"")</f>
        <v/>
      </c>
    </row>
    <row r="1335">
      <c r="A1335" s="11" t="n"/>
      <c r="B1335" s="7" t="n"/>
      <c r="C1335" s="8" t="n"/>
      <c r="D1335" s="9" t="n"/>
      <c r="E1335" s="8" t="n"/>
      <c r="F1335" s="9" t="n"/>
      <c r="G1335" s="9" t="n"/>
      <c r="H1335" s="3">
        <f>IF(AND(D1335&lt;&gt;"",F1335&lt;&gt;""),F1335-D1335-G1335,"")</f>
        <v/>
      </c>
      <c r="I1335" s="14">
        <f>IF(E1335&lt;&gt;"", YEARFRAC(C1335, E1335) * 12, "")</f>
        <v/>
      </c>
      <c r="J1335" s="2">
        <f>IF(I1335="", "", IF(AND(A1335="MF (Equity)", I1335&gt;12), "Long Term", "Short Term"))</f>
        <v/>
      </c>
      <c r="K1335" s="5">
        <f>IF(J1335="", "", IF(J1335="Long Term", 12.5%, 20%))</f>
        <v/>
      </c>
      <c r="L1335" s="3">
        <f>+IFERROR(IF(J1335="","",H1335*K1335),"")</f>
        <v/>
      </c>
    </row>
    <row r="1336">
      <c r="A1336" s="11" t="n"/>
      <c r="B1336" s="7" t="n"/>
      <c r="C1336" s="8" t="n"/>
      <c r="D1336" s="9" t="n"/>
      <c r="E1336" s="8" t="n"/>
      <c r="F1336" s="9" t="n"/>
      <c r="G1336" s="9" t="n"/>
      <c r="H1336" s="3">
        <f>IF(AND(D1336&lt;&gt;"",F1336&lt;&gt;""),F1336-D1336-G1336,"")</f>
        <v/>
      </c>
      <c r="I1336" s="14">
        <f>IF(E1336&lt;&gt;"", YEARFRAC(C1336, E1336) * 12, "")</f>
        <v/>
      </c>
      <c r="J1336" s="2">
        <f>IF(I1336="", "", IF(AND(A1336="MF (Equity)", I1336&gt;12), "Long Term", "Short Term"))</f>
        <v/>
      </c>
      <c r="K1336" s="5">
        <f>IF(J1336="", "", IF(J1336="Long Term", 12.5%, 20%))</f>
        <v/>
      </c>
      <c r="L1336" s="3">
        <f>+IFERROR(IF(J1336="","",H1336*K1336),"")</f>
        <v/>
      </c>
    </row>
    <row r="1337">
      <c r="A1337" s="11" t="n"/>
      <c r="B1337" s="7" t="n"/>
      <c r="C1337" s="8" t="n"/>
      <c r="D1337" s="9" t="n"/>
      <c r="E1337" s="8" t="n"/>
      <c r="F1337" s="9" t="n"/>
      <c r="G1337" s="9" t="n"/>
      <c r="H1337" s="3">
        <f>IF(AND(D1337&lt;&gt;"",F1337&lt;&gt;""),F1337-D1337-G1337,"")</f>
        <v/>
      </c>
      <c r="I1337" s="14">
        <f>IF(E1337&lt;&gt;"", YEARFRAC(C1337, E1337) * 12, "")</f>
        <v/>
      </c>
      <c r="J1337" s="2">
        <f>IF(I1337="", "", IF(AND(A1337="MF (Equity)", I1337&gt;12), "Long Term", "Short Term"))</f>
        <v/>
      </c>
      <c r="K1337" s="5">
        <f>IF(J1337="", "", IF(J1337="Long Term", 12.5%, 20%))</f>
        <v/>
      </c>
      <c r="L1337" s="3">
        <f>+IFERROR(IF(J1337="","",H1337*K1337),"")</f>
        <v/>
      </c>
    </row>
    <row r="1338">
      <c r="A1338" s="11" t="n"/>
      <c r="B1338" s="7" t="n"/>
      <c r="C1338" s="8" t="n"/>
      <c r="D1338" s="9" t="n"/>
      <c r="E1338" s="8" t="n"/>
      <c r="F1338" s="9" t="n"/>
      <c r="G1338" s="9" t="n"/>
      <c r="H1338" s="3">
        <f>IF(AND(D1338&lt;&gt;"",F1338&lt;&gt;""),F1338-D1338-G1338,"")</f>
        <v/>
      </c>
      <c r="I1338" s="14">
        <f>IF(E1338&lt;&gt;"", YEARFRAC(C1338, E1338) * 12, "")</f>
        <v/>
      </c>
      <c r="J1338" s="2">
        <f>IF(I1338="", "", IF(AND(A1338="MF (Equity)", I1338&gt;12), "Long Term", "Short Term"))</f>
        <v/>
      </c>
      <c r="K1338" s="5">
        <f>IF(J1338="", "", IF(J1338="Long Term", 12.5%, 20%))</f>
        <v/>
      </c>
      <c r="L1338" s="3">
        <f>+IFERROR(IF(J1338="","",H1338*K1338),"")</f>
        <v/>
      </c>
    </row>
    <row r="1339">
      <c r="A1339" s="11" t="n"/>
      <c r="B1339" s="7" t="n"/>
      <c r="C1339" s="8" t="n"/>
      <c r="D1339" s="9" t="n"/>
      <c r="E1339" s="8" t="n"/>
      <c r="F1339" s="9" t="n"/>
      <c r="G1339" s="9" t="n"/>
      <c r="H1339" s="3">
        <f>IF(AND(D1339&lt;&gt;"",F1339&lt;&gt;""),F1339-D1339-G1339,"")</f>
        <v/>
      </c>
      <c r="I1339" s="14">
        <f>IF(E1339&lt;&gt;"", YEARFRAC(C1339, E1339) * 12, "")</f>
        <v/>
      </c>
      <c r="J1339" s="2">
        <f>IF(I1339="", "", IF(AND(A1339="MF (Equity)", I1339&gt;12), "Long Term", "Short Term"))</f>
        <v/>
      </c>
      <c r="K1339" s="5">
        <f>IF(J1339="", "", IF(J1339="Long Term", 12.5%, 20%))</f>
        <v/>
      </c>
      <c r="L1339" s="3">
        <f>+IFERROR(IF(J1339="","",H1339*K1339),"")</f>
        <v/>
      </c>
    </row>
    <row r="1340">
      <c r="A1340" s="11" t="n"/>
      <c r="B1340" s="7" t="n"/>
      <c r="C1340" s="8" t="n"/>
      <c r="D1340" s="9" t="n"/>
      <c r="E1340" s="8" t="n"/>
      <c r="F1340" s="9" t="n"/>
      <c r="G1340" s="9" t="n"/>
      <c r="H1340" s="3">
        <f>IF(AND(D1340&lt;&gt;"",F1340&lt;&gt;""),F1340-D1340-G1340,"")</f>
        <v/>
      </c>
      <c r="I1340" s="14">
        <f>IF(E1340&lt;&gt;"", YEARFRAC(C1340, E1340) * 12, "")</f>
        <v/>
      </c>
      <c r="J1340" s="2">
        <f>IF(I1340="", "", IF(AND(A1340="MF (Equity)", I1340&gt;12), "Long Term", "Short Term"))</f>
        <v/>
      </c>
      <c r="K1340" s="5">
        <f>IF(J1340="", "", IF(J1340="Long Term", 12.5%, 20%))</f>
        <v/>
      </c>
      <c r="L1340" s="3">
        <f>+IFERROR(IF(J1340="","",H1340*K1340),"")</f>
        <v/>
      </c>
    </row>
    <row r="1341">
      <c r="A1341" s="11" t="n"/>
      <c r="B1341" s="7" t="n"/>
      <c r="C1341" s="8" t="n"/>
      <c r="D1341" s="9" t="n"/>
      <c r="E1341" s="8" t="n"/>
      <c r="F1341" s="9" t="n"/>
      <c r="G1341" s="9" t="n"/>
      <c r="H1341" s="3">
        <f>IF(AND(D1341&lt;&gt;"",F1341&lt;&gt;""),F1341-D1341-G1341,"")</f>
        <v/>
      </c>
      <c r="I1341" s="14">
        <f>IF(E1341&lt;&gt;"", YEARFRAC(C1341, E1341) * 12, "")</f>
        <v/>
      </c>
      <c r="J1341" s="2">
        <f>IF(I1341="", "", IF(AND(A1341="MF (Equity)", I1341&gt;12), "Long Term", "Short Term"))</f>
        <v/>
      </c>
      <c r="K1341" s="5">
        <f>IF(J1341="", "", IF(J1341="Long Term", 12.5%, 20%))</f>
        <v/>
      </c>
      <c r="L1341" s="3">
        <f>+IFERROR(IF(J1341="","",H1341*K1341),"")</f>
        <v/>
      </c>
    </row>
    <row r="1342">
      <c r="A1342" s="11" t="n"/>
      <c r="B1342" s="7" t="n"/>
      <c r="C1342" s="8" t="n"/>
      <c r="D1342" s="9" t="n"/>
      <c r="E1342" s="8" t="n"/>
      <c r="F1342" s="9" t="n"/>
      <c r="G1342" s="9" t="n"/>
      <c r="H1342" s="3">
        <f>IF(AND(D1342&lt;&gt;"",F1342&lt;&gt;""),F1342-D1342-G1342,"")</f>
        <v/>
      </c>
      <c r="I1342" s="14">
        <f>IF(E1342&lt;&gt;"", YEARFRAC(C1342, E1342) * 12, "")</f>
        <v/>
      </c>
      <c r="J1342" s="2">
        <f>IF(I1342="", "", IF(AND(A1342="MF (Equity)", I1342&gt;12), "Long Term", "Short Term"))</f>
        <v/>
      </c>
      <c r="K1342" s="5">
        <f>IF(J1342="", "", IF(J1342="Long Term", 12.5%, 20%))</f>
        <v/>
      </c>
      <c r="L1342" s="3">
        <f>+IFERROR(IF(J1342="","",H1342*K1342),"")</f>
        <v/>
      </c>
    </row>
    <row r="1343">
      <c r="A1343" s="11" t="n"/>
      <c r="B1343" s="7" t="n"/>
      <c r="C1343" s="8" t="n"/>
      <c r="D1343" s="9" t="n"/>
      <c r="E1343" s="8" t="n"/>
      <c r="F1343" s="9" t="n"/>
      <c r="G1343" s="9" t="n"/>
      <c r="H1343" s="3">
        <f>IF(AND(D1343&lt;&gt;"",F1343&lt;&gt;""),F1343-D1343-G1343,"")</f>
        <v/>
      </c>
      <c r="I1343" s="14">
        <f>IF(E1343&lt;&gt;"", YEARFRAC(C1343, E1343) * 12, "")</f>
        <v/>
      </c>
      <c r="J1343" s="2">
        <f>IF(I1343="", "", IF(AND(A1343="MF (Equity)", I1343&gt;12), "Long Term", "Short Term"))</f>
        <v/>
      </c>
      <c r="K1343" s="5">
        <f>IF(J1343="", "", IF(J1343="Long Term", 12.5%, 20%))</f>
        <v/>
      </c>
      <c r="L1343" s="3">
        <f>+IFERROR(IF(J1343="","",H1343*K1343),"")</f>
        <v/>
      </c>
    </row>
    <row r="1344">
      <c r="A1344" s="11" t="n"/>
      <c r="B1344" s="7" t="n"/>
      <c r="C1344" s="8" t="n"/>
      <c r="D1344" s="9" t="n"/>
      <c r="E1344" s="8" t="n"/>
      <c r="F1344" s="9" t="n"/>
      <c r="G1344" s="9" t="n"/>
      <c r="H1344" s="3">
        <f>IF(AND(D1344&lt;&gt;"",F1344&lt;&gt;""),F1344-D1344-G1344,"")</f>
        <v/>
      </c>
      <c r="I1344" s="14">
        <f>IF(E1344&lt;&gt;"", YEARFRAC(C1344, E1344) * 12, "")</f>
        <v/>
      </c>
      <c r="J1344" s="2">
        <f>IF(I1344="", "", IF(AND(A1344="MF (Equity)", I1344&gt;12), "Long Term", "Short Term"))</f>
        <v/>
      </c>
      <c r="K1344" s="5">
        <f>IF(J1344="", "", IF(J1344="Long Term", 12.5%, 20%))</f>
        <v/>
      </c>
      <c r="L1344" s="3">
        <f>+IFERROR(IF(J1344="","",H1344*K1344),"")</f>
        <v/>
      </c>
    </row>
    <row r="1345">
      <c r="A1345" s="11" t="n"/>
      <c r="B1345" s="7" t="n"/>
      <c r="C1345" s="8" t="n"/>
      <c r="D1345" s="9" t="n"/>
      <c r="E1345" s="8" t="n"/>
      <c r="F1345" s="9" t="n"/>
      <c r="G1345" s="9" t="n"/>
      <c r="H1345" s="3">
        <f>IF(AND(D1345&lt;&gt;"",F1345&lt;&gt;""),F1345-D1345-G1345,"")</f>
        <v/>
      </c>
      <c r="I1345" s="14">
        <f>IF(E1345&lt;&gt;"", YEARFRAC(C1345, E1345) * 12, "")</f>
        <v/>
      </c>
      <c r="J1345" s="2">
        <f>IF(I1345="", "", IF(AND(A1345="MF (Equity)", I1345&gt;12), "Long Term", "Short Term"))</f>
        <v/>
      </c>
      <c r="K1345" s="5">
        <f>IF(J1345="", "", IF(J1345="Long Term", 12.5%, 20%))</f>
        <v/>
      </c>
      <c r="L1345" s="3">
        <f>+IFERROR(IF(J1345="","",H1345*K1345),"")</f>
        <v/>
      </c>
    </row>
    <row r="1346">
      <c r="A1346" s="11" t="n"/>
      <c r="B1346" s="7" t="n"/>
      <c r="C1346" s="8" t="n"/>
      <c r="D1346" s="9" t="n"/>
      <c r="E1346" s="8" t="n"/>
      <c r="F1346" s="9" t="n"/>
      <c r="G1346" s="9" t="n"/>
      <c r="H1346" s="3">
        <f>IF(AND(D1346&lt;&gt;"",F1346&lt;&gt;""),F1346-D1346-G1346,"")</f>
        <v/>
      </c>
      <c r="I1346" s="14">
        <f>IF(E1346&lt;&gt;"", YEARFRAC(C1346, E1346) * 12, "")</f>
        <v/>
      </c>
      <c r="J1346" s="2">
        <f>IF(I1346="", "", IF(AND(A1346="MF (Equity)", I1346&gt;12), "Long Term", "Short Term"))</f>
        <v/>
      </c>
      <c r="K1346" s="5">
        <f>IF(J1346="", "", IF(J1346="Long Term", 12.5%, 20%))</f>
        <v/>
      </c>
      <c r="L1346" s="3">
        <f>+IFERROR(IF(J1346="","",H1346*K1346),"")</f>
        <v/>
      </c>
    </row>
    <row r="1347">
      <c r="A1347" s="11" t="n"/>
      <c r="B1347" s="7" t="n"/>
      <c r="C1347" s="8" t="n"/>
      <c r="D1347" s="9" t="n"/>
      <c r="E1347" s="8" t="n"/>
      <c r="F1347" s="9" t="n"/>
      <c r="G1347" s="9" t="n"/>
      <c r="H1347" s="3">
        <f>IF(AND(D1347&lt;&gt;"",F1347&lt;&gt;""),F1347-D1347-G1347,"")</f>
        <v/>
      </c>
      <c r="I1347" s="14">
        <f>IF(E1347&lt;&gt;"", YEARFRAC(C1347, E1347) * 12, "")</f>
        <v/>
      </c>
      <c r="J1347" s="2">
        <f>IF(I1347="", "", IF(AND(A1347="MF (Equity)", I1347&gt;12), "Long Term", "Short Term"))</f>
        <v/>
      </c>
      <c r="K1347" s="5">
        <f>IF(J1347="", "", IF(J1347="Long Term", 12.5%, 20%))</f>
        <v/>
      </c>
      <c r="L1347" s="3">
        <f>+IFERROR(IF(J1347="","",H1347*K1347),"")</f>
        <v/>
      </c>
    </row>
    <row r="1348">
      <c r="A1348" s="11" t="n"/>
      <c r="B1348" s="7" t="n"/>
      <c r="C1348" s="8" t="n"/>
      <c r="D1348" s="9" t="n"/>
      <c r="E1348" s="8" t="n"/>
      <c r="F1348" s="9" t="n"/>
      <c r="G1348" s="9" t="n"/>
      <c r="H1348" s="3">
        <f>IF(AND(D1348&lt;&gt;"",F1348&lt;&gt;""),F1348-D1348-G1348,"")</f>
        <v/>
      </c>
      <c r="I1348" s="14">
        <f>IF(E1348&lt;&gt;"", YEARFRAC(C1348, E1348) * 12, "")</f>
        <v/>
      </c>
      <c r="J1348" s="2">
        <f>IF(I1348="", "", IF(AND(A1348="MF (Equity)", I1348&gt;12), "Long Term", "Short Term"))</f>
        <v/>
      </c>
      <c r="K1348" s="5">
        <f>IF(J1348="", "", IF(J1348="Long Term", 12.5%, 20%))</f>
        <v/>
      </c>
      <c r="L1348" s="3">
        <f>+IFERROR(IF(J1348="","",H1348*K1348),"")</f>
        <v/>
      </c>
    </row>
    <row r="1349">
      <c r="A1349" s="11" t="n"/>
      <c r="B1349" s="7" t="n"/>
      <c r="C1349" s="8" t="n"/>
      <c r="D1349" s="9" t="n"/>
      <c r="E1349" s="8" t="n"/>
      <c r="F1349" s="9" t="n"/>
      <c r="G1349" s="9" t="n"/>
      <c r="H1349" s="3">
        <f>IF(AND(D1349&lt;&gt;"",F1349&lt;&gt;""),F1349-D1349-G1349,"")</f>
        <v/>
      </c>
      <c r="I1349" s="14">
        <f>IF(E1349&lt;&gt;"", YEARFRAC(C1349, E1349) * 12, "")</f>
        <v/>
      </c>
      <c r="J1349" s="2">
        <f>IF(I1349="", "", IF(AND(A1349="MF (Equity)", I1349&gt;12), "Long Term", "Short Term"))</f>
        <v/>
      </c>
      <c r="K1349" s="5">
        <f>IF(J1349="", "", IF(J1349="Long Term", 12.5%, 20%))</f>
        <v/>
      </c>
      <c r="L1349" s="3">
        <f>+IFERROR(IF(J1349="","",H1349*K1349),"")</f>
        <v/>
      </c>
    </row>
    <row r="1350">
      <c r="A1350" s="11" t="n"/>
      <c r="B1350" s="7" t="n"/>
      <c r="C1350" s="8" t="n"/>
      <c r="D1350" s="9" t="n"/>
      <c r="E1350" s="8" t="n"/>
      <c r="F1350" s="9" t="n"/>
      <c r="G1350" s="9" t="n"/>
      <c r="H1350" s="3">
        <f>IF(AND(D1350&lt;&gt;"",F1350&lt;&gt;""),F1350-D1350-G1350,"")</f>
        <v/>
      </c>
      <c r="I1350" s="14">
        <f>IF(E1350&lt;&gt;"", YEARFRAC(C1350, E1350) * 12, "")</f>
        <v/>
      </c>
      <c r="J1350" s="2">
        <f>IF(I1350="", "", IF(AND(A1350="MF (Equity)", I1350&gt;12), "Long Term", "Short Term"))</f>
        <v/>
      </c>
      <c r="K1350" s="5">
        <f>IF(J1350="", "", IF(J1350="Long Term", 12.5%, 20%))</f>
        <v/>
      </c>
      <c r="L1350" s="3">
        <f>+IFERROR(IF(J1350="","",H1350*K1350),"")</f>
        <v/>
      </c>
    </row>
    <row r="1351">
      <c r="A1351" s="11" t="n"/>
      <c r="B1351" s="7" t="n"/>
      <c r="C1351" s="8" t="n"/>
      <c r="D1351" s="9" t="n"/>
      <c r="E1351" s="8" t="n"/>
      <c r="F1351" s="9" t="n"/>
      <c r="G1351" s="9" t="n"/>
      <c r="H1351" s="3">
        <f>IF(AND(D1351&lt;&gt;"",F1351&lt;&gt;""),F1351-D1351-G1351,"")</f>
        <v/>
      </c>
      <c r="I1351" s="14">
        <f>IF(E1351&lt;&gt;"", YEARFRAC(C1351, E1351) * 12, "")</f>
        <v/>
      </c>
      <c r="J1351" s="2">
        <f>IF(I1351="", "", IF(AND(A1351="MF (Equity)", I1351&gt;12), "Long Term", "Short Term"))</f>
        <v/>
      </c>
      <c r="K1351" s="5">
        <f>IF(J1351="", "", IF(J1351="Long Term", 12.5%, 20%))</f>
        <v/>
      </c>
      <c r="L1351" s="3">
        <f>+IFERROR(IF(J1351="","",H1351*K1351),"")</f>
        <v/>
      </c>
    </row>
    <row r="1352">
      <c r="A1352" s="11" t="n"/>
      <c r="B1352" s="7" t="n"/>
      <c r="C1352" s="8" t="n"/>
      <c r="D1352" s="9" t="n"/>
      <c r="E1352" s="8" t="n"/>
      <c r="F1352" s="9" t="n"/>
      <c r="G1352" s="9" t="n"/>
      <c r="H1352" s="3">
        <f>IF(AND(D1352&lt;&gt;"",F1352&lt;&gt;""),F1352-D1352-G1352,"")</f>
        <v/>
      </c>
      <c r="I1352" s="14">
        <f>IF(E1352&lt;&gt;"", YEARFRAC(C1352, E1352) * 12, "")</f>
        <v/>
      </c>
      <c r="J1352" s="2">
        <f>IF(I1352="", "", IF(AND(A1352="MF (Equity)", I1352&gt;12), "Long Term", "Short Term"))</f>
        <v/>
      </c>
      <c r="K1352" s="5">
        <f>IF(J1352="", "", IF(J1352="Long Term", 12.5%, 20%))</f>
        <v/>
      </c>
      <c r="L1352" s="3">
        <f>+IFERROR(IF(J1352="","",H1352*K1352),"")</f>
        <v/>
      </c>
    </row>
    <row r="1353">
      <c r="A1353" s="11" t="n"/>
      <c r="B1353" s="7" t="n"/>
      <c r="C1353" s="8" t="n"/>
      <c r="D1353" s="9" t="n"/>
      <c r="E1353" s="8" t="n"/>
      <c r="F1353" s="9" t="n"/>
      <c r="G1353" s="9" t="n"/>
      <c r="H1353" s="3">
        <f>IF(AND(D1353&lt;&gt;"",F1353&lt;&gt;""),F1353-D1353-G1353,"")</f>
        <v/>
      </c>
      <c r="I1353" s="14">
        <f>IF(E1353&lt;&gt;"", YEARFRAC(C1353, E1353) * 12, "")</f>
        <v/>
      </c>
      <c r="J1353" s="2">
        <f>IF(I1353="", "", IF(AND(A1353="MF (Equity)", I1353&gt;12), "Long Term", "Short Term"))</f>
        <v/>
      </c>
      <c r="K1353" s="5">
        <f>IF(J1353="", "", IF(J1353="Long Term", 12.5%, 20%))</f>
        <v/>
      </c>
      <c r="L1353" s="3">
        <f>+IFERROR(IF(J1353="","",H1353*K1353),"")</f>
        <v/>
      </c>
    </row>
    <row r="1354">
      <c r="A1354" s="11" t="n"/>
      <c r="B1354" s="7" t="n"/>
      <c r="C1354" s="8" t="n"/>
      <c r="D1354" s="9" t="n"/>
      <c r="E1354" s="8" t="n"/>
      <c r="F1354" s="9" t="n"/>
      <c r="G1354" s="9" t="n"/>
      <c r="H1354" s="3">
        <f>IF(AND(D1354&lt;&gt;"",F1354&lt;&gt;""),F1354-D1354-G1354,"")</f>
        <v/>
      </c>
      <c r="I1354" s="14">
        <f>IF(E1354&lt;&gt;"", YEARFRAC(C1354, E1354) * 12, "")</f>
        <v/>
      </c>
      <c r="J1354" s="2">
        <f>IF(I1354="", "", IF(AND(A1354="MF (Equity)", I1354&gt;12), "Long Term", "Short Term"))</f>
        <v/>
      </c>
      <c r="K1354" s="5">
        <f>IF(J1354="", "", IF(J1354="Long Term", 12.5%, 20%))</f>
        <v/>
      </c>
      <c r="L1354" s="3">
        <f>+IFERROR(IF(J1354="","",H1354*K1354),"")</f>
        <v/>
      </c>
    </row>
    <row r="1355">
      <c r="A1355" s="11" t="n"/>
      <c r="B1355" s="7" t="n"/>
      <c r="C1355" s="8" t="n"/>
      <c r="D1355" s="9" t="n"/>
      <c r="E1355" s="8" t="n"/>
      <c r="F1355" s="9" t="n"/>
      <c r="G1355" s="9" t="n"/>
      <c r="H1355" s="3">
        <f>IF(AND(D1355&lt;&gt;"",F1355&lt;&gt;""),F1355-D1355-G1355,"")</f>
        <v/>
      </c>
      <c r="I1355" s="14">
        <f>IF(E1355&lt;&gt;"", YEARFRAC(C1355, E1355) * 12, "")</f>
        <v/>
      </c>
      <c r="J1355" s="2">
        <f>IF(I1355="", "", IF(AND(A1355="MF (Equity)", I1355&gt;12), "Long Term", "Short Term"))</f>
        <v/>
      </c>
      <c r="K1355" s="5">
        <f>IF(J1355="", "", IF(J1355="Long Term", 12.5%, 20%))</f>
        <v/>
      </c>
      <c r="L1355" s="3">
        <f>+IFERROR(IF(J1355="","",H1355*K1355),"")</f>
        <v/>
      </c>
    </row>
    <row r="1356">
      <c r="A1356" s="11" t="n"/>
      <c r="B1356" s="7" t="n"/>
      <c r="C1356" s="8" t="n"/>
      <c r="D1356" s="9" t="n"/>
      <c r="E1356" s="8" t="n"/>
      <c r="F1356" s="9" t="n"/>
      <c r="G1356" s="9" t="n"/>
      <c r="H1356" s="3">
        <f>IF(AND(D1356&lt;&gt;"",F1356&lt;&gt;""),F1356-D1356-G1356,"")</f>
        <v/>
      </c>
      <c r="I1356" s="14">
        <f>IF(E1356&lt;&gt;"", YEARFRAC(C1356, E1356) * 12, "")</f>
        <v/>
      </c>
      <c r="J1356" s="2">
        <f>IF(I1356="", "", IF(AND(A1356="MF (Equity)", I1356&gt;12), "Long Term", "Short Term"))</f>
        <v/>
      </c>
      <c r="K1356" s="5">
        <f>IF(J1356="", "", IF(J1356="Long Term", 12.5%, 20%))</f>
        <v/>
      </c>
      <c r="L1356" s="3">
        <f>+IFERROR(IF(J1356="","",H1356*K1356),"")</f>
        <v/>
      </c>
    </row>
    <row r="1357">
      <c r="A1357" s="11" t="n"/>
      <c r="B1357" s="7" t="n"/>
      <c r="C1357" s="8" t="n"/>
      <c r="D1357" s="9" t="n"/>
      <c r="E1357" s="8" t="n"/>
      <c r="F1357" s="9" t="n"/>
      <c r="G1357" s="9" t="n"/>
      <c r="H1357" s="3">
        <f>IF(AND(D1357&lt;&gt;"",F1357&lt;&gt;""),F1357-D1357-G1357,"")</f>
        <v/>
      </c>
      <c r="I1357" s="14">
        <f>IF(E1357&lt;&gt;"", YEARFRAC(C1357, E1357) * 12, "")</f>
        <v/>
      </c>
      <c r="J1357" s="2">
        <f>IF(I1357="", "", IF(AND(A1357="MF (Equity)", I1357&gt;12), "Long Term", "Short Term"))</f>
        <v/>
      </c>
      <c r="K1357" s="5">
        <f>IF(J1357="", "", IF(J1357="Long Term", 12.5%, 20%))</f>
        <v/>
      </c>
      <c r="L1357" s="3">
        <f>+IFERROR(IF(J1357="","",H1357*K1357),"")</f>
        <v/>
      </c>
    </row>
    <row r="1358">
      <c r="A1358" s="11" t="n"/>
      <c r="B1358" s="7" t="n"/>
      <c r="C1358" s="8" t="n"/>
      <c r="D1358" s="9" t="n"/>
      <c r="E1358" s="8" t="n"/>
      <c r="F1358" s="9" t="n"/>
      <c r="G1358" s="9" t="n"/>
      <c r="H1358" s="3">
        <f>IF(AND(D1358&lt;&gt;"",F1358&lt;&gt;""),F1358-D1358-G1358,"")</f>
        <v/>
      </c>
      <c r="I1358" s="14">
        <f>IF(E1358&lt;&gt;"", YEARFRAC(C1358, E1358) * 12, "")</f>
        <v/>
      </c>
      <c r="J1358" s="2">
        <f>IF(I1358="", "", IF(AND(A1358="MF (Equity)", I1358&gt;12), "Long Term", "Short Term"))</f>
        <v/>
      </c>
      <c r="K1358" s="5">
        <f>IF(J1358="", "", IF(J1358="Long Term", 12.5%, 20%))</f>
        <v/>
      </c>
      <c r="L1358" s="3">
        <f>+IFERROR(IF(J1358="","",H1358*K1358),"")</f>
        <v/>
      </c>
    </row>
    <row r="1359">
      <c r="A1359" s="11" t="n"/>
      <c r="B1359" s="7" t="n"/>
      <c r="C1359" s="8" t="n"/>
      <c r="D1359" s="9" t="n"/>
      <c r="E1359" s="8" t="n"/>
      <c r="F1359" s="9" t="n"/>
      <c r="G1359" s="9" t="n"/>
      <c r="H1359" s="3">
        <f>IF(AND(D1359&lt;&gt;"",F1359&lt;&gt;""),F1359-D1359-G1359,"")</f>
        <v/>
      </c>
      <c r="I1359" s="14">
        <f>IF(E1359&lt;&gt;"", YEARFRAC(C1359, E1359) * 12, "")</f>
        <v/>
      </c>
      <c r="J1359" s="2">
        <f>IF(I1359="", "", IF(AND(A1359="MF (Equity)", I1359&gt;12), "Long Term", "Short Term"))</f>
        <v/>
      </c>
      <c r="K1359" s="5">
        <f>IF(J1359="", "", IF(J1359="Long Term", 12.5%, 20%))</f>
        <v/>
      </c>
      <c r="L1359" s="3">
        <f>+IFERROR(IF(J1359="","",H1359*K1359),"")</f>
        <v/>
      </c>
    </row>
    <row r="1360">
      <c r="A1360" s="11" t="n"/>
      <c r="B1360" s="7" t="n"/>
      <c r="C1360" s="8" t="n"/>
      <c r="D1360" s="9" t="n"/>
      <c r="E1360" s="8" t="n"/>
      <c r="F1360" s="9" t="n"/>
      <c r="G1360" s="9" t="n"/>
      <c r="H1360" s="3">
        <f>IF(AND(D1360&lt;&gt;"",F1360&lt;&gt;""),F1360-D1360-G1360,"")</f>
        <v/>
      </c>
      <c r="I1360" s="14">
        <f>IF(E1360&lt;&gt;"", YEARFRAC(C1360, E1360) * 12, "")</f>
        <v/>
      </c>
      <c r="J1360" s="2">
        <f>IF(I1360="", "", IF(AND(A1360="MF (Equity)", I1360&gt;12), "Long Term", "Short Term"))</f>
        <v/>
      </c>
      <c r="K1360" s="5">
        <f>IF(J1360="", "", IF(J1360="Long Term", 12.5%, 20%))</f>
        <v/>
      </c>
      <c r="L1360" s="3">
        <f>+IFERROR(IF(J1360="","",H1360*K1360),"")</f>
        <v/>
      </c>
    </row>
    <row r="1361">
      <c r="A1361" s="11" t="n"/>
      <c r="B1361" s="7" t="n"/>
      <c r="C1361" s="8" t="n"/>
      <c r="D1361" s="9" t="n"/>
      <c r="E1361" s="8" t="n"/>
      <c r="F1361" s="9" t="n"/>
      <c r="G1361" s="9" t="n"/>
      <c r="H1361" s="3">
        <f>IF(AND(D1361&lt;&gt;"",F1361&lt;&gt;""),F1361-D1361-G1361,"")</f>
        <v/>
      </c>
      <c r="I1361" s="14">
        <f>IF(E1361&lt;&gt;"", YEARFRAC(C1361, E1361) * 12, "")</f>
        <v/>
      </c>
      <c r="J1361" s="2">
        <f>IF(I1361="", "", IF(AND(A1361="MF (Equity)", I1361&gt;12), "Long Term", "Short Term"))</f>
        <v/>
      </c>
      <c r="K1361" s="5">
        <f>IF(J1361="", "", IF(J1361="Long Term", 12.5%, 20%))</f>
        <v/>
      </c>
      <c r="L1361" s="3">
        <f>+IFERROR(IF(J1361="","",H1361*K1361),"")</f>
        <v/>
      </c>
    </row>
    <row r="1362">
      <c r="A1362" s="11" t="n"/>
      <c r="B1362" s="7" t="n"/>
      <c r="C1362" s="8" t="n"/>
      <c r="D1362" s="9" t="n"/>
      <c r="E1362" s="8" t="n"/>
      <c r="F1362" s="9" t="n"/>
      <c r="G1362" s="9" t="n"/>
      <c r="H1362" s="3">
        <f>IF(AND(D1362&lt;&gt;"",F1362&lt;&gt;""),F1362-D1362-G1362,"")</f>
        <v/>
      </c>
      <c r="I1362" s="14">
        <f>IF(E1362&lt;&gt;"", YEARFRAC(C1362, E1362) * 12, "")</f>
        <v/>
      </c>
      <c r="J1362" s="2">
        <f>IF(I1362="", "", IF(AND(A1362="MF (Equity)", I1362&gt;12), "Long Term", "Short Term"))</f>
        <v/>
      </c>
      <c r="K1362" s="5">
        <f>IF(J1362="", "", IF(J1362="Long Term", 12.5%, 20%))</f>
        <v/>
      </c>
      <c r="L1362" s="3">
        <f>+IFERROR(IF(J1362="","",H1362*K1362),"")</f>
        <v/>
      </c>
    </row>
    <row r="1363">
      <c r="A1363" s="11" t="n"/>
      <c r="B1363" s="7" t="n"/>
      <c r="C1363" s="8" t="n"/>
      <c r="D1363" s="9" t="n"/>
      <c r="E1363" s="8" t="n"/>
      <c r="F1363" s="9" t="n"/>
      <c r="G1363" s="9" t="n"/>
      <c r="H1363" s="3">
        <f>IF(AND(D1363&lt;&gt;"",F1363&lt;&gt;""),F1363-D1363-G1363,"")</f>
        <v/>
      </c>
      <c r="I1363" s="14">
        <f>IF(E1363&lt;&gt;"", YEARFRAC(C1363, E1363) * 12, "")</f>
        <v/>
      </c>
      <c r="J1363" s="2">
        <f>IF(I1363="", "", IF(AND(A1363="MF (Equity)", I1363&gt;12), "Long Term", "Short Term"))</f>
        <v/>
      </c>
      <c r="K1363" s="5">
        <f>IF(J1363="", "", IF(J1363="Long Term", 12.5%, 20%))</f>
        <v/>
      </c>
      <c r="L1363" s="3">
        <f>+IFERROR(IF(J1363="","",H1363*K1363),"")</f>
        <v/>
      </c>
    </row>
    <row r="1364">
      <c r="A1364" s="11" t="n"/>
      <c r="B1364" s="7" t="n"/>
      <c r="C1364" s="8" t="n"/>
      <c r="D1364" s="9" t="n"/>
      <c r="E1364" s="8" t="n"/>
      <c r="F1364" s="9" t="n"/>
      <c r="G1364" s="9" t="n"/>
      <c r="H1364" s="3">
        <f>IF(AND(D1364&lt;&gt;"",F1364&lt;&gt;""),F1364-D1364-G1364,"")</f>
        <v/>
      </c>
      <c r="I1364" s="14">
        <f>IF(E1364&lt;&gt;"", YEARFRAC(C1364, E1364) * 12, "")</f>
        <v/>
      </c>
      <c r="J1364" s="2">
        <f>IF(I1364="", "", IF(AND(A1364="MF (Equity)", I1364&gt;12), "Long Term", "Short Term"))</f>
        <v/>
      </c>
      <c r="K1364" s="5">
        <f>IF(J1364="", "", IF(J1364="Long Term", 12.5%, 20%))</f>
        <v/>
      </c>
      <c r="L1364" s="3">
        <f>+IFERROR(IF(J1364="","",H1364*K1364),"")</f>
        <v/>
      </c>
    </row>
    <row r="1365">
      <c r="A1365" s="11" t="n"/>
      <c r="B1365" s="7" t="n"/>
      <c r="C1365" s="8" t="n"/>
      <c r="D1365" s="9" t="n"/>
      <c r="E1365" s="8" t="n"/>
      <c r="F1365" s="9" t="n"/>
      <c r="G1365" s="9" t="n"/>
      <c r="H1365" s="3">
        <f>IF(AND(D1365&lt;&gt;"",F1365&lt;&gt;""),F1365-D1365-G1365,"")</f>
        <v/>
      </c>
      <c r="I1365" s="14">
        <f>IF(E1365&lt;&gt;"", YEARFRAC(C1365, E1365) * 12, "")</f>
        <v/>
      </c>
      <c r="J1365" s="2">
        <f>IF(I1365="", "", IF(AND(A1365="MF (Equity)", I1365&gt;12), "Long Term", "Short Term"))</f>
        <v/>
      </c>
      <c r="K1365" s="5">
        <f>IF(J1365="", "", IF(J1365="Long Term", 12.5%, 20%))</f>
        <v/>
      </c>
      <c r="L1365" s="3">
        <f>+IFERROR(IF(J1365="","",H1365*K1365),"")</f>
        <v/>
      </c>
    </row>
    <row r="1366">
      <c r="A1366" s="11" t="n"/>
      <c r="B1366" s="7" t="n"/>
      <c r="C1366" s="8" t="n"/>
      <c r="D1366" s="9" t="n"/>
      <c r="E1366" s="8" t="n"/>
      <c r="F1366" s="9" t="n"/>
      <c r="G1366" s="9" t="n"/>
      <c r="H1366" s="3">
        <f>IF(AND(D1366&lt;&gt;"",F1366&lt;&gt;""),F1366-D1366-G1366,"")</f>
        <v/>
      </c>
      <c r="I1366" s="14">
        <f>IF(E1366&lt;&gt;"", YEARFRAC(C1366, E1366) * 12, "")</f>
        <v/>
      </c>
      <c r="J1366" s="2">
        <f>IF(I1366="", "", IF(AND(A1366="MF (Equity)", I1366&gt;12), "Long Term", "Short Term"))</f>
        <v/>
      </c>
      <c r="K1366" s="5">
        <f>IF(J1366="", "", IF(J1366="Long Term", 12.5%, 20%))</f>
        <v/>
      </c>
      <c r="L1366" s="3">
        <f>+IFERROR(IF(J1366="","",H1366*K1366),"")</f>
        <v/>
      </c>
    </row>
    <row r="1367">
      <c r="A1367" s="11" t="n"/>
      <c r="B1367" s="7" t="n"/>
      <c r="C1367" s="8" t="n"/>
      <c r="D1367" s="9" t="n"/>
      <c r="E1367" s="8" t="n"/>
      <c r="F1367" s="9" t="n"/>
      <c r="G1367" s="9" t="n"/>
      <c r="H1367" s="3">
        <f>IF(AND(D1367&lt;&gt;"",F1367&lt;&gt;""),F1367-D1367-G1367,"")</f>
        <v/>
      </c>
      <c r="I1367" s="14">
        <f>IF(E1367&lt;&gt;"", YEARFRAC(C1367, E1367) * 12, "")</f>
        <v/>
      </c>
      <c r="J1367" s="2">
        <f>IF(I1367="", "", IF(AND(A1367="MF (Equity)", I1367&gt;12), "Long Term", "Short Term"))</f>
        <v/>
      </c>
      <c r="K1367" s="5">
        <f>IF(J1367="", "", IF(J1367="Long Term", 12.5%, 20%))</f>
        <v/>
      </c>
      <c r="L1367" s="3">
        <f>+IFERROR(IF(J1367="","",H1367*K1367),"")</f>
        <v/>
      </c>
    </row>
    <row r="1368">
      <c r="A1368" s="11" t="n"/>
      <c r="B1368" s="7" t="n"/>
      <c r="C1368" s="8" t="n"/>
      <c r="D1368" s="9" t="n"/>
      <c r="E1368" s="8" t="n"/>
      <c r="F1368" s="9" t="n"/>
      <c r="G1368" s="9" t="n"/>
      <c r="H1368" s="3">
        <f>IF(AND(D1368&lt;&gt;"",F1368&lt;&gt;""),F1368-D1368-G1368,"")</f>
        <v/>
      </c>
      <c r="I1368" s="14">
        <f>IF(E1368&lt;&gt;"", YEARFRAC(C1368, E1368) * 12, "")</f>
        <v/>
      </c>
      <c r="J1368" s="2">
        <f>IF(I1368="", "", IF(AND(A1368="MF (Equity)", I1368&gt;12), "Long Term", "Short Term"))</f>
        <v/>
      </c>
      <c r="K1368" s="5">
        <f>IF(J1368="", "", IF(J1368="Long Term", 12.5%, 20%))</f>
        <v/>
      </c>
      <c r="L1368" s="3">
        <f>+IFERROR(IF(J1368="","",H1368*K1368),"")</f>
        <v/>
      </c>
    </row>
    <row r="1369">
      <c r="A1369" s="11" t="n"/>
      <c r="B1369" s="7" t="n"/>
      <c r="C1369" s="8" t="n"/>
      <c r="D1369" s="9" t="n"/>
      <c r="E1369" s="8" t="n"/>
      <c r="F1369" s="9" t="n"/>
      <c r="G1369" s="9" t="n"/>
      <c r="H1369" s="3">
        <f>IF(AND(D1369&lt;&gt;"",F1369&lt;&gt;""),F1369-D1369-G1369,"")</f>
        <v/>
      </c>
      <c r="I1369" s="14">
        <f>IF(E1369&lt;&gt;"", YEARFRAC(C1369, E1369) * 12, "")</f>
        <v/>
      </c>
      <c r="J1369" s="2">
        <f>IF(I1369="", "", IF(AND(A1369="MF (Equity)", I1369&gt;12), "Long Term", "Short Term"))</f>
        <v/>
      </c>
      <c r="K1369" s="5">
        <f>IF(J1369="", "", IF(J1369="Long Term", 12.5%, 20%))</f>
        <v/>
      </c>
      <c r="L1369" s="3">
        <f>+IFERROR(IF(J1369="","",H1369*K1369),"")</f>
        <v/>
      </c>
    </row>
    <row r="1370">
      <c r="A1370" s="11" t="n"/>
      <c r="B1370" s="7" t="n"/>
      <c r="C1370" s="8" t="n"/>
      <c r="D1370" s="9" t="n"/>
      <c r="E1370" s="8" t="n"/>
      <c r="F1370" s="9" t="n"/>
      <c r="G1370" s="9" t="n"/>
      <c r="H1370" s="3">
        <f>IF(AND(D1370&lt;&gt;"",F1370&lt;&gt;""),F1370-D1370-G1370,"")</f>
        <v/>
      </c>
      <c r="I1370" s="14">
        <f>IF(E1370&lt;&gt;"", YEARFRAC(C1370, E1370) * 12, "")</f>
        <v/>
      </c>
      <c r="J1370" s="2">
        <f>IF(I1370="", "", IF(AND(A1370="MF (Equity)", I1370&gt;12), "Long Term", "Short Term"))</f>
        <v/>
      </c>
      <c r="K1370" s="5">
        <f>IF(J1370="", "", IF(J1370="Long Term", 12.5%, 20%))</f>
        <v/>
      </c>
      <c r="L1370" s="3">
        <f>+IFERROR(IF(J1370="","",H1370*K1370),"")</f>
        <v/>
      </c>
    </row>
    <row r="1371">
      <c r="A1371" s="11" t="n"/>
      <c r="B1371" s="7" t="n"/>
      <c r="C1371" s="8" t="n"/>
      <c r="D1371" s="9" t="n"/>
      <c r="E1371" s="8" t="n"/>
      <c r="F1371" s="9" t="n"/>
      <c r="G1371" s="9" t="n"/>
      <c r="H1371" s="3">
        <f>IF(AND(D1371&lt;&gt;"",F1371&lt;&gt;""),F1371-D1371-G1371,"")</f>
        <v/>
      </c>
      <c r="I1371" s="14">
        <f>IF(E1371&lt;&gt;"", YEARFRAC(C1371, E1371) * 12, "")</f>
        <v/>
      </c>
      <c r="J1371" s="2">
        <f>IF(I1371="", "", IF(AND(A1371="MF (Equity)", I1371&gt;12), "Long Term", "Short Term"))</f>
        <v/>
      </c>
      <c r="K1371" s="5">
        <f>IF(J1371="", "", IF(J1371="Long Term", 12.5%, 20%))</f>
        <v/>
      </c>
      <c r="L1371" s="3">
        <f>+IFERROR(IF(J1371="","",H1371*K1371),"")</f>
        <v/>
      </c>
    </row>
    <row r="1372">
      <c r="A1372" s="11" t="n"/>
      <c r="B1372" s="7" t="n"/>
      <c r="C1372" s="8" t="n"/>
      <c r="D1372" s="9" t="n"/>
      <c r="E1372" s="8" t="n"/>
      <c r="F1372" s="9" t="n"/>
      <c r="G1372" s="9" t="n"/>
      <c r="H1372" s="3">
        <f>IF(AND(D1372&lt;&gt;"",F1372&lt;&gt;""),F1372-D1372-G1372,"")</f>
        <v/>
      </c>
      <c r="I1372" s="14">
        <f>IF(E1372&lt;&gt;"", YEARFRAC(C1372, E1372) * 12, "")</f>
        <v/>
      </c>
      <c r="J1372" s="2">
        <f>IF(I1372="", "", IF(AND(A1372="MF (Equity)", I1372&gt;12), "Long Term", "Short Term"))</f>
        <v/>
      </c>
      <c r="K1372" s="5">
        <f>IF(J1372="", "", IF(J1372="Long Term", 12.5%, 20%))</f>
        <v/>
      </c>
      <c r="L1372" s="3">
        <f>+IFERROR(IF(J1372="","",H1372*K1372),"")</f>
        <v/>
      </c>
    </row>
    <row r="1373">
      <c r="A1373" s="11" t="n"/>
      <c r="B1373" s="7" t="n"/>
      <c r="C1373" s="8" t="n"/>
      <c r="D1373" s="9" t="n"/>
      <c r="E1373" s="8" t="n"/>
      <c r="F1373" s="9" t="n"/>
      <c r="G1373" s="9" t="n"/>
      <c r="H1373" s="3">
        <f>IF(AND(D1373&lt;&gt;"",F1373&lt;&gt;""),F1373-D1373-G1373,"")</f>
        <v/>
      </c>
      <c r="I1373" s="14">
        <f>IF(E1373&lt;&gt;"", YEARFRAC(C1373, E1373) * 12, "")</f>
        <v/>
      </c>
      <c r="J1373" s="2">
        <f>IF(I1373="", "", IF(AND(A1373="MF (Equity)", I1373&gt;12), "Long Term", "Short Term"))</f>
        <v/>
      </c>
      <c r="K1373" s="5">
        <f>IF(J1373="", "", IF(J1373="Long Term", 12.5%, 20%))</f>
        <v/>
      </c>
      <c r="L1373" s="3">
        <f>+IFERROR(IF(J1373="","",H1373*K1373),"")</f>
        <v/>
      </c>
    </row>
    <row r="1374">
      <c r="A1374" s="11" t="n"/>
      <c r="B1374" s="7" t="n"/>
      <c r="C1374" s="8" t="n"/>
      <c r="D1374" s="9" t="n"/>
      <c r="E1374" s="8" t="n"/>
      <c r="F1374" s="9" t="n"/>
      <c r="G1374" s="9" t="n"/>
      <c r="H1374" s="3">
        <f>IF(AND(D1374&lt;&gt;"",F1374&lt;&gt;""),F1374-D1374-G1374,"")</f>
        <v/>
      </c>
      <c r="I1374" s="14">
        <f>IF(E1374&lt;&gt;"", YEARFRAC(C1374, E1374) * 12, "")</f>
        <v/>
      </c>
      <c r="J1374" s="2">
        <f>IF(I1374="", "", IF(AND(A1374="MF (Equity)", I1374&gt;12), "Long Term", "Short Term"))</f>
        <v/>
      </c>
      <c r="K1374" s="5">
        <f>IF(J1374="", "", IF(J1374="Long Term", 12.5%, 20%))</f>
        <v/>
      </c>
      <c r="L1374" s="3">
        <f>+IFERROR(IF(J1374="","",H1374*K1374),"")</f>
        <v/>
      </c>
    </row>
    <row r="1375">
      <c r="A1375" s="11" t="n"/>
      <c r="B1375" s="7" t="n"/>
      <c r="C1375" s="8" t="n"/>
      <c r="D1375" s="9" t="n"/>
      <c r="E1375" s="8" t="n"/>
      <c r="F1375" s="9" t="n"/>
      <c r="G1375" s="9" t="n"/>
      <c r="H1375" s="3">
        <f>IF(AND(D1375&lt;&gt;"",F1375&lt;&gt;""),F1375-D1375-G1375,"")</f>
        <v/>
      </c>
      <c r="I1375" s="14">
        <f>IF(E1375&lt;&gt;"", YEARFRAC(C1375, E1375) * 12, "")</f>
        <v/>
      </c>
      <c r="J1375" s="2">
        <f>IF(I1375="", "", IF(AND(A1375="MF (Equity)", I1375&gt;12), "Long Term", "Short Term"))</f>
        <v/>
      </c>
      <c r="K1375" s="5">
        <f>IF(J1375="", "", IF(J1375="Long Term", 12.5%, 20%))</f>
        <v/>
      </c>
      <c r="L1375" s="3">
        <f>+IFERROR(IF(J1375="","",H1375*K1375),"")</f>
        <v/>
      </c>
    </row>
    <row r="1376">
      <c r="A1376" s="11" t="n"/>
      <c r="B1376" s="7" t="n"/>
      <c r="C1376" s="8" t="n"/>
      <c r="D1376" s="9" t="n"/>
      <c r="E1376" s="8" t="n"/>
      <c r="F1376" s="9" t="n"/>
      <c r="G1376" s="9" t="n"/>
      <c r="H1376" s="3">
        <f>IF(AND(D1376&lt;&gt;"",F1376&lt;&gt;""),F1376-D1376-G1376,"")</f>
        <v/>
      </c>
      <c r="I1376" s="14">
        <f>IF(E1376&lt;&gt;"", YEARFRAC(C1376, E1376) * 12, "")</f>
        <v/>
      </c>
      <c r="J1376" s="2">
        <f>IF(I1376="", "", IF(AND(A1376="MF (Equity)", I1376&gt;12), "Long Term", "Short Term"))</f>
        <v/>
      </c>
      <c r="K1376" s="5">
        <f>IF(J1376="", "", IF(J1376="Long Term", 12.5%, 20%))</f>
        <v/>
      </c>
      <c r="L1376" s="3">
        <f>+IFERROR(IF(J1376="","",H1376*K1376),"")</f>
        <v/>
      </c>
    </row>
    <row r="1377">
      <c r="A1377" s="11" t="n"/>
      <c r="B1377" s="7" t="n"/>
      <c r="C1377" s="8" t="n"/>
      <c r="D1377" s="9" t="n"/>
      <c r="E1377" s="8" t="n"/>
      <c r="F1377" s="9" t="n"/>
      <c r="G1377" s="9" t="n"/>
      <c r="H1377" s="3">
        <f>IF(AND(D1377&lt;&gt;"",F1377&lt;&gt;""),F1377-D1377-G1377,"")</f>
        <v/>
      </c>
      <c r="I1377" s="14">
        <f>IF(E1377&lt;&gt;"", YEARFRAC(C1377, E1377) * 12, "")</f>
        <v/>
      </c>
      <c r="J1377" s="2">
        <f>IF(I1377="", "", IF(AND(A1377="MF (Equity)", I1377&gt;12), "Long Term", "Short Term"))</f>
        <v/>
      </c>
      <c r="K1377" s="5">
        <f>IF(J1377="", "", IF(J1377="Long Term", 12.5%, 20%))</f>
        <v/>
      </c>
      <c r="L1377" s="3">
        <f>+IFERROR(IF(J1377="","",H1377*K1377),"")</f>
        <v/>
      </c>
    </row>
    <row r="1378">
      <c r="A1378" s="11" t="n"/>
      <c r="B1378" s="7" t="n"/>
      <c r="C1378" s="8" t="n"/>
      <c r="D1378" s="9" t="n"/>
      <c r="E1378" s="8" t="n"/>
      <c r="F1378" s="9" t="n"/>
      <c r="G1378" s="9" t="n"/>
      <c r="H1378" s="3">
        <f>IF(AND(D1378&lt;&gt;"",F1378&lt;&gt;""),F1378-D1378-G1378,"")</f>
        <v/>
      </c>
      <c r="I1378" s="14">
        <f>IF(E1378&lt;&gt;"", YEARFRAC(C1378, E1378) * 12, "")</f>
        <v/>
      </c>
      <c r="J1378" s="2">
        <f>IF(I1378="", "", IF(AND(A1378="MF (Equity)", I1378&gt;12), "Long Term", "Short Term"))</f>
        <v/>
      </c>
      <c r="K1378" s="5">
        <f>IF(J1378="", "", IF(J1378="Long Term", 12.5%, 20%))</f>
        <v/>
      </c>
      <c r="L1378" s="3">
        <f>+IFERROR(IF(J1378="","",H1378*K1378),"")</f>
        <v/>
      </c>
    </row>
    <row r="1379">
      <c r="A1379" s="11" t="n"/>
      <c r="B1379" s="7" t="n"/>
      <c r="C1379" s="8" t="n"/>
      <c r="D1379" s="9" t="n"/>
      <c r="E1379" s="8" t="n"/>
      <c r="F1379" s="9" t="n"/>
      <c r="G1379" s="9" t="n"/>
      <c r="H1379" s="3">
        <f>IF(AND(D1379&lt;&gt;"",F1379&lt;&gt;""),F1379-D1379-G1379,"")</f>
        <v/>
      </c>
      <c r="I1379" s="14">
        <f>IF(E1379&lt;&gt;"", YEARFRAC(C1379, E1379) * 12, "")</f>
        <v/>
      </c>
      <c r="J1379" s="2">
        <f>IF(I1379="", "", IF(AND(A1379="MF (Equity)", I1379&gt;12), "Long Term", "Short Term"))</f>
        <v/>
      </c>
      <c r="K1379" s="5">
        <f>IF(J1379="", "", IF(J1379="Long Term", 12.5%, 20%))</f>
        <v/>
      </c>
      <c r="L1379" s="3">
        <f>+IFERROR(IF(J1379="","",H1379*K1379),"")</f>
        <v/>
      </c>
    </row>
    <row r="1380">
      <c r="A1380" s="11" t="n"/>
      <c r="B1380" s="7" t="n"/>
      <c r="C1380" s="8" t="n"/>
      <c r="D1380" s="9" t="n"/>
      <c r="E1380" s="8" t="n"/>
      <c r="F1380" s="9" t="n"/>
      <c r="G1380" s="9" t="n"/>
      <c r="H1380" s="3">
        <f>IF(AND(D1380&lt;&gt;"",F1380&lt;&gt;""),F1380-D1380-G1380,"")</f>
        <v/>
      </c>
      <c r="I1380" s="14">
        <f>IF(E1380&lt;&gt;"", YEARFRAC(C1380, E1380) * 12, "")</f>
        <v/>
      </c>
      <c r="J1380" s="2">
        <f>IF(I1380="", "", IF(AND(A1380="MF (Equity)", I1380&gt;12), "Long Term", "Short Term"))</f>
        <v/>
      </c>
      <c r="K1380" s="5">
        <f>IF(J1380="", "", IF(J1380="Long Term", 12.5%, 20%))</f>
        <v/>
      </c>
      <c r="L1380" s="3">
        <f>+IFERROR(IF(J1380="","",H1380*K1380),"")</f>
        <v/>
      </c>
    </row>
    <row r="1381">
      <c r="A1381" s="11" t="n"/>
      <c r="B1381" s="7" t="n"/>
      <c r="C1381" s="8" t="n"/>
      <c r="D1381" s="9" t="n"/>
      <c r="E1381" s="8" t="n"/>
      <c r="F1381" s="9" t="n"/>
      <c r="G1381" s="9" t="n"/>
      <c r="H1381" s="3">
        <f>IF(AND(D1381&lt;&gt;"",F1381&lt;&gt;""),F1381-D1381-G1381,"")</f>
        <v/>
      </c>
      <c r="I1381" s="14">
        <f>IF(E1381&lt;&gt;"", YEARFRAC(C1381, E1381) * 12, "")</f>
        <v/>
      </c>
      <c r="J1381" s="2">
        <f>IF(I1381="", "", IF(AND(A1381="MF (Equity)", I1381&gt;12), "Long Term", "Short Term"))</f>
        <v/>
      </c>
      <c r="K1381" s="5">
        <f>IF(J1381="", "", IF(J1381="Long Term", 12.5%, 20%))</f>
        <v/>
      </c>
      <c r="L1381" s="3">
        <f>+IFERROR(IF(J1381="","",H1381*K1381),"")</f>
        <v/>
      </c>
    </row>
    <row r="1382">
      <c r="A1382" s="11" t="n"/>
      <c r="B1382" s="7" t="n"/>
      <c r="C1382" s="8" t="n"/>
      <c r="D1382" s="9" t="n"/>
      <c r="E1382" s="8" t="n"/>
      <c r="F1382" s="9" t="n"/>
      <c r="G1382" s="9" t="n"/>
      <c r="H1382" s="3">
        <f>IF(AND(D1382&lt;&gt;"",F1382&lt;&gt;""),F1382-D1382-G1382,"")</f>
        <v/>
      </c>
      <c r="I1382" s="14">
        <f>IF(E1382&lt;&gt;"", YEARFRAC(C1382, E1382) * 12, "")</f>
        <v/>
      </c>
      <c r="J1382" s="2">
        <f>IF(I1382="", "", IF(AND(A1382="MF (Equity)", I1382&gt;12), "Long Term", "Short Term"))</f>
        <v/>
      </c>
      <c r="K1382" s="5">
        <f>IF(J1382="", "", IF(J1382="Long Term", 12.5%, 20%))</f>
        <v/>
      </c>
      <c r="L1382" s="3">
        <f>+IFERROR(IF(J1382="","",H1382*K1382),"")</f>
        <v/>
      </c>
    </row>
    <row r="1383">
      <c r="A1383" s="11" t="n"/>
      <c r="B1383" s="7" t="n"/>
      <c r="C1383" s="8" t="n"/>
      <c r="D1383" s="9" t="n"/>
      <c r="E1383" s="8" t="n"/>
      <c r="F1383" s="9" t="n"/>
      <c r="G1383" s="9" t="n"/>
      <c r="H1383" s="3">
        <f>IF(AND(D1383&lt;&gt;"",F1383&lt;&gt;""),F1383-D1383-G1383,"")</f>
        <v/>
      </c>
      <c r="I1383" s="14">
        <f>IF(E1383&lt;&gt;"", YEARFRAC(C1383, E1383) * 12, "")</f>
        <v/>
      </c>
      <c r="J1383" s="2">
        <f>IF(I1383="", "", IF(AND(A1383="MF (Equity)", I1383&gt;12), "Long Term", "Short Term"))</f>
        <v/>
      </c>
      <c r="K1383" s="5">
        <f>IF(J1383="", "", IF(J1383="Long Term", 12.5%, 20%))</f>
        <v/>
      </c>
      <c r="L1383" s="3">
        <f>+IFERROR(IF(J1383="","",H1383*K1383),"")</f>
        <v/>
      </c>
    </row>
    <row r="1384">
      <c r="A1384" s="11" t="n"/>
      <c r="B1384" s="7" t="n"/>
      <c r="C1384" s="8" t="n"/>
      <c r="D1384" s="9" t="n"/>
      <c r="E1384" s="8" t="n"/>
      <c r="F1384" s="9" t="n"/>
      <c r="G1384" s="9" t="n"/>
      <c r="H1384" s="3">
        <f>IF(AND(D1384&lt;&gt;"",F1384&lt;&gt;""),F1384-D1384-G1384,"")</f>
        <v/>
      </c>
      <c r="I1384" s="14">
        <f>IF(E1384&lt;&gt;"", YEARFRAC(C1384, E1384) * 12, "")</f>
        <v/>
      </c>
      <c r="J1384" s="2">
        <f>IF(I1384="", "", IF(AND(A1384="MF (Equity)", I1384&gt;12), "Long Term", "Short Term"))</f>
        <v/>
      </c>
      <c r="K1384" s="5">
        <f>IF(J1384="", "", IF(J1384="Long Term", 12.5%, 20%))</f>
        <v/>
      </c>
      <c r="L1384" s="3">
        <f>+IFERROR(IF(J1384="","",H1384*K1384),"")</f>
        <v/>
      </c>
    </row>
    <row r="1385">
      <c r="A1385" s="11" t="n"/>
      <c r="B1385" s="7" t="n"/>
      <c r="C1385" s="8" t="n"/>
      <c r="D1385" s="9" t="n"/>
      <c r="E1385" s="8" t="n"/>
      <c r="F1385" s="9" t="n"/>
      <c r="G1385" s="9" t="n"/>
      <c r="H1385" s="3">
        <f>IF(AND(D1385&lt;&gt;"",F1385&lt;&gt;""),F1385-D1385-G1385,"")</f>
        <v/>
      </c>
      <c r="I1385" s="14">
        <f>IF(E1385&lt;&gt;"", YEARFRAC(C1385, E1385) * 12, "")</f>
        <v/>
      </c>
      <c r="J1385" s="2">
        <f>IF(I1385="", "", IF(AND(A1385="MF (Equity)", I1385&gt;12), "Long Term", "Short Term"))</f>
        <v/>
      </c>
      <c r="K1385" s="5">
        <f>IF(J1385="", "", IF(J1385="Long Term", 12.5%, 20%))</f>
        <v/>
      </c>
      <c r="L1385" s="3">
        <f>+IFERROR(IF(J1385="","",H1385*K1385),"")</f>
        <v/>
      </c>
    </row>
    <row r="1386">
      <c r="A1386" s="11" t="n"/>
      <c r="B1386" s="7" t="n"/>
      <c r="C1386" s="8" t="n"/>
      <c r="D1386" s="9" t="n"/>
      <c r="E1386" s="8" t="n"/>
      <c r="F1386" s="9" t="n"/>
      <c r="G1386" s="9" t="n"/>
      <c r="H1386" s="3">
        <f>IF(AND(D1386&lt;&gt;"",F1386&lt;&gt;""),F1386-D1386-G1386,"")</f>
        <v/>
      </c>
      <c r="I1386" s="14">
        <f>IF(E1386&lt;&gt;"", YEARFRAC(C1386, E1386) * 12, "")</f>
        <v/>
      </c>
      <c r="J1386" s="2">
        <f>IF(I1386="", "", IF(AND(A1386="MF (Equity)", I1386&gt;12), "Long Term", "Short Term"))</f>
        <v/>
      </c>
      <c r="K1386" s="5">
        <f>IF(J1386="", "", IF(J1386="Long Term", 12.5%, 20%))</f>
        <v/>
      </c>
      <c r="L1386" s="3">
        <f>+IFERROR(IF(J1386="","",H1386*K1386),"")</f>
        <v/>
      </c>
    </row>
    <row r="1387">
      <c r="A1387" s="11" t="n"/>
      <c r="B1387" s="7" t="n"/>
      <c r="C1387" s="8" t="n"/>
      <c r="D1387" s="9" t="n"/>
      <c r="E1387" s="8" t="n"/>
      <c r="F1387" s="9" t="n"/>
      <c r="G1387" s="9" t="n"/>
      <c r="H1387" s="3">
        <f>IF(AND(D1387&lt;&gt;"",F1387&lt;&gt;""),F1387-D1387-G1387,"")</f>
        <v/>
      </c>
      <c r="I1387" s="14">
        <f>IF(E1387&lt;&gt;"", YEARFRAC(C1387, E1387) * 12, "")</f>
        <v/>
      </c>
      <c r="J1387" s="2">
        <f>IF(I1387="", "", IF(AND(A1387="MF (Equity)", I1387&gt;12), "Long Term", "Short Term"))</f>
        <v/>
      </c>
      <c r="K1387" s="5">
        <f>IF(J1387="", "", IF(J1387="Long Term", 12.5%, 20%))</f>
        <v/>
      </c>
      <c r="L1387" s="3">
        <f>+IFERROR(IF(J1387="","",H1387*K1387),"")</f>
        <v/>
      </c>
    </row>
    <row r="1388">
      <c r="A1388" s="11" t="n"/>
      <c r="B1388" s="7" t="n"/>
      <c r="C1388" s="8" t="n"/>
      <c r="D1388" s="9" t="n"/>
      <c r="E1388" s="8" t="n"/>
      <c r="F1388" s="9" t="n"/>
      <c r="G1388" s="9" t="n"/>
      <c r="H1388" s="3">
        <f>IF(AND(D1388&lt;&gt;"",F1388&lt;&gt;""),F1388-D1388-G1388,"")</f>
        <v/>
      </c>
      <c r="I1388" s="14">
        <f>IF(E1388&lt;&gt;"", YEARFRAC(C1388, E1388) * 12, "")</f>
        <v/>
      </c>
      <c r="J1388" s="2">
        <f>IF(I1388="", "", IF(AND(A1388="MF (Equity)", I1388&gt;12), "Long Term", "Short Term"))</f>
        <v/>
      </c>
      <c r="K1388" s="5">
        <f>IF(J1388="", "", IF(J1388="Long Term", 12.5%, 20%))</f>
        <v/>
      </c>
      <c r="L1388" s="3">
        <f>+IFERROR(IF(J1388="","",H1388*K1388),"")</f>
        <v/>
      </c>
    </row>
    <row r="1389">
      <c r="A1389" s="11" t="n"/>
      <c r="B1389" s="7" t="n"/>
      <c r="C1389" s="8" t="n"/>
      <c r="D1389" s="9" t="n"/>
      <c r="E1389" s="8" t="n"/>
      <c r="F1389" s="9" t="n"/>
      <c r="G1389" s="9" t="n"/>
      <c r="H1389" s="3">
        <f>IF(AND(D1389&lt;&gt;"",F1389&lt;&gt;""),F1389-D1389-G1389,"")</f>
        <v/>
      </c>
      <c r="I1389" s="14">
        <f>IF(E1389&lt;&gt;"", YEARFRAC(C1389, E1389) * 12, "")</f>
        <v/>
      </c>
      <c r="J1389" s="2">
        <f>IF(I1389="", "", IF(AND(A1389="MF (Equity)", I1389&gt;12), "Long Term", "Short Term"))</f>
        <v/>
      </c>
      <c r="K1389" s="5">
        <f>IF(J1389="", "", IF(J1389="Long Term", 12.5%, 20%))</f>
        <v/>
      </c>
      <c r="L1389" s="3">
        <f>+IFERROR(IF(J1389="","",H1389*K1389),"")</f>
        <v/>
      </c>
    </row>
    <row r="1390">
      <c r="A1390" s="11" t="n"/>
      <c r="B1390" s="7" t="n"/>
      <c r="C1390" s="8" t="n"/>
      <c r="D1390" s="9" t="n"/>
      <c r="E1390" s="8" t="n"/>
      <c r="F1390" s="9" t="n"/>
      <c r="G1390" s="9" t="n"/>
      <c r="H1390" s="3">
        <f>IF(AND(D1390&lt;&gt;"",F1390&lt;&gt;""),F1390-D1390-G1390,"")</f>
        <v/>
      </c>
      <c r="I1390" s="14">
        <f>IF(E1390&lt;&gt;"", YEARFRAC(C1390, E1390) * 12, "")</f>
        <v/>
      </c>
      <c r="J1390" s="2">
        <f>IF(I1390="", "", IF(AND(A1390="MF (Equity)", I1390&gt;12), "Long Term", "Short Term"))</f>
        <v/>
      </c>
      <c r="K1390" s="5">
        <f>IF(J1390="", "", IF(J1390="Long Term", 12.5%, 20%))</f>
        <v/>
      </c>
      <c r="L1390" s="3">
        <f>+IFERROR(IF(J1390="","",H1390*K1390),"")</f>
        <v/>
      </c>
    </row>
    <row r="1391">
      <c r="A1391" s="11" t="n"/>
      <c r="B1391" s="7" t="n"/>
      <c r="C1391" s="8" t="n"/>
      <c r="D1391" s="9" t="n"/>
      <c r="E1391" s="8" t="n"/>
      <c r="F1391" s="9" t="n"/>
      <c r="G1391" s="9" t="n"/>
      <c r="H1391" s="3">
        <f>IF(AND(D1391&lt;&gt;"",F1391&lt;&gt;""),F1391-D1391-G1391,"")</f>
        <v/>
      </c>
      <c r="I1391" s="14">
        <f>IF(E1391&lt;&gt;"", YEARFRAC(C1391, E1391) * 12, "")</f>
        <v/>
      </c>
      <c r="J1391" s="2">
        <f>IF(I1391="", "", IF(AND(A1391="MF (Equity)", I1391&gt;12), "Long Term", "Short Term"))</f>
        <v/>
      </c>
      <c r="K1391" s="5">
        <f>IF(J1391="", "", IF(J1391="Long Term", 12.5%, 20%))</f>
        <v/>
      </c>
      <c r="L1391" s="3">
        <f>+IFERROR(IF(J1391="","",H1391*K1391),"")</f>
        <v/>
      </c>
    </row>
    <row r="1392">
      <c r="A1392" s="11" t="n"/>
      <c r="B1392" s="7" t="n"/>
      <c r="C1392" s="8" t="n"/>
      <c r="D1392" s="9" t="n"/>
      <c r="E1392" s="8" t="n"/>
      <c r="F1392" s="9" t="n"/>
      <c r="G1392" s="9" t="n"/>
      <c r="H1392" s="3">
        <f>IF(AND(D1392&lt;&gt;"",F1392&lt;&gt;""),F1392-D1392-G1392,"")</f>
        <v/>
      </c>
      <c r="I1392" s="14">
        <f>IF(E1392&lt;&gt;"", YEARFRAC(C1392, E1392) * 12, "")</f>
        <v/>
      </c>
      <c r="J1392" s="2">
        <f>IF(I1392="", "", IF(AND(A1392="MF (Equity)", I1392&gt;12), "Long Term", "Short Term"))</f>
        <v/>
      </c>
      <c r="K1392" s="5">
        <f>IF(J1392="", "", IF(J1392="Long Term", 12.5%, 20%))</f>
        <v/>
      </c>
      <c r="L1392" s="3">
        <f>+IFERROR(IF(J1392="","",H1392*K1392),"")</f>
        <v/>
      </c>
    </row>
    <row r="1393">
      <c r="A1393" s="11" t="n"/>
      <c r="B1393" s="7" t="n"/>
      <c r="C1393" s="8" t="n"/>
      <c r="D1393" s="9" t="n"/>
      <c r="E1393" s="8" t="n"/>
      <c r="F1393" s="9" t="n"/>
      <c r="G1393" s="9" t="n"/>
      <c r="H1393" s="3">
        <f>IF(AND(D1393&lt;&gt;"",F1393&lt;&gt;""),F1393-D1393-G1393,"")</f>
        <v/>
      </c>
      <c r="I1393" s="14">
        <f>IF(E1393&lt;&gt;"", YEARFRAC(C1393, E1393) * 12, "")</f>
        <v/>
      </c>
      <c r="J1393" s="2">
        <f>IF(I1393="", "", IF(AND(A1393="MF (Equity)", I1393&gt;12), "Long Term", "Short Term"))</f>
        <v/>
      </c>
      <c r="K1393" s="5">
        <f>IF(J1393="", "", IF(J1393="Long Term", 12.5%, 20%))</f>
        <v/>
      </c>
      <c r="L1393" s="3">
        <f>+IFERROR(IF(J1393="","",H1393*K1393),"")</f>
        <v/>
      </c>
    </row>
    <row r="1394">
      <c r="A1394" s="11" t="n"/>
      <c r="B1394" s="7" t="n"/>
      <c r="C1394" s="8" t="n"/>
      <c r="D1394" s="9" t="n"/>
      <c r="E1394" s="8" t="n"/>
      <c r="F1394" s="9" t="n"/>
      <c r="G1394" s="9" t="n"/>
      <c r="H1394" s="3">
        <f>IF(AND(D1394&lt;&gt;"",F1394&lt;&gt;""),F1394-D1394-G1394,"")</f>
        <v/>
      </c>
      <c r="I1394" s="14">
        <f>IF(E1394&lt;&gt;"", YEARFRAC(C1394, E1394) * 12, "")</f>
        <v/>
      </c>
      <c r="J1394" s="2">
        <f>IF(I1394="", "", IF(AND(A1394="MF (Equity)", I1394&gt;12), "Long Term", "Short Term"))</f>
        <v/>
      </c>
      <c r="K1394" s="5">
        <f>IF(J1394="", "", IF(J1394="Long Term", 12.5%, 20%))</f>
        <v/>
      </c>
      <c r="L1394" s="3">
        <f>+IFERROR(IF(J1394="","",H1394*K1394),"")</f>
        <v/>
      </c>
    </row>
    <row r="1395">
      <c r="A1395" s="11" t="n"/>
      <c r="B1395" s="7" t="n"/>
      <c r="C1395" s="8" t="n"/>
      <c r="D1395" s="9" t="n"/>
      <c r="E1395" s="8" t="n"/>
      <c r="F1395" s="9" t="n"/>
      <c r="G1395" s="9" t="n"/>
      <c r="H1395" s="3">
        <f>IF(AND(D1395&lt;&gt;"",F1395&lt;&gt;""),F1395-D1395-G1395,"")</f>
        <v/>
      </c>
      <c r="I1395" s="14">
        <f>IF(E1395&lt;&gt;"", YEARFRAC(C1395, E1395) * 12, "")</f>
        <v/>
      </c>
      <c r="J1395" s="2">
        <f>IF(I1395="", "", IF(AND(A1395="MF (Equity)", I1395&gt;12), "Long Term", "Short Term"))</f>
        <v/>
      </c>
      <c r="K1395" s="5">
        <f>IF(J1395="", "", IF(J1395="Long Term", 12.5%, 20%))</f>
        <v/>
      </c>
      <c r="L1395" s="3">
        <f>+IFERROR(IF(J1395="","",H1395*K1395),"")</f>
        <v/>
      </c>
    </row>
    <row r="1396">
      <c r="A1396" s="11" t="n"/>
      <c r="B1396" s="7" t="n"/>
      <c r="C1396" s="8" t="n"/>
      <c r="D1396" s="9" t="n"/>
      <c r="E1396" s="8" t="n"/>
      <c r="F1396" s="9" t="n"/>
      <c r="G1396" s="9" t="n"/>
      <c r="H1396" s="3">
        <f>IF(AND(D1396&lt;&gt;"",F1396&lt;&gt;""),F1396-D1396-G1396,"")</f>
        <v/>
      </c>
      <c r="I1396" s="14">
        <f>IF(E1396&lt;&gt;"", YEARFRAC(C1396, E1396) * 12, "")</f>
        <v/>
      </c>
      <c r="J1396" s="2">
        <f>IF(I1396="", "", IF(AND(A1396="MF (Equity)", I1396&gt;12), "Long Term", "Short Term"))</f>
        <v/>
      </c>
      <c r="K1396" s="5">
        <f>IF(J1396="", "", IF(J1396="Long Term", 12.5%, 20%))</f>
        <v/>
      </c>
      <c r="L1396" s="3">
        <f>+IFERROR(IF(J1396="","",H1396*K1396),"")</f>
        <v/>
      </c>
    </row>
    <row r="1397">
      <c r="A1397" s="11" t="n"/>
      <c r="B1397" s="7" t="n"/>
      <c r="C1397" s="8" t="n"/>
      <c r="D1397" s="9" t="n"/>
      <c r="E1397" s="8" t="n"/>
      <c r="F1397" s="9" t="n"/>
      <c r="G1397" s="9" t="n"/>
      <c r="H1397" s="3">
        <f>IF(AND(D1397&lt;&gt;"",F1397&lt;&gt;""),F1397-D1397-G1397,"")</f>
        <v/>
      </c>
      <c r="I1397" s="14">
        <f>IF(E1397&lt;&gt;"", YEARFRAC(C1397, E1397) * 12, "")</f>
        <v/>
      </c>
      <c r="J1397" s="2">
        <f>IF(I1397="", "", IF(AND(A1397="MF (Equity)", I1397&gt;12), "Long Term", "Short Term"))</f>
        <v/>
      </c>
      <c r="K1397" s="5">
        <f>IF(J1397="", "", IF(J1397="Long Term", 12.5%, 20%))</f>
        <v/>
      </c>
      <c r="L1397" s="3">
        <f>+IFERROR(IF(J1397="","",H1397*K1397),"")</f>
        <v/>
      </c>
    </row>
    <row r="1398">
      <c r="A1398" s="11" t="n"/>
      <c r="B1398" s="7" t="n"/>
      <c r="C1398" s="8" t="n"/>
      <c r="D1398" s="9" t="n"/>
      <c r="E1398" s="8" t="n"/>
      <c r="F1398" s="9" t="n"/>
      <c r="G1398" s="9" t="n"/>
      <c r="H1398" s="3">
        <f>IF(AND(D1398&lt;&gt;"",F1398&lt;&gt;""),F1398-D1398-G1398,"")</f>
        <v/>
      </c>
      <c r="I1398" s="14">
        <f>IF(E1398&lt;&gt;"", YEARFRAC(C1398, E1398) * 12, "")</f>
        <v/>
      </c>
      <c r="J1398" s="2">
        <f>IF(I1398="", "", IF(AND(A1398="MF (Equity)", I1398&gt;12), "Long Term", "Short Term"))</f>
        <v/>
      </c>
      <c r="K1398" s="5">
        <f>IF(J1398="", "", IF(J1398="Long Term", 12.5%, 20%))</f>
        <v/>
      </c>
      <c r="L1398" s="3">
        <f>+IFERROR(IF(J1398="","",H1398*K1398),"")</f>
        <v/>
      </c>
    </row>
    <row r="1399">
      <c r="A1399" s="11" t="n"/>
      <c r="B1399" s="7" t="n"/>
      <c r="C1399" s="8" t="n"/>
      <c r="D1399" s="9" t="n"/>
      <c r="E1399" s="8" t="n"/>
      <c r="F1399" s="9" t="n"/>
      <c r="G1399" s="9" t="n"/>
      <c r="H1399" s="3">
        <f>IF(AND(D1399&lt;&gt;"",F1399&lt;&gt;""),F1399-D1399-G1399,"")</f>
        <v/>
      </c>
      <c r="I1399" s="14">
        <f>IF(E1399&lt;&gt;"", YEARFRAC(C1399, E1399) * 12, "")</f>
        <v/>
      </c>
      <c r="J1399" s="2">
        <f>IF(I1399="", "", IF(AND(A1399="MF (Equity)", I1399&gt;12), "Long Term", "Short Term"))</f>
        <v/>
      </c>
      <c r="K1399" s="5">
        <f>IF(J1399="", "", IF(J1399="Long Term", 12.5%, 20%))</f>
        <v/>
      </c>
      <c r="L1399" s="3">
        <f>+IFERROR(IF(J1399="","",H1399*K1399),"")</f>
        <v/>
      </c>
    </row>
    <row r="1400">
      <c r="A1400" s="11" t="n"/>
      <c r="B1400" s="7" t="n"/>
      <c r="C1400" s="8" t="n"/>
      <c r="D1400" s="9" t="n"/>
      <c r="E1400" s="8" t="n"/>
      <c r="F1400" s="9" t="n"/>
      <c r="G1400" s="9" t="n"/>
      <c r="H1400" s="3">
        <f>IF(AND(D1400&lt;&gt;"",F1400&lt;&gt;""),F1400-D1400-G1400,"")</f>
        <v/>
      </c>
      <c r="I1400" s="14">
        <f>IF(E1400&lt;&gt;"", YEARFRAC(C1400, E1400) * 12, "")</f>
        <v/>
      </c>
      <c r="J1400" s="2">
        <f>IF(I1400="", "", IF(AND(A1400="MF (Equity)", I1400&gt;12), "Long Term", "Short Term"))</f>
        <v/>
      </c>
      <c r="K1400" s="5">
        <f>IF(J1400="", "", IF(J1400="Long Term", 12.5%, 20%))</f>
        <v/>
      </c>
      <c r="L1400" s="3">
        <f>+IFERROR(IF(J1400="","",H1400*K1400),"")</f>
        <v/>
      </c>
    </row>
    <row r="1401">
      <c r="A1401" s="11" t="n"/>
      <c r="B1401" s="7" t="n"/>
      <c r="C1401" s="8" t="n"/>
      <c r="D1401" s="9" t="n"/>
      <c r="E1401" s="8" t="n"/>
      <c r="F1401" s="9" t="n"/>
      <c r="G1401" s="9" t="n"/>
      <c r="H1401" s="3">
        <f>IF(AND(D1401&lt;&gt;"",F1401&lt;&gt;""),F1401-D1401-G1401,"")</f>
        <v/>
      </c>
      <c r="I1401" s="14">
        <f>IF(E1401&lt;&gt;"", YEARFRAC(C1401, E1401) * 12, "")</f>
        <v/>
      </c>
      <c r="J1401" s="2">
        <f>IF(I1401="", "", IF(AND(A1401="MF (Equity)", I1401&gt;12), "Long Term", "Short Term"))</f>
        <v/>
      </c>
      <c r="K1401" s="5">
        <f>IF(J1401="", "", IF(J1401="Long Term", 12.5%, 20%))</f>
        <v/>
      </c>
      <c r="L1401" s="3">
        <f>+IFERROR(IF(J1401="","",H1401*K1401),"")</f>
        <v/>
      </c>
    </row>
    <row r="1402">
      <c r="A1402" s="11" t="n"/>
      <c r="B1402" s="7" t="n"/>
      <c r="C1402" s="8" t="n"/>
      <c r="D1402" s="9" t="n"/>
      <c r="E1402" s="8" t="n"/>
      <c r="F1402" s="9" t="n"/>
      <c r="G1402" s="9" t="n"/>
      <c r="H1402" s="3">
        <f>IF(AND(D1402&lt;&gt;"",F1402&lt;&gt;""),F1402-D1402-G1402,"")</f>
        <v/>
      </c>
      <c r="I1402" s="14">
        <f>IF(E1402&lt;&gt;"", YEARFRAC(C1402, E1402) * 12, "")</f>
        <v/>
      </c>
      <c r="J1402" s="2">
        <f>IF(I1402="", "", IF(AND(A1402="MF (Equity)", I1402&gt;12), "Long Term", "Short Term"))</f>
        <v/>
      </c>
      <c r="K1402" s="5">
        <f>IF(J1402="", "", IF(J1402="Long Term", 12.5%, 20%))</f>
        <v/>
      </c>
      <c r="L1402" s="3">
        <f>+IFERROR(IF(J1402="","",H1402*K1402),"")</f>
        <v/>
      </c>
    </row>
    <row r="1403">
      <c r="A1403" s="11" t="n"/>
      <c r="B1403" s="7" t="n"/>
      <c r="C1403" s="8" t="n"/>
      <c r="D1403" s="9" t="n"/>
      <c r="E1403" s="8" t="n"/>
      <c r="F1403" s="9" t="n"/>
      <c r="G1403" s="9" t="n"/>
      <c r="H1403" s="3">
        <f>IF(AND(D1403&lt;&gt;"",F1403&lt;&gt;""),F1403-D1403-G1403,"")</f>
        <v/>
      </c>
      <c r="I1403" s="14">
        <f>IF(E1403&lt;&gt;"", YEARFRAC(C1403, E1403) * 12, "")</f>
        <v/>
      </c>
      <c r="J1403" s="2">
        <f>IF(I1403="", "", IF(AND(A1403="MF (Equity)", I1403&gt;12), "Long Term", "Short Term"))</f>
        <v/>
      </c>
      <c r="K1403" s="5">
        <f>IF(J1403="", "", IF(J1403="Long Term", 12.5%, 20%))</f>
        <v/>
      </c>
      <c r="L1403" s="3">
        <f>+IFERROR(IF(J1403="","",H1403*K1403),"")</f>
        <v/>
      </c>
    </row>
    <row r="1404">
      <c r="A1404" s="11" t="n"/>
      <c r="B1404" s="7" t="n"/>
      <c r="C1404" s="8" t="n"/>
      <c r="D1404" s="9" t="n"/>
      <c r="E1404" s="8" t="n"/>
      <c r="F1404" s="9" t="n"/>
      <c r="G1404" s="9" t="n"/>
      <c r="H1404" s="3">
        <f>IF(AND(D1404&lt;&gt;"",F1404&lt;&gt;""),F1404-D1404-G1404,"")</f>
        <v/>
      </c>
      <c r="I1404" s="14">
        <f>IF(E1404&lt;&gt;"", YEARFRAC(C1404, E1404) * 12, "")</f>
        <v/>
      </c>
      <c r="J1404" s="2">
        <f>IF(I1404="", "", IF(AND(A1404="MF (Equity)", I1404&gt;12), "Long Term", "Short Term"))</f>
        <v/>
      </c>
      <c r="K1404" s="5">
        <f>IF(J1404="", "", IF(J1404="Long Term", 12.5%, 20%))</f>
        <v/>
      </c>
      <c r="L1404" s="3">
        <f>+IFERROR(IF(J1404="","",H1404*K1404),"")</f>
        <v/>
      </c>
    </row>
    <row r="1405">
      <c r="A1405" s="11" t="n"/>
      <c r="B1405" s="7" t="n"/>
      <c r="C1405" s="8" t="n"/>
      <c r="D1405" s="9" t="n"/>
      <c r="E1405" s="8" t="n"/>
      <c r="F1405" s="9" t="n"/>
      <c r="G1405" s="9" t="n"/>
      <c r="H1405" s="3">
        <f>IF(AND(D1405&lt;&gt;"",F1405&lt;&gt;""),F1405-D1405-G1405,"")</f>
        <v/>
      </c>
      <c r="I1405" s="14">
        <f>IF(E1405&lt;&gt;"", YEARFRAC(C1405, E1405) * 12, "")</f>
        <v/>
      </c>
      <c r="J1405" s="2">
        <f>IF(I1405="", "", IF(AND(A1405="MF (Equity)", I1405&gt;12), "Long Term", "Short Term"))</f>
        <v/>
      </c>
      <c r="K1405" s="5">
        <f>IF(J1405="", "", IF(J1405="Long Term", 12.5%, 20%))</f>
        <v/>
      </c>
      <c r="L1405" s="3">
        <f>+IFERROR(IF(J1405="","",H1405*K1405),"")</f>
        <v/>
      </c>
    </row>
    <row r="1406">
      <c r="A1406" s="11" t="n"/>
      <c r="B1406" s="7" t="n"/>
      <c r="C1406" s="8" t="n"/>
      <c r="D1406" s="9" t="n"/>
      <c r="E1406" s="8" t="n"/>
      <c r="F1406" s="9" t="n"/>
      <c r="G1406" s="9" t="n"/>
      <c r="H1406" s="3">
        <f>IF(AND(D1406&lt;&gt;"",F1406&lt;&gt;""),F1406-D1406-G1406,"")</f>
        <v/>
      </c>
      <c r="I1406" s="14">
        <f>IF(E1406&lt;&gt;"", YEARFRAC(C1406, E1406) * 12, "")</f>
        <v/>
      </c>
      <c r="J1406" s="2">
        <f>IF(I1406="", "", IF(AND(A1406="MF (Equity)", I1406&gt;12), "Long Term", "Short Term"))</f>
        <v/>
      </c>
      <c r="K1406" s="5">
        <f>IF(J1406="", "", IF(J1406="Long Term", 12.5%, 20%))</f>
        <v/>
      </c>
      <c r="L1406" s="3">
        <f>+IFERROR(IF(J1406="","",H1406*K1406),"")</f>
        <v/>
      </c>
    </row>
    <row r="1407">
      <c r="A1407" s="11" t="n"/>
      <c r="B1407" s="7" t="n"/>
      <c r="C1407" s="8" t="n"/>
      <c r="D1407" s="9" t="n"/>
      <c r="E1407" s="8" t="n"/>
      <c r="F1407" s="9" t="n"/>
      <c r="G1407" s="9" t="n"/>
      <c r="H1407" s="3">
        <f>IF(AND(D1407&lt;&gt;"",F1407&lt;&gt;""),F1407-D1407-G1407,"")</f>
        <v/>
      </c>
      <c r="I1407" s="14">
        <f>IF(E1407&lt;&gt;"", YEARFRAC(C1407, E1407) * 12, "")</f>
        <v/>
      </c>
      <c r="J1407" s="2">
        <f>IF(I1407="", "", IF(AND(A1407="MF (Equity)", I1407&gt;12), "Long Term", "Short Term"))</f>
        <v/>
      </c>
      <c r="K1407" s="5">
        <f>IF(J1407="", "", IF(J1407="Long Term", 12.5%, 20%))</f>
        <v/>
      </c>
      <c r="L1407" s="3">
        <f>+IFERROR(IF(J1407="","",H1407*K1407),"")</f>
        <v/>
      </c>
    </row>
    <row r="1408">
      <c r="A1408" s="11" t="n"/>
      <c r="B1408" s="7" t="n"/>
      <c r="C1408" s="8" t="n"/>
      <c r="D1408" s="9" t="n"/>
      <c r="E1408" s="8" t="n"/>
      <c r="F1408" s="9" t="n"/>
      <c r="G1408" s="9" t="n"/>
      <c r="H1408" s="3">
        <f>IF(AND(D1408&lt;&gt;"",F1408&lt;&gt;""),F1408-D1408-G1408,"")</f>
        <v/>
      </c>
      <c r="I1408" s="14">
        <f>IF(E1408&lt;&gt;"", YEARFRAC(C1408, E1408) * 12, "")</f>
        <v/>
      </c>
      <c r="J1408" s="2">
        <f>IF(I1408="", "", IF(AND(A1408="MF (Equity)", I1408&gt;12), "Long Term", "Short Term"))</f>
        <v/>
      </c>
      <c r="K1408" s="5">
        <f>IF(J1408="", "", IF(J1408="Long Term", 12.5%, 20%))</f>
        <v/>
      </c>
      <c r="L1408" s="3">
        <f>+IFERROR(IF(J1408="","",H1408*K1408),"")</f>
        <v/>
      </c>
    </row>
    <row r="1409">
      <c r="A1409" s="11" t="n"/>
      <c r="B1409" s="7" t="n"/>
      <c r="C1409" s="8" t="n"/>
      <c r="D1409" s="9" t="n"/>
      <c r="E1409" s="8" t="n"/>
      <c r="F1409" s="9" t="n"/>
      <c r="G1409" s="9" t="n"/>
      <c r="H1409" s="3">
        <f>IF(AND(D1409&lt;&gt;"",F1409&lt;&gt;""),F1409-D1409-G1409,"")</f>
        <v/>
      </c>
      <c r="I1409" s="14">
        <f>IF(E1409&lt;&gt;"", YEARFRAC(C1409, E1409) * 12, "")</f>
        <v/>
      </c>
      <c r="J1409" s="2">
        <f>IF(I1409="", "", IF(AND(A1409="MF (Equity)", I1409&gt;12), "Long Term", "Short Term"))</f>
        <v/>
      </c>
      <c r="K1409" s="5">
        <f>IF(J1409="", "", IF(J1409="Long Term", 12.5%, 20%))</f>
        <v/>
      </c>
      <c r="L1409" s="3">
        <f>+IFERROR(IF(J1409="","",H1409*K1409),"")</f>
        <v/>
      </c>
    </row>
    <row r="1410">
      <c r="A1410" s="11" t="n"/>
      <c r="B1410" s="7" t="n"/>
      <c r="C1410" s="8" t="n"/>
      <c r="D1410" s="9" t="n"/>
      <c r="E1410" s="8" t="n"/>
      <c r="F1410" s="9" t="n"/>
      <c r="G1410" s="9" t="n"/>
      <c r="H1410" s="3">
        <f>IF(AND(D1410&lt;&gt;"",F1410&lt;&gt;""),F1410-D1410-G1410,"")</f>
        <v/>
      </c>
      <c r="I1410" s="14">
        <f>IF(E1410&lt;&gt;"", YEARFRAC(C1410, E1410) * 12, "")</f>
        <v/>
      </c>
      <c r="J1410" s="2">
        <f>IF(I1410="", "", IF(AND(A1410="MF (Equity)", I1410&gt;12), "Long Term", "Short Term"))</f>
        <v/>
      </c>
      <c r="K1410" s="5">
        <f>IF(J1410="", "", IF(J1410="Long Term", 12.5%, 20%))</f>
        <v/>
      </c>
      <c r="L1410" s="3">
        <f>+IFERROR(IF(J1410="","",H1410*K1410),"")</f>
        <v/>
      </c>
    </row>
    <row r="1411">
      <c r="A1411" s="11" t="n"/>
      <c r="B1411" s="7" t="n"/>
      <c r="C1411" s="8" t="n"/>
      <c r="D1411" s="9" t="n"/>
      <c r="E1411" s="8" t="n"/>
      <c r="F1411" s="9" t="n"/>
      <c r="G1411" s="9" t="n"/>
      <c r="H1411" s="3">
        <f>IF(AND(D1411&lt;&gt;"",F1411&lt;&gt;""),F1411-D1411-G1411,"")</f>
        <v/>
      </c>
      <c r="I1411" s="14">
        <f>IF(E1411&lt;&gt;"", YEARFRAC(C1411, E1411) * 12, "")</f>
        <v/>
      </c>
      <c r="J1411" s="2">
        <f>IF(I1411="", "", IF(AND(A1411="MF (Equity)", I1411&gt;12), "Long Term", "Short Term"))</f>
        <v/>
      </c>
      <c r="K1411" s="5">
        <f>IF(J1411="", "", IF(J1411="Long Term", 12.5%, 20%))</f>
        <v/>
      </c>
      <c r="L1411" s="3">
        <f>+IFERROR(IF(J1411="","",H1411*K1411),"")</f>
        <v/>
      </c>
    </row>
    <row r="1412">
      <c r="A1412" s="11" t="n"/>
      <c r="B1412" s="7" t="n"/>
      <c r="C1412" s="8" t="n"/>
      <c r="D1412" s="9" t="n"/>
      <c r="E1412" s="8" t="n"/>
      <c r="F1412" s="9" t="n"/>
      <c r="G1412" s="9" t="n"/>
      <c r="H1412" s="3">
        <f>IF(AND(D1412&lt;&gt;"",F1412&lt;&gt;""),F1412-D1412-G1412,"")</f>
        <v/>
      </c>
      <c r="I1412" s="14">
        <f>IF(E1412&lt;&gt;"", YEARFRAC(C1412, E1412) * 12, "")</f>
        <v/>
      </c>
      <c r="J1412" s="2">
        <f>IF(I1412="", "", IF(AND(A1412="MF (Equity)", I1412&gt;12), "Long Term", "Short Term"))</f>
        <v/>
      </c>
      <c r="K1412" s="5">
        <f>IF(J1412="", "", IF(J1412="Long Term", 12.5%, 20%))</f>
        <v/>
      </c>
      <c r="L1412" s="3">
        <f>+IFERROR(IF(J1412="","",H1412*K1412),"")</f>
        <v/>
      </c>
    </row>
    <row r="1413">
      <c r="A1413" s="11" t="n"/>
      <c r="B1413" s="7" t="n"/>
      <c r="C1413" s="8" t="n"/>
      <c r="D1413" s="9" t="n"/>
      <c r="E1413" s="8" t="n"/>
      <c r="F1413" s="9" t="n"/>
      <c r="G1413" s="9" t="n"/>
      <c r="H1413" s="3">
        <f>IF(AND(D1413&lt;&gt;"",F1413&lt;&gt;""),F1413-D1413-G1413,"")</f>
        <v/>
      </c>
      <c r="I1413" s="14">
        <f>IF(E1413&lt;&gt;"", YEARFRAC(C1413, E1413) * 12, "")</f>
        <v/>
      </c>
      <c r="J1413" s="2">
        <f>IF(I1413="", "", IF(AND(A1413="MF (Equity)", I1413&gt;12), "Long Term", "Short Term"))</f>
        <v/>
      </c>
      <c r="K1413" s="5">
        <f>IF(J1413="", "", IF(J1413="Long Term", 12.5%, 20%))</f>
        <v/>
      </c>
      <c r="L1413" s="3">
        <f>+IFERROR(IF(J1413="","",H1413*K1413),"")</f>
        <v/>
      </c>
    </row>
    <row r="1414">
      <c r="A1414" s="11" t="n"/>
      <c r="B1414" s="7" t="n"/>
      <c r="C1414" s="8" t="n"/>
      <c r="D1414" s="9" t="n"/>
      <c r="E1414" s="8" t="n"/>
      <c r="F1414" s="9" t="n"/>
      <c r="G1414" s="9" t="n"/>
      <c r="H1414" s="3">
        <f>IF(AND(D1414&lt;&gt;"",F1414&lt;&gt;""),F1414-D1414-G1414,"")</f>
        <v/>
      </c>
      <c r="I1414" s="14">
        <f>IF(E1414&lt;&gt;"", YEARFRAC(C1414, E1414) * 12, "")</f>
        <v/>
      </c>
      <c r="J1414" s="2">
        <f>IF(I1414="", "", IF(AND(A1414="MF (Equity)", I1414&gt;12), "Long Term", "Short Term"))</f>
        <v/>
      </c>
      <c r="K1414" s="5">
        <f>IF(J1414="", "", IF(J1414="Long Term", 12.5%, 20%))</f>
        <v/>
      </c>
      <c r="L1414" s="3">
        <f>+IFERROR(IF(J1414="","",H1414*K1414),"")</f>
        <v/>
      </c>
    </row>
    <row r="1415">
      <c r="A1415" s="11" t="n"/>
      <c r="B1415" s="7" t="n"/>
      <c r="C1415" s="8" t="n"/>
      <c r="D1415" s="9" t="n"/>
      <c r="E1415" s="8" t="n"/>
      <c r="F1415" s="9" t="n"/>
      <c r="G1415" s="9" t="n"/>
      <c r="H1415" s="3">
        <f>IF(AND(D1415&lt;&gt;"",F1415&lt;&gt;""),F1415-D1415-G1415,"")</f>
        <v/>
      </c>
      <c r="I1415" s="14">
        <f>IF(E1415&lt;&gt;"", YEARFRAC(C1415, E1415) * 12, "")</f>
        <v/>
      </c>
      <c r="J1415" s="2">
        <f>IF(I1415="", "", IF(AND(A1415="MF (Equity)", I1415&gt;12), "Long Term", "Short Term"))</f>
        <v/>
      </c>
      <c r="K1415" s="5">
        <f>IF(J1415="", "", IF(J1415="Long Term", 12.5%, 20%))</f>
        <v/>
      </c>
      <c r="L1415" s="3">
        <f>+IFERROR(IF(J1415="","",H1415*K1415),"")</f>
        <v/>
      </c>
    </row>
    <row r="1416">
      <c r="A1416" s="11" t="n"/>
      <c r="B1416" s="7" t="n"/>
      <c r="C1416" s="8" t="n"/>
      <c r="D1416" s="9" t="n"/>
      <c r="E1416" s="8" t="n"/>
      <c r="F1416" s="9" t="n"/>
      <c r="G1416" s="9" t="n"/>
      <c r="H1416" s="3">
        <f>IF(AND(D1416&lt;&gt;"",F1416&lt;&gt;""),F1416-D1416-G1416,"")</f>
        <v/>
      </c>
      <c r="I1416" s="14">
        <f>IF(E1416&lt;&gt;"", YEARFRAC(C1416, E1416) * 12, "")</f>
        <v/>
      </c>
      <c r="J1416" s="2">
        <f>IF(I1416="", "", IF(AND(A1416="MF (Equity)", I1416&gt;12), "Long Term", "Short Term"))</f>
        <v/>
      </c>
      <c r="K1416" s="5">
        <f>IF(J1416="", "", IF(J1416="Long Term", 12.5%, 20%))</f>
        <v/>
      </c>
      <c r="L1416" s="3">
        <f>+IFERROR(IF(J1416="","",H1416*K1416),"")</f>
        <v/>
      </c>
    </row>
    <row r="1417">
      <c r="A1417" s="11" t="n"/>
      <c r="B1417" s="7" t="n"/>
      <c r="C1417" s="8" t="n"/>
      <c r="D1417" s="9" t="n"/>
      <c r="E1417" s="8" t="n"/>
      <c r="F1417" s="9" t="n"/>
      <c r="G1417" s="9" t="n"/>
      <c r="H1417" s="3">
        <f>IF(AND(D1417&lt;&gt;"",F1417&lt;&gt;""),F1417-D1417-G1417,"")</f>
        <v/>
      </c>
      <c r="I1417" s="14">
        <f>IF(E1417&lt;&gt;"", YEARFRAC(C1417, E1417) * 12, "")</f>
        <v/>
      </c>
      <c r="J1417" s="2">
        <f>IF(I1417="", "", IF(AND(A1417="MF (Equity)", I1417&gt;12), "Long Term", "Short Term"))</f>
        <v/>
      </c>
      <c r="K1417" s="5">
        <f>IF(J1417="", "", IF(J1417="Long Term", 12.5%, 20%))</f>
        <v/>
      </c>
      <c r="L1417" s="3">
        <f>+IFERROR(IF(J1417="","",H1417*K1417),"")</f>
        <v/>
      </c>
    </row>
    <row r="1418">
      <c r="A1418" s="11" t="n"/>
      <c r="B1418" s="7" t="n"/>
      <c r="C1418" s="8" t="n"/>
      <c r="D1418" s="9" t="n"/>
      <c r="E1418" s="8" t="n"/>
      <c r="F1418" s="9" t="n"/>
      <c r="G1418" s="9" t="n"/>
      <c r="H1418" s="3">
        <f>IF(AND(D1418&lt;&gt;"",F1418&lt;&gt;""),F1418-D1418-G1418,"")</f>
        <v/>
      </c>
      <c r="I1418" s="14">
        <f>IF(E1418&lt;&gt;"", YEARFRAC(C1418, E1418) * 12, "")</f>
        <v/>
      </c>
      <c r="J1418" s="2">
        <f>IF(I1418="", "", IF(AND(A1418="MF (Equity)", I1418&gt;12), "Long Term", "Short Term"))</f>
        <v/>
      </c>
      <c r="K1418" s="5">
        <f>IF(J1418="", "", IF(J1418="Long Term", 12.5%, 20%))</f>
        <v/>
      </c>
      <c r="L1418" s="3">
        <f>+IFERROR(IF(J1418="","",H1418*K1418),"")</f>
        <v/>
      </c>
    </row>
    <row r="1419">
      <c r="A1419" s="11" t="n"/>
      <c r="B1419" s="7" t="n"/>
      <c r="C1419" s="8" t="n"/>
      <c r="D1419" s="9" t="n"/>
      <c r="E1419" s="8" t="n"/>
      <c r="F1419" s="9" t="n"/>
      <c r="G1419" s="9" t="n"/>
      <c r="H1419" s="3">
        <f>IF(AND(D1419&lt;&gt;"",F1419&lt;&gt;""),F1419-D1419-G1419,"")</f>
        <v/>
      </c>
      <c r="I1419" s="14">
        <f>IF(E1419&lt;&gt;"", YEARFRAC(C1419, E1419) * 12, "")</f>
        <v/>
      </c>
      <c r="J1419" s="2">
        <f>IF(I1419="", "", IF(AND(A1419="MF (Equity)", I1419&gt;12), "Long Term", "Short Term"))</f>
        <v/>
      </c>
      <c r="K1419" s="5">
        <f>IF(J1419="", "", IF(J1419="Long Term", 12.5%, 20%))</f>
        <v/>
      </c>
      <c r="L1419" s="3">
        <f>+IFERROR(IF(J1419="","",H1419*K1419),"")</f>
        <v/>
      </c>
    </row>
    <row r="1420">
      <c r="A1420" s="11" t="n"/>
      <c r="B1420" s="7" t="n"/>
      <c r="C1420" s="8" t="n"/>
      <c r="D1420" s="9" t="n"/>
      <c r="E1420" s="8" t="n"/>
      <c r="F1420" s="9" t="n"/>
      <c r="G1420" s="9" t="n"/>
      <c r="H1420" s="3">
        <f>IF(AND(D1420&lt;&gt;"",F1420&lt;&gt;""),F1420-D1420-G1420,"")</f>
        <v/>
      </c>
      <c r="I1420" s="14">
        <f>IF(E1420&lt;&gt;"", YEARFRAC(C1420, E1420) * 12, "")</f>
        <v/>
      </c>
      <c r="J1420" s="2">
        <f>IF(I1420="", "", IF(AND(A1420="MF (Equity)", I1420&gt;12), "Long Term", "Short Term"))</f>
        <v/>
      </c>
      <c r="K1420" s="5">
        <f>IF(J1420="", "", IF(J1420="Long Term", 12.5%, 20%))</f>
        <v/>
      </c>
      <c r="L1420" s="3">
        <f>+IFERROR(IF(J1420="","",H1420*K1420),"")</f>
        <v/>
      </c>
    </row>
    <row r="1421">
      <c r="A1421" s="11" t="n"/>
      <c r="B1421" s="7" t="n"/>
      <c r="C1421" s="8" t="n"/>
      <c r="D1421" s="9" t="n"/>
      <c r="E1421" s="8" t="n"/>
      <c r="F1421" s="9" t="n"/>
      <c r="G1421" s="9" t="n"/>
      <c r="H1421" s="3">
        <f>IF(AND(D1421&lt;&gt;"",F1421&lt;&gt;""),F1421-D1421-G1421,"")</f>
        <v/>
      </c>
      <c r="I1421" s="14">
        <f>IF(E1421&lt;&gt;"", YEARFRAC(C1421, E1421) * 12, "")</f>
        <v/>
      </c>
      <c r="J1421" s="2">
        <f>IF(I1421="", "", IF(AND(A1421="MF (Equity)", I1421&gt;12), "Long Term", "Short Term"))</f>
        <v/>
      </c>
      <c r="K1421" s="5">
        <f>IF(J1421="", "", IF(J1421="Long Term", 12.5%, 20%))</f>
        <v/>
      </c>
      <c r="L1421" s="3">
        <f>+IFERROR(IF(J1421="","",H1421*K1421),"")</f>
        <v/>
      </c>
    </row>
    <row r="1422">
      <c r="A1422" s="11" t="n"/>
      <c r="B1422" s="7" t="n"/>
      <c r="C1422" s="8" t="n"/>
      <c r="D1422" s="9" t="n"/>
      <c r="E1422" s="8" t="n"/>
      <c r="F1422" s="9" t="n"/>
      <c r="G1422" s="9" t="n"/>
      <c r="H1422" s="3">
        <f>IF(AND(D1422&lt;&gt;"",F1422&lt;&gt;""),F1422-D1422-G1422,"")</f>
        <v/>
      </c>
      <c r="I1422" s="14">
        <f>IF(E1422&lt;&gt;"", YEARFRAC(C1422, E1422) * 12, "")</f>
        <v/>
      </c>
      <c r="J1422" s="2">
        <f>IF(I1422="", "", IF(AND(A1422="MF (Equity)", I1422&gt;12), "Long Term", "Short Term"))</f>
        <v/>
      </c>
      <c r="K1422" s="5">
        <f>IF(J1422="", "", IF(J1422="Long Term", 12.5%, 20%))</f>
        <v/>
      </c>
      <c r="L1422" s="3">
        <f>+IFERROR(IF(J1422="","",H1422*K1422),"")</f>
        <v/>
      </c>
    </row>
    <row r="1423">
      <c r="A1423" s="11" t="n"/>
      <c r="B1423" s="7" t="n"/>
      <c r="C1423" s="8" t="n"/>
      <c r="D1423" s="9" t="n"/>
      <c r="E1423" s="8" t="n"/>
      <c r="F1423" s="9" t="n"/>
      <c r="G1423" s="9" t="n"/>
      <c r="H1423" s="3">
        <f>IF(AND(D1423&lt;&gt;"",F1423&lt;&gt;""),F1423-D1423-G1423,"")</f>
        <v/>
      </c>
      <c r="I1423" s="14">
        <f>IF(E1423&lt;&gt;"", YEARFRAC(C1423, E1423) * 12, "")</f>
        <v/>
      </c>
      <c r="J1423" s="2">
        <f>IF(I1423="", "", IF(AND(A1423="MF (Equity)", I1423&gt;12), "Long Term", "Short Term"))</f>
        <v/>
      </c>
      <c r="K1423" s="5">
        <f>IF(J1423="", "", IF(J1423="Long Term", 12.5%, 20%))</f>
        <v/>
      </c>
      <c r="L1423" s="3">
        <f>+IFERROR(IF(J1423="","",H1423*K1423),"")</f>
        <v/>
      </c>
    </row>
    <row r="1424">
      <c r="A1424" s="11" t="n"/>
      <c r="B1424" s="7" t="n"/>
      <c r="C1424" s="8" t="n"/>
      <c r="D1424" s="9" t="n"/>
      <c r="E1424" s="8" t="n"/>
      <c r="F1424" s="9" t="n"/>
      <c r="G1424" s="9" t="n"/>
      <c r="H1424" s="3">
        <f>IF(AND(D1424&lt;&gt;"",F1424&lt;&gt;""),F1424-D1424-G1424,"")</f>
        <v/>
      </c>
      <c r="I1424" s="14">
        <f>IF(E1424&lt;&gt;"", YEARFRAC(C1424, E1424) * 12, "")</f>
        <v/>
      </c>
      <c r="J1424" s="2">
        <f>IF(I1424="", "", IF(AND(A1424="MF (Equity)", I1424&gt;12), "Long Term", "Short Term"))</f>
        <v/>
      </c>
      <c r="K1424" s="5">
        <f>IF(J1424="", "", IF(J1424="Long Term", 12.5%, 20%))</f>
        <v/>
      </c>
      <c r="L1424" s="3">
        <f>+IFERROR(IF(J1424="","",H1424*K1424),"")</f>
        <v/>
      </c>
    </row>
    <row r="1425">
      <c r="A1425" s="11" t="n"/>
      <c r="B1425" s="7" t="n"/>
      <c r="C1425" s="8" t="n"/>
      <c r="D1425" s="9" t="n"/>
      <c r="E1425" s="8" t="n"/>
      <c r="F1425" s="9" t="n"/>
      <c r="G1425" s="9" t="n"/>
      <c r="H1425" s="3">
        <f>IF(AND(D1425&lt;&gt;"",F1425&lt;&gt;""),F1425-D1425-G1425,"")</f>
        <v/>
      </c>
      <c r="I1425" s="14">
        <f>IF(E1425&lt;&gt;"", YEARFRAC(C1425, E1425) * 12, "")</f>
        <v/>
      </c>
      <c r="J1425" s="2">
        <f>IF(I1425="", "", IF(AND(A1425="MF (Equity)", I1425&gt;12), "Long Term", "Short Term"))</f>
        <v/>
      </c>
      <c r="K1425" s="5">
        <f>IF(J1425="", "", IF(J1425="Long Term", 12.5%, 20%))</f>
        <v/>
      </c>
      <c r="L1425" s="3">
        <f>+IFERROR(IF(J1425="","",H1425*K1425),"")</f>
        <v/>
      </c>
    </row>
    <row r="1426">
      <c r="A1426" s="11" t="n"/>
      <c r="B1426" s="7" t="n"/>
      <c r="C1426" s="8" t="n"/>
      <c r="D1426" s="9" t="n"/>
      <c r="E1426" s="8" t="n"/>
      <c r="F1426" s="9" t="n"/>
      <c r="G1426" s="9" t="n"/>
      <c r="H1426" s="3">
        <f>IF(AND(D1426&lt;&gt;"",F1426&lt;&gt;""),F1426-D1426-G1426,"")</f>
        <v/>
      </c>
      <c r="I1426" s="14">
        <f>IF(E1426&lt;&gt;"", YEARFRAC(C1426, E1426) * 12, "")</f>
        <v/>
      </c>
      <c r="J1426" s="2">
        <f>IF(I1426="", "", IF(AND(A1426="MF (Equity)", I1426&gt;12), "Long Term", "Short Term"))</f>
        <v/>
      </c>
      <c r="K1426" s="5">
        <f>IF(J1426="", "", IF(J1426="Long Term", 12.5%, 20%))</f>
        <v/>
      </c>
      <c r="L1426" s="3">
        <f>+IFERROR(IF(J1426="","",H1426*K1426),"")</f>
        <v/>
      </c>
    </row>
    <row r="1427">
      <c r="A1427" s="11" t="n"/>
      <c r="B1427" s="7" t="n"/>
      <c r="C1427" s="8" t="n"/>
      <c r="D1427" s="9" t="n"/>
      <c r="E1427" s="8" t="n"/>
      <c r="F1427" s="9" t="n"/>
      <c r="G1427" s="9" t="n"/>
      <c r="H1427" s="3">
        <f>IF(AND(D1427&lt;&gt;"",F1427&lt;&gt;""),F1427-D1427-G1427,"")</f>
        <v/>
      </c>
      <c r="I1427" s="14">
        <f>IF(E1427&lt;&gt;"", YEARFRAC(C1427, E1427) * 12, "")</f>
        <v/>
      </c>
      <c r="J1427" s="2">
        <f>IF(I1427="", "", IF(AND(A1427="MF (Equity)", I1427&gt;12), "Long Term", "Short Term"))</f>
        <v/>
      </c>
      <c r="K1427" s="5">
        <f>IF(J1427="", "", IF(J1427="Long Term", 12.5%, 20%))</f>
        <v/>
      </c>
      <c r="L1427" s="3">
        <f>+IFERROR(IF(J1427="","",H1427*K1427),"")</f>
        <v/>
      </c>
    </row>
    <row r="1428">
      <c r="A1428" s="11" t="n"/>
      <c r="B1428" s="7" t="n"/>
      <c r="C1428" s="8" t="n"/>
      <c r="D1428" s="9" t="n"/>
      <c r="E1428" s="8" t="n"/>
      <c r="F1428" s="9" t="n"/>
      <c r="G1428" s="9" t="n"/>
      <c r="H1428" s="3">
        <f>IF(AND(D1428&lt;&gt;"",F1428&lt;&gt;""),F1428-D1428-G1428,"")</f>
        <v/>
      </c>
      <c r="I1428" s="14">
        <f>IF(E1428&lt;&gt;"", YEARFRAC(C1428, E1428) * 12, "")</f>
        <v/>
      </c>
      <c r="J1428" s="2">
        <f>IF(I1428="", "", IF(AND(A1428="MF (Equity)", I1428&gt;12), "Long Term", "Short Term"))</f>
        <v/>
      </c>
      <c r="K1428" s="5">
        <f>IF(J1428="", "", IF(J1428="Long Term", 12.5%, 20%))</f>
        <v/>
      </c>
      <c r="L1428" s="3">
        <f>+IFERROR(IF(J1428="","",H1428*K1428),"")</f>
        <v/>
      </c>
    </row>
    <row r="1429">
      <c r="A1429" s="11" t="n"/>
      <c r="B1429" s="7" t="n"/>
      <c r="C1429" s="8" t="n"/>
      <c r="D1429" s="9" t="n"/>
      <c r="E1429" s="8" t="n"/>
      <c r="F1429" s="9" t="n"/>
      <c r="G1429" s="9" t="n"/>
      <c r="H1429" s="3">
        <f>IF(AND(D1429&lt;&gt;"",F1429&lt;&gt;""),F1429-D1429-G1429,"")</f>
        <v/>
      </c>
      <c r="I1429" s="14">
        <f>IF(E1429&lt;&gt;"", YEARFRAC(C1429, E1429) * 12, "")</f>
        <v/>
      </c>
      <c r="J1429" s="2">
        <f>IF(I1429="", "", IF(AND(A1429="MF (Equity)", I1429&gt;12), "Long Term", "Short Term"))</f>
        <v/>
      </c>
      <c r="K1429" s="5">
        <f>IF(J1429="", "", IF(J1429="Long Term", 12.5%, 20%))</f>
        <v/>
      </c>
      <c r="L1429" s="3">
        <f>+IFERROR(IF(J1429="","",H1429*K1429),"")</f>
        <v/>
      </c>
    </row>
    <row r="1430">
      <c r="A1430" s="11" t="n"/>
      <c r="B1430" s="7" t="n"/>
      <c r="C1430" s="8" t="n"/>
      <c r="D1430" s="9" t="n"/>
      <c r="E1430" s="8" t="n"/>
      <c r="F1430" s="9" t="n"/>
      <c r="G1430" s="9" t="n"/>
      <c r="H1430" s="3">
        <f>IF(AND(D1430&lt;&gt;"",F1430&lt;&gt;""),F1430-D1430-G1430,"")</f>
        <v/>
      </c>
      <c r="I1430" s="14">
        <f>IF(E1430&lt;&gt;"", YEARFRAC(C1430, E1430) * 12, "")</f>
        <v/>
      </c>
      <c r="J1430" s="2">
        <f>IF(I1430="", "", IF(AND(A1430="MF (Equity)", I1430&gt;12), "Long Term", "Short Term"))</f>
        <v/>
      </c>
      <c r="K1430" s="5">
        <f>IF(J1430="", "", IF(J1430="Long Term", 12.5%, 20%))</f>
        <v/>
      </c>
      <c r="L1430" s="3">
        <f>+IFERROR(IF(J1430="","",H1430*K1430),"")</f>
        <v/>
      </c>
    </row>
    <row r="1431">
      <c r="A1431" s="11" t="n"/>
      <c r="B1431" s="7" t="n"/>
      <c r="C1431" s="8" t="n"/>
      <c r="D1431" s="9" t="n"/>
      <c r="E1431" s="8" t="n"/>
      <c r="F1431" s="9" t="n"/>
      <c r="G1431" s="9" t="n"/>
      <c r="H1431" s="3">
        <f>IF(AND(D1431&lt;&gt;"",F1431&lt;&gt;""),F1431-D1431-G1431,"")</f>
        <v/>
      </c>
      <c r="I1431" s="14">
        <f>IF(E1431&lt;&gt;"", YEARFRAC(C1431, E1431) * 12, "")</f>
        <v/>
      </c>
      <c r="J1431" s="2">
        <f>IF(I1431="", "", IF(AND(A1431="MF (Equity)", I1431&gt;12), "Long Term", "Short Term"))</f>
        <v/>
      </c>
      <c r="K1431" s="5">
        <f>IF(J1431="", "", IF(J1431="Long Term", 12.5%, 20%))</f>
        <v/>
      </c>
      <c r="L1431" s="3">
        <f>+IFERROR(IF(J1431="","",H1431*K1431),"")</f>
        <v/>
      </c>
    </row>
    <row r="1432">
      <c r="A1432" s="11" t="n"/>
      <c r="B1432" s="7" t="n"/>
      <c r="C1432" s="8" t="n"/>
      <c r="D1432" s="9" t="n"/>
      <c r="E1432" s="8" t="n"/>
      <c r="F1432" s="9" t="n"/>
      <c r="G1432" s="9" t="n"/>
      <c r="H1432" s="3">
        <f>IF(AND(D1432&lt;&gt;"",F1432&lt;&gt;""),F1432-D1432-G1432,"")</f>
        <v/>
      </c>
      <c r="I1432" s="14">
        <f>IF(E1432&lt;&gt;"", YEARFRAC(C1432, E1432) * 12, "")</f>
        <v/>
      </c>
      <c r="J1432" s="2">
        <f>IF(I1432="", "", IF(AND(A1432="MF (Equity)", I1432&gt;12), "Long Term", "Short Term"))</f>
        <v/>
      </c>
      <c r="K1432" s="5">
        <f>IF(J1432="", "", IF(J1432="Long Term", 12.5%, 20%))</f>
        <v/>
      </c>
      <c r="L1432" s="3">
        <f>+IFERROR(IF(J1432="","",H1432*K1432),"")</f>
        <v/>
      </c>
    </row>
    <row r="1433">
      <c r="A1433" s="11" t="n"/>
      <c r="B1433" s="7" t="n"/>
      <c r="C1433" s="8" t="n"/>
      <c r="D1433" s="9" t="n"/>
      <c r="E1433" s="8" t="n"/>
      <c r="F1433" s="9" t="n"/>
      <c r="G1433" s="9" t="n"/>
      <c r="H1433" s="3">
        <f>IF(AND(D1433&lt;&gt;"",F1433&lt;&gt;""),F1433-D1433-G1433,"")</f>
        <v/>
      </c>
      <c r="I1433" s="14">
        <f>IF(E1433&lt;&gt;"", YEARFRAC(C1433, E1433) * 12, "")</f>
        <v/>
      </c>
      <c r="J1433" s="2">
        <f>IF(I1433="", "", IF(AND(A1433="MF (Equity)", I1433&gt;12), "Long Term", "Short Term"))</f>
        <v/>
      </c>
      <c r="K1433" s="5">
        <f>IF(J1433="", "", IF(J1433="Long Term", 12.5%, 20%))</f>
        <v/>
      </c>
      <c r="L1433" s="3">
        <f>+IFERROR(IF(J1433="","",H1433*K1433),"")</f>
        <v/>
      </c>
    </row>
    <row r="1434">
      <c r="A1434" s="11" t="n"/>
      <c r="B1434" s="7" t="n"/>
      <c r="C1434" s="8" t="n"/>
      <c r="D1434" s="9" t="n"/>
      <c r="E1434" s="8" t="n"/>
      <c r="F1434" s="9" t="n"/>
      <c r="G1434" s="9" t="n"/>
      <c r="H1434" s="3">
        <f>IF(AND(D1434&lt;&gt;"",F1434&lt;&gt;""),F1434-D1434-G1434,"")</f>
        <v/>
      </c>
      <c r="I1434" s="14">
        <f>IF(E1434&lt;&gt;"", YEARFRAC(C1434, E1434) * 12, "")</f>
        <v/>
      </c>
      <c r="J1434" s="2">
        <f>IF(I1434="", "", IF(AND(A1434="MF (Equity)", I1434&gt;12), "Long Term", "Short Term"))</f>
        <v/>
      </c>
      <c r="K1434" s="5">
        <f>IF(J1434="", "", IF(J1434="Long Term", 12.5%, 20%))</f>
        <v/>
      </c>
      <c r="L1434" s="3">
        <f>+IFERROR(IF(J1434="","",H1434*K1434),"")</f>
        <v/>
      </c>
    </row>
    <row r="1435">
      <c r="A1435" s="11" t="n"/>
      <c r="B1435" s="7" t="n"/>
      <c r="C1435" s="8" t="n"/>
      <c r="D1435" s="9" t="n"/>
      <c r="E1435" s="8" t="n"/>
      <c r="F1435" s="9" t="n"/>
      <c r="G1435" s="9" t="n"/>
      <c r="H1435" s="3">
        <f>IF(AND(D1435&lt;&gt;"",F1435&lt;&gt;""),F1435-D1435-G1435,"")</f>
        <v/>
      </c>
      <c r="I1435" s="14">
        <f>IF(E1435&lt;&gt;"", YEARFRAC(C1435, E1435) * 12, "")</f>
        <v/>
      </c>
      <c r="J1435" s="2">
        <f>IF(I1435="", "", IF(AND(A1435="MF (Equity)", I1435&gt;12), "Long Term", "Short Term"))</f>
        <v/>
      </c>
      <c r="K1435" s="5">
        <f>IF(J1435="", "", IF(J1435="Long Term", 12.5%, 20%))</f>
        <v/>
      </c>
      <c r="L1435" s="3">
        <f>+IFERROR(IF(J1435="","",H1435*K1435),"")</f>
        <v/>
      </c>
    </row>
    <row r="1436">
      <c r="A1436" s="11" t="n"/>
      <c r="B1436" s="7" t="n"/>
      <c r="C1436" s="8" t="n"/>
      <c r="D1436" s="9" t="n"/>
      <c r="E1436" s="8" t="n"/>
      <c r="F1436" s="9" t="n"/>
      <c r="G1436" s="9" t="n"/>
      <c r="H1436" s="3">
        <f>IF(AND(D1436&lt;&gt;"",F1436&lt;&gt;""),F1436-D1436-G1436,"")</f>
        <v/>
      </c>
      <c r="I1436" s="14">
        <f>IF(E1436&lt;&gt;"", YEARFRAC(C1436, E1436) * 12, "")</f>
        <v/>
      </c>
      <c r="J1436" s="2">
        <f>IF(I1436="", "", IF(AND(A1436="MF (Equity)", I1436&gt;12), "Long Term", "Short Term"))</f>
        <v/>
      </c>
      <c r="K1436" s="5">
        <f>IF(J1436="", "", IF(J1436="Long Term", 12.5%, 20%))</f>
        <v/>
      </c>
      <c r="L1436" s="3">
        <f>+IFERROR(IF(J1436="","",H1436*K1436),"")</f>
        <v/>
      </c>
    </row>
    <row r="1437">
      <c r="A1437" s="11" t="n"/>
      <c r="B1437" s="7" t="n"/>
      <c r="C1437" s="8" t="n"/>
      <c r="D1437" s="9" t="n"/>
      <c r="E1437" s="8" t="n"/>
      <c r="F1437" s="9" t="n"/>
      <c r="G1437" s="9" t="n"/>
      <c r="H1437" s="3">
        <f>IF(AND(D1437&lt;&gt;"",F1437&lt;&gt;""),F1437-D1437-G1437,"")</f>
        <v/>
      </c>
      <c r="I1437" s="14">
        <f>IF(E1437&lt;&gt;"", YEARFRAC(C1437, E1437) * 12, "")</f>
        <v/>
      </c>
      <c r="J1437" s="2">
        <f>IF(I1437="", "", IF(AND(A1437="MF (Equity)", I1437&gt;12), "Long Term", "Short Term"))</f>
        <v/>
      </c>
      <c r="K1437" s="5">
        <f>IF(J1437="", "", IF(J1437="Long Term", 12.5%, 20%))</f>
        <v/>
      </c>
      <c r="L1437" s="3">
        <f>+IFERROR(IF(J1437="","",H1437*K1437),"")</f>
        <v/>
      </c>
    </row>
    <row r="1438">
      <c r="A1438" s="11" t="n"/>
      <c r="B1438" s="7" t="n"/>
      <c r="C1438" s="8" t="n"/>
      <c r="D1438" s="9" t="n"/>
      <c r="E1438" s="8" t="n"/>
      <c r="F1438" s="9" t="n"/>
      <c r="G1438" s="9" t="n"/>
      <c r="H1438" s="3">
        <f>IF(AND(D1438&lt;&gt;"",F1438&lt;&gt;""),F1438-D1438-G1438,"")</f>
        <v/>
      </c>
      <c r="I1438" s="14">
        <f>IF(E1438&lt;&gt;"", YEARFRAC(C1438, E1438) * 12, "")</f>
        <v/>
      </c>
      <c r="J1438" s="2">
        <f>IF(I1438="", "", IF(AND(A1438="MF (Equity)", I1438&gt;12), "Long Term", "Short Term"))</f>
        <v/>
      </c>
      <c r="K1438" s="5">
        <f>IF(J1438="", "", IF(J1438="Long Term", 12.5%, 20%))</f>
        <v/>
      </c>
      <c r="L1438" s="3">
        <f>+IFERROR(IF(J1438="","",H1438*K1438),"")</f>
        <v/>
      </c>
    </row>
    <row r="1439">
      <c r="A1439" s="11" t="n"/>
      <c r="B1439" s="7" t="n"/>
      <c r="C1439" s="8" t="n"/>
      <c r="D1439" s="9" t="n"/>
      <c r="E1439" s="8" t="n"/>
      <c r="F1439" s="9" t="n"/>
      <c r="G1439" s="9" t="n"/>
      <c r="H1439" s="3">
        <f>IF(AND(D1439&lt;&gt;"",F1439&lt;&gt;""),F1439-D1439-G1439,"")</f>
        <v/>
      </c>
      <c r="I1439" s="14">
        <f>IF(E1439&lt;&gt;"", YEARFRAC(C1439, E1439) * 12, "")</f>
        <v/>
      </c>
      <c r="J1439" s="2">
        <f>IF(I1439="", "", IF(AND(A1439="MF (Equity)", I1439&gt;12), "Long Term", "Short Term"))</f>
        <v/>
      </c>
      <c r="K1439" s="5">
        <f>IF(J1439="", "", IF(J1439="Long Term", 12.5%, 20%))</f>
        <v/>
      </c>
      <c r="L1439" s="3">
        <f>+IFERROR(IF(J1439="","",H1439*K1439),"")</f>
        <v/>
      </c>
    </row>
    <row r="1440">
      <c r="A1440" s="11" t="n"/>
      <c r="B1440" s="7" t="n"/>
      <c r="C1440" s="8" t="n"/>
      <c r="D1440" s="9" t="n"/>
      <c r="E1440" s="8" t="n"/>
      <c r="F1440" s="9" t="n"/>
      <c r="G1440" s="9" t="n"/>
      <c r="H1440" s="3">
        <f>IF(AND(D1440&lt;&gt;"",F1440&lt;&gt;""),F1440-D1440-G1440,"")</f>
        <v/>
      </c>
      <c r="I1440" s="14">
        <f>IF(E1440&lt;&gt;"", YEARFRAC(C1440, E1440) * 12, "")</f>
        <v/>
      </c>
      <c r="J1440" s="2">
        <f>IF(I1440="", "", IF(AND(A1440="MF (Equity)", I1440&gt;12), "Long Term", "Short Term"))</f>
        <v/>
      </c>
      <c r="K1440" s="5">
        <f>IF(J1440="", "", IF(J1440="Long Term", 12.5%, 20%))</f>
        <v/>
      </c>
      <c r="L1440" s="3">
        <f>+IFERROR(IF(J1440="","",H1440*K1440),"")</f>
        <v/>
      </c>
    </row>
    <row r="1441">
      <c r="A1441" s="11" t="n"/>
      <c r="B1441" s="7" t="n"/>
      <c r="C1441" s="8" t="n"/>
      <c r="D1441" s="9" t="n"/>
      <c r="E1441" s="8" t="n"/>
      <c r="F1441" s="9" t="n"/>
      <c r="G1441" s="9" t="n"/>
      <c r="H1441" s="3">
        <f>IF(AND(D1441&lt;&gt;"",F1441&lt;&gt;""),F1441-D1441-G1441,"")</f>
        <v/>
      </c>
      <c r="I1441" s="14">
        <f>IF(E1441&lt;&gt;"", YEARFRAC(C1441, E1441) * 12, "")</f>
        <v/>
      </c>
      <c r="J1441" s="2">
        <f>IF(I1441="", "", IF(AND(A1441="MF (Equity)", I1441&gt;12), "Long Term", "Short Term"))</f>
        <v/>
      </c>
      <c r="K1441" s="5">
        <f>IF(J1441="", "", IF(J1441="Long Term", 12.5%, 20%))</f>
        <v/>
      </c>
      <c r="L1441" s="3">
        <f>+IFERROR(IF(J1441="","",H1441*K1441),"")</f>
        <v/>
      </c>
    </row>
    <row r="1442">
      <c r="A1442" s="11" t="n"/>
      <c r="B1442" s="7" t="n"/>
      <c r="C1442" s="8" t="n"/>
      <c r="D1442" s="9" t="n"/>
      <c r="E1442" s="8" t="n"/>
      <c r="F1442" s="9" t="n"/>
      <c r="G1442" s="9" t="n"/>
      <c r="H1442" s="3">
        <f>IF(AND(D1442&lt;&gt;"",F1442&lt;&gt;""),F1442-D1442-G1442,"")</f>
        <v/>
      </c>
      <c r="I1442" s="14">
        <f>IF(E1442&lt;&gt;"", YEARFRAC(C1442, E1442) * 12, "")</f>
        <v/>
      </c>
      <c r="J1442" s="2">
        <f>IF(I1442="", "", IF(AND(A1442="MF (Equity)", I1442&gt;12), "Long Term", "Short Term"))</f>
        <v/>
      </c>
      <c r="K1442" s="5">
        <f>IF(J1442="", "", IF(J1442="Long Term", 12.5%, 20%))</f>
        <v/>
      </c>
      <c r="L1442" s="3">
        <f>+IFERROR(IF(J1442="","",H1442*K1442),"")</f>
        <v/>
      </c>
    </row>
    <row r="1443">
      <c r="A1443" s="11" t="n"/>
      <c r="B1443" s="7" t="n"/>
      <c r="C1443" s="8" t="n"/>
      <c r="D1443" s="9" t="n"/>
      <c r="E1443" s="8" t="n"/>
      <c r="F1443" s="9" t="n"/>
      <c r="G1443" s="9" t="n"/>
      <c r="H1443" s="3">
        <f>IF(AND(D1443&lt;&gt;"",F1443&lt;&gt;""),F1443-D1443-G1443,"")</f>
        <v/>
      </c>
      <c r="I1443" s="14">
        <f>IF(E1443&lt;&gt;"", YEARFRAC(C1443, E1443) * 12, "")</f>
        <v/>
      </c>
      <c r="J1443" s="2">
        <f>IF(I1443="", "", IF(AND(A1443="MF (Equity)", I1443&gt;12), "Long Term", "Short Term"))</f>
        <v/>
      </c>
      <c r="K1443" s="5">
        <f>IF(J1443="", "", IF(J1443="Long Term", 12.5%, 20%))</f>
        <v/>
      </c>
      <c r="L1443" s="3">
        <f>+IFERROR(IF(J1443="","",H1443*K1443),"")</f>
        <v/>
      </c>
    </row>
    <row r="1444">
      <c r="A1444" s="11" t="n"/>
      <c r="B1444" s="7" t="n"/>
      <c r="C1444" s="8" t="n"/>
      <c r="D1444" s="9" t="n"/>
      <c r="E1444" s="8" t="n"/>
      <c r="F1444" s="9" t="n"/>
      <c r="G1444" s="9" t="n"/>
      <c r="H1444" s="3">
        <f>IF(AND(D1444&lt;&gt;"",F1444&lt;&gt;""),F1444-D1444-G1444,"")</f>
        <v/>
      </c>
      <c r="I1444" s="14">
        <f>IF(E1444&lt;&gt;"", YEARFRAC(C1444, E1444) * 12, "")</f>
        <v/>
      </c>
      <c r="J1444" s="2">
        <f>IF(I1444="", "", IF(AND(A1444="MF (Equity)", I1444&gt;12), "Long Term", "Short Term"))</f>
        <v/>
      </c>
      <c r="K1444" s="5">
        <f>IF(J1444="", "", IF(J1444="Long Term", 12.5%, 20%))</f>
        <v/>
      </c>
      <c r="L1444" s="3">
        <f>+IFERROR(IF(J1444="","",H1444*K1444),"")</f>
        <v/>
      </c>
    </row>
    <row r="1445">
      <c r="A1445" s="11" t="n"/>
      <c r="B1445" s="7" t="n"/>
      <c r="C1445" s="8" t="n"/>
      <c r="D1445" s="9" t="n"/>
      <c r="E1445" s="8" t="n"/>
      <c r="F1445" s="9" t="n"/>
      <c r="G1445" s="9" t="n"/>
      <c r="H1445" s="3">
        <f>IF(AND(D1445&lt;&gt;"",F1445&lt;&gt;""),F1445-D1445-G1445,"")</f>
        <v/>
      </c>
      <c r="I1445" s="14">
        <f>IF(E1445&lt;&gt;"", YEARFRAC(C1445, E1445) * 12, "")</f>
        <v/>
      </c>
      <c r="J1445" s="2">
        <f>IF(I1445="", "", IF(AND(A1445="MF (Equity)", I1445&gt;12), "Long Term", "Short Term"))</f>
        <v/>
      </c>
      <c r="K1445" s="5">
        <f>IF(J1445="", "", IF(J1445="Long Term", 12.5%, 20%))</f>
        <v/>
      </c>
      <c r="L1445" s="3">
        <f>+IFERROR(IF(J1445="","",H1445*K1445),"")</f>
        <v/>
      </c>
    </row>
    <row r="1446">
      <c r="A1446" s="11" t="n"/>
      <c r="B1446" s="7" t="n"/>
      <c r="C1446" s="8" t="n"/>
      <c r="D1446" s="9" t="n"/>
      <c r="E1446" s="8" t="n"/>
      <c r="F1446" s="9" t="n"/>
      <c r="G1446" s="9" t="n"/>
      <c r="H1446" s="3">
        <f>IF(AND(D1446&lt;&gt;"",F1446&lt;&gt;""),F1446-D1446-G1446,"")</f>
        <v/>
      </c>
      <c r="I1446" s="14">
        <f>IF(E1446&lt;&gt;"", YEARFRAC(C1446, E1446) * 12, "")</f>
        <v/>
      </c>
      <c r="J1446" s="2">
        <f>IF(I1446="", "", IF(AND(A1446="MF (Equity)", I1446&gt;12), "Long Term", "Short Term"))</f>
        <v/>
      </c>
      <c r="K1446" s="5">
        <f>IF(J1446="", "", IF(J1446="Long Term", 12.5%, 20%))</f>
        <v/>
      </c>
      <c r="L1446" s="3">
        <f>+IFERROR(IF(J1446="","",H1446*K1446),"")</f>
        <v/>
      </c>
    </row>
    <row r="1447">
      <c r="A1447" s="11" t="n"/>
      <c r="B1447" s="7" t="n"/>
      <c r="C1447" s="8" t="n"/>
      <c r="D1447" s="9" t="n"/>
      <c r="E1447" s="8" t="n"/>
      <c r="F1447" s="9" t="n"/>
      <c r="G1447" s="9" t="n"/>
      <c r="H1447" s="3">
        <f>IF(AND(D1447&lt;&gt;"",F1447&lt;&gt;""),F1447-D1447-G1447,"")</f>
        <v/>
      </c>
      <c r="I1447" s="14">
        <f>IF(E1447&lt;&gt;"", YEARFRAC(C1447, E1447) * 12, "")</f>
        <v/>
      </c>
      <c r="J1447" s="2">
        <f>IF(I1447="", "", IF(AND(A1447="MF (Equity)", I1447&gt;12), "Long Term", "Short Term"))</f>
        <v/>
      </c>
      <c r="K1447" s="5">
        <f>IF(J1447="", "", IF(J1447="Long Term", 12.5%, 20%))</f>
        <v/>
      </c>
      <c r="L1447" s="3">
        <f>+IFERROR(IF(J1447="","",H1447*K1447),"")</f>
        <v/>
      </c>
    </row>
    <row r="1448">
      <c r="A1448" s="11" t="n"/>
      <c r="B1448" s="7" t="n"/>
      <c r="C1448" s="8" t="n"/>
      <c r="D1448" s="9" t="n"/>
      <c r="E1448" s="8" t="n"/>
      <c r="F1448" s="9" t="n"/>
      <c r="G1448" s="9" t="n"/>
      <c r="H1448" s="3">
        <f>IF(AND(D1448&lt;&gt;"",F1448&lt;&gt;""),F1448-D1448-G1448,"")</f>
        <v/>
      </c>
      <c r="I1448" s="14">
        <f>IF(E1448&lt;&gt;"", YEARFRAC(C1448, E1448) * 12, "")</f>
        <v/>
      </c>
      <c r="J1448" s="2">
        <f>IF(I1448="", "", IF(AND(A1448="MF (Equity)", I1448&gt;12), "Long Term", "Short Term"))</f>
        <v/>
      </c>
      <c r="K1448" s="5">
        <f>IF(J1448="", "", IF(J1448="Long Term", 12.5%, 20%))</f>
        <v/>
      </c>
      <c r="L1448" s="3">
        <f>+IFERROR(IF(J1448="","",H1448*K1448),"")</f>
        <v/>
      </c>
    </row>
    <row r="1449">
      <c r="A1449" s="11" t="n"/>
      <c r="B1449" s="7" t="n"/>
      <c r="C1449" s="8" t="n"/>
      <c r="D1449" s="9" t="n"/>
      <c r="E1449" s="8" t="n"/>
      <c r="F1449" s="9" t="n"/>
      <c r="G1449" s="9" t="n"/>
      <c r="H1449" s="3">
        <f>IF(AND(D1449&lt;&gt;"",F1449&lt;&gt;""),F1449-D1449-G1449,"")</f>
        <v/>
      </c>
      <c r="I1449" s="14">
        <f>IF(E1449&lt;&gt;"", YEARFRAC(C1449, E1449) * 12, "")</f>
        <v/>
      </c>
      <c r="J1449" s="2">
        <f>IF(I1449="", "", IF(AND(A1449="MF (Equity)", I1449&gt;12), "Long Term", "Short Term"))</f>
        <v/>
      </c>
      <c r="K1449" s="5">
        <f>IF(J1449="", "", IF(J1449="Long Term", 12.5%, 20%))</f>
        <v/>
      </c>
      <c r="L1449" s="3">
        <f>+IFERROR(IF(J1449="","",H1449*K1449),"")</f>
        <v/>
      </c>
    </row>
    <row r="1450">
      <c r="A1450" s="11" t="n"/>
      <c r="B1450" s="7" t="n"/>
      <c r="C1450" s="8" t="n"/>
      <c r="D1450" s="9" t="n"/>
      <c r="E1450" s="8" t="n"/>
      <c r="F1450" s="9" t="n"/>
      <c r="G1450" s="9" t="n"/>
      <c r="H1450" s="3">
        <f>IF(AND(D1450&lt;&gt;"",F1450&lt;&gt;""),F1450-D1450-G1450,"")</f>
        <v/>
      </c>
      <c r="I1450" s="14">
        <f>IF(E1450&lt;&gt;"", YEARFRAC(C1450, E1450) * 12, "")</f>
        <v/>
      </c>
      <c r="J1450" s="2">
        <f>IF(I1450="", "", IF(AND(A1450="MF (Equity)", I1450&gt;12), "Long Term", "Short Term"))</f>
        <v/>
      </c>
      <c r="K1450" s="5">
        <f>IF(J1450="", "", IF(J1450="Long Term", 12.5%, 20%))</f>
        <v/>
      </c>
      <c r="L1450" s="3">
        <f>+IFERROR(IF(J1450="","",H1450*K1450),"")</f>
        <v/>
      </c>
    </row>
    <row r="1451">
      <c r="A1451" s="11" t="n"/>
      <c r="B1451" s="7" t="n"/>
      <c r="C1451" s="8" t="n"/>
      <c r="D1451" s="9" t="n"/>
      <c r="E1451" s="8" t="n"/>
      <c r="F1451" s="9" t="n"/>
      <c r="G1451" s="9" t="n"/>
      <c r="H1451" s="3">
        <f>IF(AND(D1451&lt;&gt;"",F1451&lt;&gt;""),F1451-D1451-G1451,"")</f>
        <v/>
      </c>
      <c r="I1451" s="14">
        <f>IF(E1451&lt;&gt;"", YEARFRAC(C1451, E1451) * 12, "")</f>
        <v/>
      </c>
      <c r="J1451" s="2">
        <f>IF(I1451="", "", IF(AND(A1451="MF (Equity)", I1451&gt;12), "Long Term", "Short Term"))</f>
        <v/>
      </c>
      <c r="K1451" s="5">
        <f>IF(J1451="", "", IF(J1451="Long Term", 12.5%, 20%))</f>
        <v/>
      </c>
      <c r="L1451" s="3">
        <f>+IFERROR(IF(J1451="","",H1451*K1451),"")</f>
        <v/>
      </c>
    </row>
    <row r="1452">
      <c r="A1452" s="11" t="n"/>
      <c r="B1452" s="7" t="n"/>
      <c r="C1452" s="8" t="n"/>
      <c r="D1452" s="9" t="n"/>
      <c r="E1452" s="8" t="n"/>
      <c r="F1452" s="9" t="n"/>
      <c r="G1452" s="9" t="n"/>
      <c r="H1452" s="3">
        <f>IF(AND(D1452&lt;&gt;"",F1452&lt;&gt;""),F1452-D1452-G1452,"")</f>
        <v/>
      </c>
      <c r="I1452" s="14">
        <f>IF(E1452&lt;&gt;"", YEARFRAC(C1452, E1452) * 12, "")</f>
        <v/>
      </c>
      <c r="J1452" s="2">
        <f>IF(I1452="", "", IF(AND(A1452="MF (Equity)", I1452&gt;12), "Long Term", "Short Term"))</f>
        <v/>
      </c>
      <c r="K1452" s="5">
        <f>IF(J1452="", "", IF(J1452="Long Term", 12.5%, 20%))</f>
        <v/>
      </c>
      <c r="L1452" s="3">
        <f>+IFERROR(IF(J1452="","",H1452*K1452),"")</f>
        <v/>
      </c>
    </row>
    <row r="1453">
      <c r="A1453" s="11" t="n"/>
      <c r="B1453" s="7" t="n"/>
      <c r="C1453" s="8" t="n"/>
      <c r="D1453" s="9" t="n"/>
      <c r="E1453" s="8" t="n"/>
      <c r="F1453" s="9" t="n"/>
      <c r="G1453" s="9" t="n"/>
      <c r="H1453" s="3">
        <f>IF(AND(D1453&lt;&gt;"",F1453&lt;&gt;""),F1453-D1453-G1453,"")</f>
        <v/>
      </c>
      <c r="I1453" s="14">
        <f>IF(E1453&lt;&gt;"", YEARFRAC(C1453, E1453) * 12, "")</f>
        <v/>
      </c>
      <c r="J1453" s="2">
        <f>IF(I1453="", "", IF(AND(A1453="MF (Equity)", I1453&gt;12), "Long Term", "Short Term"))</f>
        <v/>
      </c>
      <c r="K1453" s="5">
        <f>IF(J1453="", "", IF(J1453="Long Term", 12.5%, 20%))</f>
        <v/>
      </c>
      <c r="L1453" s="3">
        <f>+IFERROR(IF(J1453="","",H1453*K1453),"")</f>
        <v/>
      </c>
    </row>
    <row r="1454">
      <c r="A1454" s="11" t="n"/>
      <c r="B1454" s="7" t="n"/>
      <c r="C1454" s="8" t="n"/>
      <c r="D1454" s="9" t="n"/>
      <c r="E1454" s="8" t="n"/>
      <c r="F1454" s="9" t="n"/>
      <c r="G1454" s="9" t="n"/>
      <c r="H1454" s="3">
        <f>IF(AND(D1454&lt;&gt;"",F1454&lt;&gt;""),F1454-D1454-G1454,"")</f>
        <v/>
      </c>
      <c r="I1454" s="14">
        <f>IF(E1454&lt;&gt;"", YEARFRAC(C1454, E1454) * 12, "")</f>
        <v/>
      </c>
      <c r="J1454" s="2">
        <f>IF(I1454="", "", IF(AND(A1454="MF (Equity)", I1454&gt;12), "Long Term", "Short Term"))</f>
        <v/>
      </c>
      <c r="K1454" s="5">
        <f>IF(J1454="", "", IF(J1454="Long Term", 12.5%, 20%))</f>
        <v/>
      </c>
      <c r="L1454" s="3">
        <f>+IFERROR(IF(J1454="","",H1454*K1454),"")</f>
        <v/>
      </c>
    </row>
    <row r="1455">
      <c r="A1455" s="11" t="n"/>
      <c r="B1455" s="7" t="n"/>
      <c r="C1455" s="8" t="n"/>
      <c r="D1455" s="9" t="n"/>
      <c r="E1455" s="8" t="n"/>
      <c r="F1455" s="9" t="n"/>
      <c r="G1455" s="9" t="n"/>
      <c r="H1455" s="3">
        <f>IF(AND(D1455&lt;&gt;"",F1455&lt;&gt;""),F1455-D1455-G1455,"")</f>
        <v/>
      </c>
      <c r="I1455" s="14">
        <f>IF(E1455&lt;&gt;"", YEARFRAC(C1455, E1455) * 12, "")</f>
        <v/>
      </c>
      <c r="J1455" s="2">
        <f>IF(I1455="", "", IF(AND(A1455="MF (Equity)", I1455&gt;12), "Long Term", "Short Term"))</f>
        <v/>
      </c>
      <c r="K1455" s="5">
        <f>IF(J1455="", "", IF(J1455="Long Term", 12.5%, 20%))</f>
        <v/>
      </c>
      <c r="L1455" s="3">
        <f>+IFERROR(IF(J1455="","",H1455*K1455),"")</f>
        <v/>
      </c>
    </row>
    <row r="1456">
      <c r="A1456" s="11" t="n"/>
      <c r="B1456" s="7" t="n"/>
      <c r="C1456" s="8" t="n"/>
      <c r="D1456" s="9" t="n"/>
      <c r="E1456" s="8" t="n"/>
      <c r="F1456" s="9" t="n"/>
      <c r="G1456" s="9" t="n"/>
      <c r="H1456" s="3">
        <f>IF(AND(D1456&lt;&gt;"",F1456&lt;&gt;""),F1456-D1456-G1456,"")</f>
        <v/>
      </c>
      <c r="I1456" s="14">
        <f>IF(E1456&lt;&gt;"", YEARFRAC(C1456, E1456) * 12, "")</f>
        <v/>
      </c>
      <c r="J1456" s="2">
        <f>IF(I1456="", "", IF(AND(A1456="MF (Equity)", I1456&gt;12), "Long Term", "Short Term"))</f>
        <v/>
      </c>
      <c r="K1456" s="5">
        <f>IF(J1456="", "", IF(J1456="Long Term", 12.5%, 20%))</f>
        <v/>
      </c>
      <c r="L1456" s="3">
        <f>+IFERROR(IF(J1456="","",H1456*K1456),"")</f>
        <v/>
      </c>
    </row>
    <row r="1457">
      <c r="A1457" s="11" t="n"/>
      <c r="B1457" s="7" t="n"/>
      <c r="C1457" s="8" t="n"/>
      <c r="D1457" s="9" t="n"/>
      <c r="E1457" s="8" t="n"/>
      <c r="F1457" s="9" t="n"/>
      <c r="G1457" s="9" t="n"/>
      <c r="H1457" s="3">
        <f>IF(AND(D1457&lt;&gt;"",F1457&lt;&gt;""),F1457-D1457-G1457,"")</f>
        <v/>
      </c>
      <c r="I1457" s="14">
        <f>IF(E1457&lt;&gt;"", YEARFRAC(C1457, E1457) * 12, "")</f>
        <v/>
      </c>
      <c r="J1457" s="2">
        <f>IF(I1457="", "", IF(AND(A1457="MF (Equity)", I1457&gt;12), "Long Term", "Short Term"))</f>
        <v/>
      </c>
      <c r="K1457" s="5">
        <f>IF(J1457="", "", IF(J1457="Long Term", 12.5%, 20%))</f>
        <v/>
      </c>
      <c r="L1457" s="3">
        <f>+IFERROR(IF(J1457="","",H1457*K1457),"")</f>
        <v/>
      </c>
    </row>
    <row r="1458">
      <c r="A1458" s="11" t="n"/>
      <c r="B1458" s="7" t="n"/>
      <c r="C1458" s="8" t="n"/>
      <c r="D1458" s="9" t="n"/>
      <c r="E1458" s="8" t="n"/>
      <c r="F1458" s="9" t="n"/>
      <c r="G1458" s="9" t="n"/>
      <c r="H1458" s="3">
        <f>IF(AND(D1458&lt;&gt;"",F1458&lt;&gt;""),F1458-D1458-G1458,"")</f>
        <v/>
      </c>
      <c r="I1458" s="14">
        <f>IF(E1458&lt;&gt;"", YEARFRAC(C1458, E1458) * 12, "")</f>
        <v/>
      </c>
      <c r="J1458" s="2">
        <f>IF(I1458="", "", IF(AND(A1458="MF (Equity)", I1458&gt;12), "Long Term", "Short Term"))</f>
        <v/>
      </c>
      <c r="K1458" s="5">
        <f>IF(J1458="", "", IF(J1458="Long Term", 12.5%, 20%))</f>
        <v/>
      </c>
      <c r="L1458" s="3">
        <f>+IFERROR(IF(J1458="","",H1458*K1458),"")</f>
        <v/>
      </c>
    </row>
    <row r="1459">
      <c r="A1459" s="11" t="n"/>
      <c r="B1459" s="7" t="n"/>
      <c r="C1459" s="8" t="n"/>
      <c r="D1459" s="9" t="n"/>
      <c r="E1459" s="8" t="n"/>
      <c r="F1459" s="9" t="n"/>
      <c r="G1459" s="9" t="n"/>
      <c r="H1459" s="3">
        <f>IF(AND(D1459&lt;&gt;"",F1459&lt;&gt;""),F1459-D1459-G1459,"")</f>
        <v/>
      </c>
      <c r="I1459" s="14">
        <f>IF(E1459&lt;&gt;"", YEARFRAC(C1459, E1459) * 12, "")</f>
        <v/>
      </c>
      <c r="J1459" s="2">
        <f>IF(I1459="", "", IF(AND(A1459="MF (Equity)", I1459&gt;12), "Long Term", "Short Term"))</f>
        <v/>
      </c>
      <c r="K1459" s="5">
        <f>IF(J1459="", "", IF(J1459="Long Term", 12.5%, 20%))</f>
        <v/>
      </c>
      <c r="L1459" s="3">
        <f>+IFERROR(IF(J1459="","",H1459*K1459),"")</f>
        <v/>
      </c>
    </row>
    <row r="1460">
      <c r="A1460" s="11" t="n"/>
      <c r="B1460" s="7" t="n"/>
      <c r="C1460" s="8" t="n"/>
      <c r="D1460" s="9" t="n"/>
      <c r="E1460" s="8" t="n"/>
      <c r="F1460" s="9" t="n"/>
      <c r="G1460" s="9" t="n"/>
      <c r="H1460" s="3">
        <f>IF(AND(D1460&lt;&gt;"",F1460&lt;&gt;""),F1460-D1460-G1460,"")</f>
        <v/>
      </c>
      <c r="I1460" s="14">
        <f>IF(E1460&lt;&gt;"", YEARFRAC(C1460, E1460) * 12, "")</f>
        <v/>
      </c>
      <c r="J1460" s="2">
        <f>IF(I1460="", "", IF(AND(A1460="MF (Equity)", I1460&gt;12), "Long Term", "Short Term"))</f>
        <v/>
      </c>
      <c r="K1460" s="5">
        <f>IF(J1460="", "", IF(J1460="Long Term", 12.5%, 20%))</f>
        <v/>
      </c>
      <c r="L1460" s="3">
        <f>+IFERROR(IF(J1460="","",H1460*K1460),"")</f>
        <v/>
      </c>
    </row>
    <row r="1461">
      <c r="A1461" s="11" t="n"/>
      <c r="B1461" s="7" t="n"/>
      <c r="C1461" s="8" t="n"/>
      <c r="D1461" s="9" t="n"/>
      <c r="E1461" s="8" t="n"/>
      <c r="F1461" s="9" t="n"/>
      <c r="G1461" s="9" t="n"/>
      <c r="H1461" s="3">
        <f>IF(AND(D1461&lt;&gt;"",F1461&lt;&gt;""),F1461-D1461-G1461,"")</f>
        <v/>
      </c>
      <c r="I1461" s="14">
        <f>IF(E1461&lt;&gt;"", YEARFRAC(C1461, E1461) * 12, "")</f>
        <v/>
      </c>
      <c r="J1461" s="2">
        <f>IF(I1461="", "", IF(AND(A1461="MF (Equity)", I1461&gt;12), "Long Term", "Short Term"))</f>
        <v/>
      </c>
      <c r="K1461" s="5">
        <f>IF(J1461="", "", IF(J1461="Long Term", 12.5%, 20%))</f>
        <v/>
      </c>
      <c r="L1461" s="3">
        <f>+IFERROR(IF(J1461="","",H1461*K1461),"")</f>
        <v/>
      </c>
    </row>
    <row r="1462">
      <c r="A1462" s="11" t="n"/>
      <c r="B1462" s="7" t="n"/>
      <c r="C1462" s="8" t="n"/>
      <c r="D1462" s="9" t="n"/>
      <c r="E1462" s="8" t="n"/>
      <c r="F1462" s="9" t="n"/>
      <c r="G1462" s="9" t="n"/>
      <c r="H1462" s="3">
        <f>IF(AND(D1462&lt;&gt;"",F1462&lt;&gt;""),F1462-D1462-G1462,"")</f>
        <v/>
      </c>
      <c r="I1462" s="14">
        <f>IF(E1462&lt;&gt;"", YEARFRAC(C1462, E1462) * 12, "")</f>
        <v/>
      </c>
      <c r="J1462" s="2">
        <f>IF(I1462="", "", IF(AND(A1462="MF (Equity)", I1462&gt;12), "Long Term", "Short Term"))</f>
        <v/>
      </c>
      <c r="K1462" s="5">
        <f>IF(J1462="", "", IF(J1462="Long Term", 12.5%, 20%))</f>
        <v/>
      </c>
      <c r="L1462" s="3">
        <f>+IFERROR(IF(J1462="","",H1462*K1462),"")</f>
        <v/>
      </c>
    </row>
    <row r="1463">
      <c r="A1463" s="11" t="n"/>
      <c r="B1463" s="7" t="n"/>
      <c r="C1463" s="8" t="n"/>
      <c r="D1463" s="9" t="n"/>
      <c r="E1463" s="8" t="n"/>
      <c r="F1463" s="9" t="n"/>
      <c r="G1463" s="9" t="n"/>
      <c r="H1463" s="3">
        <f>IF(AND(D1463&lt;&gt;"",F1463&lt;&gt;""),F1463-D1463-G1463,"")</f>
        <v/>
      </c>
      <c r="I1463" s="14">
        <f>IF(E1463&lt;&gt;"", YEARFRAC(C1463, E1463) * 12, "")</f>
        <v/>
      </c>
      <c r="J1463" s="2">
        <f>IF(I1463="", "", IF(AND(A1463="MF (Equity)", I1463&gt;12), "Long Term", "Short Term"))</f>
        <v/>
      </c>
      <c r="K1463" s="5">
        <f>IF(J1463="", "", IF(J1463="Long Term", 12.5%, 20%))</f>
        <v/>
      </c>
      <c r="L1463" s="3">
        <f>+IFERROR(IF(J1463="","",H1463*K1463),"")</f>
        <v/>
      </c>
    </row>
    <row r="1464">
      <c r="A1464" s="11" t="n"/>
      <c r="B1464" s="7" t="n"/>
      <c r="C1464" s="8" t="n"/>
      <c r="D1464" s="9" t="n"/>
      <c r="E1464" s="8" t="n"/>
      <c r="F1464" s="9" t="n"/>
      <c r="G1464" s="9" t="n"/>
      <c r="H1464" s="3">
        <f>IF(AND(D1464&lt;&gt;"",F1464&lt;&gt;""),F1464-D1464-G1464,"")</f>
        <v/>
      </c>
      <c r="I1464" s="14">
        <f>IF(E1464&lt;&gt;"", YEARFRAC(C1464, E1464) * 12, "")</f>
        <v/>
      </c>
      <c r="J1464" s="2">
        <f>IF(I1464="", "", IF(AND(A1464="MF (Equity)", I1464&gt;12), "Long Term", "Short Term"))</f>
        <v/>
      </c>
      <c r="K1464" s="5">
        <f>IF(J1464="", "", IF(J1464="Long Term", 12.5%, 20%))</f>
        <v/>
      </c>
      <c r="L1464" s="3">
        <f>+IFERROR(IF(J1464="","",H1464*K1464),"")</f>
        <v/>
      </c>
    </row>
    <row r="1465">
      <c r="A1465" s="11" t="n"/>
      <c r="B1465" s="7" t="n"/>
      <c r="C1465" s="8" t="n"/>
      <c r="D1465" s="9" t="n"/>
      <c r="E1465" s="8" t="n"/>
      <c r="F1465" s="9" t="n"/>
      <c r="G1465" s="9" t="n"/>
      <c r="H1465" s="3">
        <f>IF(AND(D1465&lt;&gt;"",F1465&lt;&gt;""),F1465-D1465-G1465,"")</f>
        <v/>
      </c>
      <c r="I1465" s="14">
        <f>IF(E1465&lt;&gt;"", YEARFRAC(C1465, E1465) * 12, "")</f>
        <v/>
      </c>
      <c r="J1465" s="2">
        <f>IF(I1465="", "", IF(AND(A1465="MF (Equity)", I1465&gt;12), "Long Term", "Short Term"))</f>
        <v/>
      </c>
      <c r="K1465" s="5">
        <f>IF(J1465="", "", IF(J1465="Long Term", 12.5%, 20%))</f>
        <v/>
      </c>
      <c r="L1465" s="3">
        <f>+IFERROR(IF(J1465="","",H1465*K1465),"")</f>
        <v/>
      </c>
    </row>
    <row r="1466">
      <c r="A1466" s="11" t="n"/>
      <c r="B1466" s="7" t="n"/>
      <c r="C1466" s="8" t="n"/>
      <c r="D1466" s="9" t="n"/>
      <c r="E1466" s="8" t="n"/>
      <c r="F1466" s="9" t="n"/>
      <c r="G1466" s="9" t="n"/>
      <c r="H1466" s="3">
        <f>IF(AND(D1466&lt;&gt;"",F1466&lt;&gt;""),F1466-D1466-G1466,"")</f>
        <v/>
      </c>
      <c r="I1466" s="14">
        <f>IF(E1466&lt;&gt;"", YEARFRAC(C1466, E1466) * 12, "")</f>
        <v/>
      </c>
      <c r="J1466" s="2">
        <f>IF(I1466="", "", IF(AND(A1466="MF (Equity)", I1466&gt;12), "Long Term", "Short Term"))</f>
        <v/>
      </c>
      <c r="K1466" s="5">
        <f>IF(J1466="", "", IF(J1466="Long Term", 12.5%, 20%))</f>
        <v/>
      </c>
      <c r="L1466" s="3">
        <f>+IFERROR(IF(J1466="","",H1466*K1466),"")</f>
        <v/>
      </c>
    </row>
    <row r="1467">
      <c r="A1467" s="11" t="n"/>
      <c r="B1467" s="7" t="n"/>
      <c r="C1467" s="8" t="n"/>
      <c r="D1467" s="9" t="n"/>
      <c r="E1467" s="8" t="n"/>
      <c r="F1467" s="9" t="n"/>
      <c r="G1467" s="9" t="n"/>
      <c r="H1467" s="3">
        <f>IF(AND(D1467&lt;&gt;"",F1467&lt;&gt;""),F1467-D1467-G1467,"")</f>
        <v/>
      </c>
      <c r="I1467" s="14">
        <f>IF(E1467&lt;&gt;"", YEARFRAC(C1467, E1467) * 12, "")</f>
        <v/>
      </c>
      <c r="J1467" s="2">
        <f>IF(I1467="", "", IF(AND(A1467="MF (Equity)", I1467&gt;12), "Long Term", "Short Term"))</f>
        <v/>
      </c>
      <c r="K1467" s="5">
        <f>IF(J1467="", "", IF(J1467="Long Term", 12.5%, 20%))</f>
        <v/>
      </c>
      <c r="L1467" s="3">
        <f>+IFERROR(IF(J1467="","",H1467*K1467),"")</f>
        <v/>
      </c>
    </row>
    <row r="1468">
      <c r="A1468" s="11" t="n"/>
      <c r="B1468" s="7" t="n"/>
      <c r="C1468" s="8" t="n"/>
      <c r="D1468" s="9" t="n"/>
      <c r="E1468" s="8" t="n"/>
      <c r="F1468" s="9" t="n"/>
      <c r="G1468" s="9" t="n"/>
      <c r="H1468" s="3">
        <f>IF(AND(D1468&lt;&gt;"",F1468&lt;&gt;""),F1468-D1468-G1468,"")</f>
        <v/>
      </c>
      <c r="I1468" s="14">
        <f>IF(E1468&lt;&gt;"", YEARFRAC(C1468, E1468) * 12, "")</f>
        <v/>
      </c>
      <c r="J1468" s="2">
        <f>IF(I1468="", "", IF(AND(A1468="MF (Equity)", I1468&gt;12), "Long Term", "Short Term"))</f>
        <v/>
      </c>
      <c r="K1468" s="5">
        <f>IF(J1468="", "", IF(J1468="Long Term", 12.5%, 20%))</f>
        <v/>
      </c>
      <c r="L1468" s="3">
        <f>+IFERROR(IF(J1468="","",H1468*K1468),"")</f>
        <v/>
      </c>
    </row>
    <row r="1469">
      <c r="A1469" s="11" t="n"/>
      <c r="B1469" s="7" t="n"/>
      <c r="C1469" s="8" t="n"/>
      <c r="D1469" s="9" t="n"/>
      <c r="E1469" s="8" t="n"/>
      <c r="F1469" s="9" t="n"/>
      <c r="G1469" s="9" t="n"/>
      <c r="H1469" s="3">
        <f>IF(AND(D1469&lt;&gt;"",F1469&lt;&gt;""),F1469-D1469-G1469,"")</f>
        <v/>
      </c>
      <c r="I1469" s="14">
        <f>IF(E1469&lt;&gt;"", YEARFRAC(C1469, E1469) * 12, "")</f>
        <v/>
      </c>
      <c r="J1469" s="2">
        <f>IF(I1469="", "", IF(AND(A1469="MF (Equity)", I1469&gt;12), "Long Term", "Short Term"))</f>
        <v/>
      </c>
      <c r="K1469" s="5">
        <f>IF(J1469="", "", IF(J1469="Long Term", 12.5%, 20%))</f>
        <v/>
      </c>
      <c r="L1469" s="3">
        <f>+IFERROR(IF(J1469="","",H1469*K1469),"")</f>
        <v/>
      </c>
    </row>
    <row r="1470">
      <c r="A1470" s="11" t="n"/>
      <c r="B1470" s="7" t="n"/>
      <c r="C1470" s="8" t="n"/>
      <c r="D1470" s="9" t="n"/>
      <c r="E1470" s="8" t="n"/>
      <c r="F1470" s="9" t="n"/>
      <c r="G1470" s="9" t="n"/>
      <c r="H1470" s="3">
        <f>IF(AND(D1470&lt;&gt;"",F1470&lt;&gt;""),F1470-D1470-G1470,"")</f>
        <v/>
      </c>
      <c r="I1470" s="14">
        <f>IF(E1470&lt;&gt;"", YEARFRAC(C1470, E1470) * 12, "")</f>
        <v/>
      </c>
      <c r="J1470" s="2">
        <f>IF(I1470="", "", IF(AND(A1470="MF (Equity)", I1470&gt;12), "Long Term", "Short Term"))</f>
        <v/>
      </c>
      <c r="K1470" s="5">
        <f>IF(J1470="", "", IF(J1470="Long Term", 12.5%, 20%))</f>
        <v/>
      </c>
      <c r="L1470" s="3">
        <f>+IFERROR(IF(J1470="","",H1470*K1470),"")</f>
        <v/>
      </c>
    </row>
    <row r="1471">
      <c r="A1471" s="11" t="n"/>
      <c r="B1471" s="7" t="n"/>
      <c r="C1471" s="8" t="n"/>
      <c r="D1471" s="9" t="n"/>
      <c r="E1471" s="8" t="n"/>
      <c r="F1471" s="9" t="n"/>
      <c r="G1471" s="9" t="n"/>
      <c r="H1471" s="3">
        <f>IF(AND(D1471&lt;&gt;"",F1471&lt;&gt;""),F1471-D1471-G1471,"")</f>
        <v/>
      </c>
      <c r="I1471" s="14">
        <f>IF(E1471&lt;&gt;"", YEARFRAC(C1471, E1471) * 12, "")</f>
        <v/>
      </c>
      <c r="J1471" s="2">
        <f>IF(I1471="", "", IF(AND(A1471="MF (Equity)", I1471&gt;12), "Long Term", "Short Term"))</f>
        <v/>
      </c>
      <c r="K1471" s="5">
        <f>IF(J1471="", "", IF(J1471="Long Term", 12.5%, 20%))</f>
        <v/>
      </c>
      <c r="L1471" s="3">
        <f>+IFERROR(IF(J1471="","",H1471*K1471),"")</f>
        <v/>
      </c>
    </row>
    <row r="1472">
      <c r="A1472" s="11" t="n"/>
      <c r="B1472" s="7" t="n"/>
      <c r="C1472" s="8" t="n"/>
      <c r="D1472" s="9" t="n"/>
      <c r="E1472" s="8" t="n"/>
      <c r="F1472" s="9" t="n"/>
      <c r="G1472" s="9" t="n"/>
      <c r="H1472" s="3">
        <f>IF(AND(D1472&lt;&gt;"",F1472&lt;&gt;""),F1472-D1472-G1472,"")</f>
        <v/>
      </c>
      <c r="I1472" s="14">
        <f>IF(E1472&lt;&gt;"", YEARFRAC(C1472, E1472) * 12, "")</f>
        <v/>
      </c>
      <c r="J1472" s="2">
        <f>IF(I1472="", "", IF(AND(A1472="MF (Equity)", I1472&gt;12), "Long Term", "Short Term"))</f>
        <v/>
      </c>
      <c r="K1472" s="5">
        <f>IF(J1472="", "", IF(J1472="Long Term", 12.5%, 20%))</f>
        <v/>
      </c>
      <c r="L1472" s="3">
        <f>+IFERROR(IF(J1472="","",H1472*K1472),"")</f>
        <v/>
      </c>
    </row>
    <row r="1473">
      <c r="A1473" s="11" t="n"/>
      <c r="B1473" s="7" t="n"/>
      <c r="C1473" s="8" t="n"/>
      <c r="D1473" s="9" t="n"/>
      <c r="E1473" s="8" t="n"/>
      <c r="F1473" s="9" t="n"/>
      <c r="G1473" s="9" t="n"/>
      <c r="H1473" s="3">
        <f>IF(AND(D1473&lt;&gt;"",F1473&lt;&gt;""),F1473-D1473-G1473,"")</f>
        <v/>
      </c>
      <c r="I1473" s="14">
        <f>IF(E1473&lt;&gt;"", YEARFRAC(C1473, E1473) * 12, "")</f>
        <v/>
      </c>
      <c r="J1473" s="2">
        <f>IF(I1473="", "", IF(AND(A1473="MF (Equity)", I1473&gt;12), "Long Term", "Short Term"))</f>
        <v/>
      </c>
      <c r="K1473" s="5">
        <f>IF(J1473="", "", IF(J1473="Long Term", 12.5%, 20%))</f>
        <v/>
      </c>
      <c r="L1473" s="3">
        <f>+IFERROR(IF(J1473="","",H1473*K1473),"")</f>
        <v/>
      </c>
    </row>
    <row r="1474">
      <c r="A1474" s="11" t="n"/>
      <c r="B1474" s="7" t="n"/>
      <c r="C1474" s="8" t="n"/>
      <c r="D1474" s="9" t="n"/>
      <c r="E1474" s="8" t="n"/>
      <c r="F1474" s="9" t="n"/>
      <c r="G1474" s="9" t="n"/>
      <c r="H1474" s="3">
        <f>IF(AND(D1474&lt;&gt;"",F1474&lt;&gt;""),F1474-D1474-G1474,"")</f>
        <v/>
      </c>
      <c r="I1474" s="14">
        <f>IF(E1474&lt;&gt;"", YEARFRAC(C1474, E1474) * 12, "")</f>
        <v/>
      </c>
      <c r="J1474" s="2">
        <f>IF(I1474="", "", IF(AND(A1474="MF (Equity)", I1474&gt;12), "Long Term", "Short Term"))</f>
        <v/>
      </c>
      <c r="K1474" s="5">
        <f>IF(J1474="", "", IF(J1474="Long Term", 12.5%, 20%))</f>
        <v/>
      </c>
      <c r="L1474" s="3">
        <f>+IFERROR(IF(J1474="","",H1474*K1474),"")</f>
        <v/>
      </c>
    </row>
    <row r="1475">
      <c r="A1475" s="11" t="n"/>
      <c r="B1475" s="7" t="n"/>
      <c r="C1475" s="8" t="n"/>
      <c r="D1475" s="9" t="n"/>
      <c r="E1475" s="8" t="n"/>
      <c r="F1475" s="9" t="n"/>
      <c r="G1475" s="9" t="n"/>
      <c r="H1475" s="3">
        <f>IF(AND(D1475&lt;&gt;"",F1475&lt;&gt;""),F1475-D1475-G1475,"")</f>
        <v/>
      </c>
      <c r="I1475" s="14">
        <f>IF(E1475&lt;&gt;"", YEARFRAC(C1475, E1475) * 12, "")</f>
        <v/>
      </c>
      <c r="J1475" s="2">
        <f>IF(I1475="", "", IF(AND(A1475="MF (Equity)", I1475&gt;12), "Long Term", "Short Term"))</f>
        <v/>
      </c>
      <c r="K1475" s="5">
        <f>IF(J1475="", "", IF(J1475="Long Term", 12.5%, 20%))</f>
        <v/>
      </c>
      <c r="L1475" s="3">
        <f>+IFERROR(IF(J1475="","",H1475*K1475),"")</f>
        <v/>
      </c>
    </row>
    <row r="1476">
      <c r="A1476" s="11" t="n"/>
      <c r="B1476" s="7" t="n"/>
      <c r="C1476" s="8" t="n"/>
      <c r="D1476" s="9" t="n"/>
      <c r="E1476" s="8" t="n"/>
      <c r="F1476" s="9" t="n"/>
      <c r="G1476" s="9" t="n"/>
      <c r="H1476" s="3">
        <f>IF(AND(D1476&lt;&gt;"",F1476&lt;&gt;""),F1476-D1476-G1476,"")</f>
        <v/>
      </c>
      <c r="I1476" s="14">
        <f>IF(E1476&lt;&gt;"", YEARFRAC(C1476, E1476) * 12, "")</f>
        <v/>
      </c>
      <c r="J1476" s="2">
        <f>IF(I1476="", "", IF(AND(A1476="MF (Equity)", I1476&gt;12), "Long Term", "Short Term"))</f>
        <v/>
      </c>
      <c r="K1476" s="5">
        <f>IF(J1476="", "", IF(J1476="Long Term", 12.5%, 20%))</f>
        <v/>
      </c>
      <c r="L1476" s="3">
        <f>+IFERROR(IF(J1476="","",H1476*K1476),"")</f>
        <v/>
      </c>
    </row>
    <row r="1477">
      <c r="A1477" s="11" t="n"/>
      <c r="B1477" s="7" t="n"/>
      <c r="C1477" s="8" t="n"/>
      <c r="D1477" s="9" t="n"/>
      <c r="E1477" s="8" t="n"/>
      <c r="F1477" s="9" t="n"/>
      <c r="G1477" s="9" t="n"/>
      <c r="H1477" s="3">
        <f>IF(AND(D1477&lt;&gt;"",F1477&lt;&gt;""),F1477-D1477-G1477,"")</f>
        <v/>
      </c>
      <c r="I1477" s="14">
        <f>IF(E1477&lt;&gt;"", YEARFRAC(C1477, E1477) * 12, "")</f>
        <v/>
      </c>
      <c r="J1477" s="2">
        <f>IF(I1477="", "", IF(AND(A1477="MF (Equity)", I1477&gt;12), "Long Term", "Short Term"))</f>
        <v/>
      </c>
      <c r="K1477" s="5">
        <f>IF(J1477="", "", IF(J1477="Long Term", 12.5%, 20%))</f>
        <v/>
      </c>
      <c r="L1477" s="3">
        <f>+IFERROR(IF(J1477="","",H1477*K1477),"")</f>
        <v/>
      </c>
    </row>
    <row r="1478">
      <c r="A1478" s="11" t="n"/>
      <c r="B1478" s="7" t="n"/>
      <c r="C1478" s="8" t="n"/>
      <c r="D1478" s="9" t="n"/>
      <c r="E1478" s="8" t="n"/>
      <c r="F1478" s="9" t="n"/>
      <c r="G1478" s="9" t="n"/>
      <c r="H1478" s="3">
        <f>IF(AND(D1478&lt;&gt;"",F1478&lt;&gt;""),F1478-D1478-G1478,"")</f>
        <v/>
      </c>
      <c r="I1478" s="14">
        <f>IF(E1478&lt;&gt;"", YEARFRAC(C1478, E1478) * 12, "")</f>
        <v/>
      </c>
      <c r="J1478" s="2">
        <f>IF(I1478="", "", IF(AND(A1478="MF (Equity)", I1478&gt;12), "Long Term", "Short Term"))</f>
        <v/>
      </c>
      <c r="K1478" s="5">
        <f>IF(J1478="", "", IF(J1478="Long Term", 12.5%, 20%))</f>
        <v/>
      </c>
      <c r="L1478" s="3">
        <f>+IFERROR(IF(J1478="","",H1478*K1478),"")</f>
        <v/>
      </c>
    </row>
    <row r="1479">
      <c r="A1479" s="11" t="n"/>
      <c r="B1479" s="7" t="n"/>
      <c r="C1479" s="8" t="n"/>
      <c r="D1479" s="9" t="n"/>
      <c r="E1479" s="8" t="n"/>
      <c r="F1479" s="9" t="n"/>
      <c r="G1479" s="9" t="n"/>
      <c r="H1479" s="3">
        <f>IF(AND(D1479&lt;&gt;"",F1479&lt;&gt;""),F1479-D1479-G1479,"")</f>
        <v/>
      </c>
      <c r="I1479" s="14">
        <f>IF(E1479&lt;&gt;"", YEARFRAC(C1479, E1479) * 12, "")</f>
        <v/>
      </c>
      <c r="J1479" s="2">
        <f>IF(I1479="", "", IF(AND(A1479="MF (Equity)", I1479&gt;12), "Long Term", "Short Term"))</f>
        <v/>
      </c>
      <c r="K1479" s="5">
        <f>IF(J1479="", "", IF(J1479="Long Term", 12.5%, 20%))</f>
        <v/>
      </c>
      <c r="L1479" s="3">
        <f>+IFERROR(IF(J1479="","",H1479*K1479),"")</f>
        <v/>
      </c>
    </row>
    <row r="1480">
      <c r="A1480" s="11" t="n"/>
      <c r="B1480" s="7" t="n"/>
      <c r="C1480" s="8" t="n"/>
      <c r="D1480" s="9" t="n"/>
      <c r="E1480" s="8" t="n"/>
      <c r="F1480" s="9" t="n"/>
      <c r="G1480" s="9" t="n"/>
      <c r="H1480" s="3">
        <f>IF(AND(D1480&lt;&gt;"",F1480&lt;&gt;""),F1480-D1480-G1480,"")</f>
        <v/>
      </c>
      <c r="I1480" s="14">
        <f>IF(E1480&lt;&gt;"", YEARFRAC(C1480, E1480) * 12, "")</f>
        <v/>
      </c>
      <c r="J1480" s="2">
        <f>IF(I1480="", "", IF(AND(A1480="MF (Equity)", I1480&gt;12), "Long Term", "Short Term"))</f>
        <v/>
      </c>
      <c r="K1480" s="5">
        <f>IF(J1480="", "", IF(J1480="Long Term", 12.5%, 20%))</f>
        <v/>
      </c>
      <c r="L1480" s="3">
        <f>+IFERROR(IF(J1480="","",H1480*K1480),"")</f>
        <v/>
      </c>
    </row>
    <row r="1481">
      <c r="A1481" s="11" t="n"/>
      <c r="B1481" s="7" t="n"/>
      <c r="C1481" s="8" t="n"/>
      <c r="D1481" s="9" t="n"/>
      <c r="E1481" s="8" t="n"/>
      <c r="F1481" s="9" t="n"/>
      <c r="G1481" s="9" t="n"/>
      <c r="H1481" s="3">
        <f>IF(AND(D1481&lt;&gt;"",F1481&lt;&gt;""),F1481-D1481-G1481,"")</f>
        <v/>
      </c>
      <c r="I1481" s="14">
        <f>IF(E1481&lt;&gt;"", YEARFRAC(C1481, E1481) * 12, "")</f>
        <v/>
      </c>
      <c r="J1481" s="2">
        <f>IF(I1481="", "", IF(AND(A1481="MF (Equity)", I1481&gt;12), "Long Term", "Short Term"))</f>
        <v/>
      </c>
      <c r="K1481" s="5">
        <f>IF(J1481="", "", IF(J1481="Long Term", 12.5%, 20%))</f>
        <v/>
      </c>
      <c r="L1481" s="3">
        <f>+IFERROR(IF(J1481="","",H1481*K1481),"")</f>
        <v/>
      </c>
    </row>
    <row r="1482">
      <c r="A1482" s="11" t="n"/>
      <c r="B1482" s="7" t="n"/>
      <c r="C1482" s="8" t="n"/>
      <c r="D1482" s="9" t="n"/>
      <c r="E1482" s="8" t="n"/>
      <c r="F1482" s="9" t="n"/>
      <c r="G1482" s="9" t="n"/>
      <c r="H1482" s="3">
        <f>IF(AND(D1482&lt;&gt;"",F1482&lt;&gt;""),F1482-D1482-G1482,"")</f>
        <v/>
      </c>
      <c r="I1482" s="14">
        <f>IF(E1482&lt;&gt;"", YEARFRAC(C1482, E1482) * 12, "")</f>
        <v/>
      </c>
      <c r="J1482" s="2">
        <f>IF(I1482="", "", IF(AND(A1482="MF (Equity)", I1482&gt;12), "Long Term", "Short Term"))</f>
        <v/>
      </c>
      <c r="K1482" s="5">
        <f>IF(J1482="", "", IF(J1482="Long Term", 12.5%, 20%))</f>
        <v/>
      </c>
      <c r="L1482" s="3">
        <f>+IFERROR(IF(J1482="","",H1482*K1482),"")</f>
        <v/>
      </c>
    </row>
    <row r="1483">
      <c r="A1483" s="11" t="n"/>
      <c r="B1483" s="7" t="n"/>
      <c r="C1483" s="8" t="n"/>
      <c r="D1483" s="9" t="n"/>
      <c r="E1483" s="8" t="n"/>
      <c r="F1483" s="9" t="n"/>
      <c r="G1483" s="9" t="n"/>
      <c r="H1483" s="3">
        <f>IF(AND(D1483&lt;&gt;"",F1483&lt;&gt;""),F1483-D1483-G1483,"")</f>
        <v/>
      </c>
      <c r="I1483" s="14">
        <f>IF(E1483&lt;&gt;"", YEARFRAC(C1483, E1483) * 12, "")</f>
        <v/>
      </c>
      <c r="J1483" s="2">
        <f>IF(I1483="", "", IF(AND(A1483="MF (Equity)", I1483&gt;12), "Long Term", "Short Term"))</f>
        <v/>
      </c>
      <c r="K1483" s="5">
        <f>IF(J1483="", "", IF(J1483="Long Term", 12.5%, 20%))</f>
        <v/>
      </c>
      <c r="L1483" s="3">
        <f>+IFERROR(IF(J1483="","",H1483*K1483),"")</f>
        <v/>
      </c>
    </row>
    <row r="1484">
      <c r="A1484" s="11" t="n"/>
      <c r="B1484" s="7" t="n"/>
      <c r="C1484" s="8" t="n"/>
      <c r="D1484" s="9" t="n"/>
      <c r="E1484" s="8" t="n"/>
      <c r="F1484" s="9" t="n"/>
      <c r="G1484" s="9" t="n"/>
      <c r="H1484" s="3">
        <f>IF(AND(D1484&lt;&gt;"",F1484&lt;&gt;""),F1484-D1484-G1484,"")</f>
        <v/>
      </c>
      <c r="I1484" s="14">
        <f>IF(E1484&lt;&gt;"", YEARFRAC(C1484, E1484) * 12, "")</f>
        <v/>
      </c>
      <c r="J1484" s="2">
        <f>IF(I1484="", "", IF(AND(A1484="MF (Equity)", I1484&gt;12), "Long Term", "Short Term"))</f>
        <v/>
      </c>
      <c r="K1484" s="5">
        <f>IF(J1484="", "", IF(J1484="Long Term", 12.5%, 20%))</f>
        <v/>
      </c>
      <c r="L1484" s="3">
        <f>+IFERROR(IF(J1484="","",H1484*K1484),"")</f>
        <v/>
      </c>
    </row>
    <row r="1485">
      <c r="A1485" s="11" t="n"/>
      <c r="B1485" s="7" t="n"/>
      <c r="C1485" s="8" t="n"/>
      <c r="D1485" s="9" t="n"/>
      <c r="E1485" s="8" t="n"/>
      <c r="F1485" s="9" t="n"/>
      <c r="G1485" s="9" t="n"/>
      <c r="H1485" s="3">
        <f>IF(AND(D1485&lt;&gt;"",F1485&lt;&gt;""),F1485-D1485-G1485,"")</f>
        <v/>
      </c>
      <c r="I1485" s="14">
        <f>IF(E1485&lt;&gt;"", YEARFRAC(C1485, E1485) * 12, "")</f>
        <v/>
      </c>
      <c r="J1485" s="2">
        <f>IF(I1485="", "", IF(AND(A1485="MF (Equity)", I1485&gt;12), "Long Term", "Short Term"))</f>
        <v/>
      </c>
      <c r="K1485" s="5">
        <f>IF(J1485="", "", IF(J1485="Long Term", 12.5%, 20%))</f>
        <v/>
      </c>
      <c r="L1485" s="3">
        <f>+IFERROR(IF(J1485="","",H1485*K1485),"")</f>
        <v/>
      </c>
    </row>
    <row r="1486">
      <c r="A1486" s="11" t="n"/>
      <c r="B1486" s="7" t="n"/>
      <c r="C1486" s="8" t="n"/>
      <c r="D1486" s="9" t="n"/>
      <c r="E1486" s="8" t="n"/>
      <c r="F1486" s="9" t="n"/>
      <c r="G1486" s="9" t="n"/>
      <c r="H1486" s="3">
        <f>IF(AND(D1486&lt;&gt;"",F1486&lt;&gt;""),F1486-D1486-G1486,"")</f>
        <v/>
      </c>
      <c r="I1486" s="14">
        <f>IF(E1486&lt;&gt;"", YEARFRAC(C1486, E1486) * 12, "")</f>
        <v/>
      </c>
      <c r="J1486" s="2">
        <f>IF(I1486="", "", IF(AND(A1486="MF (Equity)", I1486&gt;12), "Long Term", "Short Term"))</f>
        <v/>
      </c>
      <c r="K1486" s="5">
        <f>IF(J1486="", "", IF(J1486="Long Term", 12.5%, 20%))</f>
        <v/>
      </c>
      <c r="L1486" s="3">
        <f>+IFERROR(IF(J1486="","",H1486*K1486),"")</f>
        <v/>
      </c>
    </row>
    <row r="1487">
      <c r="A1487" s="11" t="n"/>
      <c r="B1487" s="7" t="n"/>
      <c r="C1487" s="8" t="n"/>
      <c r="D1487" s="9" t="n"/>
      <c r="E1487" s="8" t="n"/>
      <c r="F1487" s="9" t="n"/>
      <c r="G1487" s="9" t="n"/>
      <c r="H1487" s="3">
        <f>IF(AND(D1487&lt;&gt;"",F1487&lt;&gt;""),F1487-D1487-G1487,"")</f>
        <v/>
      </c>
      <c r="I1487" s="14">
        <f>IF(E1487&lt;&gt;"", YEARFRAC(C1487, E1487) * 12, "")</f>
        <v/>
      </c>
      <c r="J1487" s="2">
        <f>IF(I1487="", "", IF(AND(A1487="MF (Equity)", I1487&gt;12), "Long Term", "Short Term"))</f>
        <v/>
      </c>
      <c r="K1487" s="5">
        <f>IF(J1487="", "", IF(J1487="Long Term", 12.5%, 20%))</f>
        <v/>
      </c>
      <c r="L1487" s="3">
        <f>+IFERROR(IF(J1487="","",H1487*K1487),"")</f>
        <v/>
      </c>
    </row>
    <row r="1488">
      <c r="A1488" s="11" t="n"/>
      <c r="B1488" s="7" t="n"/>
      <c r="C1488" s="8" t="n"/>
      <c r="D1488" s="9" t="n"/>
      <c r="E1488" s="8" t="n"/>
      <c r="F1488" s="9" t="n"/>
      <c r="G1488" s="9" t="n"/>
      <c r="H1488" s="3">
        <f>IF(AND(D1488&lt;&gt;"",F1488&lt;&gt;""),F1488-D1488-G1488,"")</f>
        <v/>
      </c>
      <c r="I1488" s="14">
        <f>IF(E1488&lt;&gt;"", YEARFRAC(C1488, E1488) * 12, "")</f>
        <v/>
      </c>
      <c r="J1488" s="2">
        <f>IF(I1488="", "", IF(AND(A1488="MF (Equity)", I1488&gt;12), "Long Term", "Short Term"))</f>
        <v/>
      </c>
      <c r="K1488" s="5">
        <f>IF(J1488="", "", IF(J1488="Long Term", 12.5%, 20%))</f>
        <v/>
      </c>
      <c r="L1488" s="3">
        <f>+IFERROR(IF(J1488="","",H1488*K1488),"")</f>
        <v/>
      </c>
    </row>
    <row r="1489">
      <c r="A1489" s="11" t="n"/>
      <c r="B1489" s="7" t="n"/>
      <c r="C1489" s="8" t="n"/>
      <c r="D1489" s="9" t="n"/>
      <c r="E1489" s="8" t="n"/>
      <c r="F1489" s="9" t="n"/>
      <c r="G1489" s="9" t="n"/>
      <c r="H1489" s="3">
        <f>IF(AND(D1489&lt;&gt;"",F1489&lt;&gt;""),F1489-D1489-G1489,"")</f>
        <v/>
      </c>
      <c r="I1489" s="14">
        <f>IF(E1489&lt;&gt;"", YEARFRAC(C1489, E1489) * 12, "")</f>
        <v/>
      </c>
      <c r="J1489" s="2">
        <f>IF(I1489="", "", IF(AND(A1489="MF (Equity)", I1489&gt;12), "Long Term", "Short Term"))</f>
        <v/>
      </c>
      <c r="K1489" s="5">
        <f>IF(J1489="", "", IF(J1489="Long Term", 12.5%, 20%))</f>
        <v/>
      </c>
      <c r="L1489" s="3">
        <f>+IFERROR(IF(J1489="","",H1489*K1489),"")</f>
        <v/>
      </c>
    </row>
    <row r="1490">
      <c r="A1490" s="11" t="n"/>
      <c r="B1490" s="7" t="n"/>
      <c r="C1490" s="8" t="n"/>
      <c r="D1490" s="9" t="n"/>
      <c r="E1490" s="8" t="n"/>
      <c r="F1490" s="9" t="n"/>
      <c r="G1490" s="9" t="n"/>
      <c r="H1490" s="3">
        <f>IF(AND(D1490&lt;&gt;"",F1490&lt;&gt;""),F1490-D1490-G1490,"")</f>
        <v/>
      </c>
      <c r="I1490" s="14">
        <f>IF(E1490&lt;&gt;"", YEARFRAC(C1490, E1490) * 12, "")</f>
        <v/>
      </c>
      <c r="J1490" s="2">
        <f>IF(I1490="", "", IF(AND(A1490="MF (Equity)", I1490&gt;12), "Long Term", "Short Term"))</f>
        <v/>
      </c>
      <c r="K1490" s="5">
        <f>IF(J1490="", "", IF(J1490="Long Term", 12.5%, 20%))</f>
        <v/>
      </c>
      <c r="L1490" s="3">
        <f>+IFERROR(IF(J1490="","",H1490*K1490),"")</f>
        <v/>
      </c>
    </row>
    <row r="1491">
      <c r="A1491" s="11" t="n"/>
      <c r="B1491" s="7" t="n"/>
      <c r="C1491" s="8" t="n"/>
      <c r="D1491" s="9" t="n"/>
      <c r="E1491" s="8" t="n"/>
      <c r="F1491" s="9" t="n"/>
      <c r="G1491" s="9" t="n"/>
      <c r="H1491" s="3">
        <f>IF(AND(D1491&lt;&gt;"",F1491&lt;&gt;""),F1491-D1491-G1491,"")</f>
        <v/>
      </c>
      <c r="I1491" s="14">
        <f>IF(E1491&lt;&gt;"", YEARFRAC(C1491, E1491) * 12, "")</f>
        <v/>
      </c>
      <c r="J1491" s="2">
        <f>IF(I1491="", "", IF(AND(A1491="MF (Equity)", I1491&gt;12), "Long Term", "Short Term"))</f>
        <v/>
      </c>
      <c r="K1491" s="5">
        <f>IF(J1491="", "", IF(J1491="Long Term", 12.5%, 20%))</f>
        <v/>
      </c>
      <c r="L1491" s="3">
        <f>+IFERROR(IF(J1491="","",H1491*K1491),"")</f>
        <v/>
      </c>
    </row>
    <row r="1492">
      <c r="A1492" s="11" t="n"/>
      <c r="B1492" s="7" t="n"/>
      <c r="C1492" s="8" t="n"/>
      <c r="D1492" s="9" t="n"/>
      <c r="E1492" s="8" t="n"/>
      <c r="F1492" s="9" t="n"/>
      <c r="G1492" s="9" t="n"/>
      <c r="H1492" s="3">
        <f>IF(AND(D1492&lt;&gt;"",F1492&lt;&gt;""),F1492-D1492-G1492,"")</f>
        <v/>
      </c>
      <c r="I1492" s="14">
        <f>IF(E1492&lt;&gt;"", YEARFRAC(C1492, E1492) * 12, "")</f>
        <v/>
      </c>
      <c r="J1492" s="2">
        <f>IF(I1492="", "", IF(AND(A1492="MF (Equity)", I1492&gt;12), "Long Term", "Short Term"))</f>
        <v/>
      </c>
      <c r="K1492" s="5">
        <f>IF(J1492="", "", IF(J1492="Long Term", 12.5%, 20%))</f>
        <v/>
      </c>
      <c r="L1492" s="3">
        <f>+IFERROR(IF(J1492="","",H1492*K1492),"")</f>
        <v/>
      </c>
    </row>
    <row r="1493">
      <c r="A1493" s="11" t="n"/>
      <c r="B1493" s="7" t="n"/>
      <c r="C1493" s="8" t="n"/>
      <c r="D1493" s="9" t="n"/>
      <c r="E1493" s="8" t="n"/>
      <c r="F1493" s="9" t="n"/>
      <c r="G1493" s="9" t="n"/>
      <c r="H1493" s="3">
        <f>IF(AND(D1493&lt;&gt;"",F1493&lt;&gt;""),F1493-D1493-G1493,"")</f>
        <v/>
      </c>
      <c r="I1493" s="14">
        <f>IF(E1493&lt;&gt;"", YEARFRAC(C1493, E1493) * 12, "")</f>
        <v/>
      </c>
      <c r="J1493" s="2">
        <f>IF(I1493="", "", IF(AND(A1493="MF (Equity)", I1493&gt;12), "Long Term", "Short Term"))</f>
        <v/>
      </c>
      <c r="K1493" s="5">
        <f>IF(J1493="", "", IF(J1493="Long Term", 12.5%, 20%))</f>
        <v/>
      </c>
      <c r="L1493" s="3">
        <f>+IFERROR(IF(J1493="","",H1493*K1493),"")</f>
        <v/>
      </c>
    </row>
    <row r="1494">
      <c r="A1494" s="11" t="n"/>
      <c r="B1494" s="7" t="n"/>
      <c r="C1494" s="8" t="n"/>
      <c r="D1494" s="9" t="n"/>
      <c r="E1494" s="8" t="n"/>
      <c r="F1494" s="9" t="n"/>
      <c r="G1494" s="9" t="n"/>
      <c r="H1494" s="3">
        <f>IF(AND(D1494&lt;&gt;"",F1494&lt;&gt;""),F1494-D1494-G1494,"")</f>
        <v/>
      </c>
      <c r="I1494" s="14">
        <f>IF(E1494&lt;&gt;"", YEARFRAC(C1494, E1494) * 12, "")</f>
        <v/>
      </c>
      <c r="J1494" s="2">
        <f>IF(I1494="", "", IF(AND(A1494="MF (Equity)", I1494&gt;12), "Long Term", "Short Term"))</f>
        <v/>
      </c>
      <c r="K1494" s="5">
        <f>IF(J1494="", "", IF(J1494="Long Term", 12.5%, 20%))</f>
        <v/>
      </c>
      <c r="L1494" s="3">
        <f>+IFERROR(IF(J1494="","",H1494*K1494),"")</f>
        <v/>
      </c>
    </row>
    <row r="1495">
      <c r="A1495" s="11" t="n"/>
      <c r="B1495" s="7" t="n"/>
      <c r="C1495" s="8" t="n"/>
      <c r="D1495" s="9" t="n"/>
      <c r="E1495" s="8" t="n"/>
      <c r="F1495" s="9" t="n"/>
      <c r="G1495" s="9" t="n"/>
      <c r="H1495" s="3">
        <f>IF(AND(D1495&lt;&gt;"",F1495&lt;&gt;""),F1495-D1495-G1495,"")</f>
        <v/>
      </c>
      <c r="I1495" s="14">
        <f>IF(E1495&lt;&gt;"", YEARFRAC(C1495, E1495) * 12, "")</f>
        <v/>
      </c>
      <c r="J1495" s="2">
        <f>IF(I1495="", "", IF(AND(A1495="MF (Equity)", I1495&gt;12), "Long Term", "Short Term"))</f>
        <v/>
      </c>
      <c r="K1495" s="5">
        <f>IF(J1495="", "", IF(J1495="Long Term", 12.5%, 20%))</f>
        <v/>
      </c>
      <c r="L1495" s="3">
        <f>+IFERROR(IF(J1495="","",H1495*K1495),"")</f>
        <v/>
      </c>
    </row>
    <row r="1496">
      <c r="A1496" s="11" t="n"/>
      <c r="B1496" s="7" t="n"/>
      <c r="C1496" s="8" t="n"/>
      <c r="D1496" s="9" t="n"/>
      <c r="E1496" s="8" t="n"/>
      <c r="F1496" s="9" t="n"/>
      <c r="G1496" s="9" t="n"/>
      <c r="H1496" s="3">
        <f>IF(AND(D1496&lt;&gt;"",F1496&lt;&gt;""),F1496-D1496-G1496,"")</f>
        <v/>
      </c>
      <c r="I1496" s="14">
        <f>IF(E1496&lt;&gt;"", YEARFRAC(C1496, E1496) * 12, "")</f>
        <v/>
      </c>
      <c r="J1496" s="2">
        <f>IF(I1496="", "", IF(AND(A1496="MF (Equity)", I1496&gt;12), "Long Term", "Short Term"))</f>
        <v/>
      </c>
      <c r="K1496" s="5">
        <f>IF(J1496="", "", IF(J1496="Long Term", 12.5%, 20%))</f>
        <v/>
      </c>
      <c r="L1496" s="3">
        <f>+IFERROR(IF(J1496="","",H1496*K1496),"")</f>
        <v/>
      </c>
    </row>
    <row r="1497">
      <c r="A1497" s="11" t="n"/>
      <c r="B1497" s="7" t="n"/>
      <c r="C1497" s="8" t="n"/>
      <c r="D1497" s="9" t="n"/>
      <c r="E1497" s="8" t="n"/>
      <c r="F1497" s="9" t="n"/>
      <c r="G1497" s="9" t="n"/>
      <c r="H1497" s="3">
        <f>IF(AND(D1497&lt;&gt;"",F1497&lt;&gt;""),F1497-D1497-G1497,"")</f>
        <v/>
      </c>
      <c r="I1497" s="14">
        <f>IF(E1497&lt;&gt;"", YEARFRAC(C1497, E1497) * 12, "")</f>
        <v/>
      </c>
      <c r="J1497" s="2">
        <f>IF(I1497="", "", IF(AND(A1497="MF (Equity)", I1497&gt;12), "Long Term", "Short Term"))</f>
        <v/>
      </c>
      <c r="K1497" s="5">
        <f>IF(J1497="", "", IF(J1497="Long Term", 12.5%, 20%))</f>
        <v/>
      </c>
      <c r="L1497" s="3">
        <f>+IFERROR(IF(J1497="","",H1497*K1497),"")</f>
        <v/>
      </c>
    </row>
    <row r="1498">
      <c r="A1498" s="11" t="n"/>
      <c r="B1498" s="7" t="n"/>
      <c r="C1498" s="8" t="n"/>
      <c r="D1498" s="9" t="n"/>
      <c r="E1498" s="8" t="n"/>
      <c r="F1498" s="9" t="n"/>
      <c r="G1498" s="9" t="n"/>
      <c r="H1498" s="3">
        <f>IF(AND(D1498&lt;&gt;"",F1498&lt;&gt;""),F1498-D1498-G1498,"")</f>
        <v/>
      </c>
      <c r="I1498" s="14">
        <f>IF(E1498&lt;&gt;"", YEARFRAC(C1498, E1498) * 12, "")</f>
        <v/>
      </c>
      <c r="J1498" s="2">
        <f>IF(I1498="", "", IF(AND(A1498="MF (Equity)", I1498&gt;12), "Long Term", "Short Term"))</f>
        <v/>
      </c>
      <c r="K1498" s="5">
        <f>IF(J1498="", "", IF(J1498="Long Term", 12.5%, 20%))</f>
        <v/>
      </c>
      <c r="L1498" s="3">
        <f>+IFERROR(IF(J1498="","",H1498*K1498),"")</f>
        <v/>
      </c>
    </row>
    <row r="1499">
      <c r="A1499" s="11" t="n"/>
      <c r="B1499" s="7" t="n"/>
      <c r="C1499" s="8" t="n"/>
      <c r="D1499" s="9" t="n"/>
      <c r="E1499" s="8" t="n"/>
      <c r="F1499" s="9" t="n"/>
      <c r="G1499" s="9" t="n"/>
      <c r="H1499" s="3">
        <f>IF(AND(D1499&lt;&gt;"",F1499&lt;&gt;""),F1499-D1499-G1499,"")</f>
        <v/>
      </c>
      <c r="I1499" s="14">
        <f>IF(E1499&lt;&gt;"", YEARFRAC(C1499, E1499) * 12, "")</f>
        <v/>
      </c>
      <c r="J1499" s="2">
        <f>IF(I1499="", "", IF(AND(A1499="MF (Equity)", I1499&gt;12), "Long Term", "Short Term"))</f>
        <v/>
      </c>
      <c r="K1499" s="5">
        <f>IF(J1499="", "", IF(J1499="Long Term", 12.5%, 20%))</f>
        <v/>
      </c>
      <c r="L1499" s="3">
        <f>+IFERROR(IF(J1499="","",H1499*K1499),"")</f>
        <v/>
      </c>
    </row>
    <row r="1500">
      <c r="A1500" s="11" t="n"/>
      <c r="B1500" s="7" t="n"/>
      <c r="C1500" s="8" t="n"/>
      <c r="D1500" s="9" t="n"/>
      <c r="E1500" s="8" t="n"/>
      <c r="F1500" s="9" t="n"/>
      <c r="G1500" s="9" t="n"/>
      <c r="H1500" s="3">
        <f>IF(AND(D1500&lt;&gt;"",F1500&lt;&gt;""),F1500-D1500-G1500,"")</f>
        <v/>
      </c>
      <c r="I1500" s="14">
        <f>IF(E1500&lt;&gt;"", YEARFRAC(C1500, E1500) * 12, "")</f>
        <v/>
      </c>
      <c r="J1500" s="2">
        <f>IF(I1500="", "", IF(AND(A1500="MF (Equity)", I1500&gt;12), "Long Term", "Short Term"))</f>
        <v/>
      </c>
      <c r="K1500" s="5">
        <f>IF(J1500="", "", IF(J1500="Long Term", 12.5%, 20%))</f>
        <v/>
      </c>
      <c r="L1500" s="3">
        <f>+IFERROR(IF(J1500="","",H1500*K1500),"")</f>
        <v/>
      </c>
    </row>
    <row r="1501">
      <c r="A1501" s="11" t="n"/>
      <c r="B1501" s="7" t="n"/>
      <c r="C1501" s="8" t="n"/>
      <c r="D1501" s="9" t="n"/>
      <c r="E1501" s="8" t="n"/>
      <c r="F1501" s="9" t="n"/>
      <c r="G1501" s="9" t="n"/>
      <c r="H1501" s="3">
        <f>IF(AND(D1501&lt;&gt;"",F1501&lt;&gt;""),F1501-D1501-G1501,"")</f>
        <v/>
      </c>
      <c r="I1501" s="14">
        <f>IF(E1501&lt;&gt;"", YEARFRAC(C1501, E1501) * 12, "")</f>
        <v/>
      </c>
      <c r="J1501" s="2">
        <f>IF(I1501="", "", IF(AND(A1501="MF (Equity)", I1501&gt;12), "Long Term", "Short Term"))</f>
        <v/>
      </c>
      <c r="K1501" s="5">
        <f>IF(J1501="", "", IF(J1501="Long Term", 12.5%, 20%))</f>
        <v/>
      </c>
      <c r="L1501" s="3">
        <f>+IFERROR(IF(J1501="","",H1501*K1501),"")</f>
        <v/>
      </c>
    </row>
    <row r="1502">
      <c r="A1502" s="11" t="n"/>
      <c r="B1502" s="7" t="n"/>
      <c r="C1502" s="8" t="n"/>
      <c r="D1502" s="9" t="n"/>
      <c r="E1502" s="8" t="n"/>
      <c r="F1502" s="9" t="n"/>
      <c r="G1502" s="9" t="n"/>
      <c r="H1502" s="3">
        <f>IF(AND(D1502&lt;&gt;"",F1502&lt;&gt;""),F1502-D1502-G1502,"")</f>
        <v/>
      </c>
      <c r="I1502" s="14">
        <f>IF(E1502&lt;&gt;"", YEARFRAC(C1502, E1502) * 12, "")</f>
        <v/>
      </c>
      <c r="J1502" s="2">
        <f>IF(I1502="", "", IF(AND(A1502="MF (Equity)", I1502&gt;12), "Long Term", "Short Term"))</f>
        <v/>
      </c>
      <c r="K1502" s="5">
        <f>IF(J1502="", "", IF(J1502="Long Term", 12.5%, 20%))</f>
        <v/>
      </c>
      <c r="L1502" s="3">
        <f>+IFERROR(IF(J1502="","",H1502*K1502),"")</f>
        <v/>
      </c>
    </row>
    <row r="1503">
      <c r="A1503" s="11" t="n"/>
      <c r="B1503" s="7" t="n"/>
      <c r="C1503" s="8" t="n"/>
      <c r="D1503" s="9" t="n"/>
      <c r="E1503" s="8" t="n"/>
      <c r="F1503" s="9" t="n"/>
      <c r="G1503" s="9" t="n"/>
      <c r="H1503" s="3">
        <f>IF(AND(D1503&lt;&gt;"",F1503&lt;&gt;""),F1503-D1503-G1503,"")</f>
        <v/>
      </c>
      <c r="I1503" s="14">
        <f>IF(E1503&lt;&gt;"", YEARFRAC(C1503, E1503) * 12, "")</f>
        <v/>
      </c>
      <c r="J1503" s="2">
        <f>IF(I1503="", "", IF(AND(A1503="MF (Equity)", I1503&gt;12), "Long Term", "Short Term"))</f>
        <v/>
      </c>
      <c r="K1503" s="5">
        <f>IF(J1503="", "", IF(J1503="Long Term", 12.5%, 20%))</f>
        <v/>
      </c>
      <c r="L1503" s="3">
        <f>+IFERROR(IF(J1503="","",H1503*K1503),"")</f>
        <v/>
      </c>
    </row>
    <row r="1504">
      <c r="A1504" s="11" t="n"/>
      <c r="B1504" s="7" t="n"/>
      <c r="C1504" s="8" t="n"/>
      <c r="D1504" s="9" t="n"/>
      <c r="E1504" s="8" t="n"/>
      <c r="F1504" s="9" t="n"/>
      <c r="G1504" s="9" t="n"/>
      <c r="H1504" s="3">
        <f>IF(AND(D1504&lt;&gt;"",F1504&lt;&gt;""),F1504-D1504-G1504,"")</f>
        <v/>
      </c>
      <c r="I1504" s="14">
        <f>IF(E1504&lt;&gt;"", YEARFRAC(C1504, E1504) * 12, "")</f>
        <v/>
      </c>
      <c r="J1504" s="2">
        <f>IF(I1504="", "", IF(AND(A1504="MF (Equity)", I1504&gt;12), "Long Term", "Short Term"))</f>
        <v/>
      </c>
      <c r="K1504" s="5">
        <f>IF(J1504="", "", IF(J1504="Long Term", 12.5%, 20%))</f>
        <v/>
      </c>
      <c r="L1504" s="3">
        <f>+IFERROR(IF(J1504="","",H1504*K1504),"")</f>
        <v/>
      </c>
    </row>
    <row r="1505">
      <c r="A1505" s="11" t="n"/>
      <c r="B1505" s="7" t="n"/>
      <c r="C1505" s="8" t="n"/>
      <c r="D1505" s="9" t="n"/>
      <c r="E1505" s="8" t="n"/>
      <c r="F1505" s="9" t="n"/>
      <c r="G1505" s="9" t="n"/>
      <c r="H1505" s="3">
        <f>IF(AND(D1505&lt;&gt;"",F1505&lt;&gt;""),F1505-D1505-G1505,"")</f>
        <v/>
      </c>
      <c r="I1505" s="14">
        <f>IF(E1505&lt;&gt;"", YEARFRAC(C1505, E1505) * 12, "")</f>
        <v/>
      </c>
      <c r="J1505" s="2">
        <f>IF(I1505="", "", IF(AND(A1505="MF (Equity)", I1505&gt;12), "Long Term", "Short Term"))</f>
        <v/>
      </c>
      <c r="K1505" s="5">
        <f>IF(J1505="", "", IF(J1505="Long Term", 12.5%, 20%))</f>
        <v/>
      </c>
      <c r="L1505" s="3">
        <f>+IFERROR(IF(J1505="","",H1505*K1505),"")</f>
        <v/>
      </c>
    </row>
    <row r="1506">
      <c r="A1506" s="11" t="n"/>
      <c r="B1506" s="7" t="n"/>
      <c r="C1506" s="8" t="n"/>
      <c r="D1506" s="9" t="n"/>
      <c r="E1506" s="8" t="n"/>
      <c r="F1506" s="9" t="n"/>
      <c r="G1506" s="9" t="n"/>
      <c r="H1506" s="3">
        <f>IF(AND(D1506&lt;&gt;"",F1506&lt;&gt;""),F1506-D1506-G1506,"")</f>
        <v/>
      </c>
      <c r="I1506" s="14">
        <f>IF(E1506&lt;&gt;"", YEARFRAC(C1506, E1506) * 12, "")</f>
        <v/>
      </c>
      <c r="J1506" s="2">
        <f>IF(I1506="", "", IF(AND(A1506="MF (Equity)", I1506&gt;12), "Long Term", "Short Term"))</f>
        <v/>
      </c>
      <c r="K1506" s="5">
        <f>IF(J1506="", "", IF(J1506="Long Term", 12.5%, 20%))</f>
        <v/>
      </c>
      <c r="L1506" s="3">
        <f>+IFERROR(IF(J1506="","",H1506*K1506),"")</f>
        <v/>
      </c>
    </row>
    <row r="1507">
      <c r="A1507" s="11" t="n"/>
      <c r="B1507" s="7" t="n"/>
      <c r="C1507" s="8" t="n"/>
      <c r="D1507" s="9" t="n"/>
      <c r="E1507" s="8" t="n"/>
      <c r="F1507" s="9" t="n"/>
      <c r="G1507" s="9" t="n"/>
      <c r="H1507" s="3">
        <f>IF(AND(D1507&lt;&gt;"",F1507&lt;&gt;""),F1507-D1507-G1507,"")</f>
        <v/>
      </c>
      <c r="I1507" s="14">
        <f>IF(E1507&lt;&gt;"", YEARFRAC(C1507, E1507) * 12, "")</f>
        <v/>
      </c>
      <c r="J1507" s="2">
        <f>IF(I1507="", "", IF(AND(A1507="MF (Equity)", I1507&gt;12), "Long Term", "Short Term"))</f>
        <v/>
      </c>
      <c r="K1507" s="5">
        <f>IF(J1507="", "", IF(J1507="Long Term", 12.5%, 20%))</f>
        <v/>
      </c>
      <c r="L1507" s="3">
        <f>+IFERROR(IF(J1507="","",H1507*K1507),"")</f>
        <v/>
      </c>
    </row>
    <row r="1508">
      <c r="A1508" s="11" t="n"/>
      <c r="B1508" s="7" t="n"/>
      <c r="C1508" s="8" t="n"/>
      <c r="D1508" s="9" t="n"/>
      <c r="E1508" s="8" t="n"/>
      <c r="F1508" s="9" t="n"/>
      <c r="G1508" s="9" t="n"/>
      <c r="H1508" s="3">
        <f>IF(AND(D1508&lt;&gt;"",F1508&lt;&gt;""),F1508-D1508-G1508,"")</f>
        <v/>
      </c>
      <c r="I1508" s="14">
        <f>IF(E1508&lt;&gt;"", YEARFRAC(C1508, E1508) * 12, "")</f>
        <v/>
      </c>
      <c r="J1508" s="2">
        <f>IF(I1508="", "", IF(AND(A1508="MF (Equity)", I1508&gt;12), "Long Term", "Short Term"))</f>
        <v/>
      </c>
      <c r="K1508" s="5">
        <f>IF(J1508="", "", IF(J1508="Long Term", 12.5%, 20%))</f>
        <v/>
      </c>
      <c r="L1508" s="3">
        <f>+IFERROR(IF(J1508="","",H1508*K1508),"")</f>
        <v/>
      </c>
    </row>
    <row r="1509">
      <c r="A1509" s="11" t="n"/>
      <c r="B1509" s="7" t="n"/>
      <c r="C1509" s="8" t="n"/>
      <c r="D1509" s="9" t="n"/>
      <c r="E1509" s="8" t="n"/>
      <c r="F1509" s="9" t="n"/>
      <c r="G1509" s="9" t="n"/>
      <c r="H1509" s="3">
        <f>IF(AND(D1509&lt;&gt;"",F1509&lt;&gt;""),F1509-D1509-G1509,"")</f>
        <v/>
      </c>
      <c r="I1509" s="14">
        <f>IF(E1509&lt;&gt;"", YEARFRAC(C1509, E1509) * 12, "")</f>
        <v/>
      </c>
      <c r="J1509" s="2">
        <f>IF(I1509="", "", IF(AND(A1509="MF (Equity)", I1509&gt;12), "Long Term", "Short Term"))</f>
        <v/>
      </c>
      <c r="K1509" s="5">
        <f>IF(J1509="", "", IF(J1509="Long Term", 12.5%, 20%))</f>
        <v/>
      </c>
      <c r="L1509" s="3">
        <f>+IFERROR(IF(J1509="","",H1509*K1509),"")</f>
        <v/>
      </c>
    </row>
    <row r="1510">
      <c r="A1510" s="11" t="n"/>
      <c r="B1510" s="7" t="n"/>
      <c r="C1510" s="8" t="n"/>
      <c r="D1510" s="9" t="n"/>
      <c r="E1510" s="8" t="n"/>
      <c r="F1510" s="9" t="n"/>
      <c r="G1510" s="9" t="n"/>
      <c r="H1510" s="3">
        <f>IF(AND(D1510&lt;&gt;"",F1510&lt;&gt;""),F1510-D1510-G1510,"")</f>
        <v/>
      </c>
      <c r="I1510" s="14">
        <f>IF(E1510&lt;&gt;"", YEARFRAC(C1510, E1510) * 12, "")</f>
        <v/>
      </c>
      <c r="J1510" s="2">
        <f>IF(I1510="", "", IF(AND(A1510="MF (Equity)", I1510&gt;12), "Long Term", "Short Term"))</f>
        <v/>
      </c>
      <c r="K1510" s="5">
        <f>IF(J1510="", "", IF(J1510="Long Term", 12.5%, 20%))</f>
        <v/>
      </c>
      <c r="L1510" s="3">
        <f>+IFERROR(IF(J1510="","",H1510*K1510),"")</f>
        <v/>
      </c>
    </row>
    <row r="1511">
      <c r="A1511" s="11" t="n"/>
      <c r="B1511" s="7" t="n"/>
      <c r="C1511" s="8" t="n"/>
      <c r="D1511" s="9" t="n"/>
      <c r="E1511" s="8" t="n"/>
      <c r="F1511" s="9" t="n"/>
      <c r="G1511" s="9" t="n"/>
      <c r="H1511" s="3">
        <f>IF(AND(D1511&lt;&gt;"",F1511&lt;&gt;""),F1511-D1511-G1511,"")</f>
        <v/>
      </c>
      <c r="I1511" s="14">
        <f>IF(E1511&lt;&gt;"", YEARFRAC(C1511, E1511) * 12, "")</f>
        <v/>
      </c>
      <c r="J1511" s="2">
        <f>IF(I1511="", "", IF(AND(A1511="MF (Equity)", I1511&gt;12), "Long Term", "Short Term"))</f>
        <v/>
      </c>
      <c r="K1511" s="5">
        <f>IF(J1511="", "", IF(J1511="Long Term", 12.5%, 20%))</f>
        <v/>
      </c>
      <c r="L1511" s="3">
        <f>+IFERROR(IF(J1511="","",H1511*K1511),"")</f>
        <v/>
      </c>
    </row>
    <row r="1512">
      <c r="A1512" s="11" t="n"/>
      <c r="B1512" s="7" t="n"/>
      <c r="C1512" s="8" t="n"/>
      <c r="D1512" s="9" t="n"/>
      <c r="E1512" s="8" t="n"/>
      <c r="F1512" s="9" t="n"/>
      <c r="G1512" s="9" t="n"/>
      <c r="H1512" s="3">
        <f>IF(AND(D1512&lt;&gt;"",F1512&lt;&gt;""),F1512-D1512-G1512,"")</f>
        <v/>
      </c>
      <c r="I1512" s="14">
        <f>IF(E1512&lt;&gt;"", YEARFRAC(C1512, E1512) * 12, "")</f>
        <v/>
      </c>
      <c r="J1512" s="2">
        <f>IF(I1512="", "", IF(AND(A1512="MF (Equity)", I1512&gt;12), "Long Term", "Short Term"))</f>
        <v/>
      </c>
      <c r="K1512" s="5">
        <f>IF(J1512="", "", IF(J1512="Long Term", 12.5%, 20%))</f>
        <v/>
      </c>
      <c r="L1512" s="3">
        <f>+IFERROR(IF(J1512="","",H1512*K1512),"")</f>
        <v/>
      </c>
    </row>
    <row r="1513">
      <c r="A1513" s="11" t="n"/>
      <c r="B1513" s="7" t="n"/>
      <c r="C1513" s="8" t="n"/>
      <c r="D1513" s="9" t="n"/>
      <c r="E1513" s="8" t="n"/>
      <c r="F1513" s="9" t="n"/>
      <c r="G1513" s="9" t="n"/>
      <c r="H1513" s="3">
        <f>IF(AND(D1513&lt;&gt;"",F1513&lt;&gt;""),F1513-D1513-G1513,"")</f>
        <v/>
      </c>
      <c r="I1513" s="14">
        <f>IF(E1513&lt;&gt;"", YEARFRAC(C1513, E1513) * 12, "")</f>
        <v/>
      </c>
      <c r="J1513" s="2">
        <f>IF(I1513="", "", IF(AND(A1513="MF (Equity)", I1513&gt;12), "Long Term", "Short Term"))</f>
        <v/>
      </c>
      <c r="K1513" s="5">
        <f>IF(J1513="", "", IF(J1513="Long Term", 12.5%, 20%))</f>
        <v/>
      </c>
      <c r="L1513" s="3">
        <f>+IFERROR(IF(J1513="","",H1513*K1513),"")</f>
        <v/>
      </c>
    </row>
    <row r="1514">
      <c r="A1514" s="11" t="n"/>
      <c r="B1514" s="7" t="n"/>
      <c r="C1514" s="8" t="n"/>
      <c r="D1514" s="9" t="n"/>
      <c r="E1514" s="8" t="n"/>
      <c r="F1514" s="9" t="n"/>
      <c r="G1514" s="9" t="n"/>
      <c r="H1514" s="3">
        <f>IF(AND(D1514&lt;&gt;"",F1514&lt;&gt;""),F1514-D1514-G1514,"")</f>
        <v/>
      </c>
      <c r="I1514" s="14">
        <f>IF(E1514&lt;&gt;"", YEARFRAC(C1514, E1514) * 12, "")</f>
        <v/>
      </c>
      <c r="J1514" s="2">
        <f>IF(I1514="", "", IF(AND(A1514="MF (Equity)", I1514&gt;12), "Long Term", "Short Term"))</f>
        <v/>
      </c>
      <c r="K1514" s="5">
        <f>IF(J1514="", "", IF(J1514="Long Term", 12.5%, 20%))</f>
        <v/>
      </c>
      <c r="L1514" s="3">
        <f>+IFERROR(IF(J1514="","",H1514*K1514),"")</f>
        <v/>
      </c>
    </row>
    <row r="1515">
      <c r="A1515" s="11" t="n"/>
      <c r="B1515" s="7" t="n"/>
      <c r="C1515" s="8" t="n"/>
      <c r="D1515" s="9" t="n"/>
      <c r="E1515" s="8" t="n"/>
      <c r="F1515" s="9" t="n"/>
      <c r="G1515" s="9" t="n"/>
      <c r="H1515" s="3">
        <f>IF(AND(D1515&lt;&gt;"",F1515&lt;&gt;""),F1515-D1515-G1515,"")</f>
        <v/>
      </c>
      <c r="I1515" s="14">
        <f>IF(E1515&lt;&gt;"", YEARFRAC(C1515, E1515) * 12, "")</f>
        <v/>
      </c>
      <c r="J1515" s="2">
        <f>IF(I1515="", "", IF(AND(A1515="MF (Equity)", I1515&gt;12), "Long Term", "Short Term"))</f>
        <v/>
      </c>
      <c r="K1515" s="5">
        <f>IF(J1515="", "", IF(J1515="Long Term", 12.5%, 20%))</f>
        <v/>
      </c>
      <c r="L1515" s="3">
        <f>+IFERROR(IF(J1515="","",H1515*K1515),"")</f>
        <v/>
      </c>
    </row>
    <row r="1516">
      <c r="A1516" s="11" t="n"/>
      <c r="B1516" s="7" t="n"/>
      <c r="C1516" s="8" t="n"/>
      <c r="D1516" s="9" t="n"/>
      <c r="E1516" s="8" t="n"/>
      <c r="F1516" s="9" t="n"/>
      <c r="G1516" s="9" t="n"/>
      <c r="H1516" s="3">
        <f>IF(AND(D1516&lt;&gt;"",F1516&lt;&gt;""),F1516-D1516-G1516,"")</f>
        <v/>
      </c>
      <c r="I1516" s="14">
        <f>IF(E1516&lt;&gt;"", YEARFRAC(C1516, E1516) * 12, "")</f>
        <v/>
      </c>
      <c r="J1516" s="2">
        <f>IF(I1516="", "", IF(AND(A1516="MF (Equity)", I1516&gt;12), "Long Term", "Short Term"))</f>
        <v/>
      </c>
      <c r="K1516" s="5">
        <f>IF(J1516="", "", IF(J1516="Long Term", 12.5%, 20%))</f>
        <v/>
      </c>
      <c r="L1516" s="3">
        <f>+IFERROR(IF(J1516="","",H1516*K1516),"")</f>
        <v/>
      </c>
    </row>
    <row r="1517">
      <c r="A1517" s="11" t="n"/>
      <c r="B1517" s="7" t="n"/>
      <c r="C1517" s="8" t="n"/>
      <c r="D1517" s="9" t="n"/>
      <c r="E1517" s="8" t="n"/>
      <c r="F1517" s="9" t="n"/>
      <c r="G1517" s="9" t="n"/>
      <c r="H1517" s="3">
        <f>IF(AND(D1517&lt;&gt;"",F1517&lt;&gt;""),F1517-D1517-G1517,"")</f>
        <v/>
      </c>
      <c r="I1517" s="14">
        <f>IF(E1517&lt;&gt;"", YEARFRAC(C1517, E1517) * 12, "")</f>
        <v/>
      </c>
      <c r="J1517" s="2">
        <f>IF(I1517="", "", IF(AND(A1517="MF (Equity)", I1517&gt;12), "Long Term", "Short Term"))</f>
        <v/>
      </c>
      <c r="K1517" s="5">
        <f>IF(J1517="", "", IF(J1517="Long Term", 12.5%, 20%))</f>
        <v/>
      </c>
      <c r="L1517" s="3">
        <f>+IFERROR(IF(J1517="","",H1517*K1517),"")</f>
        <v/>
      </c>
    </row>
    <row r="1518">
      <c r="A1518" s="11" t="n"/>
      <c r="B1518" s="7" t="n"/>
      <c r="C1518" s="8" t="n"/>
      <c r="D1518" s="9" t="n"/>
      <c r="E1518" s="8" t="n"/>
      <c r="F1518" s="9" t="n"/>
      <c r="G1518" s="9" t="n"/>
      <c r="H1518" s="3">
        <f>IF(AND(D1518&lt;&gt;"",F1518&lt;&gt;""),F1518-D1518-G1518,"")</f>
        <v/>
      </c>
      <c r="I1518" s="14">
        <f>IF(E1518&lt;&gt;"", YEARFRAC(C1518, E1518) * 12, "")</f>
        <v/>
      </c>
      <c r="J1518" s="2">
        <f>IF(I1518="", "", IF(AND(A1518="MF (Equity)", I1518&gt;12), "Long Term", "Short Term"))</f>
        <v/>
      </c>
      <c r="K1518" s="5">
        <f>IF(J1518="", "", IF(J1518="Long Term", 12.5%, 20%))</f>
        <v/>
      </c>
      <c r="L1518" s="3">
        <f>+IFERROR(IF(J1518="","",H1518*K1518),"")</f>
        <v/>
      </c>
    </row>
    <row r="1519">
      <c r="A1519" s="11" t="n"/>
      <c r="B1519" s="7" t="n"/>
      <c r="C1519" s="8" t="n"/>
      <c r="D1519" s="9" t="n"/>
      <c r="E1519" s="8" t="n"/>
      <c r="F1519" s="9" t="n"/>
      <c r="G1519" s="9" t="n"/>
      <c r="H1519" s="3">
        <f>IF(AND(D1519&lt;&gt;"",F1519&lt;&gt;""),F1519-D1519-G1519,"")</f>
        <v/>
      </c>
      <c r="I1519" s="14">
        <f>IF(E1519&lt;&gt;"", YEARFRAC(C1519, E1519) * 12, "")</f>
        <v/>
      </c>
      <c r="J1519" s="2">
        <f>IF(I1519="", "", IF(AND(A1519="MF (Equity)", I1519&gt;12), "Long Term", "Short Term"))</f>
        <v/>
      </c>
      <c r="K1519" s="5">
        <f>IF(J1519="", "", IF(J1519="Long Term", 12.5%, 20%))</f>
        <v/>
      </c>
      <c r="L1519" s="3">
        <f>+IFERROR(IF(J1519="","",H1519*K1519),"")</f>
        <v/>
      </c>
    </row>
    <row r="1520">
      <c r="A1520" s="11" t="n"/>
      <c r="B1520" s="7" t="n"/>
      <c r="C1520" s="8" t="n"/>
      <c r="D1520" s="9" t="n"/>
      <c r="E1520" s="8" t="n"/>
      <c r="F1520" s="9" t="n"/>
      <c r="G1520" s="9" t="n"/>
      <c r="H1520" s="3">
        <f>IF(AND(D1520&lt;&gt;"",F1520&lt;&gt;""),F1520-D1520-G1520,"")</f>
        <v/>
      </c>
      <c r="I1520" s="14">
        <f>IF(E1520&lt;&gt;"", YEARFRAC(C1520, E1520) * 12, "")</f>
        <v/>
      </c>
      <c r="J1520" s="2">
        <f>IF(I1520="", "", IF(AND(A1520="MF (Equity)", I1520&gt;12), "Long Term", "Short Term"))</f>
        <v/>
      </c>
      <c r="K1520" s="5">
        <f>IF(J1520="", "", IF(J1520="Long Term", 12.5%, 20%))</f>
        <v/>
      </c>
      <c r="L1520" s="3">
        <f>+IFERROR(IF(J1520="","",H1520*K1520),"")</f>
        <v/>
      </c>
    </row>
    <row r="1521">
      <c r="A1521" s="11" t="n"/>
      <c r="B1521" s="7" t="n"/>
      <c r="C1521" s="8" t="n"/>
      <c r="D1521" s="9" t="n"/>
      <c r="E1521" s="8" t="n"/>
      <c r="F1521" s="9" t="n"/>
      <c r="G1521" s="9" t="n"/>
      <c r="H1521" s="3">
        <f>IF(AND(D1521&lt;&gt;"",F1521&lt;&gt;""),F1521-D1521-G1521,"")</f>
        <v/>
      </c>
      <c r="I1521" s="14">
        <f>IF(E1521&lt;&gt;"", YEARFRAC(C1521, E1521) * 12, "")</f>
        <v/>
      </c>
      <c r="J1521" s="2">
        <f>IF(I1521="", "", IF(AND(A1521="MF (Equity)", I1521&gt;12), "Long Term", "Short Term"))</f>
        <v/>
      </c>
      <c r="K1521" s="5">
        <f>IF(J1521="", "", IF(J1521="Long Term", 12.5%, 20%))</f>
        <v/>
      </c>
      <c r="L1521" s="3">
        <f>+IFERROR(IF(J1521="","",H1521*K1521),"")</f>
        <v/>
      </c>
    </row>
    <row r="1522">
      <c r="A1522" s="11" t="n"/>
      <c r="B1522" s="7" t="n"/>
      <c r="C1522" s="8" t="n"/>
      <c r="D1522" s="9" t="n"/>
      <c r="E1522" s="8" t="n"/>
      <c r="F1522" s="9" t="n"/>
      <c r="G1522" s="9" t="n"/>
      <c r="H1522" s="3">
        <f>IF(AND(D1522&lt;&gt;"",F1522&lt;&gt;""),F1522-D1522-G1522,"")</f>
        <v/>
      </c>
      <c r="I1522" s="14">
        <f>IF(E1522&lt;&gt;"", YEARFRAC(C1522, E1522) * 12, "")</f>
        <v/>
      </c>
      <c r="J1522" s="2">
        <f>IF(I1522="", "", IF(AND(A1522="MF (Equity)", I1522&gt;12), "Long Term", "Short Term"))</f>
        <v/>
      </c>
      <c r="K1522" s="5">
        <f>IF(J1522="", "", IF(J1522="Long Term", 12.5%, 20%))</f>
        <v/>
      </c>
      <c r="L1522" s="3">
        <f>+IFERROR(IF(J1522="","",H1522*K1522),"")</f>
        <v/>
      </c>
    </row>
    <row r="1523">
      <c r="A1523" s="11" t="n"/>
      <c r="B1523" s="7" t="n"/>
      <c r="C1523" s="8" t="n"/>
      <c r="D1523" s="9" t="n"/>
      <c r="E1523" s="8" t="n"/>
      <c r="F1523" s="9" t="n"/>
      <c r="G1523" s="9" t="n"/>
      <c r="H1523" s="3">
        <f>IF(AND(D1523&lt;&gt;"",F1523&lt;&gt;""),F1523-D1523-G1523,"")</f>
        <v/>
      </c>
      <c r="I1523" s="14">
        <f>IF(E1523&lt;&gt;"", YEARFRAC(C1523, E1523) * 12, "")</f>
        <v/>
      </c>
      <c r="J1523" s="2">
        <f>IF(I1523="", "", IF(AND(A1523="MF (Equity)", I1523&gt;12), "Long Term", "Short Term"))</f>
        <v/>
      </c>
      <c r="K1523" s="5">
        <f>IF(J1523="", "", IF(J1523="Long Term", 12.5%, 20%))</f>
        <v/>
      </c>
      <c r="L1523" s="3">
        <f>+IFERROR(IF(J1523="","",H1523*K1523),"")</f>
        <v/>
      </c>
    </row>
    <row r="1524">
      <c r="A1524" s="11" t="n"/>
      <c r="B1524" s="7" t="n"/>
      <c r="C1524" s="8" t="n"/>
      <c r="D1524" s="9" t="n"/>
      <c r="E1524" s="8" t="n"/>
      <c r="F1524" s="9" t="n"/>
      <c r="G1524" s="9" t="n"/>
      <c r="H1524" s="3">
        <f>IF(AND(D1524&lt;&gt;"",F1524&lt;&gt;""),F1524-D1524-G1524,"")</f>
        <v/>
      </c>
      <c r="I1524" s="14">
        <f>IF(E1524&lt;&gt;"", YEARFRAC(C1524, E1524) * 12, "")</f>
        <v/>
      </c>
      <c r="J1524" s="2">
        <f>IF(I1524="", "", IF(AND(A1524="MF (Equity)", I1524&gt;12), "Long Term", "Short Term"))</f>
        <v/>
      </c>
      <c r="K1524" s="5">
        <f>IF(J1524="", "", IF(J1524="Long Term", 12.5%, 20%))</f>
        <v/>
      </c>
      <c r="L1524" s="3">
        <f>+IFERROR(IF(J1524="","",H1524*K1524),"")</f>
        <v/>
      </c>
    </row>
    <row r="1525">
      <c r="A1525" s="11" t="n"/>
      <c r="B1525" s="7" t="n"/>
      <c r="C1525" s="8" t="n"/>
      <c r="D1525" s="9" t="n"/>
      <c r="E1525" s="8" t="n"/>
      <c r="F1525" s="9" t="n"/>
      <c r="G1525" s="9" t="n"/>
      <c r="H1525" s="3">
        <f>IF(AND(D1525&lt;&gt;"",F1525&lt;&gt;""),F1525-D1525-G1525,"")</f>
        <v/>
      </c>
      <c r="I1525" s="14">
        <f>IF(E1525&lt;&gt;"", YEARFRAC(C1525, E1525) * 12, "")</f>
        <v/>
      </c>
      <c r="J1525" s="2">
        <f>IF(I1525="", "", IF(AND(A1525="MF (Equity)", I1525&gt;12), "Long Term", "Short Term"))</f>
        <v/>
      </c>
      <c r="K1525" s="5">
        <f>IF(J1525="", "", IF(J1525="Long Term", 12.5%, 20%))</f>
        <v/>
      </c>
      <c r="L1525" s="3">
        <f>+IFERROR(IF(J1525="","",H1525*K1525),"")</f>
        <v/>
      </c>
    </row>
    <row r="1526">
      <c r="A1526" s="11" t="n"/>
      <c r="B1526" s="7" t="n"/>
      <c r="C1526" s="8" t="n"/>
      <c r="D1526" s="9" t="n"/>
      <c r="E1526" s="8" t="n"/>
      <c r="F1526" s="9" t="n"/>
      <c r="G1526" s="9" t="n"/>
      <c r="H1526" s="3">
        <f>IF(AND(D1526&lt;&gt;"",F1526&lt;&gt;""),F1526-D1526-G1526,"")</f>
        <v/>
      </c>
      <c r="I1526" s="14">
        <f>IF(E1526&lt;&gt;"", YEARFRAC(C1526, E1526) * 12, "")</f>
        <v/>
      </c>
      <c r="J1526" s="2">
        <f>IF(I1526="", "", IF(AND(A1526="MF (Equity)", I1526&gt;12), "Long Term", "Short Term"))</f>
        <v/>
      </c>
      <c r="K1526" s="5">
        <f>IF(J1526="", "", IF(J1526="Long Term", 12.5%, 20%))</f>
        <v/>
      </c>
      <c r="L1526" s="3">
        <f>+IFERROR(IF(J1526="","",H1526*K1526),"")</f>
        <v/>
      </c>
    </row>
    <row r="1527">
      <c r="A1527" s="11" t="n"/>
      <c r="B1527" s="7" t="n"/>
      <c r="C1527" s="8" t="n"/>
      <c r="D1527" s="9" t="n"/>
      <c r="E1527" s="8" t="n"/>
      <c r="F1527" s="9" t="n"/>
      <c r="G1527" s="9" t="n"/>
      <c r="H1527" s="3">
        <f>IF(AND(D1527&lt;&gt;"",F1527&lt;&gt;""),F1527-D1527-G1527,"")</f>
        <v/>
      </c>
      <c r="I1527" s="14">
        <f>IF(E1527&lt;&gt;"", YEARFRAC(C1527, E1527) * 12, "")</f>
        <v/>
      </c>
      <c r="J1527" s="2">
        <f>IF(I1527="", "", IF(AND(A1527="MF (Equity)", I1527&gt;12), "Long Term", "Short Term"))</f>
        <v/>
      </c>
      <c r="K1527" s="5">
        <f>IF(J1527="", "", IF(J1527="Long Term", 12.5%, 20%))</f>
        <v/>
      </c>
      <c r="L1527" s="3">
        <f>+IFERROR(IF(J1527="","",H1527*K1527),"")</f>
        <v/>
      </c>
    </row>
    <row r="1528">
      <c r="A1528" s="11" t="n"/>
      <c r="B1528" s="7" t="n"/>
      <c r="C1528" s="8" t="n"/>
      <c r="D1528" s="9" t="n"/>
      <c r="E1528" s="8" t="n"/>
      <c r="F1528" s="9" t="n"/>
      <c r="G1528" s="9" t="n"/>
      <c r="H1528" s="3">
        <f>IF(AND(D1528&lt;&gt;"",F1528&lt;&gt;""),F1528-D1528-G1528,"")</f>
        <v/>
      </c>
      <c r="I1528" s="14">
        <f>IF(E1528&lt;&gt;"", YEARFRAC(C1528, E1528) * 12, "")</f>
        <v/>
      </c>
      <c r="J1528" s="2">
        <f>IF(I1528="", "", IF(AND(A1528="MF (Equity)", I1528&gt;12), "Long Term", "Short Term"))</f>
        <v/>
      </c>
      <c r="K1528" s="5">
        <f>IF(J1528="", "", IF(J1528="Long Term", 12.5%, 20%))</f>
        <v/>
      </c>
      <c r="L1528" s="3">
        <f>+IFERROR(IF(J1528="","",H1528*K1528),"")</f>
        <v/>
      </c>
    </row>
    <row r="1529">
      <c r="A1529" s="11" t="n"/>
      <c r="B1529" s="7" t="n"/>
      <c r="C1529" s="8" t="n"/>
      <c r="D1529" s="9" t="n"/>
      <c r="E1529" s="8" t="n"/>
      <c r="F1529" s="9" t="n"/>
      <c r="G1529" s="9" t="n"/>
      <c r="H1529" s="3">
        <f>IF(AND(D1529&lt;&gt;"",F1529&lt;&gt;""),F1529-D1529-G1529,"")</f>
        <v/>
      </c>
      <c r="I1529" s="14">
        <f>IF(E1529&lt;&gt;"", YEARFRAC(C1529, E1529) * 12, "")</f>
        <v/>
      </c>
      <c r="J1529" s="2">
        <f>IF(I1529="", "", IF(AND(A1529="MF (Equity)", I1529&gt;12), "Long Term", "Short Term"))</f>
        <v/>
      </c>
      <c r="K1529" s="5">
        <f>IF(J1529="", "", IF(J1529="Long Term", 12.5%, 20%))</f>
        <v/>
      </c>
      <c r="L1529" s="3">
        <f>+IFERROR(IF(J1529="","",H1529*K1529),"")</f>
        <v/>
      </c>
    </row>
    <row r="1530">
      <c r="A1530" s="11" t="n"/>
      <c r="B1530" s="7" t="n"/>
      <c r="C1530" s="8" t="n"/>
      <c r="D1530" s="9" t="n"/>
      <c r="E1530" s="8" t="n"/>
      <c r="F1530" s="9" t="n"/>
      <c r="G1530" s="9" t="n"/>
      <c r="H1530" s="3">
        <f>IF(AND(D1530&lt;&gt;"",F1530&lt;&gt;""),F1530-D1530-G1530,"")</f>
        <v/>
      </c>
      <c r="I1530" s="14">
        <f>IF(E1530&lt;&gt;"", YEARFRAC(C1530, E1530) * 12, "")</f>
        <v/>
      </c>
      <c r="J1530" s="2">
        <f>IF(I1530="", "", IF(AND(A1530="MF (Equity)", I1530&gt;12), "Long Term", "Short Term"))</f>
        <v/>
      </c>
      <c r="K1530" s="5">
        <f>IF(J1530="", "", IF(J1530="Long Term", 12.5%, 20%))</f>
        <v/>
      </c>
      <c r="L1530" s="3">
        <f>+IFERROR(IF(J1530="","",H1530*K1530),"")</f>
        <v/>
      </c>
    </row>
    <row r="1531">
      <c r="A1531" s="11" t="n"/>
      <c r="B1531" s="7" t="n"/>
      <c r="C1531" s="8" t="n"/>
      <c r="D1531" s="9" t="n"/>
      <c r="E1531" s="8" t="n"/>
      <c r="F1531" s="9" t="n"/>
      <c r="G1531" s="9" t="n"/>
      <c r="H1531" s="3">
        <f>IF(AND(D1531&lt;&gt;"",F1531&lt;&gt;""),F1531-D1531-G1531,"")</f>
        <v/>
      </c>
      <c r="I1531" s="14">
        <f>IF(E1531&lt;&gt;"", YEARFRAC(C1531, E1531) * 12, "")</f>
        <v/>
      </c>
      <c r="J1531" s="2">
        <f>IF(I1531="", "", IF(AND(A1531="MF (Equity)", I1531&gt;12), "Long Term", "Short Term"))</f>
        <v/>
      </c>
      <c r="K1531" s="5">
        <f>IF(J1531="", "", IF(J1531="Long Term", 12.5%, 20%))</f>
        <v/>
      </c>
      <c r="L1531" s="3">
        <f>+IFERROR(IF(J1531="","",H1531*K1531),"")</f>
        <v/>
      </c>
    </row>
    <row r="1532">
      <c r="A1532" s="11" t="n"/>
      <c r="B1532" s="7" t="n"/>
      <c r="C1532" s="8" t="n"/>
      <c r="D1532" s="9" t="n"/>
      <c r="E1532" s="8" t="n"/>
      <c r="F1532" s="9" t="n"/>
      <c r="G1532" s="9" t="n"/>
      <c r="H1532" s="3">
        <f>IF(AND(D1532&lt;&gt;"",F1532&lt;&gt;""),F1532-D1532-G1532,"")</f>
        <v/>
      </c>
      <c r="I1532" s="14">
        <f>IF(E1532&lt;&gt;"", YEARFRAC(C1532, E1532) * 12, "")</f>
        <v/>
      </c>
      <c r="J1532" s="2">
        <f>IF(I1532="", "", IF(AND(A1532="MF (Equity)", I1532&gt;12), "Long Term", "Short Term"))</f>
        <v/>
      </c>
      <c r="K1532" s="5">
        <f>IF(J1532="", "", IF(J1532="Long Term", 12.5%, 20%))</f>
        <v/>
      </c>
      <c r="L1532" s="3">
        <f>+IFERROR(IF(J1532="","",H1532*K1532),"")</f>
        <v/>
      </c>
    </row>
    <row r="1533">
      <c r="A1533" s="11" t="n"/>
      <c r="B1533" s="7" t="n"/>
      <c r="C1533" s="8" t="n"/>
      <c r="D1533" s="9" t="n"/>
      <c r="E1533" s="8" t="n"/>
      <c r="F1533" s="9" t="n"/>
      <c r="G1533" s="9" t="n"/>
      <c r="H1533" s="3">
        <f>IF(AND(D1533&lt;&gt;"",F1533&lt;&gt;""),F1533-D1533-G1533,"")</f>
        <v/>
      </c>
      <c r="I1533" s="14">
        <f>IF(E1533&lt;&gt;"", YEARFRAC(C1533, E1533) * 12, "")</f>
        <v/>
      </c>
      <c r="J1533" s="2">
        <f>IF(I1533="", "", IF(AND(A1533="MF (Equity)", I1533&gt;12), "Long Term", "Short Term"))</f>
        <v/>
      </c>
      <c r="K1533" s="5">
        <f>IF(J1533="", "", IF(J1533="Long Term", 12.5%, 20%))</f>
        <v/>
      </c>
      <c r="L1533" s="3">
        <f>+IFERROR(IF(J1533="","",H1533*K1533),"")</f>
        <v/>
      </c>
    </row>
    <row r="1534">
      <c r="A1534" s="11" t="n"/>
      <c r="B1534" s="7" t="n"/>
      <c r="C1534" s="8" t="n"/>
      <c r="D1534" s="9" t="n"/>
      <c r="E1534" s="8" t="n"/>
      <c r="F1534" s="9" t="n"/>
      <c r="G1534" s="9" t="n"/>
      <c r="H1534" s="3">
        <f>IF(AND(D1534&lt;&gt;"",F1534&lt;&gt;""),F1534-D1534-G1534,"")</f>
        <v/>
      </c>
      <c r="I1534" s="14">
        <f>IF(E1534&lt;&gt;"", YEARFRAC(C1534, E1534) * 12, "")</f>
        <v/>
      </c>
      <c r="J1534" s="2">
        <f>IF(I1534="", "", IF(AND(A1534="MF (Equity)", I1534&gt;12), "Long Term", "Short Term"))</f>
        <v/>
      </c>
      <c r="K1534" s="5">
        <f>IF(J1534="", "", IF(J1534="Long Term", 12.5%, 20%))</f>
        <v/>
      </c>
      <c r="L1534" s="3">
        <f>+IFERROR(IF(J1534="","",H1534*K1534),"")</f>
        <v/>
      </c>
    </row>
    <row r="1535">
      <c r="A1535" s="11" t="n"/>
      <c r="B1535" s="7" t="n"/>
      <c r="C1535" s="8" t="n"/>
      <c r="D1535" s="9" t="n"/>
      <c r="E1535" s="8" t="n"/>
      <c r="F1535" s="9" t="n"/>
      <c r="G1535" s="9" t="n"/>
      <c r="H1535" s="3">
        <f>IF(AND(D1535&lt;&gt;"",F1535&lt;&gt;""),F1535-D1535-G1535,"")</f>
        <v/>
      </c>
      <c r="I1535" s="14">
        <f>IF(E1535&lt;&gt;"", YEARFRAC(C1535, E1535) * 12, "")</f>
        <v/>
      </c>
      <c r="J1535" s="2">
        <f>IF(I1535="", "", IF(AND(A1535="MF (Equity)", I1535&gt;12), "Long Term", "Short Term"))</f>
        <v/>
      </c>
      <c r="K1535" s="5">
        <f>IF(J1535="", "", IF(J1535="Long Term", 12.5%, 20%))</f>
        <v/>
      </c>
      <c r="L1535" s="3">
        <f>+IFERROR(IF(J1535="","",H1535*K1535),"")</f>
        <v/>
      </c>
    </row>
    <row r="1536">
      <c r="A1536" s="11" t="n"/>
      <c r="B1536" s="7" t="n"/>
      <c r="C1536" s="8" t="n"/>
      <c r="D1536" s="9" t="n"/>
      <c r="E1536" s="8" t="n"/>
      <c r="F1536" s="9" t="n"/>
      <c r="G1536" s="9" t="n"/>
      <c r="H1536" s="3">
        <f>IF(AND(D1536&lt;&gt;"",F1536&lt;&gt;""),F1536-D1536-G1536,"")</f>
        <v/>
      </c>
      <c r="I1536" s="14">
        <f>IF(E1536&lt;&gt;"", YEARFRAC(C1536, E1536) * 12, "")</f>
        <v/>
      </c>
      <c r="J1536" s="2">
        <f>IF(I1536="", "", IF(AND(A1536="MF (Equity)", I1536&gt;12), "Long Term", "Short Term"))</f>
        <v/>
      </c>
      <c r="K1536" s="5">
        <f>IF(J1536="", "", IF(J1536="Long Term", 12.5%, 20%))</f>
        <v/>
      </c>
      <c r="L1536" s="3">
        <f>+IFERROR(IF(J1536="","",H1536*K1536),"")</f>
        <v/>
      </c>
    </row>
    <row r="1537">
      <c r="A1537" s="11" t="n"/>
      <c r="B1537" s="7" t="n"/>
      <c r="C1537" s="8" t="n"/>
      <c r="D1537" s="9" t="n"/>
      <c r="E1537" s="8" t="n"/>
      <c r="F1537" s="9" t="n"/>
      <c r="G1537" s="9" t="n"/>
      <c r="H1537" s="3">
        <f>IF(AND(D1537&lt;&gt;"",F1537&lt;&gt;""),F1537-D1537-G1537,"")</f>
        <v/>
      </c>
      <c r="I1537" s="14">
        <f>IF(E1537&lt;&gt;"", YEARFRAC(C1537, E1537) * 12, "")</f>
        <v/>
      </c>
      <c r="J1537" s="2">
        <f>IF(I1537="", "", IF(AND(A1537="MF (Equity)", I1537&gt;12), "Long Term", "Short Term"))</f>
        <v/>
      </c>
      <c r="K1537" s="5">
        <f>IF(J1537="", "", IF(J1537="Long Term", 12.5%, 20%))</f>
        <v/>
      </c>
      <c r="L1537" s="3">
        <f>+IFERROR(IF(J1537="","",H1537*K1537),"")</f>
        <v/>
      </c>
    </row>
    <row r="1538">
      <c r="A1538" s="11" t="n"/>
      <c r="B1538" s="7" t="n"/>
      <c r="C1538" s="8" t="n"/>
      <c r="D1538" s="9" t="n"/>
      <c r="E1538" s="8" t="n"/>
      <c r="F1538" s="9" t="n"/>
      <c r="G1538" s="9" t="n"/>
      <c r="H1538" s="3">
        <f>IF(AND(D1538&lt;&gt;"",F1538&lt;&gt;""),F1538-D1538-G1538,"")</f>
        <v/>
      </c>
      <c r="I1538" s="14">
        <f>IF(E1538&lt;&gt;"", YEARFRAC(C1538, E1538) * 12, "")</f>
        <v/>
      </c>
      <c r="J1538" s="2">
        <f>IF(I1538="", "", IF(AND(A1538="MF (Equity)", I1538&gt;12), "Long Term", "Short Term"))</f>
        <v/>
      </c>
      <c r="K1538" s="5">
        <f>IF(J1538="", "", IF(J1538="Long Term", 12.5%, 20%))</f>
        <v/>
      </c>
      <c r="L1538" s="3">
        <f>+IFERROR(IF(J1538="","",H1538*K1538),"")</f>
        <v/>
      </c>
    </row>
    <row r="1539">
      <c r="A1539" s="11" t="n"/>
      <c r="B1539" s="7" t="n"/>
      <c r="C1539" s="8" t="n"/>
      <c r="D1539" s="9" t="n"/>
      <c r="E1539" s="8" t="n"/>
      <c r="F1539" s="9" t="n"/>
      <c r="G1539" s="9" t="n"/>
      <c r="H1539" s="3">
        <f>IF(AND(D1539&lt;&gt;"",F1539&lt;&gt;""),F1539-D1539-G1539,"")</f>
        <v/>
      </c>
      <c r="I1539" s="14">
        <f>IF(E1539&lt;&gt;"", YEARFRAC(C1539, E1539) * 12, "")</f>
        <v/>
      </c>
      <c r="J1539" s="2">
        <f>IF(I1539="", "", IF(AND(A1539="MF (Equity)", I1539&gt;12), "Long Term", "Short Term"))</f>
        <v/>
      </c>
      <c r="K1539" s="5">
        <f>IF(J1539="", "", IF(J1539="Long Term", 12.5%, 20%))</f>
        <v/>
      </c>
      <c r="L1539" s="3">
        <f>+IFERROR(IF(J1539="","",H1539*K1539),"")</f>
        <v/>
      </c>
    </row>
    <row r="1540">
      <c r="A1540" s="11" t="n"/>
      <c r="B1540" s="7" t="n"/>
      <c r="C1540" s="8" t="n"/>
      <c r="D1540" s="9" t="n"/>
      <c r="E1540" s="8" t="n"/>
      <c r="F1540" s="9" t="n"/>
      <c r="G1540" s="9" t="n"/>
      <c r="H1540" s="3">
        <f>IF(AND(D1540&lt;&gt;"",F1540&lt;&gt;""),F1540-D1540-G1540,"")</f>
        <v/>
      </c>
      <c r="I1540" s="14">
        <f>IF(E1540&lt;&gt;"", YEARFRAC(C1540, E1540) * 12, "")</f>
        <v/>
      </c>
      <c r="J1540" s="2">
        <f>IF(I1540="", "", IF(AND(A1540="MF (Equity)", I1540&gt;12), "Long Term", "Short Term"))</f>
        <v/>
      </c>
      <c r="K1540" s="5">
        <f>IF(J1540="", "", IF(J1540="Long Term", 12.5%, 20%))</f>
        <v/>
      </c>
      <c r="L1540" s="3">
        <f>+IFERROR(IF(J1540="","",H1540*K1540),"")</f>
        <v/>
      </c>
    </row>
    <row r="1541">
      <c r="A1541" s="11" t="n"/>
      <c r="B1541" s="7" t="n"/>
      <c r="C1541" s="8" t="n"/>
      <c r="D1541" s="9" t="n"/>
      <c r="E1541" s="8" t="n"/>
      <c r="F1541" s="9" t="n"/>
      <c r="G1541" s="9" t="n"/>
      <c r="H1541" s="3">
        <f>IF(AND(D1541&lt;&gt;"",F1541&lt;&gt;""),F1541-D1541-G1541,"")</f>
        <v/>
      </c>
      <c r="I1541" s="14">
        <f>IF(E1541&lt;&gt;"", YEARFRAC(C1541, E1541) * 12, "")</f>
        <v/>
      </c>
      <c r="J1541" s="2">
        <f>IF(I1541="", "", IF(AND(A1541="MF (Equity)", I1541&gt;12), "Long Term", "Short Term"))</f>
        <v/>
      </c>
      <c r="K1541" s="5">
        <f>IF(J1541="", "", IF(J1541="Long Term", 12.5%, 20%))</f>
        <v/>
      </c>
      <c r="L1541" s="3">
        <f>+IFERROR(IF(J1541="","",H1541*K1541),"")</f>
        <v/>
      </c>
    </row>
    <row r="1542">
      <c r="A1542" s="11" t="n"/>
      <c r="B1542" s="7" t="n"/>
      <c r="C1542" s="8" t="n"/>
      <c r="D1542" s="9" t="n"/>
      <c r="E1542" s="8" t="n"/>
      <c r="F1542" s="9" t="n"/>
      <c r="G1542" s="9" t="n"/>
      <c r="H1542" s="3">
        <f>IF(AND(D1542&lt;&gt;"",F1542&lt;&gt;""),F1542-D1542-G1542,"")</f>
        <v/>
      </c>
      <c r="I1542" s="14">
        <f>IF(E1542&lt;&gt;"", YEARFRAC(C1542, E1542) * 12, "")</f>
        <v/>
      </c>
      <c r="J1542" s="2">
        <f>IF(I1542="", "", IF(AND(A1542="MF (Equity)", I1542&gt;12), "Long Term", "Short Term"))</f>
        <v/>
      </c>
      <c r="K1542" s="5">
        <f>IF(J1542="", "", IF(J1542="Long Term", 12.5%, 20%))</f>
        <v/>
      </c>
      <c r="L1542" s="3">
        <f>+IFERROR(IF(J1542="","",H1542*K1542),"")</f>
        <v/>
      </c>
    </row>
    <row r="1543">
      <c r="A1543" s="11" t="n"/>
      <c r="B1543" s="7" t="n"/>
      <c r="C1543" s="8" t="n"/>
      <c r="D1543" s="9" t="n"/>
      <c r="E1543" s="8" t="n"/>
      <c r="F1543" s="9" t="n"/>
      <c r="G1543" s="9" t="n"/>
      <c r="H1543" s="3">
        <f>IF(AND(D1543&lt;&gt;"",F1543&lt;&gt;""),F1543-D1543-G1543,"")</f>
        <v/>
      </c>
      <c r="I1543" s="14">
        <f>IF(E1543&lt;&gt;"", YEARFRAC(C1543, E1543) * 12, "")</f>
        <v/>
      </c>
      <c r="J1543" s="2">
        <f>IF(I1543="", "", IF(AND(A1543="MF (Equity)", I1543&gt;12), "Long Term", "Short Term"))</f>
        <v/>
      </c>
      <c r="K1543" s="5">
        <f>IF(J1543="", "", IF(J1543="Long Term", 12.5%, 20%))</f>
        <v/>
      </c>
      <c r="L1543" s="3">
        <f>+IFERROR(IF(J1543="","",H1543*K1543),"")</f>
        <v/>
      </c>
    </row>
    <row r="1544">
      <c r="A1544" s="11" t="n"/>
      <c r="B1544" s="7" t="n"/>
      <c r="C1544" s="8" t="n"/>
      <c r="D1544" s="9" t="n"/>
      <c r="E1544" s="8" t="n"/>
      <c r="F1544" s="9" t="n"/>
      <c r="G1544" s="9" t="n"/>
      <c r="H1544" s="3">
        <f>IF(AND(D1544&lt;&gt;"",F1544&lt;&gt;""),F1544-D1544-G1544,"")</f>
        <v/>
      </c>
      <c r="I1544" s="14">
        <f>IF(E1544&lt;&gt;"", YEARFRAC(C1544, E1544) * 12, "")</f>
        <v/>
      </c>
      <c r="J1544" s="2">
        <f>IF(I1544="", "", IF(AND(A1544="MF (Equity)", I1544&gt;12), "Long Term", "Short Term"))</f>
        <v/>
      </c>
      <c r="K1544" s="5">
        <f>IF(J1544="", "", IF(J1544="Long Term", 12.5%, 20%))</f>
        <v/>
      </c>
      <c r="L1544" s="3">
        <f>+IFERROR(IF(J1544="","",H1544*K1544),"")</f>
        <v/>
      </c>
    </row>
    <row r="1545">
      <c r="A1545" s="11" t="n"/>
      <c r="B1545" s="7" t="n"/>
      <c r="C1545" s="8" t="n"/>
      <c r="D1545" s="9" t="n"/>
      <c r="E1545" s="8" t="n"/>
      <c r="F1545" s="9" t="n"/>
      <c r="G1545" s="9" t="n"/>
      <c r="H1545" s="3">
        <f>IF(AND(D1545&lt;&gt;"",F1545&lt;&gt;""),F1545-D1545-G1545,"")</f>
        <v/>
      </c>
      <c r="I1545" s="14">
        <f>IF(E1545&lt;&gt;"", YEARFRAC(C1545, E1545) * 12, "")</f>
        <v/>
      </c>
      <c r="J1545" s="2">
        <f>IF(I1545="", "", IF(AND(A1545="MF (Equity)", I1545&gt;12), "Long Term", "Short Term"))</f>
        <v/>
      </c>
      <c r="K1545" s="5">
        <f>IF(J1545="", "", IF(J1545="Long Term", 12.5%, 20%))</f>
        <v/>
      </c>
      <c r="L1545" s="3">
        <f>+IFERROR(IF(J1545="","",H1545*K1545),"")</f>
        <v/>
      </c>
    </row>
    <row r="1546">
      <c r="A1546" s="11" t="n"/>
      <c r="B1546" s="7" t="n"/>
      <c r="C1546" s="8" t="n"/>
      <c r="D1546" s="9" t="n"/>
      <c r="E1546" s="8" t="n"/>
      <c r="F1546" s="9" t="n"/>
      <c r="G1546" s="9" t="n"/>
      <c r="H1546" s="3">
        <f>IF(AND(D1546&lt;&gt;"",F1546&lt;&gt;""),F1546-D1546-G1546,"")</f>
        <v/>
      </c>
      <c r="I1546" s="14">
        <f>IF(E1546&lt;&gt;"", YEARFRAC(C1546, E1546) * 12, "")</f>
        <v/>
      </c>
      <c r="J1546" s="2">
        <f>IF(I1546="", "", IF(AND(A1546="MF (Equity)", I1546&gt;12), "Long Term", "Short Term"))</f>
        <v/>
      </c>
      <c r="K1546" s="5">
        <f>IF(J1546="", "", IF(J1546="Long Term", 12.5%, 20%))</f>
        <v/>
      </c>
      <c r="L1546" s="3">
        <f>+IFERROR(IF(J1546="","",H1546*K1546),"")</f>
        <v/>
      </c>
    </row>
    <row r="1547">
      <c r="A1547" s="11" t="n"/>
      <c r="B1547" s="7" t="n"/>
      <c r="C1547" s="8" t="n"/>
      <c r="D1547" s="9" t="n"/>
      <c r="E1547" s="8" t="n"/>
      <c r="F1547" s="9" t="n"/>
      <c r="G1547" s="9" t="n"/>
      <c r="H1547" s="3">
        <f>IF(AND(D1547&lt;&gt;"",F1547&lt;&gt;""),F1547-D1547-G1547,"")</f>
        <v/>
      </c>
      <c r="I1547" s="14">
        <f>IF(E1547&lt;&gt;"", YEARFRAC(C1547, E1547) * 12, "")</f>
        <v/>
      </c>
      <c r="J1547" s="2">
        <f>IF(I1547="", "", IF(AND(A1547="MF (Equity)", I1547&gt;12), "Long Term", "Short Term"))</f>
        <v/>
      </c>
      <c r="K1547" s="5">
        <f>IF(J1547="", "", IF(J1547="Long Term", 12.5%, 20%))</f>
        <v/>
      </c>
      <c r="L1547" s="3">
        <f>+IFERROR(IF(J1547="","",H1547*K1547),"")</f>
        <v/>
      </c>
    </row>
    <row r="1548">
      <c r="A1548" s="11" t="n"/>
      <c r="B1548" s="7" t="n"/>
      <c r="C1548" s="8" t="n"/>
      <c r="D1548" s="9" t="n"/>
      <c r="E1548" s="8" t="n"/>
      <c r="F1548" s="9" t="n"/>
      <c r="G1548" s="9" t="n"/>
      <c r="H1548" s="3">
        <f>IF(AND(D1548&lt;&gt;"",F1548&lt;&gt;""),F1548-D1548-G1548,"")</f>
        <v/>
      </c>
      <c r="I1548" s="14">
        <f>IF(E1548&lt;&gt;"", YEARFRAC(C1548, E1548) * 12, "")</f>
        <v/>
      </c>
      <c r="J1548" s="2">
        <f>IF(I1548="", "", IF(AND(A1548="MF (Equity)", I1548&gt;12), "Long Term", "Short Term"))</f>
        <v/>
      </c>
      <c r="K1548" s="5">
        <f>IF(J1548="", "", IF(J1548="Long Term", 12.5%, 20%))</f>
        <v/>
      </c>
      <c r="L1548" s="3">
        <f>+IFERROR(IF(J1548="","",H1548*K1548),"")</f>
        <v/>
      </c>
    </row>
    <row r="1549">
      <c r="A1549" s="11" t="n"/>
      <c r="B1549" s="7" t="n"/>
      <c r="C1549" s="8" t="n"/>
      <c r="D1549" s="9" t="n"/>
      <c r="E1549" s="8" t="n"/>
      <c r="F1549" s="9" t="n"/>
      <c r="G1549" s="9" t="n"/>
      <c r="H1549" s="3">
        <f>IF(AND(D1549&lt;&gt;"",F1549&lt;&gt;""),F1549-D1549-G1549,"")</f>
        <v/>
      </c>
      <c r="I1549" s="14">
        <f>IF(E1549&lt;&gt;"", YEARFRAC(C1549, E1549) * 12, "")</f>
        <v/>
      </c>
      <c r="J1549" s="2">
        <f>IF(I1549="", "", IF(AND(A1549="MF (Equity)", I1549&gt;12), "Long Term", "Short Term"))</f>
        <v/>
      </c>
      <c r="K1549" s="5">
        <f>IF(J1549="", "", IF(J1549="Long Term", 12.5%, 20%))</f>
        <v/>
      </c>
      <c r="L1549" s="3">
        <f>+IFERROR(IF(J1549="","",H1549*K1549),"")</f>
        <v/>
      </c>
    </row>
    <row r="1550">
      <c r="A1550" s="11" t="n"/>
      <c r="B1550" s="7" t="n"/>
      <c r="C1550" s="8" t="n"/>
      <c r="D1550" s="9" t="n"/>
      <c r="E1550" s="8" t="n"/>
      <c r="F1550" s="9" t="n"/>
      <c r="G1550" s="9" t="n"/>
      <c r="H1550" s="3">
        <f>IF(AND(D1550&lt;&gt;"",F1550&lt;&gt;""),F1550-D1550-G1550,"")</f>
        <v/>
      </c>
      <c r="I1550" s="14">
        <f>IF(E1550&lt;&gt;"", YEARFRAC(C1550, E1550) * 12, "")</f>
        <v/>
      </c>
      <c r="J1550" s="2">
        <f>IF(I1550="", "", IF(AND(A1550="MF (Equity)", I1550&gt;12), "Long Term", "Short Term"))</f>
        <v/>
      </c>
      <c r="K1550" s="5">
        <f>IF(J1550="", "", IF(J1550="Long Term", 12.5%, 20%))</f>
        <v/>
      </c>
      <c r="L1550" s="3">
        <f>+IFERROR(IF(J1550="","",H1550*K1550),"")</f>
        <v/>
      </c>
    </row>
    <row r="1551">
      <c r="A1551" s="11" t="n"/>
      <c r="B1551" s="7" t="n"/>
      <c r="C1551" s="8" t="n"/>
      <c r="D1551" s="9" t="n"/>
      <c r="E1551" s="8" t="n"/>
      <c r="F1551" s="9" t="n"/>
      <c r="G1551" s="9" t="n"/>
      <c r="H1551" s="3">
        <f>IF(AND(D1551&lt;&gt;"",F1551&lt;&gt;""),F1551-D1551-G1551,"")</f>
        <v/>
      </c>
      <c r="I1551" s="14">
        <f>IF(E1551&lt;&gt;"", YEARFRAC(C1551, E1551) * 12, "")</f>
        <v/>
      </c>
      <c r="J1551" s="2">
        <f>IF(I1551="", "", IF(AND(A1551="MF (Equity)", I1551&gt;12), "Long Term", "Short Term"))</f>
        <v/>
      </c>
      <c r="K1551" s="5">
        <f>IF(J1551="", "", IF(J1551="Long Term", 12.5%, 20%))</f>
        <v/>
      </c>
      <c r="L1551" s="3">
        <f>+IFERROR(IF(J1551="","",H1551*K1551),"")</f>
        <v/>
      </c>
    </row>
    <row r="1552">
      <c r="A1552" s="11" t="n"/>
      <c r="B1552" s="7" t="n"/>
      <c r="C1552" s="8" t="n"/>
      <c r="D1552" s="9" t="n"/>
      <c r="E1552" s="8" t="n"/>
      <c r="F1552" s="9" t="n"/>
      <c r="G1552" s="9" t="n"/>
      <c r="H1552" s="3">
        <f>IF(AND(D1552&lt;&gt;"",F1552&lt;&gt;""),F1552-D1552-G1552,"")</f>
        <v/>
      </c>
      <c r="I1552" s="14">
        <f>IF(E1552&lt;&gt;"", YEARFRAC(C1552, E1552) * 12, "")</f>
        <v/>
      </c>
      <c r="J1552" s="2">
        <f>IF(I1552="", "", IF(AND(A1552="MF (Equity)", I1552&gt;12), "Long Term", "Short Term"))</f>
        <v/>
      </c>
      <c r="K1552" s="5">
        <f>IF(J1552="", "", IF(J1552="Long Term", 12.5%, 20%))</f>
        <v/>
      </c>
      <c r="L1552" s="3">
        <f>+IFERROR(IF(J1552="","",H1552*K1552),"")</f>
        <v/>
      </c>
    </row>
    <row r="1553">
      <c r="A1553" s="11" t="n"/>
      <c r="B1553" s="7" t="n"/>
      <c r="C1553" s="8" t="n"/>
      <c r="D1553" s="9" t="n"/>
      <c r="E1553" s="8" t="n"/>
      <c r="F1553" s="9" t="n"/>
      <c r="G1553" s="9" t="n"/>
      <c r="H1553" s="3">
        <f>IF(AND(D1553&lt;&gt;"",F1553&lt;&gt;""),F1553-D1553-G1553,"")</f>
        <v/>
      </c>
      <c r="I1553" s="14">
        <f>IF(E1553&lt;&gt;"", YEARFRAC(C1553, E1553) * 12, "")</f>
        <v/>
      </c>
      <c r="J1553" s="2">
        <f>IF(I1553="", "", IF(AND(A1553="MF (Equity)", I1553&gt;12), "Long Term", "Short Term"))</f>
        <v/>
      </c>
      <c r="K1553" s="5">
        <f>IF(J1553="", "", IF(J1553="Long Term", 12.5%, 20%))</f>
        <v/>
      </c>
      <c r="L1553" s="3">
        <f>+IFERROR(IF(J1553="","",H1553*K1553),"")</f>
        <v/>
      </c>
    </row>
    <row r="1554">
      <c r="A1554" s="11" t="n"/>
      <c r="B1554" s="7" t="n"/>
      <c r="C1554" s="8" t="n"/>
      <c r="D1554" s="9" t="n"/>
      <c r="E1554" s="8" t="n"/>
      <c r="F1554" s="9" t="n"/>
      <c r="G1554" s="9" t="n"/>
      <c r="H1554" s="3">
        <f>IF(AND(D1554&lt;&gt;"",F1554&lt;&gt;""),F1554-D1554-G1554,"")</f>
        <v/>
      </c>
      <c r="I1554" s="14">
        <f>IF(E1554&lt;&gt;"", YEARFRAC(C1554, E1554) * 12, "")</f>
        <v/>
      </c>
      <c r="J1554" s="2">
        <f>IF(I1554="", "", IF(AND(A1554="MF (Equity)", I1554&gt;12), "Long Term", "Short Term"))</f>
        <v/>
      </c>
      <c r="K1554" s="5">
        <f>IF(J1554="", "", IF(J1554="Long Term", 12.5%, 20%))</f>
        <v/>
      </c>
      <c r="L1554" s="3">
        <f>+IFERROR(IF(J1554="","",H1554*K1554),"")</f>
        <v/>
      </c>
    </row>
    <row r="1555">
      <c r="A1555" s="11" t="n"/>
      <c r="B1555" s="7" t="n"/>
      <c r="C1555" s="8" t="n"/>
      <c r="D1555" s="9" t="n"/>
      <c r="E1555" s="8" t="n"/>
      <c r="F1555" s="9" t="n"/>
      <c r="G1555" s="9" t="n"/>
      <c r="H1555" s="3">
        <f>IF(AND(D1555&lt;&gt;"",F1555&lt;&gt;""),F1555-D1555-G1555,"")</f>
        <v/>
      </c>
      <c r="I1555" s="14">
        <f>IF(E1555&lt;&gt;"", YEARFRAC(C1555, E1555) * 12, "")</f>
        <v/>
      </c>
      <c r="J1555" s="2">
        <f>IF(I1555="", "", IF(AND(A1555="MF (Equity)", I1555&gt;12), "Long Term", "Short Term"))</f>
        <v/>
      </c>
      <c r="K1555" s="5">
        <f>IF(J1555="", "", IF(J1555="Long Term", 12.5%, 20%))</f>
        <v/>
      </c>
      <c r="L1555" s="3">
        <f>+IFERROR(IF(J1555="","",H1555*K1555),"")</f>
        <v/>
      </c>
    </row>
    <row r="1556">
      <c r="A1556" s="11" t="n"/>
      <c r="B1556" s="7" t="n"/>
      <c r="C1556" s="8" t="n"/>
      <c r="D1556" s="9" t="n"/>
      <c r="E1556" s="8" t="n"/>
      <c r="F1556" s="9" t="n"/>
      <c r="G1556" s="9" t="n"/>
      <c r="H1556" s="3">
        <f>IF(AND(D1556&lt;&gt;"",F1556&lt;&gt;""),F1556-D1556-G1556,"")</f>
        <v/>
      </c>
      <c r="I1556" s="14">
        <f>IF(E1556&lt;&gt;"", YEARFRAC(C1556, E1556) * 12, "")</f>
        <v/>
      </c>
      <c r="J1556" s="2">
        <f>IF(I1556="", "", IF(AND(A1556="MF (Equity)", I1556&gt;12), "Long Term", "Short Term"))</f>
        <v/>
      </c>
      <c r="K1556" s="5">
        <f>IF(J1556="", "", IF(J1556="Long Term", 12.5%, 20%))</f>
        <v/>
      </c>
      <c r="L1556" s="3">
        <f>+IFERROR(IF(J1556="","",H1556*K1556),"")</f>
        <v/>
      </c>
    </row>
    <row r="1557">
      <c r="A1557" s="11" t="n"/>
      <c r="B1557" s="7" t="n"/>
      <c r="C1557" s="8" t="n"/>
      <c r="D1557" s="9" t="n"/>
      <c r="E1557" s="8" t="n"/>
      <c r="F1557" s="9" t="n"/>
      <c r="G1557" s="9" t="n"/>
      <c r="H1557" s="3">
        <f>IF(AND(D1557&lt;&gt;"",F1557&lt;&gt;""),F1557-D1557-G1557,"")</f>
        <v/>
      </c>
      <c r="I1557" s="14">
        <f>IF(E1557&lt;&gt;"", YEARFRAC(C1557, E1557) * 12, "")</f>
        <v/>
      </c>
      <c r="J1557" s="2">
        <f>IF(I1557="", "", IF(AND(A1557="MF (Equity)", I1557&gt;12), "Long Term", "Short Term"))</f>
        <v/>
      </c>
      <c r="K1557" s="5">
        <f>IF(J1557="", "", IF(J1557="Long Term", 12.5%, 20%))</f>
        <v/>
      </c>
      <c r="L1557" s="3">
        <f>+IFERROR(IF(J1557="","",H1557*K1557),"")</f>
        <v/>
      </c>
    </row>
    <row r="1558">
      <c r="A1558" s="11" t="n"/>
      <c r="B1558" s="7" t="n"/>
      <c r="C1558" s="8" t="n"/>
      <c r="D1558" s="9" t="n"/>
      <c r="E1558" s="8" t="n"/>
      <c r="F1558" s="9" t="n"/>
      <c r="G1558" s="9" t="n"/>
      <c r="H1558" s="3">
        <f>IF(AND(D1558&lt;&gt;"",F1558&lt;&gt;""),F1558-D1558-G1558,"")</f>
        <v/>
      </c>
      <c r="I1558" s="14">
        <f>IF(E1558&lt;&gt;"", YEARFRAC(C1558, E1558) * 12, "")</f>
        <v/>
      </c>
      <c r="J1558" s="2">
        <f>IF(I1558="", "", IF(AND(A1558="MF (Equity)", I1558&gt;12), "Long Term", "Short Term"))</f>
        <v/>
      </c>
      <c r="K1558" s="5">
        <f>IF(J1558="", "", IF(J1558="Long Term", 12.5%, 20%))</f>
        <v/>
      </c>
      <c r="L1558" s="3">
        <f>+IFERROR(IF(J1558="","",H1558*K1558),"")</f>
        <v/>
      </c>
    </row>
    <row r="1559">
      <c r="A1559" s="11" t="n"/>
      <c r="B1559" s="7" t="n"/>
      <c r="C1559" s="8" t="n"/>
      <c r="D1559" s="9" t="n"/>
      <c r="E1559" s="8" t="n"/>
      <c r="F1559" s="9" t="n"/>
      <c r="G1559" s="9" t="n"/>
      <c r="H1559" s="3">
        <f>IF(AND(D1559&lt;&gt;"",F1559&lt;&gt;""),F1559-D1559-G1559,"")</f>
        <v/>
      </c>
      <c r="I1559" s="14">
        <f>IF(E1559&lt;&gt;"", YEARFRAC(C1559, E1559) * 12, "")</f>
        <v/>
      </c>
      <c r="J1559" s="2">
        <f>IF(I1559="", "", IF(AND(A1559="MF (Equity)", I1559&gt;12), "Long Term", "Short Term"))</f>
        <v/>
      </c>
      <c r="K1559" s="5">
        <f>IF(J1559="", "", IF(J1559="Long Term", 12.5%, 20%))</f>
        <v/>
      </c>
      <c r="L1559" s="3">
        <f>+IFERROR(IF(J1559="","",H1559*K1559),"")</f>
        <v/>
      </c>
    </row>
    <row r="1560">
      <c r="A1560" s="11" t="n"/>
      <c r="B1560" s="7" t="n"/>
      <c r="C1560" s="8" t="n"/>
      <c r="D1560" s="9" t="n"/>
      <c r="E1560" s="8" t="n"/>
      <c r="F1560" s="9" t="n"/>
      <c r="G1560" s="9" t="n"/>
      <c r="H1560" s="3">
        <f>IF(AND(D1560&lt;&gt;"",F1560&lt;&gt;""),F1560-D1560-G1560,"")</f>
        <v/>
      </c>
      <c r="I1560" s="14">
        <f>IF(E1560&lt;&gt;"", YEARFRAC(C1560, E1560) * 12, "")</f>
        <v/>
      </c>
      <c r="J1560" s="2">
        <f>IF(I1560="", "", IF(AND(A1560="MF (Equity)", I1560&gt;12), "Long Term", "Short Term"))</f>
        <v/>
      </c>
      <c r="K1560" s="5">
        <f>IF(J1560="", "", IF(J1560="Long Term", 12.5%, 20%))</f>
        <v/>
      </c>
      <c r="L1560" s="3">
        <f>+IFERROR(IF(J1560="","",H1560*K1560),"")</f>
        <v/>
      </c>
    </row>
    <row r="1561">
      <c r="A1561" s="11" t="n"/>
      <c r="B1561" s="7" t="n"/>
      <c r="C1561" s="8" t="n"/>
      <c r="D1561" s="9" t="n"/>
      <c r="E1561" s="8" t="n"/>
      <c r="F1561" s="9" t="n"/>
      <c r="G1561" s="9" t="n"/>
      <c r="H1561" s="3">
        <f>IF(AND(D1561&lt;&gt;"",F1561&lt;&gt;""),F1561-D1561-G1561,"")</f>
        <v/>
      </c>
      <c r="I1561" s="14">
        <f>IF(E1561&lt;&gt;"", YEARFRAC(C1561, E1561) * 12, "")</f>
        <v/>
      </c>
      <c r="J1561" s="2">
        <f>IF(I1561="", "", IF(AND(A1561="MF (Equity)", I1561&gt;12), "Long Term", "Short Term"))</f>
        <v/>
      </c>
      <c r="K1561" s="5">
        <f>IF(J1561="", "", IF(J1561="Long Term", 12.5%, 20%))</f>
        <v/>
      </c>
      <c r="L1561" s="3">
        <f>+IFERROR(IF(J1561="","",H1561*K1561),"")</f>
        <v/>
      </c>
    </row>
    <row r="1562">
      <c r="A1562" s="11" t="n"/>
      <c r="B1562" s="7" t="n"/>
      <c r="C1562" s="8" t="n"/>
      <c r="D1562" s="9" t="n"/>
      <c r="E1562" s="8" t="n"/>
      <c r="F1562" s="9" t="n"/>
      <c r="G1562" s="9" t="n"/>
      <c r="H1562" s="3">
        <f>IF(AND(D1562&lt;&gt;"",F1562&lt;&gt;""),F1562-D1562-G1562,"")</f>
        <v/>
      </c>
      <c r="I1562" s="14">
        <f>IF(E1562&lt;&gt;"", YEARFRAC(C1562, E1562) * 12, "")</f>
        <v/>
      </c>
      <c r="J1562" s="2">
        <f>IF(I1562="", "", IF(AND(A1562="MF (Equity)", I1562&gt;12), "Long Term", "Short Term"))</f>
        <v/>
      </c>
      <c r="K1562" s="5">
        <f>IF(J1562="", "", IF(J1562="Long Term", 12.5%, 20%))</f>
        <v/>
      </c>
      <c r="L1562" s="3">
        <f>+IFERROR(IF(J1562="","",H1562*K1562),"")</f>
        <v/>
      </c>
    </row>
    <row r="1563">
      <c r="A1563" s="11" t="n"/>
      <c r="B1563" s="7" t="n"/>
      <c r="C1563" s="8" t="n"/>
      <c r="D1563" s="9" t="n"/>
      <c r="E1563" s="8" t="n"/>
      <c r="F1563" s="9" t="n"/>
      <c r="G1563" s="9" t="n"/>
      <c r="H1563" s="3">
        <f>IF(AND(D1563&lt;&gt;"",F1563&lt;&gt;""),F1563-D1563-G1563,"")</f>
        <v/>
      </c>
      <c r="I1563" s="14">
        <f>IF(E1563&lt;&gt;"", YEARFRAC(C1563, E1563) * 12, "")</f>
        <v/>
      </c>
      <c r="J1563" s="2">
        <f>IF(I1563="", "", IF(AND(A1563="MF (Equity)", I1563&gt;12), "Long Term", "Short Term"))</f>
        <v/>
      </c>
      <c r="K1563" s="5">
        <f>IF(J1563="", "", IF(J1563="Long Term", 12.5%, 20%))</f>
        <v/>
      </c>
      <c r="L1563" s="3">
        <f>+IFERROR(IF(J1563="","",H1563*K1563),"")</f>
        <v/>
      </c>
    </row>
    <row r="1564">
      <c r="A1564" s="11" t="n"/>
      <c r="B1564" s="7" t="n"/>
      <c r="C1564" s="8" t="n"/>
      <c r="D1564" s="9" t="n"/>
      <c r="E1564" s="8" t="n"/>
      <c r="F1564" s="9" t="n"/>
      <c r="G1564" s="9" t="n"/>
      <c r="H1564" s="3">
        <f>IF(AND(D1564&lt;&gt;"",F1564&lt;&gt;""),F1564-D1564-G1564,"")</f>
        <v/>
      </c>
      <c r="I1564" s="14">
        <f>IF(E1564&lt;&gt;"", YEARFRAC(C1564, E1564) * 12, "")</f>
        <v/>
      </c>
      <c r="J1564" s="2">
        <f>IF(I1564="", "", IF(AND(A1564="MF (Equity)", I1564&gt;12), "Long Term", "Short Term"))</f>
        <v/>
      </c>
      <c r="K1564" s="5">
        <f>IF(J1564="", "", IF(J1564="Long Term", 12.5%, 20%))</f>
        <v/>
      </c>
      <c r="L1564" s="3">
        <f>+IFERROR(IF(J1564="","",H1564*K1564),"")</f>
        <v/>
      </c>
    </row>
    <row r="1565">
      <c r="A1565" s="11" t="n"/>
      <c r="B1565" s="7" t="n"/>
      <c r="C1565" s="8" t="n"/>
      <c r="D1565" s="9" t="n"/>
      <c r="E1565" s="8" t="n"/>
      <c r="F1565" s="9" t="n"/>
      <c r="G1565" s="9" t="n"/>
      <c r="H1565" s="3">
        <f>IF(AND(D1565&lt;&gt;"",F1565&lt;&gt;""),F1565-D1565-G1565,"")</f>
        <v/>
      </c>
      <c r="I1565" s="14">
        <f>IF(E1565&lt;&gt;"", YEARFRAC(C1565, E1565) * 12, "")</f>
        <v/>
      </c>
      <c r="J1565" s="2">
        <f>IF(I1565="", "", IF(AND(A1565="MF (Equity)", I1565&gt;12), "Long Term", "Short Term"))</f>
        <v/>
      </c>
      <c r="K1565" s="5">
        <f>IF(J1565="", "", IF(J1565="Long Term", 12.5%, 20%))</f>
        <v/>
      </c>
      <c r="L1565" s="3">
        <f>+IFERROR(IF(J1565="","",H1565*K1565),"")</f>
        <v/>
      </c>
    </row>
    <row r="1566">
      <c r="A1566" s="11" t="n"/>
      <c r="B1566" s="7" t="n"/>
      <c r="C1566" s="8" t="n"/>
      <c r="D1566" s="9" t="n"/>
      <c r="E1566" s="8" t="n"/>
      <c r="F1566" s="9" t="n"/>
      <c r="G1566" s="9" t="n"/>
      <c r="H1566" s="3">
        <f>IF(AND(D1566&lt;&gt;"",F1566&lt;&gt;""),F1566-D1566-G1566,"")</f>
        <v/>
      </c>
      <c r="I1566" s="14">
        <f>IF(E1566&lt;&gt;"", YEARFRAC(C1566, E1566) * 12, "")</f>
        <v/>
      </c>
      <c r="J1566" s="2">
        <f>IF(I1566="", "", IF(AND(A1566="MF (Equity)", I1566&gt;12), "Long Term", "Short Term"))</f>
        <v/>
      </c>
      <c r="K1566" s="5">
        <f>IF(J1566="", "", IF(J1566="Long Term", 12.5%, 20%))</f>
        <v/>
      </c>
      <c r="L1566" s="3">
        <f>+IFERROR(IF(J1566="","",H1566*K1566),"")</f>
        <v/>
      </c>
    </row>
    <row r="1567">
      <c r="A1567" s="11" t="n"/>
      <c r="B1567" s="7" t="n"/>
      <c r="C1567" s="8" t="n"/>
      <c r="D1567" s="9" t="n"/>
      <c r="E1567" s="8" t="n"/>
      <c r="F1567" s="9" t="n"/>
      <c r="G1567" s="9" t="n"/>
      <c r="H1567" s="3">
        <f>IF(AND(D1567&lt;&gt;"",F1567&lt;&gt;""),F1567-D1567-G1567,"")</f>
        <v/>
      </c>
      <c r="I1567" s="14">
        <f>IF(E1567&lt;&gt;"", YEARFRAC(C1567, E1567) * 12, "")</f>
        <v/>
      </c>
      <c r="J1567" s="2">
        <f>IF(I1567="", "", IF(AND(A1567="MF (Equity)", I1567&gt;12), "Long Term", "Short Term"))</f>
        <v/>
      </c>
      <c r="K1567" s="5">
        <f>IF(J1567="", "", IF(J1567="Long Term", 12.5%, 20%))</f>
        <v/>
      </c>
      <c r="L1567" s="3">
        <f>+IFERROR(IF(J1567="","",H1567*K1567),"")</f>
        <v/>
      </c>
    </row>
    <row r="1568">
      <c r="A1568" s="11" t="n"/>
      <c r="B1568" s="7" t="n"/>
      <c r="C1568" s="8" t="n"/>
      <c r="D1568" s="9" t="n"/>
      <c r="E1568" s="8" t="n"/>
      <c r="F1568" s="9" t="n"/>
      <c r="G1568" s="9" t="n"/>
      <c r="H1568" s="3">
        <f>IF(AND(D1568&lt;&gt;"",F1568&lt;&gt;""),F1568-D1568-G1568,"")</f>
        <v/>
      </c>
      <c r="I1568" s="14">
        <f>IF(E1568&lt;&gt;"", YEARFRAC(C1568, E1568) * 12, "")</f>
        <v/>
      </c>
      <c r="J1568" s="2">
        <f>IF(I1568="", "", IF(AND(A1568="MF (Equity)", I1568&gt;12), "Long Term", "Short Term"))</f>
        <v/>
      </c>
      <c r="K1568" s="5">
        <f>IF(J1568="", "", IF(J1568="Long Term", 12.5%, 20%))</f>
        <v/>
      </c>
      <c r="L1568" s="3">
        <f>+IFERROR(IF(J1568="","",H1568*K1568),"")</f>
        <v/>
      </c>
    </row>
    <row r="1569">
      <c r="A1569" s="11" t="n"/>
      <c r="B1569" s="7" t="n"/>
      <c r="C1569" s="8" t="n"/>
      <c r="D1569" s="9" t="n"/>
      <c r="E1569" s="8" t="n"/>
      <c r="F1569" s="9" t="n"/>
      <c r="G1569" s="9" t="n"/>
      <c r="H1569" s="3">
        <f>IF(AND(D1569&lt;&gt;"",F1569&lt;&gt;""),F1569-D1569-G1569,"")</f>
        <v/>
      </c>
      <c r="I1569" s="14">
        <f>IF(E1569&lt;&gt;"", YEARFRAC(C1569, E1569) * 12, "")</f>
        <v/>
      </c>
      <c r="J1569" s="2">
        <f>IF(I1569="", "", IF(AND(A1569="MF (Equity)", I1569&gt;12), "Long Term", "Short Term"))</f>
        <v/>
      </c>
      <c r="K1569" s="5">
        <f>IF(J1569="", "", IF(J1569="Long Term", 12.5%, 20%))</f>
        <v/>
      </c>
      <c r="L1569" s="3">
        <f>+IFERROR(IF(J1569="","",H1569*K1569),"")</f>
        <v/>
      </c>
    </row>
    <row r="1570">
      <c r="A1570" s="11" t="n"/>
      <c r="B1570" s="7" t="n"/>
      <c r="C1570" s="8" t="n"/>
      <c r="D1570" s="9" t="n"/>
      <c r="E1570" s="8" t="n"/>
      <c r="F1570" s="9" t="n"/>
      <c r="G1570" s="9" t="n"/>
      <c r="H1570" s="3">
        <f>IF(AND(D1570&lt;&gt;"",F1570&lt;&gt;""),F1570-D1570-G1570,"")</f>
        <v/>
      </c>
      <c r="I1570" s="14">
        <f>IF(E1570&lt;&gt;"", YEARFRAC(C1570, E1570) * 12, "")</f>
        <v/>
      </c>
      <c r="J1570" s="2">
        <f>IF(I1570="", "", IF(AND(A1570="MF (Equity)", I1570&gt;12), "Long Term", "Short Term"))</f>
        <v/>
      </c>
      <c r="K1570" s="5">
        <f>IF(J1570="", "", IF(J1570="Long Term", 12.5%, 20%))</f>
        <v/>
      </c>
      <c r="L1570" s="3">
        <f>+IFERROR(IF(J1570="","",H1570*K1570),"")</f>
        <v/>
      </c>
    </row>
    <row r="1571">
      <c r="A1571" s="11" t="n"/>
      <c r="B1571" s="7" t="n"/>
      <c r="C1571" s="8" t="n"/>
      <c r="D1571" s="9" t="n"/>
      <c r="E1571" s="8" t="n"/>
      <c r="F1571" s="9" t="n"/>
      <c r="G1571" s="9" t="n"/>
      <c r="H1571" s="3">
        <f>IF(AND(D1571&lt;&gt;"",F1571&lt;&gt;""),F1571-D1571-G1571,"")</f>
        <v/>
      </c>
      <c r="I1571" s="14">
        <f>IF(E1571&lt;&gt;"", YEARFRAC(C1571, E1571) * 12, "")</f>
        <v/>
      </c>
      <c r="J1571" s="2">
        <f>IF(I1571="", "", IF(AND(A1571="MF (Equity)", I1571&gt;12), "Long Term", "Short Term"))</f>
        <v/>
      </c>
      <c r="K1571" s="5">
        <f>IF(J1571="", "", IF(J1571="Long Term", 12.5%, 20%))</f>
        <v/>
      </c>
      <c r="L1571" s="3">
        <f>+IFERROR(IF(J1571="","",H1571*K1571),"")</f>
        <v/>
      </c>
    </row>
    <row r="1572">
      <c r="A1572" s="11" t="n"/>
      <c r="B1572" s="7" t="n"/>
      <c r="C1572" s="8" t="n"/>
      <c r="D1572" s="9" t="n"/>
      <c r="E1572" s="8" t="n"/>
      <c r="F1572" s="9" t="n"/>
      <c r="G1572" s="9" t="n"/>
      <c r="H1572" s="3">
        <f>IF(AND(D1572&lt;&gt;"",F1572&lt;&gt;""),F1572-D1572-G1572,"")</f>
        <v/>
      </c>
      <c r="I1572" s="14">
        <f>IF(E1572&lt;&gt;"", YEARFRAC(C1572, E1572) * 12, "")</f>
        <v/>
      </c>
      <c r="J1572" s="2">
        <f>IF(I1572="", "", IF(AND(A1572="MF (Equity)", I1572&gt;12), "Long Term", "Short Term"))</f>
        <v/>
      </c>
      <c r="K1572" s="5">
        <f>IF(J1572="", "", IF(J1572="Long Term", 12.5%, 20%))</f>
        <v/>
      </c>
      <c r="L1572" s="3">
        <f>+IFERROR(IF(J1572="","",H1572*K1572),"")</f>
        <v/>
      </c>
    </row>
    <row r="1573">
      <c r="A1573" s="11" t="n"/>
      <c r="B1573" s="7" t="n"/>
      <c r="C1573" s="8" t="n"/>
      <c r="D1573" s="9" t="n"/>
      <c r="E1573" s="8" t="n"/>
      <c r="F1573" s="9" t="n"/>
      <c r="G1573" s="9" t="n"/>
      <c r="H1573" s="3">
        <f>IF(AND(D1573&lt;&gt;"",F1573&lt;&gt;""),F1573-D1573-G1573,"")</f>
        <v/>
      </c>
      <c r="I1573" s="14">
        <f>IF(E1573&lt;&gt;"", YEARFRAC(C1573, E1573) * 12, "")</f>
        <v/>
      </c>
      <c r="J1573" s="2">
        <f>IF(I1573="", "", IF(AND(A1573="MF (Equity)", I1573&gt;12), "Long Term", "Short Term"))</f>
        <v/>
      </c>
      <c r="K1573" s="5">
        <f>IF(J1573="", "", IF(J1573="Long Term", 12.5%, 20%))</f>
        <v/>
      </c>
      <c r="L1573" s="3">
        <f>+IFERROR(IF(J1573="","",H1573*K1573),"")</f>
        <v/>
      </c>
    </row>
    <row r="1574">
      <c r="A1574" s="11" t="n"/>
      <c r="B1574" s="7" t="n"/>
      <c r="C1574" s="8" t="n"/>
      <c r="D1574" s="9" t="n"/>
      <c r="E1574" s="8" t="n"/>
      <c r="F1574" s="9" t="n"/>
      <c r="G1574" s="9" t="n"/>
      <c r="H1574" s="3">
        <f>IF(AND(D1574&lt;&gt;"",F1574&lt;&gt;""),F1574-D1574-G1574,"")</f>
        <v/>
      </c>
      <c r="I1574" s="14">
        <f>IF(E1574&lt;&gt;"", YEARFRAC(C1574, E1574) * 12, "")</f>
        <v/>
      </c>
      <c r="J1574" s="2">
        <f>IF(I1574="", "", IF(AND(A1574="MF (Equity)", I1574&gt;12), "Long Term", "Short Term"))</f>
        <v/>
      </c>
      <c r="K1574" s="5">
        <f>IF(J1574="", "", IF(J1574="Long Term", 12.5%, 20%))</f>
        <v/>
      </c>
      <c r="L1574" s="3">
        <f>+IFERROR(IF(J1574="","",H1574*K1574),"")</f>
        <v/>
      </c>
    </row>
    <row r="1575">
      <c r="A1575" s="11" t="n"/>
      <c r="B1575" s="7" t="n"/>
      <c r="C1575" s="8" t="n"/>
      <c r="D1575" s="9" t="n"/>
      <c r="E1575" s="8" t="n"/>
      <c r="F1575" s="9" t="n"/>
      <c r="G1575" s="9" t="n"/>
      <c r="H1575" s="3">
        <f>IF(AND(D1575&lt;&gt;"",F1575&lt;&gt;""),F1575-D1575-G1575,"")</f>
        <v/>
      </c>
      <c r="I1575" s="14">
        <f>IF(E1575&lt;&gt;"", YEARFRAC(C1575, E1575) * 12, "")</f>
        <v/>
      </c>
      <c r="J1575" s="2">
        <f>IF(I1575="", "", IF(AND(A1575="MF (Equity)", I1575&gt;12), "Long Term", "Short Term"))</f>
        <v/>
      </c>
      <c r="K1575" s="5">
        <f>IF(J1575="", "", IF(J1575="Long Term", 12.5%, 20%))</f>
        <v/>
      </c>
      <c r="L1575" s="3">
        <f>+IFERROR(IF(J1575="","",H1575*K1575),"")</f>
        <v/>
      </c>
    </row>
    <row r="1576">
      <c r="A1576" s="11" t="n"/>
      <c r="B1576" s="7" t="n"/>
      <c r="C1576" s="8" t="n"/>
      <c r="D1576" s="9" t="n"/>
      <c r="E1576" s="8" t="n"/>
      <c r="F1576" s="9" t="n"/>
      <c r="G1576" s="9" t="n"/>
      <c r="H1576" s="3">
        <f>IF(AND(D1576&lt;&gt;"",F1576&lt;&gt;""),F1576-D1576-G1576,"")</f>
        <v/>
      </c>
      <c r="I1576" s="14">
        <f>IF(E1576&lt;&gt;"", YEARFRAC(C1576, E1576) * 12, "")</f>
        <v/>
      </c>
      <c r="J1576" s="2">
        <f>IF(I1576="", "", IF(AND(A1576="MF (Equity)", I1576&gt;12), "Long Term", "Short Term"))</f>
        <v/>
      </c>
      <c r="K1576" s="5">
        <f>IF(J1576="", "", IF(J1576="Long Term", 12.5%, 20%))</f>
        <v/>
      </c>
      <c r="L1576" s="3">
        <f>+IFERROR(IF(J1576="","",H1576*K1576),"")</f>
        <v/>
      </c>
    </row>
    <row r="1577">
      <c r="A1577" s="11" t="n"/>
      <c r="B1577" s="7" t="n"/>
      <c r="C1577" s="8" t="n"/>
      <c r="D1577" s="9" t="n"/>
      <c r="E1577" s="8" t="n"/>
      <c r="F1577" s="9" t="n"/>
      <c r="G1577" s="9" t="n"/>
      <c r="H1577" s="3">
        <f>IF(AND(D1577&lt;&gt;"",F1577&lt;&gt;""),F1577-D1577-G1577,"")</f>
        <v/>
      </c>
      <c r="I1577" s="14">
        <f>IF(E1577&lt;&gt;"", YEARFRAC(C1577, E1577) * 12, "")</f>
        <v/>
      </c>
      <c r="J1577" s="2">
        <f>IF(I1577="", "", IF(AND(A1577="MF (Equity)", I1577&gt;12), "Long Term", "Short Term"))</f>
        <v/>
      </c>
      <c r="K1577" s="5">
        <f>IF(J1577="", "", IF(J1577="Long Term", 12.5%, 20%))</f>
        <v/>
      </c>
      <c r="L1577" s="3">
        <f>+IFERROR(IF(J1577="","",H1577*K1577),"")</f>
        <v/>
      </c>
    </row>
    <row r="1578">
      <c r="A1578" s="11" t="n"/>
      <c r="B1578" s="7" t="n"/>
      <c r="C1578" s="8" t="n"/>
      <c r="D1578" s="9" t="n"/>
      <c r="E1578" s="8" t="n"/>
      <c r="F1578" s="9" t="n"/>
      <c r="G1578" s="9" t="n"/>
      <c r="H1578" s="3">
        <f>IF(AND(D1578&lt;&gt;"",F1578&lt;&gt;""),F1578-D1578-G1578,"")</f>
        <v/>
      </c>
      <c r="I1578" s="14">
        <f>IF(E1578&lt;&gt;"", YEARFRAC(C1578, E1578) * 12, "")</f>
        <v/>
      </c>
      <c r="J1578" s="2">
        <f>IF(I1578="", "", IF(AND(A1578="MF (Equity)", I1578&gt;12), "Long Term", "Short Term"))</f>
        <v/>
      </c>
      <c r="K1578" s="5">
        <f>IF(J1578="", "", IF(J1578="Long Term", 12.5%, 20%))</f>
        <v/>
      </c>
      <c r="L1578" s="3">
        <f>+IFERROR(IF(J1578="","",H1578*K1578),"")</f>
        <v/>
      </c>
    </row>
    <row r="1579">
      <c r="A1579" s="11" t="n"/>
      <c r="B1579" s="7" t="n"/>
      <c r="C1579" s="8" t="n"/>
      <c r="D1579" s="9" t="n"/>
      <c r="E1579" s="8" t="n"/>
      <c r="F1579" s="9" t="n"/>
      <c r="G1579" s="9" t="n"/>
      <c r="H1579" s="3">
        <f>IF(AND(D1579&lt;&gt;"",F1579&lt;&gt;""),F1579-D1579-G1579,"")</f>
        <v/>
      </c>
      <c r="I1579" s="14">
        <f>IF(E1579&lt;&gt;"", YEARFRAC(C1579, E1579) * 12, "")</f>
        <v/>
      </c>
      <c r="J1579" s="2">
        <f>IF(I1579="", "", IF(AND(A1579="MF (Equity)", I1579&gt;12), "Long Term", "Short Term"))</f>
        <v/>
      </c>
      <c r="K1579" s="5">
        <f>IF(J1579="", "", IF(J1579="Long Term", 12.5%, 20%))</f>
        <v/>
      </c>
      <c r="L1579" s="3">
        <f>+IFERROR(IF(J1579="","",H1579*K1579),"")</f>
        <v/>
      </c>
    </row>
    <row r="1580">
      <c r="A1580" s="11" t="n"/>
      <c r="B1580" s="7" t="n"/>
      <c r="C1580" s="8" t="n"/>
      <c r="D1580" s="9" t="n"/>
      <c r="E1580" s="8" t="n"/>
      <c r="F1580" s="9" t="n"/>
      <c r="G1580" s="9" t="n"/>
      <c r="H1580" s="3">
        <f>IF(AND(D1580&lt;&gt;"",F1580&lt;&gt;""),F1580-D1580-G1580,"")</f>
        <v/>
      </c>
      <c r="I1580" s="14">
        <f>IF(E1580&lt;&gt;"", YEARFRAC(C1580, E1580) * 12, "")</f>
        <v/>
      </c>
      <c r="J1580" s="2">
        <f>IF(I1580="", "", IF(AND(A1580="MF (Equity)", I1580&gt;12), "Long Term", "Short Term"))</f>
        <v/>
      </c>
      <c r="K1580" s="5">
        <f>IF(J1580="", "", IF(J1580="Long Term", 12.5%, 20%))</f>
        <v/>
      </c>
      <c r="L1580" s="3">
        <f>+IFERROR(IF(J1580="","",H1580*K1580),"")</f>
        <v/>
      </c>
    </row>
    <row r="1581">
      <c r="A1581" s="11" t="n"/>
      <c r="B1581" s="7" t="n"/>
      <c r="C1581" s="8" t="n"/>
      <c r="D1581" s="9" t="n"/>
      <c r="E1581" s="8" t="n"/>
      <c r="F1581" s="9" t="n"/>
      <c r="G1581" s="9" t="n"/>
      <c r="H1581" s="3">
        <f>IF(AND(D1581&lt;&gt;"",F1581&lt;&gt;""),F1581-D1581-G1581,"")</f>
        <v/>
      </c>
      <c r="I1581" s="14">
        <f>IF(E1581&lt;&gt;"", YEARFRAC(C1581, E1581) * 12, "")</f>
        <v/>
      </c>
      <c r="J1581" s="2">
        <f>IF(I1581="", "", IF(AND(A1581="MF (Equity)", I1581&gt;12), "Long Term", "Short Term"))</f>
        <v/>
      </c>
      <c r="K1581" s="5">
        <f>IF(J1581="", "", IF(J1581="Long Term", 12.5%, 20%))</f>
        <v/>
      </c>
      <c r="L1581" s="3">
        <f>+IFERROR(IF(J1581="","",H1581*K1581),"")</f>
        <v/>
      </c>
    </row>
    <row r="1582">
      <c r="A1582" s="11" t="n"/>
      <c r="B1582" s="7" t="n"/>
      <c r="C1582" s="8" t="n"/>
      <c r="D1582" s="9" t="n"/>
      <c r="E1582" s="8" t="n"/>
      <c r="F1582" s="9" t="n"/>
      <c r="G1582" s="9" t="n"/>
      <c r="H1582" s="3">
        <f>IF(AND(D1582&lt;&gt;"",F1582&lt;&gt;""),F1582-D1582-G1582,"")</f>
        <v/>
      </c>
      <c r="I1582" s="14">
        <f>IF(E1582&lt;&gt;"", YEARFRAC(C1582, E1582) * 12, "")</f>
        <v/>
      </c>
      <c r="J1582" s="2">
        <f>IF(I1582="", "", IF(AND(A1582="MF (Equity)", I1582&gt;12), "Long Term", "Short Term"))</f>
        <v/>
      </c>
      <c r="K1582" s="5">
        <f>IF(J1582="", "", IF(J1582="Long Term", 12.5%, 20%))</f>
        <v/>
      </c>
      <c r="L1582" s="3">
        <f>+IFERROR(IF(J1582="","",H1582*K1582),"")</f>
        <v/>
      </c>
    </row>
    <row r="1583">
      <c r="A1583" s="11" t="n"/>
      <c r="B1583" s="7" t="n"/>
      <c r="C1583" s="8" t="n"/>
      <c r="D1583" s="9" t="n"/>
      <c r="E1583" s="8" t="n"/>
      <c r="F1583" s="9" t="n"/>
      <c r="G1583" s="9" t="n"/>
      <c r="H1583" s="3">
        <f>IF(AND(D1583&lt;&gt;"",F1583&lt;&gt;""),F1583-D1583-G1583,"")</f>
        <v/>
      </c>
      <c r="I1583" s="14">
        <f>IF(E1583&lt;&gt;"", YEARFRAC(C1583, E1583) * 12, "")</f>
        <v/>
      </c>
      <c r="J1583" s="2">
        <f>IF(I1583="", "", IF(AND(A1583="MF (Equity)", I1583&gt;12), "Long Term", "Short Term"))</f>
        <v/>
      </c>
      <c r="K1583" s="5">
        <f>IF(J1583="", "", IF(J1583="Long Term", 12.5%, 20%))</f>
        <v/>
      </c>
      <c r="L1583" s="3">
        <f>+IFERROR(IF(J1583="","",H1583*K1583),"")</f>
        <v/>
      </c>
    </row>
    <row r="1584">
      <c r="A1584" s="11" t="n"/>
      <c r="B1584" s="7" t="n"/>
      <c r="C1584" s="8" t="n"/>
      <c r="D1584" s="9" t="n"/>
      <c r="E1584" s="8" t="n"/>
      <c r="F1584" s="9" t="n"/>
      <c r="G1584" s="9" t="n"/>
      <c r="H1584" s="3">
        <f>IF(AND(D1584&lt;&gt;"",F1584&lt;&gt;""),F1584-D1584-G1584,"")</f>
        <v/>
      </c>
      <c r="I1584" s="14">
        <f>IF(E1584&lt;&gt;"", YEARFRAC(C1584, E1584) * 12, "")</f>
        <v/>
      </c>
      <c r="J1584" s="2">
        <f>IF(I1584="", "", IF(AND(A1584="MF (Equity)", I1584&gt;12), "Long Term", "Short Term"))</f>
        <v/>
      </c>
      <c r="K1584" s="5">
        <f>IF(J1584="", "", IF(J1584="Long Term", 12.5%, 20%))</f>
        <v/>
      </c>
      <c r="L1584" s="3">
        <f>+IFERROR(IF(J1584="","",H1584*K1584),"")</f>
        <v/>
      </c>
    </row>
    <row r="1585">
      <c r="A1585" s="11" t="n"/>
      <c r="B1585" s="7" t="n"/>
      <c r="C1585" s="8" t="n"/>
      <c r="D1585" s="9" t="n"/>
      <c r="E1585" s="8" t="n"/>
      <c r="F1585" s="9" t="n"/>
      <c r="G1585" s="9" t="n"/>
      <c r="H1585" s="3">
        <f>IF(AND(D1585&lt;&gt;"",F1585&lt;&gt;""),F1585-D1585-G1585,"")</f>
        <v/>
      </c>
      <c r="I1585" s="14">
        <f>IF(E1585&lt;&gt;"", YEARFRAC(C1585, E1585) * 12, "")</f>
        <v/>
      </c>
      <c r="J1585" s="2">
        <f>IF(I1585="", "", IF(AND(A1585="MF (Equity)", I1585&gt;12), "Long Term", "Short Term"))</f>
        <v/>
      </c>
      <c r="K1585" s="5">
        <f>IF(J1585="", "", IF(J1585="Long Term", 12.5%, 20%))</f>
        <v/>
      </c>
      <c r="L1585" s="3">
        <f>+IFERROR(IF(J1585="","",H1585*K1585),"")</f>
        <v/>
      </c>
    </row>
    <row r="1586">
      <c r="A1586" s="11" t="n"/>
      <c r="B1586" s="7" t="n"/>
      <c r="C1586" s="8" t="n"/>
      <c r="D1586" s="9" t="n"/>
      <c r="E1586" s="8" t="n"/>
      <c r="F1586" s="9" t="n"/>
      <c r="G1586" s="9" t="n"/>
      <c r="H1586" s="3">
        <f>IF(AND(D1586&lt;&gt;"",F1586&lt;&gt;""),F1586-D1586-G1586,"")</f>
        <v/>
      </c>
      <c r="I1586" s="14">
        <f>IF(E1586&lt;&gt;"", YEARFRAC(C1586, E1586) * 12, "")</f>
        <v/>
      </c>
      <c r="J1586" s="2">
        <f>IF(I1586="", "", IF(AND(A1586="MF (Equity)", I1586&gt;12), "Long Term", "Short Term"))</f>
        <v/>
      </c>
      <c r="K1586" s="5">
        <f>IF(J1586="", "", IF(J1586="Long Term", 12.5%, 20%))</f>
        <v/>
      </c>
      <c r="L1586" s="3">
        <f>+IFERROR(IF(J1586="","",H1586*K1586),"")</f>
        <v/>
      </c>
    </row>
    <row r="1587">
      <c r="A1587" s="11" t="n"/>
      <c r="B1587" s="7" t="n"/>
      <c r="C1587" s="8" t="n"/>
      <c r="D1587" s="9" t="n"/>
      <c r="E1587" s="8" t="n"/>
      <c r="F1587" s="9" t="n"/>
      <c r="G1587" s="9" t="n"/>
      <c r="H1587" s="3">
        <f>IF(AND(D1587&lt;&gt;"",F1587&lt;&gt;""),F1587-D1587-G1587,"")</f>
        <v/>
      </c>
      <c r="I1587" s="14">
        <f>IF(E1587&lt;&gt;"", YEARFRAC(C1587, E1587) * 12, "")</f>
        <v/>
      </c>
      <c r="J1587" s="2">
        <f>IF(I1587="", "", IF(AND(A1587="MF (Equity)", I1587&gt;12), "Long Term", "Short Term"))</f>
        <v/>
      </c>
      <c r="K1587" s="5">
        <f>IF(J1587="", "", IF(J1587="Long Term", 12.5%, 20%))</f>
        <v/>
      </c>
      <c r="L1587" s="3">
        <f>+IFERROR(IF(J1587="","",H1587*K1587),"")</f>
        <v/>
      </c>
    </row>
    <row r="1588">
      <c r="A1588" s="11" t="n"/>
      <c r="B1588" s="7" t="n"/>
      <c r="C1588" s="8" t="n"/>
      <c r="D1588" s="9" t="n"/>
      <c r="E1588" s="8" t="n"/>
      <c r="F1588" s="9" t="n"/>
      <c r="G1588" s="9" t="n"/>
      <c r="H1588" s="3">
        <f>IF(AND(D1588&lt;&gt;"",F1588&lt;&gt;""),F1588-D1588-G1588,"")</f>
        <v/>
      </c>
      <c r="I1588" s="14">
        <f>IF(E1588&lt;&gt;"", YEARFRAC(C1588, E1588) * 12, "")</f>
        <v/>
      </c>
      <c r="J1588" s="2">
        <f>IF(I1588="", "", IF(AND(A1588="MF (Equity)", I1588&gt;12), "Long Term", "Short Term"))</f>
        <v/>
      </c>
      <c r="K1588" s="5">
        <f>IF(J1588="", "", IF(J1588="Long Term", 12.5%, 20%))</f>
        <v/>
      </c>
      <c r="L1588" s="3">
        <f>+IFERROR(IF(J1588="","",H1588*K1588),"")</f>
        <v/>
      </c>
    </row>
    <row r="1589">
      <c r="A1589" s="11" t="n"/>
      <c r="B1589" s="7" t="n"/>
      <c r="C1589" s="8" t="n"/>
      <c r="D1589" s="9" t="n"/>
      <c r="E1589" s="8" t="n"/>
      <c r="F1589" s="9" t="n"/>
      <c r="G1589" s="9" t="n"/>
      <c r="H1589" s="3">
        <f>IF(AND(D1589&lt;&gt;"",F1589&lt;&gt;""),F1589-D1589-G1589,"")</f>
        <v/>
      </c>
      <c r="I1589" s="14">
        <f>IF(E1589&lt;&gt;"", YEARFRAC(C1589, E1589) * 12, "")</f>
        <v/>
      </c>
      <c r="J1589" s="2">
        <f>IF(I1589="", "", IF(AND(A1589="MF (Equity)", I1589&gt;12), "Long Term", "Short Term"))</f>
        <v/>
      </c>
      <c r="K1589" s="5">
        <f>IF(J1589="", "", IF(J1589="Long Term", 12.5%, 20%))</f>
        <v/>
      </c>
      <c r="L1589" s="3">
        <f>+IFERROR(IF(J1589="","",H1589*K1589),"")</f>
        <v/>
      </c>
    </row>
    <row r="1590">
      <c r="A1590" s="11" t="n"/>
      <c r="B1590" s="7" t="n"/>
      <c r="C1590" s="8" t="n"/>
      <c r="D1590" s="9" t="n"/>
      <c r="E1590" s="8" t="n"/>
      <c r="F1590" s="9" t="n"/>
      <c r="G1590" s="9" t="n"/>
      <c r="H1590" s="3">
        <f>IF(AND(D1590&lt;&gt;"",F1590&lt;&gt;""),F1590-D1590-G1590,"")</f>
        <v/>
      </c>
      <c r="I1590" s="14">
        <f>IF(E1590&lt;&gt;"", YEARFRAC(C1590, E1590) * 12, "")</f>
        <v/>
      </c>
      <c r="J1590" s="2">
        <f>IF(I1590="", "", IF(AND(A1590="MF (Equity)", I1590&gt;12), "Long Term", "Short Term"))</f>
        <v/>
      </c>
      <c r="K1590" s="5">
        <f>IF(J1590="", "", IF(J1590="Long Term", 12.5%, 20%))</f>
        <v/>
      </c>
      <c r="L1590" s="3">
        <f>+IFERROR(IF(J1590="","",H1590*K1590),"")</f>
        <v/>
      </c>
    </row>
    <row r="1591">
      <c r="A1591" s="11" t="n"/>
      <c r="B1591" s="7" t="n"/>
      <c r="C1591" s="8" t="n"/>
      <c r="D1591" s="9" t="n"/>
      <c r="E1591" s="8" t="n"/>
      <c r="F1591" s="9" t="n"/>
      <c r="G1591" s="9" t="n"/>
      <c r="H1591" s="3">
        <f>IF(AND(D1591&lt;&gt;"",F1591&lt;&gt;""),F1591-D1591-G1591,"")</f>
        <v/>
      </c>
      <c r="I1591" s="14">
        <f>IF(E1591&lt;&gt;"", YEARFRAC(C1591, E1591) * 12, "")</f>
        <v/>
      </c>
      <c r="J1591" s="2">
        <f>IF(I1591="", "", IF(AND(A1591="MF (Equity)", I1591&gt;12), "Long Term", "Short Term"))</f>
        <v/>
      </c>
      <c r="K1591" s="5">
        <f>IF(J1591="", "", IF(J1591="Long Term", 12.5%, 20%))</f>
        <v/>
      </c>
      <c r="L1591" s="3">
        <f>+IFERROR(IF(J1591="","",H1591*K1591),"")</f>
        <v/>
      </c>
    </row>
    <row r="1592">
      <c r="A1592" s="11" t="n"/>
      <c r="B1592" s="7" t="n"/>
      <c r="C1592" s="8" t="n"/>
      <c r="D1592" s="9" t="n"/>
      <c r="E1592" s="8" t="n"/>
      <c r="F1592" s="9" t="n"/>
      <c r="G1592" s="9" t="n"/>
      <c r="H1592" s="3">
        <f>IF(AND(D1592&lt;&gt;"",F1592&lt;&gt;""),F1592-D1592-G1592,"")</f>
        <v/>
      </c>
      <c r="I1592" s="14">
        <f>IF(E1592&lt;&gt;"", YEARFRAC(C1592, E1592) * 12, "")</f>
        <v/>
      </c>
      <c r="J1592" s="2">
        <f>IF(I1592="", "", IF(AND(A1592="MF (Equity)", I1592&gt;12), "Long Term", "Short Term"))</f>
        <v/>
      </c>
      <c r="K1592" s="5">
        <f>IF(J1592="", "", IF(J1592="Long Term", 12.5%, 20%))</f>
        <v/>
      </c>
      <c r="L1592" s="3">
        <f>+IFERROR(IF(J1592="","",H1592*K1592),"")</f>
        <v/>
      </c>
    </row>
    <row r="1593">
      <c r="A1593" s="11" t="n"/>
      <c r="B1593" s="7" t="n"/>
      <c r="C1593" s="8" t="n"/>
      <c r="D1593" s="9" t="n"/>
      <c r="E1593" s="8" t="n"/>
      <c r="F1593" s="9" t="n"/>
      <c r="G1593" s="9" t="n"/>
      <c r="H1593" s="3">
        <f>IF(AND(D1593&lt;&gt;"",F1593&lt;&gt;""),F1593-D1593-G1593,"")</f>
        <v/>
      </c>
      <c r="I1593" s="14">
        <f>IF(E1593&lt;&gt;"", YEARFRAC(C1593, E1593) * 12, "")</f>
        <v/>
      </c>
      <c r="J1593" s="2">
        <f>IF(I1593="", "", IF(AND(A1593="MF (Equity)", I1593&gt;12), "Long Term", "Short Term"))</f>
        <v/>
      </c>
      <c r="K1593" s="5">
        <f>IF(J1593="", "", IF(J1593="Long Term", 12.5%, 20%))</f>
        <v/>
      </c>
      <c r="L1593" s="3">
        <f>+IFERROR(IF(J1593="","",H1593*K1593),"")</f>
        <v/>
      </c>
    </row>
    <row r="1594">
      <c r="A1594" s="11" t="n"/>
      <c r="B1594" s="7" t="n"/>
      <c r="C1594" s="8" t="n"/>
      <c r="D1594" s="9" t="n"/>
      <c r="E1594" s="8" t="n"/>
      <c r="F1594" s="9" t="n"/>
      <c r="G1594" s="9" t="n"/>
      <c r="H1594" s="3">
        <f>IF(AND(D1594&lt;&gt;"",F1594&lt;&gt;""),F1594-D1594-G1594,"")</f>
        <v/>
      </c>
      <c r="I1594" s="14">
        <f>IF(E1594&lt;&gt;"", YEARFRAC(C1594, E1594) * 12, "")</f>
        <v/>
      </c>
      <c r="J1594" s="2">
        <f>IF(I1594="", "", IF(AND(A1594="MF (Equity)", I1594&gt;12), "Long Term", "Short Term"))</f>
        <v/>
      </c>
      <c r="K1594" s="5">
        <f>IF(J1594="", "", IF(J1594="Long Term", 12.5%, 20%))</f>
        <v/>
      </c>
      <c r="L1594" s="3">
        <f>+IFERROR(IF(J1594="","",H1594*K1594),"")</f>
        <v/>
      </c>
    </row>
    <row r="1595">
      <c r="A1595" s="11" t="n"/>
      <c r="B1595" s="7" t="n"/>
      <c r="C1595" s="8" t="n"/>
      <c r="D1595" s="9" t="n"/>
      <c r="E1595" s="8" t="n"/>
      <c r="F1595" s="9" t="n"/>
      <c r="G1595" s="9" t="n"/>
      <c r="H1595" s="3">
        <f>IF(AND(D1595&lt;&gt;"",F1595&lt;&gt;""),F1595-D1595-G1595,"")</f>
        <v/>
      </c>
      <c r="I1595" s="14">
        <f>IF(E1595&lt;&gt;"", YEARFRAC(C1595, E1595) * 12, "")</f>
        <v/>
      </c>
      <c r="J1595" s="2">
        <f>IF(I1595="", "", IF(AND(A1595="MF (Equity)", I1595&gt;12), "Long Term", "Short Term"))</f>
        <v/>
      </c>
      <c r="K1595" s="5">
        <f>IF(J1595="", "", IF(J1595="Long Term", 12.5%, 20%))</f>
        <v/>
      </c>
      <c r="L1595" s="3">
        <f>+IFERROR(IF(J1595="","",H1595*K1595),"")</f>
        <v/>
      </c>
    </row>
    <row r="1596">
      <c r="A1596" s="11" t="n"/>
      <c r="B1596" s="7" t="n"/>
      <c r="C1596" s="8" t="n"/>
      <c r="D1596" s="9" t="n"/>
      <c r="E1596" s="8" t="n"/>
      <c r="F1596" s="9" t="n"/>
      <c r="G1596" s="9" t="n"/>
      <c r="H1596" s="3">
        <f>IF(AND(D1596&lt;&gt;"",F1596&lt;&gt;""),F1596-D1596-G1596,"")</f>
        <v/>
      </c>
      <c r="I1596" s="14">
        <f>IF(E1596&lt;&gt;"", YEARFRAC(C1596, E1596) * 12, "")</f>
        <v/>
      </c>
      <c r="J1596" s="2">
        <f>IF(I1596="", "", IF(AND(A1596="MF (Equity)", I1596&gt;12), "Long Term", "Short Term"))</f>
        <v/>
      </c>
      <c r="K1596" s="5">
        <f>IF(J1596="", "", IF(J1596="Long Term", 12.5%, 20%))</f>
        <v/>
      </c>
      <c r="L1596" s="3">
        <f>+IFERROR(IF(J1596="","",H1596*K1596),"")</f>
        <v/>
      </c>
    </row>
    <row r="1597">
      <c r="A1597" s="11" t="n"/>
      <c r="B1597" s="7" t="n"/>
      <c r="C1597" s="8" t="n"/>
      <c r="D1597" s="9" t="n"/>
      <c r="E1597" s="8" t="n"/>
      <c r="F1597" s="9" t="n"/>
      <c r="G1597" s="9" t="n"/>
      <c r="H1597" s="3">
        <f>IF(AND(D1597&lt;&gt;"",F1597&lt;&gt;""),F1597-D1597-G1597,"")</f>
        <v/>
      </c>
      <c r="I1597" s="14">
        <f>IF(E1597&lt;&gt;"", YEARFRAC(C1597, E1597) * 12, "")</f>
        <v/>
      </c>
      <c r="J1597" s="2">
        <f>IF(I1597="", "", IF(AND(A1597="MF (Equity)", I1597&gt;12), "Long Term", "Short Term"))</f>
        <v/>
      </c>
      <c r="K1597" s="5">
        <f>IF(J1597="", "", IF(J1597="Long Term", 12.5%, 20%))</f>
        <v/>
      </c>
      <c r="L1597" s="3">
        <f>+IFERROR(IF(J1597="","",H1597*K1597),"")</f>
        <v/>
      </c>
    </row>
    <row r="1598">
      <c r="A1598" s="11" t="n"/>
      <c r="B1598" s="7" t="n"/>
      <c r="C1598" s="8" t="n"/>
      <c r="D1598" s="9" t="n"/>
      <c r="E1598" s="8" t="n"/>
      <c r="F1598" s="9" t="n"/>
      <c r="G1598" s="9" t="n"/>
      <c r="H1598" s="3">
        <f>IF(AND(D1598&lt;&gt;"",F1598&lt;&gt;""),F1598-D1598-G1598,"")</f>
        <v/>
      </c>
      <c r="I1598" s="14">
        <f>IF(E1598&lt;&gt;"", YEARFRAC(C1598, E1598) * 12, "")</f>
        <v/>
      </c>
      <c r="J1598" s="2">
        <f>IF(I1598="", "", IF(AND(A1598="MF (Equity)", I1598&gt;12), "Long Term", "Short Term"))</f>
        <v/>
      </c>
      <c r="K1598" s="5">
        <f>IF(J1598="", "", IF(J1598="Long Term", 12.5%, 20%))</f>
        <v/>
      </c>
      <c r="L1598" s="3">
        <f>+IFERROR(IF(J1598="","",H1598*K1598),"")</f>
        <v/>
      </c>
    </row>
    <row r="1599">
      <c r="A1599" s="11" t="n"/>
      <c r="B1599" s="7" t="n"/>
      <c r="C1599" s="8" t="n"/>
      <c r="D1599" s="9" t="n"/>
      <c r="E1599" s="8" t="n"/>
      <c r="F1599" s="9" t="n"/>
      <c r="G1599" s="9" t="n"/>
      <c r="H1599" s="3">
        <f>IF(AND(D1599&lt;&gt;"",F1599&lt;&gt;""),F1599-D1599-G1599,"")</f>
        <v/>
      </c>
      <c r="I1599" s="14">
        <f>IF(E1599&lt;&gt;"", YEARFRAC(C1599, E1599) * 12, "")</f>
        <v/>
      </c>
      <c r="J1599" s="2">
        <f>IF(I1599="", "", IF(AND(A1599="MF (Equity)", I1599&gt;12), "Long Term", "Short Term"))</f>
        <v/>
      </c>
      <c r="K1599" s="5">
        <f>IF(J1599="", "", IF(J1599="Long Term", 12.5%, 20%))</f>
        <v/>
      </c>
      <c r="L1599" s="3">
        <f>+IFERROR(IF(J1599="","",H1599*K1599),"")</f>
        <v/>
      </c>
    </row>
    <row r="1600">
      <c r="A1600" s="11" t="n"/>
      <c r="B1600" s="7" t="n"/>
      <c r="C1600" s="8" t="n"/>
      <c r="D1600" s="9" t="n"/>
      <c r="E1600" s="8" t="n"/>
      <c r="F1600" s="9" t="n"/>
      <c r="G1600" s="9" t="n"/>
      <c r="H1600" s="3">
        <f>IF(AND(D1600&lt;&gt;"",F1600&lt;&gt;""),F1600-D1600-G1600,"")</f>
        <v/>
      </c>
      <c r="I1600" s="14">
        <f>IF(E1600&lt;&gt;"", YEARFRAC(C1600, E1600) * 12, "")</f>
        <v/>
      </c>
      <c r="J1600" s="2">
        <f>IF(I1600="", "", IF(AND(A1600="MF (Equity)", I1600&gt;12), "Long Term", "Short Term"))</f>
        <v/>
      </c>
      <c r="K1600" s="5">
        <f>IF(J1600="", "", IF(J1600="Long Term", 12.5%, 20%))</f>
        <v/>
      </c>
      <c r="L1600" s="3">
        <f>+IFERROR(IF(J1600="","",H1600*K1600),"")</f>
        <v/>
      </c>
    </row>
    <row r="1601">
      <c r="A1601" s="11" t="n"/>
      <c r="B1601" s="7" t="n"/>
      <c r="C1601" s="8" t="n"/>
      <c r="D1601" s="9" t="n"/>
      <c r="E1601" s="8" t="n"/>
      <c r="F1601" s="9" t="n"/>
      <c r="G1601" s="9" t="n"/>
      <c r="H1601" s="3">
        <f>IF(AND(D1601&lt;&gt;"",F1601&lt;&gt;""),F1601-D1601-G1601,"")</f>
        <v/>
      </c>
      <c r="I1601" s="14">
        <f>IF(E1601&lt;&gt;"", YEARFRAC(C1601, E1601) * 12, "")</f>
        <v/>
      </c>
      <c r="J1601" s="2">
        <f>IF(I1601="", "", IF(AND(A1601="MF (Equity)", I1601&gt;12), "Long Term", "Short Term"))</f>
        <v/>
      </c>
      <c r="K1601" s="5">
        <f>IF(J1601="", "", IF(J1601="Long Term", 12.5%, 20%))</f>
        <v/>
      </c>
      <c r="L1601" s="3">
        <f>+IFERROR(IF(J1601="","",H1601*K1601),"")</f>
        <v/>
      </c>
    </row>
    <row r="1602">
      <c r="A1602" s="11" t="n"/>
      <c r="B1602" s="7" t="n"/>
      <c r="C1602" s="8" t="n"/>
      <c r="D1602" s="9" t="n"/>
      <c r="E1602" s="8" t="n"/>
      <c r="F1602" s="9" t="n"/>
      <c r="G1602" s="9" t="n"/>
      <c r="H1602" s="3">
        <f>IF(AND(D1602&lt;&gt;"",F1602&lt;&gt;""),F1602-D1602-G1602,"")</f>
        <v/>
      </c>
      <c r="I1602" s="14">
        <f>IF(E1602&lt;&gt;"", YEARFRAC(C1602, E1602) * 12, "")</f>
        <v/>
      </c>
      <c r="J1602" s="2">
        <f>IF(I1602="", "", IF(AND(A1602="MF (Equity)", I1602&gt;12), "Long Term", "Short Term"))</f>
        <v/>
      </c>
      <c r="K1602" s="5">
        <f>IF(J1602="", "", IF(J1602="Long Term", 12.5%, 20%))</f>
        <v/>
      </c>
      <c r="L1602" s="3">
        <f>+IFERROR(IF(J1602="","",H1602*K1602),"")</f>
        <v/>
      </c>
    </row>
    <row r="1603">
      <c r="A1603" s="11" t="n"/>
      <c r="B1603" s="7" t="n"/>
      <c r="C1603" s="8" t="n"/>
      <c r="D1603" s="9" t="n"/>
      <c r="E1603" s="8" t="n"/>
      <c r="F1603" s="9" t="n"/>
      <c r="G1603" s="9" t="n"/>
      <c r="H1603" s="3">
        <f>IF(AND(D1603&lt;&gt;"",F1603&lt;&gt;""),F1603-D1603-G1603,"")</f>
        <v/>
      </c>
      <c r="I1603" s="14">
        <f>IF(E1603&lt;&gt;"", YEARFRAC(C1603, E1603) * 12, "")</f>
        <v/>
      </c>
      <c r="J1603" s="2">
        <f>IF(I1603="", "", IF(AND(A1603="MF (Equity)", I1603&gt;12), "Long Term", "Short Term"))</f>
        <v/>
      </c>
      <c r="K1603" s="5">
        <f>IF(J1603="", "", IF(J1603="Long Term", 12.5%, 20%))</f>
        <v/>
      </c>
      <c r="L1603" s="3">
        <f>+IFERROR(IF(J1603="","",H1603*K1603),"")</f>
        <v/>
      </c>
    </row>
    <row r="1604">
      <c r="A1604" s="11" t="n"/>
      <c r="B1604" s="7" t="n"/>
      <c r="C1604" s="8" t="n"/>
      <c r="D1604" s="9" t="n"/>
      <c r="E1604" s="8" t="n"/>
      <c r="F1604" s="9" t="n"/>
      <c r="G1604" s="9" t="n"/>
      <c r="H1604" s="3">
        <f>IF(AND(D1604&lt;&gt;"",F1604&lt;&gt;""),F1604-D1604-G1604,"")</f>
        <v/>
      </c>
      <c r="I1604" s="14">
        <f>IF(E1604&lt;&gt;"", YEARFRAC(C1604, E1604) * 12, "")</f>
        <v/>
      </c>
      <c r="J1604" s="2">
        <f>IF(I1604="", "", IF(AND(A1604="MF (Equity)", I1604&gt;12), "Long Term", "Short Term"))</f>
        <v/>
      </c>
      <c r="K1604" s="5">
        <f>IF(J1604="", "", IF(J1604="Long Term", 12.5%, 20%))</f>
        <v/>
      </c>
      <c r="L1604" s="3">
        <f>+IFERROR(IF(J1604="","",H1604*K1604),"")</f>
        <v/>
      </c>
    </row>
    <row r="1605">
      <c r="A1605" s="11" t="n"/>
      <c r="B1605" s="7" t="n"/>
      <c r="C1605" s="8" t="n"/>
      <c r="D1605" s="9" t="n"/>
      <c r="E1605" s="8" t="n"/>
      <c r="F1605" s="9" t="n"/>
      <c r="G1605" s="9" t="n"/>
      <c r="H1605" s="3">
        <f>IF(AND(D1605&lt;&gt;"",F1605&lt;&gt;""),F1605-D1605-G1605,"")</f>
        <v/>
      </c>
      <c r="I1605" s="14">
        <f>IF(E1605&lt;&gt;"", YEARFRAC(C1605, E1605) * 12, "")</f>
        <v/>
      </c>
      <c r="J1605" s="2">
        <f>IF(I1605="", "", IF(AND(A1605="MF (Equity)", I1605&gt;12), "Long Term", "Short Term"))</f>
        <v/>
      </c>
      <c r="K1605" s="5">
        <f>IF(J1605="", "", IF(J1605="Long Term", 12.5%, 20%))</f>
        <v/>
      </c>
      <c r="L1605" s="3">
        <f>+IFERROR(IF(J1605="","",H1605*K1605),"")</f>
        <v/>
      </c>
    </row>
    <row r="1606">
      <c r="A1606" s="11" t="n"/>
      <c r="B1606" s="7" t="n"/>
      <c r="C1606" s="8" t="n"/>
      <c r="D1606" s="9" t="n"/>
      <c r="E1606" s="8" t="n"/>
      <c r="F1606" s="9" t="n"/>
      <c r="G1606" s="9" t="n"/>
      <c r="H1606" s="3">
        <f>IF(AND(D1606&lt;&gt;"",F1606&lt;&gt;""),F1606-D1606-G1606,"")</f>
        <v/>
      </c>
      <c r="I1606" s="14">
        <f>IF(E1606&lt;&gt;"", YEARFRAC(C1606, E1606) * 12, "")</f>
        <v/>
      </c>
      <c r="J1606" s="2">
        <f>IF(I1606="", "", IF(AND(A1606="MF (Equity)", I1606&gt;12), "Long Term", "Short Term"))</f>
        <v/>
      </c>
      <c r="K1606" s="5">
        <f>IF(J1606="", "", IF(J1606="Long Term", 12.5%, 20%))</f>
        <v/>
      </c>
      <c r="L1606" s="3">
        <f>+IFERROR(IF(J1606="","",H1606*K1606),"")</f>
        <v/>
      </c>
    </row>
    <row r="1607">
      <c r="A1607" s="11" t="n"/>
      <c r="B1607" s="7" t="n"/>
      <c r="C1607" s="8" t="n"/>
      <c r="D1607" s="9" t="n"/>
      <c r="E1607" s="8" t="n"/>
      <c r="F1607" s="9" t="n"/>
      <c r="G1607" s="9" t="n"/>
      <c r="H1607" s="3">
        <f>IF(AND(D1607&lt;&gt;"",F1607&lt;&gt;""),F1607-D1607-G1607,"")</f>
        <v/>
      </c>
      <c r="I1607" s="14">
        <f>IF(E1607&lt;&gt;"", YEARFRAC(C1607, E1607) * 12, "")</f>
        <v/>
      </c>
      <c r="J1607" s="2">
        <f>IF(I1607="", "", IF(AND(A1607="MF (Equity)", I1607&gt;12), "Long Term", "Short Term"))</f>
        <v/>
      </c>
      <c r="K1607" s="5">
        <f>IF(J1607="", "", IF(J1607="Long Term", 12.5%, 20%))</f>
        <v/>
      </c>
      <c r="L1607" s="3">
        <f>+IFERROR(IF(J1607="","",H1607*K1607),"")</f>
        <v/>
      </c>
    </row>
    <row r="1608">
      <c r="A1608" s="11" t="n"/>
      <c r="B1608" s="7" t="n"/>
      <c r="C1608" s="8" t="n"/>
      <c r="D1608" s="9" t="n"/>
      <c r="E1608" s="8" t="n"/>
      <c r="F1608" s="9" t="n"/>
      <c r="G1608" s="9" t="n"/>
      <c r="H1608" s="3">
        <f>IF(AND(D1608&lt;&gt;"",F1608&lt;&gt;""),F1608-D1608-G1608,"")</f>
        <v/>
      </c>
      <c r="I1608" s="14">
        <f>IF(E1608&lt;&gt;"", YEARFRAC(C1608, E1608) * 12, "")</f>
        <v/>
      </c>
      <c r="J1608" s="2">
        <f>IF(I1608="", "", IF(AND(A1608="MF (Equity)", I1608&gt;12), "Long Term", "Short Term"))</f>
        <v/>
      </c>
      <c r="K1608" s="5">
        <f>IF(J1608="", "", IF(J1608="Long Term", 12.5%, 20%))</f>
        <v/>
      </c>
      <c r="L1608" s="3">
        <f>+IFERROR(IF(J1608="","",H1608*K1608),"")</f>
        <v/>
      </c>
    </row>
    <row r="1609">
      <c r="A1609" s="11" t="n"/>
      <c r="B1609" s="7" t="n"/>
      <c r="C1609" s="8" t="n"/>
      <c r="D1609" s="9" t="n"/>
      <c r="E1609" s="8" t="n"/>
      <c r="F1609" s="9" t="n"/>
      <c r="G1609" s="9" t="n"/>
      <c r="H1609" s="3">
        <f>IF(AND(D1609&lt;&gt;"",F1609&lt;&gt;""),F1609-D1609-G1609,"")</f>
        <v/>
      </c>
      <c r="I1609" s="14">
        <f>IF(E1609&lt;&gt;"", YEARFRAC(C1609, E1609) * 12, "")</f>
        <v/>
      </c>
      <c r="J1609" s="2">
        <f>IF(I1609="", "", IF(AND(A1609="MF (Equity)", I1609&gt;12), "Long Term", "Short Term"))</f>
        <v/>
      </c>
      <c r="K1609" s="5">
        <f>IF(J1609="", "", IF(J1609="Long Term", 12.5%, 20%))</f>
        <v/>
      </c>
      <c r="L1609" s="3">
        <f>+IFERROR(IF(J1609="","",H1609*K1609),"")</f>
        <v/>
      </c>
    </row>
    <row r="1610">
      <c r="A1610" s="11" t="n"/>
      <c r="B1610" s="7" t="n"/>
      <c r="C1610" s="8" t="n"/>
      <c r="D1610" s="9" t="n"/>
      <c r="E1610" s="8" t="n"/>
      <c r="F1610" s="9" t="n"/>
      <c r="G1610" s="9" t="n"/>
      <c r="H1610" s="3">
        <f>IF(AND(D1610&lt;&gt;"",F1610&lt;&gt;""),F1610-D1610-G1610,"")</f>
        <v/>
      </c>
      <c r="I1610" s="14">
        <f>IF(E1610&lt;&gt;"", YEARFRAC(C1610, E1610) * 12, "")</f>
        <v/>
      </c>
      <c r="J1610" s="2">
        <f>IF(I1610="", "", IF(AND(A1610="MF (Equity)", I1610&gt;12), "Long Term", "Short Term"))</f>
        <v/>
      </c>
      <c r="K1610" s="5">
        <f>IF(J1610="", "", IF(J1610="Long Term", 12.5%, 20%))</f>
        <v/>
      </c>
      <c r="L1610" s="3">
        <f>+IFERROR(IF(J1610="","",H1610*K1610),"")</f>
        <v/>
      </c>
    </row>
    <row r="1611">
      <c r="A1611" s="11" t="n"/>
      <c r="B1611" s="7" t="n"/>
      <c r="C1611" s="8" t="n"/>
      <c r="D1611" s="9" t="n"/>
      <c r="E1611" s="8" t="n"/>
      <c r="F1611" s="9" t="n"/>
      <c r="G1611" s="9" t="n"/>
      <c r="H1611" s="3">
        <f>IF(AND(D1611&lt;&gt;"",F1611&lt;&gt;""),F1611-D1611-G1611,"")</f>
        <v/>
      </c>
      <c r="I1611" s="14">
        <f>IF(E1611&lt;&gt;"", YEARFRAC(C1611, E1611) * 12, "")</f>
        <v/>
      </c>
      <c r="J1611" s="2">
        <f>IF(I1611="", "", IF(AND(A1611="MF (Equity)", I1611&gt;12), "Long Term", "Short Term"))</f>
        <v/>
      </c>
      <c r="K1611" s="5">
        <f>IF(J1611="", "", IF(J1611="Long Term", 12.5%, 20%))</f>
        <v/>
      </c>
      <c r="L1611" s="3">
        <f>+IFERROR(IF(J1611="","",H1611*K1611),"")</f>
        <v/>
      </c>
    </row>
    <row r="1612">
      <c r="A1612" s="11" t="n"/>
      <c r="B1612" s="7" t="n"/>
      <c r="C1612" s="8" t="n"/>
      <c r="D1612" s="9" t="n"/>
      <c r="E1612" s="8" t="n"/>
      <c r="F1612" s="9" t="n"/>
      <c r="G1612" s="9" t="n"/>
      <c r="H1612" s="3">
        <f>IF(AND(D1612&lt;&gt;"",F1612&lt;&gt;""),F1612-D1612-G1612,"")</f>
        <v/>
      </c>
      <c r="I1612" s="14">
        <f>IF(E1612&lt;&gt;"", YEARFRAC(C1612, E1612) * 12, "")</f>
        <v/>
      </c>
      <c r="J1612" s="2">
        <f>IF(I1612="", "", IF(AND(A1612="MF (Equity)", I1612&gt;12), "Long Term", "Short Term"))</f>
        <v/>
      </c>
      <c r="K1612" s="5">
        <f>IF(J1612="", "", IF(J1612="Long Term", 12.5%, 20%))</f>
        <v/>
      </c>
      <c r="L1612" s="3">
        <f>+IFERROR(IF(J1612="","",H1612*K1612),"")</f>
        <v/>
      </c>
    </row>
    <row r="1613">
      <c r="A1613" s="11" t="n"/>
      <c r="B1613" s="7" t="n"/>
      <c r="C1613" s="8" t="n"/>
      <c r="D1613" s="9" t="n"/>
      <c r="E1613" s="8" t="n"/>
      <c r="F1613" s="9" t="n"/>
      <c r="G1613" s="9" t="n"/>
      <c r="H1613" s="3">
        <f>IF(AND(D1613&lt;&gt;"",F1613&lt;&gt;""),F1613-D1613-G1613,"")</f>
        <v/>
      </c>
      <c r="I1613" s="14">
        <f>IF(E1613&lt;&gt;"", YEARFRAC(C1613, E1613) * 12, "")</f>
        <v/>
      </c>
      <c r="J1613" s="2">
        <f>IF(I1613="", "", IF(AND(A1613="MF (Equity)", I1613&gt;12), "Long Term", "Short Term"))</f>
        <v/>
      </c>
      <c r="K1613" s="5">
        <f>IF(J1613="", "", IF(J1613="Long Term", 12.5%, 20%))</f>
        <v/>
      </c>
      <c r="L1613" s="3">
        <f>+IFERROR(IF(J1613="","",H1613*K1613),"")</f>
        <v/>
      </c>
    </row>
    <row r="1614">
      <c r="A1614" s="11" t="n"/>
      <c r="B1614" s="7" t="n"/>
      <c r="C1614" s="8" t="n"/>
      <c r="D1614" s="9" t="n"/>
      <c r="E1614" s="8" t="n"/>
      <c r="F1614" s="9" t="n"/>
      <c r="G1614" s="9" t="n"/>
      <c r="H1614" s="3">
        <f>IF(AND(D1614&lt;&gt;"",F1614&lt;&gt;""),F1614-D1614-G1614,"")</f>
        <v/>
      </c>
      <c r="I1614" s="14">
        <f>IF(E1614&lt;&gt;"", YEARFRAC(C1614, E1614) * 12, "")</f>
        <v/>
      </c>
      <c r="J1614" s="2">
        <f>IF(I1614="", "", IF(AND(A1614="MF (Equity)", I1614&gt;12), "Long Term", "Short Term"))</f>
        <v/>
      </c>
      <c r="K1614" s="5">
        <f>IF(J1614="", "", IF(J1614="Long Term", 12.5%, 20%))</f>
        <v/>
      </c>
      <c r="L1614" s="3">
        <f>+IFERROR(IF(J1614="","",H1614*K1614),"")</f>
        <v/>
      </c>
    </row>
    <row r="1615">
      <c r="A1615" s="11" t="n"/>
      <c r="B1615" s="7" t="n"/>
      <c r="C1615" s="8" t="n"/>
      <c r="D1615" s="9" t="n"/>
      <c r="E1615" s="8" t="n"/>
      <c r="F1615" s="9" t="n"/>
      <c r="G1615" s="9" t="n"/>
      <c r="H1615" s="3">
        <f>IF(AND(D1615&lt;&gt;"",F1615&lt;&gt;""),F1615-D1615-G1615,"")</f>
        <v/>
      </c>
      <c r="I1615" s="14">
        <f>IF(E1615&lt;&gt;"", YEARFRAC(C1615, E1615) * 12, "")</f>
        <v/>
      </c>
      <c r="J1615" s="2">
        <f>IF(I1615="", "", IF(AND(A1615="MF (Equity)", I1615&gt;12), "Long Term", "Short Term"))</f>
        <v/>
      </c>
      <c r="K1615" s="5">
        <f>IF(J1615="", "", IF(J1615="Long Term", 12.5%, 20%))</f>
        <v/>
      </c>
      <c r="L1615" s="3">
        <f>+IFERROR(IF(J1615="","",H1615*K1615),"")</f>
        <v/>
      </c>
    </row>
    <row r="1616">
      <c r="A1616" s="11" t="n"/>
      <c r="B1616" s="7" t="n"/>
      <c r="C1616" s="8" t="n"/>
      <c r="D1616" s="9" t="n"/>
      <c r="E1616" s="8" t="n"/>
      <c r="F1616" s="9" t="n"/>
      <c r="G1616" s="9" t="n"/>
      <c r="H1616" s="3">
        <f>IF(AND(D1616&lt;&gt;"",F1616&lt;&gt;""),F1616-D1616-G1616,"")</f>
        <v/>
      </c>
      <c r="I1616" s="14">
        <f>IF(E1616&lt;&gt;"", YEARFRAC(C1616, E1616) * 12, "")</f>
        <v/>
      </c>
      <c r="J1616" s="2">
        <f>IF(I1616="", "", IF(AND(A1616="MF (Equity)", I1616&gt;12), "Long Term", "Short Term"))</f>
        <v/>
      </c>
      <c r="K1616" s="5">
        <f>IF(J1616="", "", IF(J1616="Long Term", 12.5%, 20%))</f>
        <v/>
      </c>
      <c r="L1616" s="3">
        <f>+IFERROR(IF(J1616="","",H1616*K1616),"")</f>
        <v/>
      </c>
    </row>
    <row r="1617">
      <c r="A1617" s="11" t="n"/>
      <c r="B1617" s="7" t="n"/>
      <c r="C1617" s="8" t="n"/>
      <c r="D1617" s="9" t="n"/>
      <c r="E1617" s="8" t="n"/>
      <c r="F1617" s="9" t="n"/>
      <c r="G1617" s="9" t="n"/>
      <c r="H1617" s="3">
        <f>IF(AND(D1617&lt;&gt;"",F1617&lt;&gt;""),F1617-D1617-G1617,"")</f>
        <v/>
      </c>
      <c r="I1617" s="14">
        <f>IF(E1617&lt;&gt;"", YEARFRAC(C1617, E1617) * 12, "")</f>
        <v/>
      </c>
      <c r="J1617" s="2">
        <f>IF(I1617="", "", IF(AND(A1617="MF (Equity)", I1617&gt;12), "Long Term", "Short Term"))</f>
        <v/>
      </c>
      <c r="K1617" s="5">
        <f>IF(J1617="", "", IF(J1617="Long Term", 12.5%, 20%))</f>
        <v/>
      </c>
      <c r="L1617" s="3">
        <f>+IFERROR(IF(J1617="","",H1617*K1617),"")</f>
        <v/>
      </c>
    </row>
    <row r="1618">
      <c r="A1618" s="11" t="n"/>
      <c r="B1618" s="7" t="n"/>
      <c r="C1618" s="8" t="n"/>
      <c r="D1618" s="9" t="n"/>
      <c r="E1618" s="8" t="n"/>
      <c r="F1618" s="9" t="n"/>
      <c r="G1618" s="9" t="n"/>
      <c r="H1618" s="3">
        <f>IF(AND(D1618&lt;&gt;"",F1618&lt;&gt;""),F1618-D1618-G1618,"")</f>
        <v/>
      </c>
      <c r="I1618" s="14">
        <f>IF(E1618&lt;&gt;"", YEARFRAC(C1618, E1618) * 12, "")</f>
        <v/>
      </c>
      <c r="J1618" s="2">
        <f>IF(I1618="", "", IF(AND(A1618="MF (Equity)", I1618&gt;12), "Long Term", "Short Term"))</f>
        <v/>
      </c>
      <c r="K1618" s="5">
        <f>IF(J1618="", "", IF(J1618="Long Term", 12.5%, 20%))</f>
        <v/>
      </c>
      <c r="L1618" s="3">
        <f>+IFERROR(IF(J1618="","",H1618*K1618),"")</f>
        <v/>
      </c>
    </row>
    <row r="1619">
      <c r="A1619" s="11" t="n"/>
      <c r="B1619" s="7" t="n"/>
      <c r="C1619" s="8" t="n"/>
      <c r="D1619" s="9" t="n"/>
      <c r="E1619" s="8" t="n"/>
      <c r="F1619" s="9" t="n"/>
      <c r="G1619" s="9" t="n"/>
      <c r="H1619" s="3">
        <f>IF(AND(D1619&lt;&gt;"",F1619&lt;&gt;""),F1619-D1619-G1619,"")</f>
        <v/>
      </c>
      <c r="I1619" s="14">
        <f>IF(E1619&lt;&gt;"", YEARFRAC(C1619, E1619) * 12, "")</f>
        <v/>
      </c>
      <c r="J1619" s="2">
        <f>IF(I1619="", "", IF(AND(A1619="MF (Equity)", I1619&gt;12), "Long Term", "Short Term"))</f>
        <v/>
      </c>
      <c r="K1619" s="5">
        <f>IF(J1619="", "", IF(J1619="Long Term", 12.5%, 20%))</f>
        <v/>
      </c>
      <c r="L1619" s="3">
        <f>+IFERROR(IF(J1619="","",H1619*K1619),"")</f>
        <v/>
      </c>
    </row>
    <row r="1620">
      <c r="A1620" s="11" t="n"/>
      <c r="B1620" s="7" t="n"/>
      <c r="C1620" s="8" t="n"/>
      <c r="D1620" s="9" t="n"/>
      <c r="E1620" s="8" t="n"/>
      <c r="F1620" s="9" t="n"/>
      <c r="G1620" s="9" t="n"/>
      <c r="H1620" s="3">
        <f>IF(AND(D1620&lt;&gt;"",F1620&lt;&gt;""),F1620-D1620-G1620,"")</f>
        <v/>
      </c>
      <c r="I1620" s="14">
        <f>IF(E1620&lt;&gt;"", YEARFRAC(C1620, E1620) * 12, "")</f>
        <v/>
      </c>
      <c r="J1620" s="2">
        <f>IF(I1620="", "", IF(AND(A1620="MF (Equity)", I1620&gt;12), "Long Term", "Short Term"))</f>
        <v/>
      </c>
      <c r="K1620" s="5">
        <f>IF(J1620="", "", IF(J1620="Long Term", 12.5%, 20%))</f>
        <v/>
      </c>
      <c r="L1620" s="3">
        <f>+IFERROR(IF(J1620="","",H1620*K1620),"")</f>
        <v/>
      </c>
    </row>
    <row r="1621">
      <c r="A1621" s="11" t="n"/>
      <c r="B1621" s="7" t="n"/>
      <c r="C1621" s="8" t="n"/>
      <c r="D1621" s="9" t="n"/>
      <c r="E1621" s="8" t="n"/>
      <c r="F1621" s="9" t="n"/>
      <c r="G1621" s="9" t="n"/>
      <c r="H1621" s="3">
        <f>IF(AND(D1621&lt;&gt;"",F1621&lt;&gt;""),F1621-D1621-G1621,"")</f>
        <v/>
      </c>
      <c r="I1621" s="14">
        <f>IF(E1621&lt;&gt;"", YEARFRAC(C1621, E1621) * 12, "")</f>
        <v/>
      </c>
      <c r="J1621" s="2">
        <f>IF(I1621="", "", IF(AND(A1621="MF (Equity)", I1621&gt;12), "Long Term", "Short Term"))</f>
        <v/>
      </c>
      <c r="K1621" s="5">
        <f>IF(J1621="", "", IF(J1621="Long Term", 12.5%, 20%))</f>
        <v/>
      </c>
      <c r="L1621" s="3">
        <f>+IFERROR(IF(J1621="","",H1621*K1621),"")</f>
        <v/>
      </c>
    </row>
    <row r="1622">
      <c r="A1622" s="11" t="n"/>
      <c r="B1622" s="7" t="n"/>
      <c r="C1622" s="8" t="n"/>
      <c r="D1622" s="9" t="n"/>
      <c r="E1622" s="8" t="n"/>
      <c r="F1622" s="9" t="n"/>
      <c r="G1622" s="9" t="n"/>
      <c r="H1622" s="3">
        <f>IF(AND(D1622&lt;&gt;"",F1622&lt;&gt;""),F1622-D1622-G1622,"")</f>
        <v/>
      </c>
      <c r="I1622" s="14">
        <f>IF(E1622&lt;&gt;"", YEARFRAC(C1622, E1622) * 12, "")</f>
        <v/>
      </c>
      <c r="J1622" s="2">
        <f>IF(I1622="", "", IF(AND(A1622="MF (Equity)", I1622&gt;12), "Long Term", "Short Term"))</f>
        <v/>
      </c>
      <c r="K1622" s="5">
        <f>IF(J1622="", "", IF(J1622="Long Term", 12.5%, 20%))</f>
        <v/>
      </c>
      <c r="L1622" s="3">
        <f>+IFERROR(IF(J1622="","",H1622*K1622),"")</f>
        <v/>
      </c>
    </row>
    <row r="1623">
      <c r="A1623" s="11" t="n"/>
      <c r="B1623" s="7" t="n"/>
      <c r="C1623" s="8" t="n"/>
      <c r="D1623" s="9" t="n"/>
      <c r="E1623" s="8" t="n"/>
      <c r="F1623" s="9" t="n"/>
      <c r="G1623" s="9" t="n"/>
      <c r="H1623" s="3">
        <f>IF(AND(D1623&lt;&gt;"",F1623&lt;&gt;""),F1623-D1623-G1623,"")</f>
        <v/>
      </c>
      <c r="I1623" s="14">
        <f>IF(E1623&lt;&gt;"", YEARFRAC(C1623, E1623) * 12, "")</f>
        <v/>
      </c>
      <c r="J1623" s="2">
        <f>IF(I1623="", "", IF(AND(A1623="MF (Equity)", I1623&gt;12), "Long Term", "Short Term"))</f>
        <v/>
      </c>
      <c r="K1623" s="5">
        <f>IF(J1623="", "", IF(J1623="Long Term", 12.5%, 20%))</f>
        <v/>
      </c>
      <c r="L1623" s="3">
        <f>+IFERROR(IF(J1623="","",H1623*K1623),"")</f>
        <v/>
      </c>
    </row>
    <row r="1624">
      <c r="A1624" s="11" t="n"/>
      <c r="B1624" s="7" t="n"/>
      <c r="C1624" s="8" t="n"/>
      <c r="D1624" s="9" t="n"/>
      <c r="E1624" s="8" t="n"/>
      <c r="F1624" s="9" t="n"/>
      <c r="G1624" s="9" t="n"/>
      <c r="H1624" s="3">
        <f>IF(AND(D1624&lt;&gt;"",F1624&lt;&gt;""),F1624-D1624-G1624,"")</f>
        <v/>
      </c>
      <c r="I1624" s="14">
        <f>IF(E1624&lt;&gt;"", YEARFRAC(C1624, E1624) * 12, "")</f>
        <v/>
      </c>
      <c r="J1624" s="2">
        <f>IF(I1624="", "", IF(AND(A1624="MF (Equity)", I1624&gt;12), "Long Term", "Short Term"))</f>
        <v/>
      </c>
      <c r="K1624" s="5">
        <f>IF(J1624="", "", IF(J1624="Long Term", 12.5%, 20%))</f>
        <v/>
      </c>
      <c r="L1624" s="3">
        <f>+IFERROR(IF(J1624="","",H1624*K1624),"")</f>
        <v/>
      </c>
    </row>
    <row r="1625">
      <c r="A1625" s="11" t="n"/>
      <c r="B1625" s="7" t="n"/>
      <c r="C1625" s="8" t="n"/>
      <c r="D1625" s="9" t="n"/>
      <c r="E1625" s="8" t="n"/>
      <c r="F1625" s="9" t="n"/>
      <c r="G1625" s="9" t="n"/>
      <c r="H1625" s="3">
        <f>IF(AND(D1625&lt;&gt;"",F1625&lt;&gt;""),F1625-D1625-G1625,"")</f>
        <v/>
      </c>
      <c r="I1625" s="14">
        <f>IF(E1625&lt;&gt;"", YEARFRAC(C1625, E1625) * 12, "")</f>
        <v/>
      </c>
      <c r="J1625" s="2">
        <f>IF(I1625="", "", IF(AND(A1625="MF (Equity)", I1625&gt;12), "Long Term", "Short Term"))</f>
        <v/>
      </c>
      <c r="K1625" s="5">
        <f>IF(J1625="", "", IF(J1625="Long Term", 12.5%, 20%))</f>
        <v/>
      </c>
      <c r="L1625" s="3">
        <f>+IFERROR(IF(J1625="","",H1625*K1625),"")</f>
        <v/>
      </c>
    </row>
    <row r="1626">
      <c r="A1626" s="11" t="n"/>
      <c r="B1626" s="7" t="n"/>
      <c r="C1626" s="8" t="n"/>
      <c r="D1626" s="9" t="n"/>
      <c r="E1626" s="8" t="n"/>
      <c r="F1626" s="9" t="n"/>
      <c r="G1626" s="9" t="n"/>
      <c r="H1626" s="3">
        <f>IF(AND(D1626&lt;&gt;"",F1626&lt;&gt;""),F1626-D1626-G1626,"")</f>
        <v/>
      </c>
      <c r="I1626" s="14">
        <f>IF(E1626&lt;&gt;"", YEARFRAC(C1626, E1626) * 12, "")</f>
        <v/>
      </c>
      <c r="J1626" s="2">
        <f>IF(I1626="", "", IF(AND(A1626="MF (Equity)", I1626&gt;12), "Long Term", "Short Term"))</f>
        <v/>
      </c>
      <c r="K1626" s="5">
        <f>IF(J1626="", "", IF(J1626="Long Term", 12.5%, 20%))</f>
        <v/>
      </c>
      <c r="L1626" s="3">
        <f>+IFERROR(IF(J1626="","",H1626*K1626),"")</f>
        <v/>
      </c>
    </row>
    <row r="1627">
      <c r="A1627" s="11" t="n"/>
      <c r="B1627" s="7" t="n"/>
      <c r="C1627" s="8" t="n"/>
      <c r="D1627" s="9" t="n"/>
      <c r="E1627" s="8" t="n"/>
      <c r="F1627" s="9" t="n"/>
      <c r="G1627" s="9" t="n"/>
      <c r="H1627" s="3">
        <f>IF(AND(D1627&lt;&gt;"",F1627&lt;&gt;""),F1627-D1627-G1627,"")</f>
        <v/>
      </c>
      <c r="I1627" s="14">
        <f>IF(E1627&lt;&gt;"", YEARFRAC(C1627, E1627) * 12, "")</f>
        <v/>
      </c>
      <c r="J1627" s="2">
        <f>IF(I1627="", "", IF(AND(A1627="MF (Equity)", I1627&gt;12), "Long Term", "Short Term"))</f>
        <v/>
      </c>
      <c r="K1627" s="5">
        <f>IF(J1627="", "", IF(J1627="Long Term", 12.5%, 20%))</f>
        <v/>
      </c>
      <c r="L1627" s="3">
        <f>+IFERROR(IF(J1627="","",H1627*K1627),"")</f>
        <v/>
      </c>
    </row>
    <row r="1628">
      <c r="A1628" s="11" t="n"/>
      <c r="B1628" s="7" t="n"/>
      <c r="C1628" s="8" t="n"/>
      <c r="D1628" s="9" t="n"/>
      <c r="E1628" s="8" t="n"/>
      <c r="F1628" s="9" t="n"/>
      <c r="G1628" s="9" t="n"/>
      <c r="H1628" s="3">
        <f>IF(AND(D1628&lt;&gt;"",F1628&lt;&gt;""),F1628-D1628-G1628,"")</f>
        <v/>
      </c>
      <c r="I1628" s="14">
        <f>IF(E1628&lt;&gt;"", YEARFRAC(C1628, E1628) * 12, "")</f>
        <v/>
      </c>
      <c r="J1628" s="2">
        <f>IF(I1628="", "", IF(AND(A1628="MF (Equity)", I1628&gt;12), "Long Term", "Short Term"))</f>
        <v/>
      </c>
      <c r="K1628" s="5">
        <f>IF(J1628="", "", IF(J1628="Long Term", 12.5%, 20%))</f>
        <v/>
      </c>
      <c r="L1628" s="3">
        <f>+IFERROR(IF(J1628="","",H1628*K1628),"")</f>
        <v/>
      </c>
    </row>
    <row r="1629">
      <c r="A1629" s="11" t="n"/>
      <c r="B1629" s="7" t="n"/>
      <c r="C1629" s="8" t="n"/>
      <c r="D1629" s="9" t="n"/>
      <c r="E1629" s="8" t="n"/>
      <c r="F1629" s="9" t="n"/>
      <c r="G1629" s="9" t="n"/>
      <c r="H1629" s="3">
        <f>IF(AND(D1629&lt;&gt;"",F1629&lt;&gt;""),F1629-D1629-G1629,"")</f>
        <v/>
      </c>
      <c r="I1629" s="14">
        <f>IF(E1629&lt;&gt;"", YEARFRAC(C1629, E1629) * 12, "")</f>
        <v/>
      </c>
      <c r="J1629" s="2">
        <f>IF(I1629="", "", IF(AND(A1629="MF (Equity)", I1629&gt;12), "Long Term", "Short Term"))</f>
        <v/>
      </c>
      <c r="K1629" s="5">
        <f>IF(J1629="", "", IF(J1629="Long Term", 12.5%, 20%))</f>
        <v/>
      </c>
      <c r="L1629" s="3">
        <f>+IFERROR(IF(J1629="","",H1629*K1629),"")</f>
        <v/>
      </c>
    </row>
    <row r="1630">
      <c r="A1630" s="11" t="n"/>
      <c r="B1630" s="7" t="n"/>
      <c r="C1630" s="8" t="n"/>
      <c r="D1630" s="9" t="n"/>
      <c r="E1630" s="8" t="n"/>
      <c r="F1630" s="9" t="n"/>
      <c r="G1630" s="9" t="n"/>
      <c r="H1630" s="3">
        <f>IF(AND(D1630&lt;&gt;"",F1630&lt;&gt;""),F1630-D1630-G1630,"")</f>
        <v/>
      </c>
      <c r="I1630" s="14">
        <f>IF(E1630&lt;&gt;"", YEARFRAC(C1630, E1630) * 12, "")</f>
        <v/>
      </c>
      <c r="J1630" s="2">
        <f>IF(I1630="", "", IF(AND(A1630="MF (Equity)", I1630&gt;12), "Long Term", "Short Term"))</f>
        <v/>
      </c>
      <c r="K1630" s="5">
        <f>IF(J1630="", "", IF(J1630="Long Term", 12.5%, 20%))</f>
        <v/>
      </c>
      <c r="L1630" s="3">
        <f>+IFERROR(IF(J1630="","",H1630*K1630),"")</f>
        <v/>
      </c>
    </row>
    <row r="1631">
      <c r="A1631" s="11" t="n"/>
      <c r="B1631" s="7" t="n"/>
      <c r="C1631" s="8" t="n"/>
      <c r="D1631" s="9" t="n"/>
      <c r="E1631" s="8" t="n"/>
      <c r="F1631" s="9" t="n"/>
      <c r="G1631" s="9" t="n"/>
      <c r="H1631" s="3">
        <f>IF(AND(D1631&lt;&gt;"",F1631&lt;&gt;""),F1631-D1631-G1631,"")</f>
        <v/>
      </c>
      <c r="I1631" s="14">
        <f>IF(E1631&lt;&gt;"", YEARFRAC(C1631, E1631) * 12, "")</f>
        <v/>
      </c>
      <c r="J1631" s="2">
        <f>IF(I1631="", "", IF(AND(A1631="MF (Equity)", I1631&gt;12), "Long Term", "Short Term"))</f>
        <v/>
      </c>
      <c r="K1631" s="5">
        <f>IF(J1631="", "", IF(J1631="Long Term", 12.5%, 20%))</f>
        <v/>
      </c>
      <c r="L1631" s="3">
        <f>+IFERROR(IF(J1631="","",H1631*K1631),"")</f>
        <v/>
      </c>
    </row>
    <row r="1632">
      <c r="A1632" s="11" t="n"/>
      <c r="B1632" s="7" t="n"/>
      <c r="C1632" s="8" t="n"/>
      <c r="D1632" s="9" t="n"/>
      <c r="E1632" s="8" t="n"/>
      <c r="F1632" s="9" t="n"/>
      <c r="G1632" s="9" t="n"/>
      <c r="H1632" s="3">
        <f>IF(AND(D1632&lt;&gt;"",F1632&lt;&gt;""),F1632-D1632-G1632,"")</f>
        <v/>
      </c>
      <c r="I1632" s="14">
        <f>IF(E1632&lt;&gt;"", YEARFRAC(C1632, E1632) * 12, "")</f>
        <v/>
      </c>
      <c r="J1632" s="2">
        <f>IF(I1632="", "", IF(AND(A1632="MF (Equity)", I1632&gt;12), "Long Term", "Short Term"))</f>
        <v/>
      </c>
      <c r="K1632" s="5">
        <f>IF(J1632="", "", IF(J1632="Long Term", 12.5%, 20%))</f>
        <v/>
      </c>
      <c r="L1632" s="3">
        <f>+IFERROR(IF(J1632="","",H1632*K1632),"")</f>
        <v/>
      </c>
    </row>
    <row r="1633">
      <c r="A1633" s="11" t="n"/>
      <c r="B1633" s="7" t="n"/>
      <c r="C1633" s="8" t="n"/>
      <c r="D1633" s="9" t="n"/>
      <c r="E1633" s="8" t="n"/>
      <c r="F1633" s="9" t="n"/>
      <c r="G1633" s="9" t="n"/>
      <c r="H1633" s="3">
        <f>IF(AND(D1633&lt;&gt;"",F1633&lt;&gt;""),F1633-D1633-G1633,"")</f>
        <v/>
      </c>
      <c r="I1633" s="14">
        <f>IF(E1633&lt;&gt;"", YEARFRAC(C1633, E1633) * 12, "")</f>
        <v/>
      </c>
      <c r="J1633" s="2">
        <f>IF(I1633="", "", IF(AND(A1633="MF (Equity)", I1633&gt;12), "Long Term", "Short Term"))</f>
        <v/>
      </c>
      <c r="K1633" s="5">
        <f>IF(J1633="", "", IF(J1633="Long Term", 12.5%, 20%))</f>
        <v/>
      </c>
      <c r="L1633" s="3">
        <f>+IFERROR(IF(J1633="","",H1633*K1633),"")</f>
        <v/>
      </c>
    </row>
    <row r="1634">
      <c r="A1634" s="11" t="n"/>
      <c r="B1634" s="7" t="n"/>
      <c r="C1634" s="8" t="n"/>
      <c r="D1634" s="9" t="n"/>
      <c r="E1634" s="8" t="n"/>
      <c r="F1634" s="9" t="n"/>
      <c r="G1634" s="9" t="n"/>
      <c r="H1634" s="3">
        <f>IF(AND(D1634&lt;&gt;"",F1634&lt;&gt;""),F1634-D1634-G1634,"")</f>
        <v/>
      </c>
      <c r="I1634" s="14">
        <f>IF(E1634&lt;&gt;"", YEARFRAC(C1634, E1634) * 12, "")</f>
        <v/>
      </c>
      <c r="J1634" s="2">
        <f>IF(I1634="", "", IF(AND(A1634="MF (Equity)", I1634&gt;12), "Long Term", "Short Term"))</f>
        <v/>
      </c>
      <c r="K1634" s="5">
        <f>IF(J1634="", "", IF(J1634="Long Term", 12.5%, 20%))</f>
        <v/>
      </c>
      <c r="L1634" s="3">
        <f>+IFERROR(IF(J1634="","",H1634*K1634),"")</f>
        <v/>
      </c>
    </row>
    <row r="1635">
      <c r="A1635" s="11" t="n"/>
      <c r="B1635" s="7" t="n"/>
      <c r="C1635" s="8" t="n"/>
      <c r="D1635" s="9" t="n"/>
      <c r="E1635" s="8" t="n"/>
      <c r="F1635" s="9" t="n"/>
      <c r="G1635" s="9" t="n"/>
      <c r="H1635" s="3">
        <f>IF(AND(D1635&lt;&gt;"",F1635&lt;&gt;""),F1635-D1635-G1635,"")</f>
        <v/>
      </c>
      <c r="I1635" s="14">
        <f>IF(E1635&lt;&gt;"", YEARFRAC(C1635, E1635) * 12, "")</f>
        <v/>
      </c>
      <c r="J1635" s="2">
        <f>IF(I1635="", "", IF(AND(A1635="MF (Equity)", I1635&gt;12), "Long Term", "Short Term"))</f>
        <v/>
      </c>
      <c r="K1635" s="5">
        <f>IF(J1635="", "", IF(J1635="Long Term", 12.5%, 20%))</f>
        <v/>
      </c>
      <c r="L1635" s="3">
        <f>+IFERROR(IF(J1635="","",H1635*K1635),"")</f>
        <v/>
      </c>
    </row>
    <row r="1636">
      <c r="A1636" s="11" t="n"/>
      <c r="B1636" s="7" t="n"/>
      <c r="C1636" s="8" t="n"/>
      <c r="D1636" s="9" t="n"/>
      <c r="E1636" s="8" t="n"/>
      <c r="F1636" s="9" t="n"/>
      <c r="G1636" s="9" t="n"/>
      <c r="H1636" s="3">
        <f>IF(AND(D1636&lt;&gt;"",F1636&lt;&gt;""),F1636-D1636-G1636,"")</f>
        <v/>
      </c>
      <c r="I1636" s="14">
        <f>IF(E1636&lt;&gt;"", YEARFRAC(C1636, E1636) * 12, "")</f>
        <v/>
      </c>
      <c r="J1636" s="2">
        <f>IF(I1636="", "", IF(AND(A1636="MF (Equity)", I1636&gt;12), "Long Term", "Short Term"))</f>
        <v/>
      </c>
      <c r="K1636" s="5">
        <f>IF(J1636="", "", IF(J1636="Long Term", 12.5%, 20%))</f>
        <v/>
      </c>
      <c r="L1636" s="3">
        <f>+IFERROR(IF(J1636="","",H1636*K1636),"")</f>
        <v/>
      </c>
    </row>
    <row r="1637">
      <c r="A1637" s="11" t="n"/>
      <c r="B1637" s="7" t="n"/>
      <c r="C1637" s="8" t="n"/>
      <c r="D1637" s="9" t="n"/>
      <c r="E1637" s="8" t="n"/>
      <c r="F1637" s="9" t="n"/>
      <c r="G1637" s="9" t="n"/>
      <c r="H1637" s="3">
        <f>IF(AND(D1637&lt;&gt;"",F1637&lt;&gt;""),F1637-D1637-G1637,"")</f>
        <v/>
      </c>
      <c r="I1637" s="14">
        <f>IF(E1637&lt;&gt;"", YEARFRAC(C1637, E1637) * 12, "")</f>
        <v/>
      </c>
      <c r="J1637" s="2">
        <f>IF(I1637="", "", IF(AND(A1637="MF (Equity)", I1637&gt;12), "Long Term", "Short Term"))</f>
        <v/>
      </c>
      <c r="K1637" s="5">
        <f>IF(J1637="", "", IF(J1637="Long Term", 12.5%, 20%))</f>
        <v/>
      </c>
      <c r="L1637" s="3">
        <f>+IFERROR(IF(J1637="","",H1637*K1637),"")</f>
        <v/>
      </c>
    </row>
    <row r="1638">
      <c r="A1638" s="11" t="n"/>
      <c r="B1638" s="7" t="n"/>
      <c r="C1638" s="8" t="n"/>
      <c r="D1638" s="9" t="n"/>
      <c r="E1638" s="8" t="n"/>
      <c r="F1638" s="9" t="n"/>
      <c r="G1638" s="9" t="n"/>
      <c r="H1638" s="3">
        <f>IF(AND(D1638&lt;&gt;"",F1638&lt;&gt;""),F1638-D1638-G1638,"")</f>
        <v/>
      </c>
      <c r="I1638" s="14">
        <f>IF(E1638&lt;&gt;"", YEARFRAC(C1638, E1638) * 12, "")</f>
        <v/>
      </c>
      <c r="J1638" s="2">
        <f>IF(I1638="", "", IF(AND(A1638="MF (Equity)", I1638&gt;12), "Long Term", "Short Term"))</f>
        <v/>
      </c>
      <c r="K1638" s="5">
        <f>IF(J1638="", "", IF(J1638="Long Term", 12.5%, 20%))</f>
        <v/>
      </c>
      <c r="L1638" s="3">
        <f>+IFERROR(IF(J1638="","",H1638*K1638),"")</f>
        <v/>
      </c>
    </row>
    <row r="1639">
      <c r="A1639" s="11" t="n"/>
      <c r="B1639" s="7" t="n"/>
      <c r="C1639" s="8" t="n"/>
      <c r="D1639" s="9" t="n"/>
      <c r="E1639" s="8" t="n"/>
      <c r="F1639" s="9" t="n"/>
      <c r="G1639" s="9" t="n"/>
      <c r="H1639" s="3">
        <f>IF(AND(D1639&lt;&gt;"",F1639&lt;&gt;""),F1639-D1639-G1639,"")</f>
        <v/>
      </c>
      <c r="I1639" s="14">
        <f>IF(E1639&lt;&gt;"", YEARFRAC(C1639, E1639) * 12, "")</f>
        <v/>
      </c>
      <c r="J1639" s="2">
        <f>IF(I1639="", "", IF(AND(A1639="MF (Equity)", I1639&gt;12), "Long Term", "Short Term"))</f>
        <v/>
      </c>
      <c r="K1639" s="5">
        <f>IF(J1639="", "", IF(J1639="Long Term", 12.5%, 20%))</f>
        <v/>
      </c>
      <c r="L1639" s="3">
        <f>+IFERROR(IF(J1639="","",H1639*K1639),"")</f>
        <v/>
      </c>
    </row>
    <row r="1640">
      <c r="A1640" s="11" t="n"/>
      <c r="B1640" s="7" t="n"/>
      <c r="C1640" s="8" t="n"/>
      <c r="D1640" s="9" t="n"/>
      <c r="E1640" s="8" t="n"/>
      <c r="F1640" s="9" t="n"/>
      <c r="G1640" s="9" t="n"/>
      <c r="H1640" s="3">
        <f>IF(AND(D1640&lt;&gt;"",F1640&lt;&gt;""),F1640-D1640-G1640,"")</f>
        <v/>
      </c>
      <c r="I1640" s="14">
        <f>IF(E1640&lt;&gt;"", YEARFRAC(C1640, E1640) * 12, "")</f>
        <v/>
      </c>
      <c r="J1640" s="2">
        <f>IF(I1640="", "", IF(AND(A1640="MF (Equity)", I1640&gt;12), "Long Term", "Short Term"))</f>
        <v/>
      </c>
      <c r="K1640" s="5">
        <f>IF(J1640="", "", IF(J1640="Long Term", 12.5%, 20%))</f>
        <v/>
      </c>
      <c r="L1640" s="3">
        <f>+IFERROR(IF(J1640="","",H1640*K1640),"")</f>
        <v/>
      </c>
    </row>
    <row r="1641">
      <c r="A1641" s="11" t="n"/>
      <c r="B1641" s="7" t="n"/>
      <c r="C1641" s="8" t="n"/>
      <c r="D1641" s="9" t="n"/>
      <c r="E1641" s="8" t="n"/>
      <c r="F1641" s="9" t="n"/>
      <c r="G1641" s="9" t="n"/>
      <c r="H1641" s="3">
        <f>IF(AND(D1641&lt;&gt;"",F1641&lt;&gt;""),F1641-D1641-G1641,"")</f>
        <v/>
      </c>
      <c r="I1641" s="14">
        <f>IF(E1641&lt;&gt;"", YEARFRAC(C1641, E1641) * 12, "")</f>
        <v/>
      </c>
      <c r="J1641" s="2">
        <f>IF(I1641="", "", IF(AND(A1641="MF (Equity)", I1641&gt;12), "Long Term", "Short Term"))</f>
        <v/>
      </c>
      <c r="K1641" s="5">
        <f>IF(J1641="", "", IF(J1641="Long Term", 12.5%, 20%))</f>
        <v/>
      </c>
      <c r="L1641" s="3">
        <f>+IFERROR(IF(J1641="","",H1641*K1641),"")</f>
        <v/>
      </c>
    </row>
    <row r="1642">
      <c r="A1642" s="11" t="n"/>
      <c r="B1642" s="7" t="n"/>
      <c r="C1642" s="8" t="n"/>
      <c r="D1642" s="9" t="n"/>
      <c r="E1642" s="8" t="n"/>
      <c r="F1642" s="9" t="n"/>
      <c r="G1642" s="9" t="n"/>
      <c r="H1642" s="3">
        <f>IF(AND(D1642&lt;&gt;"",F1642&lt;&gt;""),F1642-D1642-G1642,"")</f>
        <v/>
      </c>
      <c r="I1642" s="14">
        <f>IF(E1642&lt;&gt;"", YEARFRAC(C1642, E1642) * 12, "")</f>
        <v/>
      </c>
      <c r="J1642" s="2">
        <f>IF(I1642="", "", IF(AND(A1642="MF (Equity)", I1642&gt;12), "Long Term", "Short Term"))</f>
        <v/>
      </c>
      <c r="K1642" s="5">
        <f>IF(J1642="", "", IF(J1642="Long Term", 12.5%, 20%))</f>
        <v/>
      </c>
      <c r="L1642" s="3">
        <f>+IFERROR(IF(J1642="","",H1642*K1642),"")</f>
        <v/>
      </c>
    </row>
    <row r="1643">
      <c r="A1643" s="11" t="n"/>
      <c r="B1643" s="7" t="n"/>
      <c r="C1643" s="8" t="n"/>
      <c r="D1643" s="9" t="n"/>
      <c r="E1643" s="8" t="n"/>
      <c r="F1643" s="9" t="n"/>
      <c r="G1643" s="9" t="n"/>
      <c r="H1643" s="3">
        <f>IF(AND(D1643&lt;&gt;"",F1643&lt;&gt;""),F1643-D1643-G1643,"")</f>
        <v/>
      </c>
      <c r="I1643" s="14">
        <f>IF(E1643&lt;&gt;"", YEARFRAC(C1643, E1643) * 12, "")</f>
        <v/>
      </c>
      <c r="J1643" s="2">
        <f>IF(I1643="", "", IF(AND(A1643="MF (Equity)", I1643&gt;12), "Long Term", "Short Term"))</f>
        <v/>
      </c>
      <c r="K1643" s="5">
        <f>IF(J1643="", "", IF(J1643="Long Term", 12.5%, 20%))</f>
        <v/>
      </c>
      <c r="L1643" s="3">
        <f>+IFERROR(IF(J1643="","",H1643*K1643),"")</f>
        <v/>
      </c>
    </row>
    <row r="1644">
      <c r="A1644" s="11" t="n"/>
      <c r="B1644" s="7" t="n"/>
      <c r="C1644" s="8" t="n"/>
      <c r="D1644" s="9" t="n"/>
      <c r="E1644" s="8" t="n"/>
      <c r="F1644" s="9" t="n"/>
      <c r="G1644" s="9" t="n"/>
      <c r="H1644" s="3">
        <f>IF(AND(D1644&lt;&gt;"",F1644&lt;&gt;""),F1644-D1644-G1644,"")</f>
        <v/>
      </c>
      <c r="I1644" s="14">
        <f>IF(E1644&lt;&gt;"", YEARFRAC(C1644, E1644) * 12, "")</f>
        <v/>
      </c>
      <c r="J1644" s="2">
        <f>IF(I1644="", "", IF(AND(A1644="MF (Equity)", I1644&gt;12), "Long Term", "Short Term"))</f>
        <v/>
      </c>
      <c r="K1644" s="5">
        <f>IF(J1644="", "", IF(J1644="Long Term", 12.5%, 20%))</f>
        <v/>
      </c>
      <c r="L1644" s="3">
        <f>+IFERROR(IF(J1644="","",H1644*K1644),"")</f>
        <v/>
      </c>
    </row>
    <row r="1645">
      <c r="A1645" s="11" t="n"/>
      <c r="B1645" s="7" t="n"/>
      <c r="C1645" s="8" t="n"/>
      <c r="D1645" s="9" t="n"/>
      <c r="E1645" s="8" t="n"/>
      <c r="F1645" s="9" t="n"/>
      <c r="G1645" s="9" t="n"/>
      <c r="H1645" s="3">
        <f>IF(AND(D1645&lt;&gt;"",F1645&lt;&gt;""),F1645-D1645-G1645,"")</f>
        <v/>
      </c>
      <c r="I1645" s="14">
        <f>IF(E1645&lt;&gt;"", YEARFRAC(C1645, E1645) * 12, "")</f>
        <v/>
      </c>
      <c r="J1645" s="2">
        <f>IF(I1645="", "", IF(AND(A1645="MF (Equity)", I1645&gt;12), "Long Term", "Short Term"))</f>
        <v/>
      </c>
      <c r="K1645" s="5">
        <f>IF(J1645="", "", IF(J1645="Long Term", 12.5%, 20%))</f>
        <v/>
      </c>
      <c r="L1645" s="3">
        <f>+IFERROR(IF(J1645="","",H1645*K1645),"")</f>
        <v/>
      </c>
    </row>
    <row r="1646">
      <c r="A1646" s="11" t="n"/>
      <c r="B1646" s="7" t="n"/>
      <c r="C1646" s="8" t="n"/>
      <c r="D1646" s="9" t="n"/>
      <c r="E1646" s="8" t="n"/>
      <c r="F1646" s="9" t="n"/>
      <c r="G1646" s="9" t="n"/>
      <c r="H1646" s="3">
        <f>IF(AND(D1646&lt;&gt;"",F1646&lt;&gt;""),F1646-D1646-G1646,"")</f>
        <v/>
      </c>
      <c r="I1646" s="14">
        <f>IF(E1646&lt;&gt;"", YEARFRAC(C1646, E1646) * 12, "")</f>
        <v/>
      </c>
      <c r="J1646" s="2">
        <f>IF(I1646="", "", IF(AND(A1646="MF (Equity)", I1646&gt;12), "Long Term", "Short Term"))</f>
        <v/>
      </c>
      <c r="K1646" s="5">
        <f>IF(J1646="", "", IF(J1646="Long Term", 12.5%, 20%))</f>
        <v/>
      </c>
      <c r="L1646" s="3">
        <f>+IFERROR(IF(J1646="","",H1646*K1646),"")</f>
        <v/>
      </c>
    </row>
    <row r="1647">
      <c r="A1647" s="11" t="n"/>
      <c r="B1647" s="7" t="n"/>
      <c r="C1647" s="8" t="n"/>
      <c r="D1647" s="9" t="n"/>
      <c r="E1647" s="8" t="n"/>
      <c r="F1647" s="9" t="n"/>
      <c r="G1647" s="9" t="n"/>
      <c r="H1647" s="3">
        <f>IF(AND(D1647&lt;&gt;"",F1647&lt;&gt;""),F1647-D1647-G1647,"")</f>
        <v/>
      </c>
      <c r="I1647" s="14">
        <f>IF(E1647&lt;&gt;"", YEARFRAC(C1647, E1647) * 12, "")</f>
        <v/>
      </c>
      <c r="J1647" s="2">
        <f>IF(I1647="", "", IF(AND(A1647="MF (Equity)", I1647&gt;12), "Long Term", "Short Term"))</f>
        <v/>
      </c>
      <c r="K1647" s="5">
        <f>IF(J1647="", "", IF(J1647="Long Term", 12.5%, 20%))</f>
        <v/>
      </c>
      <c r="L1647" s="3">
        <f>+IFERROR(IF(J1647="","",H1647*K1647),"")</f>
        <v/>
      </c>
    </row>
    <row r="1648">
      <c r="A1648" s="11" t="n"/>
      <c r="B1648" s="7" t="n"/>
      <c r="C1648" s="8" t="n"/>
      <c r="D1648" s="9" t="n"/>
      <c r="E1648" s="8" t="n"/>
      <c r="F1648" s="9" t="n"/>
      <c r="G1648" s="9" t="n"/>
      <c r="H1648" s="3">
        <f>IF(AND(D1648&lt;&gt;"",F1648&lt;&gt;""),F1648-D1648-G1648,"")</f>
        <v/>
      </c>
      <c r="I1648" s="14">
        <f>IF(E1648&lt;&gt;"", YEARFRAC(C1648, E1648) * 12, "")</f>
        <v/>
      </c>
      <c r="J1648" s="2">
        <f>IF(I1648="", "", IF(AND(A1648="MF (Equity)", I1648&gt;12), "Long Term", "Short Term"))</f>
        <v/>
      </c>
      <c r="K1648" s="5">
        <f>IF(J1648="", "", IF(J1648="Long Term", 12.5%, 20%))</f>
        <v/>
      </c>
      <c r="L1648" s="3">
        <f>+IFERROR(IF(J1648="","",H1648*K1648),"")</f>
        <v/>
      </c>
    </row>
    <row r="1649">
      <c r="A1649" s="11" t="n"/>
      <c r="B1649" s="7" t="n"/>
      <c r="C1649" s="8" t="n"/>
      <c r="D1649" s="9" t="n"/>
      <c r="E1649" s="8" t="n"/>
      <c r="F1649" s="9" t="n"/>
      <c r="G1649" s="9" t="n"/>
      <c r="H1649" s="3">
        <f>IF(AND(D1649&lt;&gt;"",F1649&lt;&gt;""),F1649-D1649-G1649,"")</f>
        <v/>
      </c>
      <c r="I1649" s="14">
        <f>IF(E1649&lt;&gt;"", YEARFRAC(C1649, E1649) * 12, "")</f>
        <v/>
      </c>
      <c r="J1649" s="2">
        <f>IF(I1649="", "", IF(AND(A1649="MF (Equity)", I1649&gt;12), "Long Term", "Short Term"))</f>
        <v/>
      </c>
      <c r="K1649" s="5">
        <f>IF(J1649="", "", IF(J1649="Long Term", 12.5%, 20%))</f>
        <v/>
      </c>
      <c r="L1649" s="3">
        <f>+IFERROR(IF(J1649="","",H1649*K1649),"")</f>
        <v/>
      </c>
    </row>
    <row r="1650">
      <c r="A1650" s="11" t="n"/>
      <c r="B1650" s="7" t="n"/>
      <c r="C1650" s="8" t="n"/>
      <c r="D1650" s="9" t="n"/>
      <c r="E1650" s="8" t="n"/>
      <c r="F1650" s="9" t="n"/>
      <c r="G1650" s="9" t="n"/>
      <c r="H1650" s="3">
        <f>IF(AND(D1650&lt;&gt;"",F1650&lt;&gt;""),F1650-D1650-G1650,"")</f>
        <v/>
      </c>
      <c r="I1650" s="14">
        <f>IF(E1650&lt;&gt;"", YEARFRAC(C1650, E1650) * 12, "")</f>
        <v/>
      </c>
      <c r="J1650" s="2">
        <f>IF(I1650="", "", IF(AND(A1650="MF (Equity)", I1650&gt;12), "Long Term", "Short Term"))</f>
        <v/>
      </c>
      <c r="K1650" s="5">
        <f>IF(J1650="", "", IF(J1650="Long Term", 12.5%, 20%))</f>
        <v/>
      </c>
      <c r="L1650" s="3">
        <f>+IFERROR(IF(J1650="","",H1650*K1650),"")</f>
        <v/>
      </c>
    </row>
    <row r="1651">
      <c r="A1651" s="11" t="n"/>
      <c r="B1651" s="7" t="n"/>
      <c r="C1651" s="8" t="n"/>
      <c r="D1651" s="9" t="n"/>
      <c r="E1651" s="8" t="n"/>
      <c r="F1651" s="9" t="n"/>
      <c r="G1651" s="9" t="n"/>
      <c r="H1651" s="3">
        <f>IF(AND(D1651&lt;&gt;"",F1651&lt;&gt;""),F1651-D1651-G1651,"")</f>
        <v/>
      </c>
      <c r="I1651" s="14">
        <f>IF(E1651&lt;&gt;"", YEARFRAC(C1651, E1651) * 12, "")</f>
        <v/>
      </c>
      <c r="J1651" s="2">
        <f>IF(I1651="", "", IF(AND(A1651="MF (Equity)", I1651&gt;12), "Long Term", "Short Term"))</f>
        <v/>
      </c>
      <c r="K1651" s="5">
        <f>IF(J1651="", "", IF(J1651="Long Term", 12.5%, 20%))</f>
        <v/>
      </c>
      <c r="L1651" s="3">
        <f>+IFERROR(IF(J1651="","",H1651*K1651),"")</f>
        <v/>
      </c>
    </row>
    <row r="1652">
      <c r="A1652" s="11" t="n"/>
      <c r="B1652" s="7" t="n"/>
      <c r="C1652" s="8" t="n"/>
      <c r="D1652" s="9" t="n"/>
      <c r="E1652" s="8" t="n"/>
      <c r="F1652" s="9" t="n"/>
      <c r="G1652" s="9" t="n"/>
      <c r="H1652" s="3">
        <f>IF(AND(D1652&lt;&gt;"",F1652&lt;&gt;""),F1652-D1652-G1652,"")</f>
        <v/>
      </c>
      <c r="I1652" s="14">
        <f>IF(E1652&lt;&gt;"", YEARFRAC(C1652, E1652) * 12, "")</f>
        <v/>
      </c>
      <c r="J1652" s="2">
        <f>IF(I1652="", "", IF(AND(A1652="MF (Equity)", I1652&gt;12), "Long Term", "Short Term"))</f>
        <v/>
      </c>
      <c r="K1652" s="5">
        <f>IF(J1652="", "", IF(J1652="Long Term", 12.5%, 20%))</f>
        <v/>
      </c>
      <c r="L1652" s="3">
        <f>+IFERROR(IF(J1652="","",H1652*K1652),"")</f>
        <v/>
      </c>
    </row>
    <row r="1653">
      <c r="A1653" s="11" t="n"/>
      <c r="B1653" s="7" t="n"/>
      <c r="C1653" s="8" t="n"/>
      <c r="D1653" s="9" t="n"/>
      <c r="E1653" s="8" t="n"/>
      <c r="F1653" s="9" t="n"/>
      <c r="G1653" s="9" t="n"/>
      <c r="H1653" s="3">
        <f>IF(AND(D1653&lt;&gt;"",F1653&lt;&gt;""),F1653-D1653-G1653,"")</f>
        <v/>
      </c>
      <c r="I1653" s="14">
        <f>IF(E1653&lt;&gt;"", YEARFRAC(C1653, E1653) * 12, "")</f>
        <v/>
      </c>
      <c r="J1653" s="2">
        <f>IF(I1653="", "", IF(AND(A1653="MF (Equity)", I1653&gt;12), "Long Term", "Short Term"))</f>
        <v/>
      </c>
      <c r="K1653" s="5">
        <f>IF(J1653="", "", IF(J1653="Long Term", 12.5%, 20%))</f>
        <v/>
      </c>
      <c r="L1653" s="3">
        <f>+IFERROR(IF(J1653="","",H1653*K1653),"")</f>
        <v/>
      </c>
    </row>
    <row r="1654">
      <c r="A1654" s="11" t="n"/>
      <c r="B1654" s="7" t="n"/>
      <c r="C1654" s="8" t="n"/>
      <c r="D1654" s="9" t="n"/>
      <c r="E1654" s="8" t="n"/>
      <c r="F1654" s="9" t="n"/>
      <c r="G1654" s="9" t="n"/>
      <c r="H1654" s="3">
        <f>IF(AND(D1654&lt;&gt;"",F1654&lt;&gt;""),F1654-D1654-G1654,"")</f>
        <v/>
      </c>
      <c r="I1654" s="14">
        <f>IF(E1654&lt;&gt;"", YEARFRAC(C1654, E1654) * 12, "")</f>
        <v/>
      </c>
      <c r="J1654" s="2">
        <f>IF(I1654="", "", IF(AND(A1654="MF (Equity)", I1654&gt;12), "Long Term", "Short Term"))</f>
        <v/>
      </c>
      <c r="K1654" s="5">
        <f>IF(J1654="", "", IF(J1654="Long Term", 12.5%, 20%))</f>
        <v/>
      </c>
      <c r="L1654" s="3">
        <f>+IFERROR(IF(J1654="","",H1654*K1654),"")</f>
        <v/>
      </c>
    </row>
    <row r="1655">
      <c r="A1655" s="11" t="n"/>
      <c r="B1655" s="7" t="n"/>
      <c r="C1655" s="8" t="n"/>
      <c r="D1655" s="9" t="n"/>
      <c r="E1655" s="8" t="n"/>
      <c r="F1655" s="9" t="n"/>
      <c r="G1655" s="9" t="n"/>
      <c r="H1655" s="3">
        <f>IF(AND(D1655&lt;&gt;"",F1655&lt;&gt;""),F1655-D1655-G1655,"")</f>
        <v/>
      </c>
      <c r="I1655" s="14">
        <f>IF(E1655&lt;&gt;"", YEARFRAC(C1655, E1655) * 12, "")</f>
        <v/>
      </c>
      <c r="J1655" s="2">
        <f>IF(I1655="", "", IF(AND(A1655="MF (Equity)", I1655&gt;12), "Long Term", "Short Term"))</f>
        <v/>
      </c>
      <c r="K1655" s="5">
        <f>IF(J1655="", "", IF(J1655="Long Term", 12.5%, 20%))</f>
        <v/>
      </c>
      <c r="L1655" s="3">
        <f>+IFERROR(IF(J1655="","",H1655*K1655),"")</f>
        <v/>
      </c>
    </row>
    <row r="1656">
      <c r="A1656" s="11" t="n"/>
      <c r="B1656" s="7" t="n"/>
      <c r="C1656" s="8" t="n"/>
      <c r="D1656" s="9" t="n"/>
      <c r="E1656" s="8" t="n"/>
      <c r="F1656" s="9" t="n"/>
      <c r="G1656" s="9" t="n"/>
      <c r="H1656" s="3">
        <f>IF(AND(D1656&lt;&gt;"",F1656&lt;&gt;""),F1656-D1656-G1656,"")</f>
        <v/>
      </c>
      <c r="I1656" s="14">
        <f>IF(E1656&lt;&gt;"", YEARFRAC(C1656, E1656) * 12, "")</f>
        <v/>
      </c>
      <c r="J1656" s="2">
        <f>IF(I1656="", "", IF(AND(A1656="MF (Equity)", I1656&gt;12), "Long Term", "Short Term"))</f>
        <v/>
      </c>
      <c r="K1656" s="5">
        <f>IF(J1656="", "", IF(J1656="Long Term", 12.5%, 20%))</f>
        <v/>
      </c>
      <c r="L1656" s="3">
        <f>+IFERROR(IF(J1656="","",H1656*K1656),"")</f>
        <v/>
      </c>
    </row>
    <row r="1657">
      <c r="A1657" s="11" t="n"/>
      <c r="B1657" s="7" t="n"/>
      <c r="C1657" s="8" t="n"/>
      <c r="D1657" s="9" t="n"/>
      <c r="E1657" s="8" t="n"/>
      <c r="F1657" s="9" t="n"/>
      <c r="G1657" s="9" t="n"/>
      <c r="H1657" s="3">
        <f>IF(AND(D1657&lt;&gt;"",F1657&lt;&gt;""),F1657-D1657-G1657,"")</f>
        <v/>
      </c>
      <c r="I1657" s="14">
        <f>IF(E1657&lt;&gt;"", YEARFRAC(C1657, E1657) * 12, "")</f>
        <v/>
      </c>
      <c r="J1657" s="2">
        <f>IF(I1657="", "", IF(AND(A1657="MF (Equity)", I1657&gt;12), "Long Term", "Short Term"))</f>
        <v/>
      </c>
      <c r="K1657" s="5">
        <f>IF(J1657="", "", IF(J1657="Long Term", 12.5%, 20%))</f>
        <v/>
      </c>
      <c r="L1657" s="3">
        <f>+IFERROR(IF(J1657="","",H1657*K1657),"")</f>
        <v/>
      </c>
    </row>
    <row r="1658">
      <c r="A1658" s="11" t="n"/>
      <c r="B1658" s="7" t="n"/>
      <c r="C1658" s="8" t="n"/>
      <c r="D1658" s="9" t="n"/>
      <c r="E1658" s="8" t="n"/>
      <c r="F1658" s="9" t="n"/>
      <c r="G1658" s="9" t="n"/>
      <c r="H1658" s="3">
        <f>IF(AND(D1658&lt;&gt;"",F1658&lt;&gt;""),F1658-D1658-G1658,"")</f>
        <v/>
      </c>
      <c r="I1658" s="14">
        <f>IF(E1658&lt;&gt;"", YEARFRAC(C1658, E1658) * 12, "")</f>
        <v/>
      </c>
      <c r="J1658" s="2">
        <f>IF(I1658="", "", IF(AND(A1658="MF (Equity)", I1658&gt;12), "Long Term", "Short Term"))</f>
        <v/>
      </c>
      <c r="K1658" s="5">
        <f>IF(J1658="", "", IF(J1658="Long Term", 12.5%, 20%))</f>
        <v/>
      </c>
      <c r="L1658" s="3">
        <f>+IFERROR(IF(J1658="","",H1658*K1658),"")</f>
        <v/>
      </c>
    </row>
    <row r="1659">
      <c r="A1659" s="11" t="n"/>
      <c r="B1659" s="7" t="n"/>
      <c r="C1659" s="8" t="n"/>
      <c r="D1659" s="9" t="n"/>
      <c r="E1659" s="8" t="n"/>
      <c r="F1659" s="9" t="n"/>
      <c r="G1659" s="9" t="n"/>
      <c r="H1659" s="3">
        <f>IF(AND(D1659&lt;&gt;"",F1659&lt;&gt;""),F1659-D1659-G1659,"")</f>
        <v/>
      </c>
      <c r="I1659" s="14">
        <f>IF(E1659&lt;&gt;"", YEARFRAC(C1659, E1659) * 12, "")</f>
        <v/>
      </c>
      <c r="J1659" s="2">
        <f>IF(I1659="", "", IF(AND(A1659="MF (Equity)", I1659&gt;12), "Long Term", "Short Term"))</f>
        <v/>
      </c>
      <c r="K1659" s="5">
        <f>IF(J1659="", "", IF(J1659="Long Term", 12.5%, 20%))</f>
        <v/>
      </c>
      <c r="L1659" s="3">
        <f>+IFERROR(IF(J1659="","",H1659*K1659),"")</f>
        <v/>
      </c>
    </row>
    <row r="1660">
      <c r="A1660" s="11" t="n"/>
      <c r="B1660" s="7" t="n"/>
      <c r="C1660" s="8" t="n"/>
      <c r="D1660" s="9" t="n"/>
      <c r="E1660" s="8" t="n"/>
      <c r="F1660" s="9" t="n"/>
      <c r="G1660" s="9" t="n"/>
      <c r="H1660" s="3">
        <f>IF(AND(D1660&lt;&gt;"",F1660&lt;&gt;""),F1660-D1660-G1660,"")</f>
        <v/>
      </c>
      <c r="I1660" s="14">
        <f>IF(E1660&lt;&gt;"", YEARFRAC(C1660, E1660) * 12, "")</f>
        <v/>
      </c>
      <c r="J1660" s="2">
        <f>IF(I1660="", "", IF(AND(A1660="MF (Equity)", I1660&gt;12), "Long Term", "Short Term"))</f>
        <v/>
      </c>
      <c r="K1660" s="5">
        <f>IF(J1660="", "", IF(J1660="Long Term", 12.5%, 20%))</f>
        <v/>
      </c>
      <c r="L1660" s="3">
        <f>+IFERROR(IF(J1660="","",H1660*K1660),"")</f>
        <v/>
      </c>
    </row>
    <row r="1661">
      <c r="A1661" s="11" t="n"/>
      <c r="B1661" s="7" t="n"/>
      <c r="C1661" s="8" t="n"/>
      <c r="D1661" s="9" t="n"/>
      <c r="E1661" s="8" t="n"/>
      <c r="F1661" s="9" t="n"/>
      <c r="G1661" s="9" t="n"/>
      <c r="H1661" s="3">
        <f>IF(AND(D1661&lt;&gt;"",F1661&lt;&gt;""),F1661-D1661-G1661,"")</f>
        <v/>
      </c>
      <c r="I1661" s="14">
        <f>IF(E1661&lt;&gt;"", YEARFRAC(C1661, E1661) * 12, "")</f>
        <v/>
      </c>
      <c r="J1661" s="2">
        <f>IF(I1661="", "", IF(AND(A1661="MF (Equity)", I1661&gt;12), "Long Term", "Short Term"))</f>
        <v/>
      </c>
      <c r="K1661" s="5">
        <f>IF(J1661="", "", IF(J1661="Long Term", 12.5%, 20%))</f>
        <v/>
      </c>
      <c r="L1661" s="3">
        <f>+IFERROR(IF(J1661="","",H1661*K1661),"")</f>
        <v/>
      </c>
    </row>
    <row r="1662">
      <c r="A1662" s="11" t="n"/>
      <c r="B1662" s="7" t="n"/>
      <c r="C1662" s="8" t="n"/>
      <c r="D1662" s="9" t="n"/>
      <c r="E1662" s="8" t="n"/>
      <c r="F1662" s="9" t="n"/>
      <c r="G1662" s="9" t="n"/>
      <c r="H1662" s="3">
        <f>IF(AND(D1662&lt;&gt;"",F1662&lt;&gt;""),F1662-D1662-G1662,"")</f>
        <v/>
      </c>
      <c r="I1662" s="14">
        <f>IF(E1662&lt;&gt;"", YEARFRAC(C1662, E1662) * 12, "")</f>
        <v/>
      </c>
      <c r="J1662" s="2">
        <f>IF(I1662="", "", IF(AND(A1662="MF (Equity)", I1662&gt;12), "Long Term", "Short Term"))</f>
        <v/>
      </c>
      <c r="K1662" s="5">
        <f>IF(J1662="", "", IF(J1662="Long Term", 12.5%, 20%))</f>
        <v/>
      </c>
      <c r="L1662" s="3">
        <f>+IFERROR(IF(J1662="","",H1662*K1662),"")</f>
        <v/>
      </c>
    </row>
    <row r="1663">
      <c r="A1663" s="11" t="n"/>
      <c r="B1663" s="7" t="n"/>
      <c r="C1663" s="8" t="n"/>
      <c r="D1663" s="9" t="n"/>
      <c r="E1663" s="8" t="n"/>
      <c r="F1663" s="9" t="n"/>
      <c r="G1663" s="9" t="n"/>
      <c r="H1663" s="3">
        <f>IF(AND(D1663&lt;&gt;"",F1663&lt;&gt;""),F1663-D1663-G1663,"")</f>
        <v/>
      </c>
      <c r="I1663" s="14">
        <f>IF(E1663&lt;&gt;"", YEARFRAC(C1663, E1663) * 12, "")</f>
        <v/>
      </c>
      <c r="J1663" s="2">
        <f>IF(I1663="", "", IF(AND(A1663="MF (Equity)", I1663&gt;12), "Long Term", "Short Term"))</f>
        <v/>
      </c>
      <c r="K1663" s="5">
        <f>IF(J1663="", "", IF(J1663="Long Term", 12.5%, 20%))</f>
        <v/>
      </c>
      <c r="L1663" s="3">
        <f>+IFERROR(IF(J1663="","",H1663*K1663),"")</f>
        <v/>
      </c>
    </row>
    <row r="1664">
      <c r="A1664" s="11" t="n"/>
      <c r="B1664" s="7" t="n"/>
      <c r="C1664" s="8" t="n"/>
      <c r="D1664" s="9" t="n"/>
      <c r="E1664" s="8" t="n"/>
      <c r="F1664" s="9" t="n"/>
      <c r="G1664" s="9" t="n"/>
      <c r="H1664" s="3">
        <f>IF(AND(D1664&lt;&gt;"",F1664&lt;&gt;""),F1664-D1664-G1664,"")</f>
        <v/>
      </c>
      <c r="I1664" s="14">
        <f>IF(E1664&lt;&gt;"", YEARFRAC(C1664, E1664) * 12, "")</f>
        <v/>
      </c>
      <c r="J1664" s="2">
        <f>IF(I1664="", "", IF(AND(A1664="MF (Equity)", I1664&gt;12), "Long Term", "Short Term"))</f>
        <v/>
      </c>
      <c r="K1664" s="5">
        <f>IF(J1664="", "", IF(J1664="Long Term", 12.5%, 20%))</f>
        <v/>
      </c>
      <c r="L1664" s="3">
        <f>+IFERROR(IF(J1664="","",H1664*K1664),"")</f>
        <v/>
      </c>
    </row>
    <row r="1665">
      <c r="A1665" s="11" t="n"/>
      <c r="B1665" s="7" t="n"/>
      <c r="C1665" s="8" t="n"/>
      <c r="D1665" s="9" t="n"/>
      <c r="E1665" s="8" t="n"/>
      <c r="F1665" s="9" t="n"/>
      <c r="G1665" s="9" t="n"/>
      <c r="H1665" s="3">
        <f>IF(AND(D1665&lt;&gt;"",F1665&lt;&gt;""),F1665-D1665-G1665,"")</f>
        <v/>
      </c>
      <c r="I1665" s="14">
        <f>IF(E1665&lt;&gt;"", YEARFRAC(C1665, E1665) * 12, "")</f>
        <v/>
      </c>
      <c r="J1665" s="2">
        <f>IF(I1665="", "", IF(AND(A1665="MF (Equity)", I1665&gt;12), "Long Term", "Short Term"))</f>
        <v/>
      </c>
      <c r="K1665" s="5">
        <f>IF(J1665="", "", IF(J1665="Long Term", 12.5%, 20%))</f>
        <v/>
      </c>
      <c r="L1665" s="3">
        <f>+IFERROR(IF(J1665="","",H1665*K1665),"")</f>
        <v/>
      </c>
    </row>
    <row r="1666">
      <c r="A1666" s="11" t="n"/>
      <c r="B1666" s="7" t="n"/>
      <c r="C1666" s="8" t="n"/>
      <c r="D1666" s="9" t="n"/>
      <c r="E1666" s="8" t="n"/>
      <c r="F1666" s="9" t="n"/>
      <c r="G1666" s="9" t="n"/>
      <c r="H1666" s="3">
        <f>IF(AND(D1666&lt;&gt;"",F1666&lt;&gt;""),F1666-D1666-G1666,"")</f>
        <v/>
      </c>
      <c r="I1666" s="14">
        <f>IF(E1666&lt;&gt;"", YEARFRAC(C1666, E1666) * 12, "")</f>
        <v/>
      </c>
      <c r="J1666" s="2">
        <f>IF(I1666="", "", IF(AND(A1666="MF (Equity)", I1666&gt;12), "Long Term", "Short Term"))</f>
        <v/>
      </c>
      <c r="K1666" s="5">
        <f>IF(J1666="", "", IF(J1666="Long Term", 12.5%, 20%))</f>
        <v/>
      </c>
      <c r="L1666" s="3">
        <f>+IFERROR(IF(J1666="","",H1666*K1666),"")</f>
        <v/>
      </c>
    </row>
    <row r="1667">
      <c r="A1667" s="11" t="n"/>
      <c r="B1667" s="7" t="n"/>
      <c r="C1667" s="8" t="n"/>
      <c r="D1667" s="9" t="n"/>
      <c r="E1667" s="8" t="n"/>
      <c r="F1667" s="9" t="n"/>
      <c r="G1667" s="9" t="n"/>
      <c r="H1667" s="3">
        <f>IF(AND(D1667&lt;&gt;"",F1667&lt;&gt;""),F1667-D1667-G1667,"")</f>
        <v/>
      </c>
      <c r="I1667" s="14">
        <f>IF(E1667&lt;&gt;"", YEARFRAC(C1667, E1667) * 12, "")</f>
        <v/>
      </c>
      <c r="J1667" s="2">
        <f>IF(I1667="", "", IF(AND(A1667="MF (Equity)", I1667&gt;12), "Long Term", "Short Term"))</f>
        <v/>
      </c>
      <c r="K1667" s="5">
        <f>IF(J1667="", "", IF(J1667="Long Term", 12.5%, 20%))</f>
        <v/>
      </c>
      <c r="L1667" s="3">
        <f>+IFERROR(IF(J1667="","",H1667*K1667),"")</f>
        <v/>
      </c>
    </row>
    <row r="1668">
      <c r="A1668" s="11" t="n"/>
      <c r="B1668" s="7" t="n"/>
      <c r="C1668" s="8" t="n"/>
      <c r="D1668" s="9" t="n"/>
      <c r="E1668" s="8" t="n"/>
      <c r="F1668" s="9" t="n"/>
      <c r="G1668" s="9" t="n"/>
      <c r="H1668" s="3">
        <f>IF(AND(D1668&lt;&gt;"",F1668&lt;&gt;""),F1668-D1668-G1668,"")</f>
        <v/>
      </c>
      <c r="I1668" s="14">
        <f>IF(E1668&lt;&gt;"", YEARFRAC(C1668, E1668) * 12, "")</f>
        <v/>
      </c>
      <c r="J1668" s="2">
        <f>IF(I1668="", "", IF(AND(A1668="MF (Equity)", I1668&gt;12), "Long Term", "Short Term"))</f>
        <v/>
      </c>
      <c r="K1668" s="5">
        <f>IF(J1668="", "", IF(J1668="Long Term", 12.5%, 20%))</f>
        <v/>
      </c>
      <c r="L1668" s="3">
        <f>+IFERROR(IF(J1668="","",H1668*K1668),"")</f>
        <v/>
      </c>
    </row>
    <row r="1669">
      <c r="A1669" s="11" t="n"/>
      <c r="B1669" s="7" t="n"/>
      <c r="C1669" s="8" t="n"/>
      <c r="D1669" s="9" t="n"/>
      <c r="E1669" s="8" t="n"/>
      <c r="F1669" s="9" t="n"/>
      <c r="G1669" s="9" t="n"/>
      <c r="H1669" s="3">
        <f>IF(AND(D1669&lt;&gt;"",F1669&lt;&gt;""),F1669-D1669-G1669,"")</f>
        <v/>
      </c>
      <c r="I1669" s="14">
        <f>IF(E1669&lt;&gt;"", YEARFRAC(C1669, E1669) * 12, "")</f>
        <v/>
      </c>
      <c r="J1669" s="2">
        <f>IF(I1669="", "", IF(AND(A1669="MF (Equity)", I1669&gt;12), "Long Term", "Short Term"))</f>
        <v/>
      </c>
      <c r="K1669" s="5">
        <f>IF(J1669="", "", IF(J1669="Long Term", 12.5%, 20%))</f>
        <v/>
      </c>
      <c r="L1669" s="3">
        <f>+IFERROR(IF(J1669="","",H1669*K1669),"")</f>
        <v/>
      </c>
    </row>
    <row r="1670">
      <c r="A1670" s="11" t="n"/>
      <c r="B1670" s="7" t="n"/>
      <c r="C1670" s="8" t="n"/>
      <c r="D1670" s="9" t="n"/>
      <c r="E1670" s="8" t="n"/>
      <c r="F1670" s="9" t="n"/>
      <c r="G1670" s="9" t="n"/>
      <c r="H1670" s="3">
        <f>IF(AND(D1670&lt;&gt;"",F1670&lt;&gt;""),F1670-D1670-G1670,"")</f>
        <v/>
      </c>
      <c r="I1670" s="14">
        <f>IF(E1670&lt;&gt;"", YEARFRAC(C1670, E1670) * 12, "")</f>
        <v/>
      </c>
      <c r="J1670" s="2">
        <f>IF(I1670="", "", IF(AND(A1670="MF (Equity)", I1670&gt;12), "Long Term", "Short Term"))</f>
        <v/>
      </c>
      <c r="K1670" s="5">
        <f>IF(J1670="", "", IF(J1670="Long Term", 12.5%, 20%))</f>
        <v/>
      </c>
      <c r="L1670" s="3">
        <f>+IFERROR(IF(J1670="","",H1670*K1670),"")</f>
        <v/>
      </c>
    </row>
    <row r="1671">
      <c r="A1671" s="11" t="n"/>
      <c r="B1671" s="7" t="n"/>
      <c r="C1671" s="8" t="n"/>
      <c r="D1671" s="9" t="n"/>
      <c r="E1671" s="8" t="n"/>
      <c r="F1671" s="9" t="n"/>
      <c r="G1671" s="9" t="n"/>
      <c r="H1671" s="3">
        <f>IF(AND(D1671&lt;&gt;"",F1671&lt;&gt;""),F1671-D1671-G1671,"")</f>
        <v/>
      </c>
      <c r="I1671" s="14">
        <f>IF(E1671&lt;&gt;"", YEARFRAC(C1671, E1671) * 12, "")</f>
        <v/>
      </c>
      <c r="J1671" s="2">
        <f>IF(I1671="", "", IF(AND(A1671="MF (Equity)", I1671&gt;12), "Long Term", "Short Term"))</f>
        <v/>
      </c>
      <c r="K1671" s="5">
        <f>IF(J1671="", "", IF(J1671="Long Term", 12.5%, 20%))</f>
        <v/>
      </c>
      <c r="L1671" s="3">
        <f>+IFERROR(IF(J1671="","",H1671*K1671),"")</f>
        <v/>
      </c>
    </row>
    <row r="1672">
      <c r="A1672" s="11" t="n"/>
      <c r="B1672" s="7" t="n"/>
      <c r="C1672" s="8" t="n"/>
      <c r="D1672" s="9" t="n"/>
      <c r="E1672" s="8" t="n"/>
      <c r="F1672" s="9" t="n"/>
      <c r="G1672" s="9" t="n"/>
      <c r="H1672" s="3">
        <f>IF(AND(D1672&lt;&gt;"",F1672&lt;&gt;""),F1672-D1672-G1672,"")</f>
        <v/>
      </c>
      <c r="I1672" s="14">
        <f>IF(E1672&lt;&gt;"", YEARFRAC(C1672, E1672) * 12, "")</f>
        <v/>
      </c>
      <c r="J1672" s="2">
        <f>IF(I1672="", "", IF(AND(A1672="MF (Equity)", I1672&gt;12), "Long Term", "Short Term"))</f>
        <v/>
      </c>
      <c r="K1672" s="5">
        <f>IF(J1672="", "", IF(J1672="Long Term", 12.5%, 20%))</f>
        <v/>
      </c>
      <c r="L1672" s="3">
        <f>+IFERROR(IF(J1672="","",H1672*K1672),"")</f>
        <v/>
      </c>
    </row>
    <row r="1673">
      <c r="A1673" s="11" t="n"/>
      <c r="B1673" s="7" t="n"/>
      <c r="C1673" s="8" t="n"/>
      <c r="D1673" s="9" t="n"/>
      <c r="E1673" s="8" t="n"/>
      <c r="F1673" s="9" t="n"/>
      <c r="G1673" s="9" t="n"/>
      <c r="H1673" s="3">
        <f>IF(AND(D1673&lt;&gt;"",F1673&lt;&gt;""),F1673-D1673-G1673,"")</f>
        <v/>
      </c>
      <c r="I1673" s="14">
        <f>IF(E1673&lt;&gt;"", YEARFRAC(C1673, E1673) * 12, "")</f>
        <v/>
      </c>
      <c r="J1673" s="2">
        <f>IF(I1673="", "", IF(AND(A1673="MF (Equity)", I1673&gt;12), "Long Term", "Short Term"))</f>
        <v/>
      </c>
      <c r="K1673" s="5">
        <f>IF(J1673="", "", IF(J1673="Long Term", 12.5%, 20%))</f>
        <v/>
      </c>
      <c r="L1673" s="3">
        <f>+IFERROR(IF(J1673="","",H1673*K1673),"")</f>
        <v/>
      </c>
    </row>
    <row r="1674">
      <c r="A1674" s="11" t="n"/>
      <c r="B1674" s="7" t="n"/>
      <c r="C1674" s="8" t="n"/>
      <c r="D1674" s="9" t="n"/>
      <c r="E1674" s="8" t="n"/>
      <c r="F1674" s="9" t="n"/>
      <c r="G1674" s="9" t="n"/>
      <c r="H1674" s="3">
        <f>IF(AND(D1674&lt;&gt;"",F1674&lt;&gt;""),F1674-D1674-G1674,"")</f>
        <v/>
      </c>
      <c r="I1674" s="14">
        <f>IF(E1674&lt;&gt;"", YEARFRAC(C1674, E1674) * 12, "")</f>
        <v/>
      </c>
      <c r="J1674" s="2">
        <f>IF(I1674="", "", IF(AND(A1674="MF (Equity)", I1674&gt;12), "Long Term", "Short Term"))</f>
        <v/>
      </c>
      <c r="K1674" s="5">
        <f>IF(J1674="", "", IF(J1674="Long Term", 12.5%, 20%))</f>
        <v/>
      </c>
      <c r="L1674" s="3">
        <f>+IFERROR(IF(J1674="","",H1674*K1674),"")</f>
        <v/>
      </c>
    </row>
    <row r="1675">
      <c r="A1675" s="11" t="n"/>
      <c r="B1675" s="7" t="n"/>
      <c r="C1675" s="8" t="n"/>
      <c r="D1675" s="9" t="n"/>
      <c r="E1675" s="8" t="n"/>
      <c r="F1675" s="9" t="n"/>
      <c r="G1675" s="9" t="n"/>
      <c r="H1675" s="3">
        <f>IF(AND(D1675&lt;&gt;"",F1675&lt;&gt;""),F1675-D1675-G1675,"")</f>
        <v/>
      </c>
      <c r="I1675" s="14">
        <f>IF(E1675&lt;&gt;"", YEARFRAC(C1675, E1675) * 12, "")</f>
        <v/>
      </c>
      <c r="J1675" s="2">
        <f>IF(I1675="", "", IF(AND(A1675="MF (Equity)", I1675&gt;12), "Long Term", "Short Term"))</f>
        <v/>
      </c>
      <c r="K1675" s="5">
        <f>IF(J1675="", "", IF(J1675="Long Term", 12.5%, 20%))</f>
        <v/>
      </c>
      <c r="L1675" s="3">
        <f>+IFERROR(IF(J1675="","",H1675*K1675),"")</f>
        <v/>
      </c>
    </row>
    <row r="1676">
      <c r="A1676" s="11" t="n"/>
      <c r="B1676" s="7" t="n"/>
      <c r="C1676" s="8" t="n"/>
      <c r="D1676" s="9" t="n"/>
      <c r="E1676" s="8" t="n"/>
      <c r="F1676" s="9" t="n"/>
      <c r="G1676" s="9" t="n"/>
      <c r="H1676" s="3">
        <f>IF(AND(D1676&lt;&gt;"",F1676&lt;&gt;""),F1676-D1676-G1676,"")</f>
        <v/>
      </c>
      <c r="I1676" s="14">
        <f>IF(E1676&lt;&gt;"", YEARFRAC(C1676, E1676) * 12, "")</f>
        <v/>
      </c>
      <c r="J1676" s="2">
        <f>IF(I1676="", "", IF(AND(A1676="MF (Equity)", I1676&gt;12), "Long Term", "Short Term"))</f>
        <v/>
      </c>
      <c r="K1676" s="5">
        <f>IF(J1676="", "", IF(J1676="Long Term", 12.5%, 20%))</f>
        <v/>
      </c>
      <c r="L1676" s="3">
        <f>+IFERROR(IF(J1676="","",H1676*K1676),"")</f>
        <v/>
      </c>
    </row>
    <row r="1677">
      <c r="A1677" s="11" t="n"/>
      <c r="B1677" s="7" t="n"/>
      <c r="C1677" s="8" t="n"/>
      <c r="D1677" s="9" t="n"/>
      <c r="E1677" s="8" t="n"/>
      <c r="F1677" s="9" t="n"/>
      <c r="G1677" s="9" t="n"/>
      <c r="H1677" s="3">
        <f>IF(AND(D1677&lt;&gt;"",F1677&lt;&gt;""),F1677-D1677-G1677,"")</f>
        <v/>
      </c>
      <c r="I1677" s="14">
        <f>IF(E1677&lt;&gt;"", YEARFRAC(C1677, E1677) * 12, "")</f>
        <v/>
      </c>
      <c r="J1677" s="2">
        <f>IF(I1677="", "", IF(AND(A1677="MF (Equity)", I1677&gt;12), "Long Term", "Short Term"))</f>
        <v/>
      </c>
      <c r="K1677" s="5">
        <f>IF(J1677="", "", IF(J1677="Long Term", 12.5%, 20%))</f>
        <v/>
      </c>
      <c r="L1677" s="3">
        <f>+IFERROR(IF(J1677="","",H1677*K1677),"")</f>
        <v/>
      </c>
    </row>
    <row r="1678">
      <c r="A1678" s="11" t="n"/>
      <c r="B1678" s="7" t="n"/>
      <c r="C1678" s="8" t="n"/>
      <c r="D1678" s="9" t="n"/>
      <c r="E1678" s="8" t="n"/>
      <c r="F1678" s="9" t="n"/>
      <c r="G1678" s="9" t="n"/>
      <c r="H1678" s="3">
        <f>IF(AND(D1678&lt;&gt;"",F1678&lt;&gt;""),F1678-D1678-G1678,"")</f>
        <v/>
      </c>
      <c r="I1678" s="14">
        <f>IF(E1678&lt;&gt;"", YEARFRAC(C1678, E1678) * 12, "")</f>
        <v/>
      </c>
      <c r="J1678" s="2">
        <f>IF(I1678="", "", IF(AND(A1678="MF (Equity)", I1678&gt;12), "Long Term", "Short Term"))</f>
        <v/>
      </c>
      <c r="K1678" s="5">
        <f>IF(J1678="", "", IF(J1678="Long Term", 12.5%, 20%))</f>
        <v/>
      </c>
      <c r="L1678" s="3">
        <f>+IFERROR(IF(J1678="","",H1678*K1678),"")</f>
        <v/>
      </c>
    </row>
    <row r="1679">
      <c r="A1679" s="11" t="n"/>
      <c r="B1679" s="7" t="n"/>
      <c r="C1679" s="8" t="n"/>
      <c r="D1679" s="9" t="n"/>
      <c r="E1679" s="8" t="n"/>
      <c r="F1679" s="9" t="n"/>
      <c r="G1679" s="9" t="n"/>
      <c r="H1679" s="3">
        <f>IF(AND(D1679&lt;&gt;"",F1679&lt;&gt;""),F1679-D1679-G1679,"")</f>
        <v/>
      </c>
      <c r="I1679" s="14">
        <f>IF(E1679&lt;&gt;"", YEARFRAC(C1679, E1679) * 12, "")</f>
        <v/>
      </c>
      <c r="J1679" s="2">
        <f>IF(I1679="", "", IF(AND(A1679="MF (Equity)", I1679&gt;12), "Long Term", "Short Term"))</f>
        <v/>
      </c>
      <c r="K1679" s="5">
        <f>IF(J1679="", "", IF(J1679="Long Term", 12.5%, 20%))</f>
        <v/>
      </c>
      <c r="L1679" s="3">
        <f>+IFERROR(IF(J1679="","",H1679*K1679),"")</f>
        <v/>
      </c>
    </row>
    <row r="1680">
      <c r="A1680" s="11" t="n"/>
      <c r="B1680" s="7" t="n"/>
      <c r="C1680" s="8" t="n"/>
      <c r="D1680" s="9" t="n"/>
      <c r="E1680" s="8" t="n"/>
      <c r="F1680" s="9" t="n"/>
      <c r="G1680" s="9" t="n"/>
      <c r="H1680" s="3">
        <f>IF(AND(D1680&lt;&gt;"",F1680&lt;&gt;""),F1680-D1680-G1680,"")</f>
        <v/>
      </c>
      <c r="I1680" s="14">
        <f>IF(E1680&lt;&gt;"", YEARFRAC(C1680, E1680) * 12, "")</f>
        <v/>
      </c>
      <c r="J1680" s="2">
        <f>IF(I1680="", "", IF(AND(A1680="MF (Equity)", I1680&gt;12), "Long Term", "Short Term"))</f>
        <v/>
      </c>
      <c r="K1680" s="5">
        <f>IF(J1680="", "", IF(J1680="Long Term", 12.5%, 20%))</f>
        <v/>
      </c>
      <c r="L1680" s="3">
        <f>+IFERROR(IF(J1680="","",H1680*K1680),"")</f>
        <v/>
      </c>
    </row>
    <row r="1681">
      <c r="A1681" s="11" t="n"/>
      <c r="B1681" s="7" t="n"/>
      <c r="C1681" s="8" t="n"/>
      <c r="D1681" s="9" t="n"/>
      <c r="E1681" s="8" t="n"/>
      <c r="F1681" s="9" t="n"/>
      <c r="G1681" s="9" t="n"/>
      <c r="H1681" s="3">
        <f>IF(AND(D1681&lt;&gt;"",F1681&lt;&gt;""),F1681-D1681-G1681,"")</f>
        <v/>
      </c>
      <c r="I1681" s="14">
        <f>IF(E1681&lt;&gt;"", YEARFRAC(C1681, E1681) * 12, "")</f>
        <v/>
      </c>
      <c r="J1681" s="2">
        <f>IF(I1681="", "", IF(AND(A1681="MF (Equity)", I1681&gt;12), "Long Term", "Short Term"))</f>
        <v/>
      </c>
      <c r="K1681" s="5">
        <f>IF(J1681="", "", IF(J1681="Long Term", 12.5%, 20%))</f>
        <v/>
      </c>
      <c r="L1681" s="3">
        <f>+IFERROR(IF(J1681="","",H1681*K1681),"")</f>
        <v/>
      </c>
    </row>
    <row r="1682">
      <c r="A1682" s="11" t="n"/>
      <c r="B1682" s="7" t="n"/>
      <c r="C1682" s="8" t="n"/>
      <c r="D1682" s="9" t="n"/>
      <c r="E1682" s="8" t="n"/>
      <c r="F1682" s="9" t="n"/>
      <c r="G1682" s="9" t="n"/>
      <c r="H1682" s="3">
        <f>IF(AND(D1682&lt;&gt;"",F1682&lt;&gt;""),F1682-D1682-G1682,"")</f>
        <v/>
      </c>
      <c r="I1682" s="14">
        <f>IF(E1682&lt;&gt;"", YEARFRAC(C1682, E1682) * 12, "")</f>
        <v/>
      </c>
      <c r="J1682" s="2">
        <f>IF(I1682="", "", IF(AND(A1682="MF (Equity)", I1682&gt;12), "Long Term", "Short Term"))</f>
        <v/>
      </c>
      <c r="K1682" s="5">
        <f>IF(J1682="", "", IF(J1682="Long Term", 12.5%, 20%))</f>
        <v/>
      </c>
      <c r="L1682" s="3">
        <f>+IFERROR(IF(J1682="","",H1682*K1682),"")</f>
        <v/>
      </c>
    </row>
    <row r="1683">
      <c r="A1683" s="11" t="n"/>
      <c r="B1683" s="7" t="n"/>
      <c r="C1683" s="8" t="n"/>
      <c r="D1683" s="9" t="n"/>
      <c r="E1683" s="8" t="n"/>
      <c r="F1683" s="9" t="n"/>
      <c r="G1683" s="9" t="n"/>
      <c r="H1683" s="3">
        <f>IF(AND(D1683&lt;&gt;"",F1683&lt;&gt;""),F1683-D1683-G1683,"")</f>
        <v/>
      </c>
      <c r="I1683" s="14">
        <f>IF(E1683&lt;&gt;"", YEARFRAC(C1683, E1683) * 12, "")</f>
        <v/>
      </c>
      <c r="J1683" s="2">
        <f>IF(I1683="", "", IF(AND(A1683="MF (Equity)", I1683&gt;12), "Long Term", "Short Term"))</f>
        <v/>
      </c>
      <c r="K1683" s="5">
        <f>IF(J1683="", "", IF(J1683="Long Term", 12.5%, 20%))</f>
        <v/>
      </c>
      <c r="L1683" s="3">
        <f>+IFERROR(IF(J1683="","",H1683*K1683),"")</f>
        <v/>
      </c>
    </row>
    <row r="1684">
      <c r="A1684" s="11" t="n"/>
      <c r="B1684" s="7" t="n"/>
      <c r="C1684" s="8" t="n"/>
      <c r="D1684" s="9" t="n"/>
      <c r="E1684" s="8" t="n"/>
      <c r="F1684" s="9" t="n"/>
      <c r="G1684" s="9" t="n"/>
      <c r="H1684" s="3">
        <f>IF(AND(D1684&lt;&gt;"",F1684&lt;&gt;""),F1684-D1684-G1684,"")</f>
        <v/>
      </c>
      <c r="I1684" s="14">
        <f>IF(E1684&lt;&gt;"", YEARFRAC(C1684, E1684) * 12, "")</f>
        <v/>
      </c>
      <c r="J1684" s="2">
        <f>IF(I1684="", "", IF(AND(A1684="MF (Equity)", I1684&gt;12), "Long Term", "Short Term"))</f>
        <v/>
      </c>
      <c r="K1684" s="5">
        <f>IF(J1684="", "", IF(J1684="Long Term", 12.5%, 20%))</f>
        <v/>
      </c>
      <c r="L1684" s="3">
        <f>+IFERROR(IF(J1684="","",H1684*K1684),"")</f>
        <v/>
      </c>
    </row>
    <row r="1685">
      <c r="A1685" s="11" t="n"/>
      <c r="B1685" s="7" t="n"/>
      <c r="C1685" s="8" t="n"/>
      <c r="D1685" s="9" t="n"/>
      <c r="E1685" s="8" t="n"/>
      <c r="F1685" s="9" t="n"/>
      <c r="G1685" s="9" t="n"/>
      <c r="H1685" s="3">
        <f>IF(AND(D1685&lt;&gt;"",F1685&lt;&gt;""),F1685-D1685-G1685,"")</f>
        <v/>
      </c>
      <c r="I1685" s="14">
        <f>IF(E1685&lt;&gt;"", YEARFRAC(C1685, E1685) * 12, "")</f>
        <v/>
      </c>
      <c r="J1685" s="2">
        <f>IF(I1685="", "", IF(AND(A1685="MF (Equity)", I1685&gt;12), "Long Term", "Short Term"))</f>
        <v/>
      </c>
      <c r="K1685" s="5">
        <f>IF(J1685="", "", IF(J1685="Long Term", 12.5%, 20%))</f>
        <v/>
      </c>
      <c r="L1685" s="3">
        <f>+IFERROR(IF(J1685="","",H1685*K1685),"")</f>
        <v/>
      </c>
    </row>
    <row r="1686">
      <c r="A1686" s="11" t="n"/>
      <c r="B1686" s="7" t="n"/>
      <c r="C1686" s="8" t="n"/>
      <c r="D1686" s="9" t="n"/>
      <c r="E1686" s="8" t="n"/>
      <c r="F1686" s="9" t="n"/>
      <c r="G1686" s="9" t="n"/>
      <c r="H1686" s="3">
        <f>IF(AND(D1686&lt;&gt;"",F1686&lt;&gt;""),F1686-D1686-G1686,"")</f>
        <v/>
      </c>
      <c r="I1686" s="14">
        <f>IF(E1686&lt;&gt;"", YEARFRAC(C1686, E1686) * 12, "")</f>
        <v/>
      </c>
      <c r="J1686" s="2">
        <f>IF(I1686="", "", IF(AND(A1686="MF (Equity)", I1686&gt;12), "Long Term", "Short Term"))</f>
        <v/>
      </c>
      <c r="K1686" s="5">
        <f>IF(J1686="", "", IF(J1686="Long Term", 12.5%, 20%))</f>
        <v/>
      </c>
      <c r="L1686" s="3">
        <f>+IFERROR(IF(J1686="","",H1686*K1686),"")</f>
        <v/>
      </c>
    </row>
    <row r="1687">
      <c r="A1687" s="11" t="n"/>
      <c r="B1687" s="7" t="n"/>
      <c r="C1687" s="8" t="n"/>
      <c r="D1687" s="9" t="n"/>
      <c r="E1687" s="8" t="n"/>
      <c r="F1687" s="9" t="n"/>
      <c r="G1687" s="9" t="n"/>
      <c r="H1687" s="3">
        <f>IF(AND(D1687&lt;&gt;"",F1687&lt;&gt;""),F1687-D1687-G1687,"")</f>
        <v/>
      </c>
      <c r="I1687" s="14">
        <f>IF(E1687&lt;&gt;"", YEARFRAC(C1687, E1687) * 12, "")</f>
        <v/>
      </c>
      <c r="J1687" s="2">
        <f>IF(I1687="", "", IF(AND(A1687="MF (Equity)", I1687&gt;12), "Long Term", "Short Term"))</f>
        <v/>
      </c>
      <c r="K1687" s="5">
        <f>IF(J1687="", "", IF(J1687="Long Term", 12.5%, 20%))</f>
        <v/>
      </c>
      <c r="L1687" s="3">
        <f>+IFERROR(IF(J1687="","",H1687*K1687),"")</f>
        <v/>
      </c>
    </row>
    <row r="1688">
      <c r="A1688" s="11" t="n"/>
      <c r="B1688" s="7" t="n"/>
      <c r="C1688" s="8" t="n"/>
      <c r="D1688" s="9" t="n"/>
      <c r="E1688" s="8" t="n"/>
      <c r="F1688" s="9" t="n"/>
      <c r="G1688" s="9" t="n"/>
      <c r="H1688" s="3">
        <f>IF(AND(D1688&lt;&gt;"",F1688&lt;&gt;""),F1688-D1688-G1688,"")</f>
        <v/>
      </c>
      <c r="I1688" s="14">
        <f>IF(E1688&lt;&gt;"", YEARFRAC(C1688, E1688) * 12, "")</f>
        <v/>
      </c>
      <c r="J1688" s="2">
        <f>IF(I1688="", "", IF(AND(A1688="MF (Equity)", I1688&gt;12), "Long Term", "Short Term"))</f>
        <v/>
      </c>
      <c r="K1688" s="5">
        <f>IF(J1688="", "", IF(J1688="Long Term", 12.5%, 20%))</f>
        <v/>
      </c>
      <c r="L1688" s="3">
        <f>+IFERROR(IF(J1688="","",H1688*K1688),"")</f>
        <v/>
      </c>
    </row>
    <row r="1689">
      <c r="A1689" s="11" t="n"/>
      <c r="B1689" s="7" t="n"/>
      <c r="C1689" s="8" t="n"/>
      <c r="D1689" s="9" t="n"/>
      <c r="E1689" s="8" t="n"/>
      <c r="F1689" s="9" t="n"/>
      <c r="G1689" s="9" t="n"/>
      <c r="H1689" s="3">
        <f>IF(AND(D1689&lt;&gt;"",F1689&lt;&gt;""),F1689-D1689-G1689,"")</f>
        <v/>
      </c>
      <c r="I1689" s="14">
        <f>IF(E1689&lt;&gt;"", YEARFRAC(C1689, E1689) * 12, "")</f>
        <v/>
      </c>
      <c r="J1689" s="2">
        <f>IF(I1689="", "", IF(AND(A1689="MF (Equity)", I1689&gt;12), "Long Term", "Short Term"))</f>
        <v/>
      </c>
      <c r="K1689" s="5">
        <f>IF(J1689="", "", IF(J1689="Long Term", 12.5%, 20%))</f>
        <v/>
      </c>
      <c r="L1689" s="3">
        <f>+IFERROR(IF(J1689="","",H1689*K1689),"")</f>
        <v/>
      </c>
    </row>
    <row r="1690">
      <c r="A1690" s="11" t="n"/>
      <c r="B1690" s="7" t="n"/>
      <c r="C1690" s="8" t="n"/>
      <c r="D1690" s="9" t="n"/>
      <c r="E1690" s="8" t="n"/>
      <c r="F1690" s="9" t="n"/>
      <c r="G1690" s="9" t="n"/>
      <c r="H1690" s="3">
        <f>IF(AND(D1690&lt;&gt;"",F1690&lt;&gt;""),F1690-D1690-G1690,"")</f>
        <v/>
      </c>
      <c r="I1690" s="14">
        <f>IF(E1690&lt;&gt;"", YEARFRAC(C1690, E1690) * 12, "")</f>
        <v/>
      </c>
      <c r="J1690" s="2">
        <f>IF(I1690="", "", IF(AND(A1690="MF (Equity)", I1690&gt;12), "Long Term", "Short Term"))</f>
        <v/>
      </c>
      <c r="K1690" s="5">
        <f>IF(J1690="", "", IF(J1690="Long Term", 12.5%, 20%))</f>
        <v/>
      </c>
      <c r="L1690" s="3">
        <f>+IFERROR(IF(J1690="","",H1690*K1690),"")</f>
        <v/>
      </c>
    </row>
    <row r="1691">
      <c r="A1691" s="11" t="n"/>
      <c r="B1691" s="7" t="n"/>
      <c r="C1691" s="8" t="n"/>
      <c r="D1691" s="9" t="n"/>
      <c r="E1691" s="8" t="n"/>
      <c r="F1691" s="9" t="n"/>
      <c r="G1691" s="9" t="n"/>
      <c r="H1691" s="3">
        <f>IF(AND(D1691&lt;&gt;"",F1691&lt;&gt;""),F1691-D1691-G1691,"")</f>
        <v/>
      </c>
      <c r="I1691" s="14">
        <f>IF(E1691&lt;&gt;"", YEARFRAC(C1691, E1691) * 12, "")</f>
        <v/>
      </c>
      <c r="J1691" s="2">
        <f>IF(I1691="", "", IF(AND(A1691="MF (Equity)", I1691&gt;12), "Long Term", "Short Term"))</f>
        <v/>
      </c>
      <c r="K1691" s="5">
        <f>IF(J1691="", "", IF(J1691="Long Term", 12.5%, 20%))</f>
        <v/>
      </c>
      <c r="L1691" s="3">
        <f>+IFERROR(IF(J1691="","",H1691*K1691),"")</f>
        <v/>
      </c>
    </row>
    <row r="1692">
      <c r="A1692" s="11" t="n"/>
      <c r="B1692" s="7" t="n"/>
      <c r="C1692" s="8" t="n"/>
      <c r="D1692" s="9" t="n"/>
      <c r="E1692" s="8" t="n"/>
      <c r="F1692" s="9" t="n"/>
      <c r="G1692" s="9" t="n"/>
      <c r="H1692" s="3">
        <f>IF(AND(D1692&lt;&gt;"",F1692&lt;&gt;""),F1692-D1692-G1692,"")</f>
        <v/>
      </c>
      <c r="I1692" s="14">
        <f>IF(E1692&lt;&gt;"", YEARFRAC(C1692, E1692) * 12, "")</f>
        <v/>
      </c>
      <c r="J1692" s="2">
        <f>IF(I1692="", "", IF(AND(A1692="MF (Equity)", I1692&gt;12), "Long Term", "Short Term"))</f>
        <v/>
      </c>
      <c r="K1692" s="5">
        <f>IF(J1692="", "", IF(J1692="Long Term", 12.5%, 20%))</f>
        <v/>
      </c>
      <c r="L1692" s="3">
        <f>+IFERROR(IF(J1692="","",H1692*K1692),"")</f>
        <v/>
      </c>
    </row>
    <row r="1693">
      <c r="A1693" s="11" t="n"/>
      <c r="B1693" s="7" t="n"/>
      <c r="C1693" s="8" t="n"/>
      <c r="D1693" s="9" t="n"/>
      <c r="E1693" s="8" t="n"/>
      <c r="F1693" s="9" t="n"/>
      <c r="G1693" s="9" t="n"/>
      <c r="H1693" s="3">
        <f>IF(AND(D1693&lt;&gt;"",F1693&lt;&gt;""),F1693-D1693-G1693,"")</f>
        <v/>
      </c>
      <c r="I1693" s="14">
        <f>IF(E1693&lt;&gt;"", YEARFRAC(C1693, E1693) * 12, "")</f>
        <v/>
      </c>
      <c r="J1693" s="2">
        <f>IF(I1693="", "", IF(AND(A1693="MF (Equity)", I1693&gt;12), "Long Term", "Short Term"))</f>
        <v/>
      </c>
      <c r="K1693" s="5">
        <f>IF(J1693="", "", IF(J1693="Long Term", 12.5%, 20%))</f>
        <v/>
      </c>
      <c r="L1693" s="3">
        <f>+IFERROR(IF(J1693="","",H1693*K1693),"")</f>
        <v/>
      </c>
    </row>
    <row r="1694">
      <c r="A1694" s="11" t="n"/>
      <c r="B1694" s="7" t="n"/>
      <c r="C1694" s="8" t="n"/>
      <c r="D1694" s="9" t="n"/>
      <c r="E1694" s="8" t="n"/>
      <c r="F1694" s="9" t="n"/>
      <c r="G1694" s="9" t="n"/>
      <c r="H1694" s="3">
        <f>IF(AND(D1694&lt;&gt;"",F1694&lt;&gt;""),F1694-D1694-G1694,"")</f>
        <v/>
      </c>
      <c r="I1694" s="14">
        <f>IF(E1694&lt;&gt;"", YEARFRAC(C1694, E1694) * 12, "")</f>
        <v/>
      </c>
      <c r="J1694" s="2">
        <f>IF(I1694="", "", IF(AND(A1694="MF (Equity)", I1694&gt;12), "Long Term", "Short Term"))</f>
        <v/>
      </c>
      <c r="K1694" s="5">
        <f>IF(J1694="", "", IF(J1694="Long Term", 12.5%, 20%))</f>
        <v/>
      </c>
      <c r="L1694" s="3">
        <f>+IFERROR(IF(J1694="","",H1694*K1694),"")</f>
        <v/>
      </c>
    </row>
    <row r="1695">
      <c r="A1695" s="11" t="n"/>
      <c r="B1695" s="7" t="n"/>
      <c r="C1695" s="8" t="n"/>
      <c r="D1695" s="9" t="n"/>
      <c r="E1695" s="8" t="n"/>
      <c r="F1695" s="9" t="n"/>
      <c r="G1695" s="9" t="n"/>
      <c r="H1695" s="3">
        <f>IF(AND(D1695&lt;&gt;"",F1695&lt;&gt;""),F1695-D1695-G1695,"")</f>
        <v/>
      </c>
      <c r="I1695" s="14">
        <f>IF(E1695&lt;&gt;"", YEARFRAC(C1695, E1695) * 12, "")</f>
        <v/>
      </c>
      <c r="J1695" s="2">
        <f>IF(I1695="", "", IF(AND(A1695="MF (Equity)", I1695&gt;12), "Long Term", "Short Term"))</f>
        <v/>
      </c>
      <c r="K1695" s="5">
        <f>IF(J1695="", "", IF(J1695="Long Term", 12.5%, 20%))</f>
        <v/>
      </c>
      <c r="L1695" s="3">
        <f>+IFERROR(IF(J1695="","",H1695*K1695),"")</f>
        <v/>
      </c>
    </row>
    <row r="1696">
      <c r="A1696" s="11" t="n"/>
      <c r="B1696" s="7" t="n"/>
      <c r="C1696" s="8" t="n"/>
      <c r="D1696" s="9" t="n"/>
      <c r="E1696" s="8" t="n"/>
      <c r="F1696" s="9" t="n"/>
      <c r="G1696" s="9" t="n"/>
      <c r="H1696" s="3">
        <f>IF(AND(D1696&lt;&gt;"",F1696&lt;&gt;""),F1696-D1696-G1696,"")</f>
        <v/>
      </c>
      <c r="I1696" s="14">
        <f>IF(E1696&lt;&gt;"", YEARFRAC(C1696, E1696) * 12, "")</f>
        <v/>
      </c>
      <c r="J1696" s="2">
        <f>IF(I1696="", "", IF(AND(A1696="MF (Equity)", I1696&gt;12), "Long Term", "Short Term"))</f>
        <v/>
      </c>
      <c r="K1696" s="5">
        <f>IF(J1696="", "", IF(J1696="Long Term", 12.5%, 20%))</f>
        <v/>
      </c>
      <c r="L1696" s="3">
        <f>+IFERROR(IF(J1696="","",H1696*K1696),"")</f>
        <v/>
      </c>
    </row>
    <row r="1697">
      <c r="A1697" s="11" t="n"/>
      <c r="B1697" s="7" t="n"/>
      <c r="C1697" s="8" t="n"/>
      <c r="D1697" s="9" t="n"/>
      <c r="E1697" s="8" t="n"/>
      <c r="F1697" s="9" t="n"/>
      <c r="G1697" s="9" t="n"/>
      <c r="H1697" s="3">
        <f>IF(AND(D1697&lt;&gt;"",F1697&lt;&gt;""),F1697-D1697-G1697,"")</f>
        <v/>
      </c>
      <c r="I1697" s="14">
        <f>IF(E1697&lt;&gt;"", YEARFRAC(C1697, E1697) * 12, "")</f>
        <v/>
      </c>
      <c r="J1697" s="2">
        <f>IF(I1697="", "", IF(AND(A1697="MF (Equity)", I1697&gt;12), "Long Term", "Short Term"))</f>
        <v/>
      </c>
      <c r="K1697" s="5">
        <f>IF(J1697="", "", IF(J1697="Long Term", 12.5%, 20%))</f>
        <v/>
      </c>
      <c r="L1697" s="3">
        <f>+IFERROR(IF(J1697="","",H1697*K1697),"")</f>
        <v/>
      </c>
    </row>
    <row r="1698">
      <c r="A1698" s="11" t="n"/>
      <c r="B1698" s="7" t="n"/>
      <c r="C1698" s="8" t="n"/>
      <c r="D1698" s="9" t="n"/>
      <c r="E1698" s="8" t="n"/>
      <c r="F1698" s="9" t="n"/>
      <c r="G1698" s="9" t="n"/>
      <c r="H1698" s="3">
        <f>IF(AND(D1698&lt;&gt;"",F1698&lt;&gt;""),F1698-D1698-G1698,"")</f>
        <v/>
      </c>
      <c r="I1698" s="14">
        <f>IF(E1698&lt;&gt;"", YEARFRAC(C1698, E1698) * 12, "")</f>
        <v/>
      </c>
      <c r="J1698" s="2">
        <f>IF(I1698="", "", IF(AND(A1698="MF (Equity)", I1698&gt;12), "Long Term", "Short Term"))</f>
        <v/>
      </c>
      <c r="K1698" s="5">
        <f>IF(J1698="", "", IF(J1698="Long Term", 12.5%, 20%))</f>
        <v/>
      </c>
      <c r="L1698" s="3">
        <f>+IFERROR(IF(J1698="","",H1698*K1698),"")</f>
        <v/>
      </c>
    </row>
    <row r="1699">
      <c r="A1699" s="11" t="n"/>
      <c r="B1699" s="7" t="n"/>
      <c r="C1699" s="8" t="n"/>
      <c r="D1699" s="9" t="n"/>
      <c r="E1699" s="8" t="n"/>
      <c r="F1699" s="9" t="n"/>
      <c r="G1699" s="9" t="n"/>
      <c r="H1699" s="3">
        <f>IF(AND(D1699&lt;&gt;"",F1699&lt;&gt;""),F1699-D1699-G1699,"")</f>
        <v/>
      </c>
      <c r="I1699" s="14">
        <f>IF(E1699&lt;&gt;"", YEARFRAC(C1699, E1699) * 12, "")</f>
        <v/>
      </c>
      <c r="J1699" s="2">
        <f>IF(I1699="", "", IF(AND(A1699="MF (Equity)", I1699&gt;12), "Long Term", "Short Term"))</f>
        <v/>
      </c>
      <c r="K1699" s="5">
        <f>IF(J1699="", "", IF(J1699="Long Term", 12.5%, 20%))</f>
        <v/>
      </c>
      <c r="L1699" s="3">
        <f>+IFERROR(IF(J1699="","",H1699*K1699),"")</f>
        <v/>
      </c>
    </row>
    <row r="1700">
      <c r="A1700" s="11" t="n"/>
      <c r="B1700" s="7" t="n"/>
      <c r="C1700" s="8" t="n"/>
      <c r="D1700" s="9" t="n"/>
      <c r="E1700" s="8" t="n"/>
      <c r="F1700" s="9" t="n"/>
      <c r="G1700" s="9" t="n"/>
      <c r="H1700" s="3">
        <f>IF(AND(D1700&lt;&gt;"",F1700&lt;&gt;""),F1700-D1700-G1700,"")</f>
        <v/>
      </c>
      <c r="I1700" s="14">
        <f>IF(E1700&lt;&gt;"", YEARFRAC(C1700, E1700) * 12, "")</f>
        <v/>
      </c>
      <c r="J1700" s="2">
        <f>IF(I1700="", "", IF(AND(A1700="MF (Equity)", I1700&gt;12), "Long Term", "Short Term"))</f>
        <v/>
      </c>
      <c r="K1700" s="5">
        <f>IF(J1700="", "", IF(J1700="Long Term", 12.5%, 20%))</f>
        <v/>
      </c>
      <c r="L1700" s="3">
        <f>+IFERROR(IF(J1700="","",H1700*K1700),"")</f>
        <v/>
      </c>
    </row>
    <row r="1701">
      <c r="A1701" s="11" t="n"/>
      <c r="B1701" s="7" t="n"/>
      <c r="C1701" s="8" t="n"/>
      <c r="D1701" s="9" t="n"/>
      <c r="E1701" s="8" t="n"/>
      <c r="F1701" s="9" t="n"/>
      <c r="G1701" s="9" t="n"/>
      <c r="H1701" s="3">
        <f>IF(AND(D1701&lt;&gt;"",F1701&lt;&gt;""),F1701-D1701-G1701,"")</f>
        <v/>
      </c>
      <c r="I1701" s="14">
        <f>IF(E1701&lt;&gt;"", YEARFRAC(C1701, E1701) * 12, "")</f>
        <v/>
      </c>
      <c r="J1701" s="2">
        <f>IF(I1701="", "", IF(AND(A1701="MF (Equity)", I1701&gt;12), "Long Term", "Short Term"))</f>
        <v/>
      </c>
      <c r="K1701" s="5">
        <f>IF(J1701="", "", IF(J1701="Long Term", 12.5%, 20%))</f>
        <v/>
      </c>
      <c r="L1701" s="3">
        <f>+IFERROR(IF(J1701="","",H1701*K1701),"")</f>
        <v/>
      </c>
    </row>
    <row r="1702">
      <c r="A1702" s="11" t="n"/>
      <c r="B1702" s="7" t="n"/>
      <c r="C1702" s="8" t="n"/>
      <c r="D1702" s="9" t="n"/>
      <c r="E1702" s="8" t="n"/>
      <c r="F1702" s="9" t="n"/>
      <c r="G1702" s="9" t="n"/>
      <c r="H1702" s="3">
        <f>IF(AND(D1702&lt;&gt;"",F1702&lt;&gt;""),F1702-D1702-G1702,"")</f>
        <v/>
      </c>
      <c r="I1702" s="14">
        <f>IF(E1702&lt;&gt;"", YEARFRAC(C1702, E1702) * 12, "")</f>
        <v/>
      </c>
      <c r="J1702" s="2">
        <f>IF(I1702="", "", IF(AND(A1702="MF (Equity)", I1702&gt;12), "Long Term", "Short Term"))</f>
        <v/>
      </c>
      <c r="K1702" s="5">
        <f>IF(J1702="", "", IF(J1702="Long Term", 12.5%, 20%))</f>
        <v/>
      </c>
      <c r="L1702" s="3">
        <f>+IFERROR(IF(J1702="","",H1702*K1702),"")</f>
        <v/>
      </c>
    </row>
    <row r="1703">
      <c r="A1703" s="11" t="n"/>
      <c r="B1703" s="7" t="n"/>
      <c r="C1703" s="8" t="n"/>
      <c r="D1703" s="9" t="n"/>
      <c r="E1703" s="8" t="n"/>
      <c r="F1703" s="9" t="n"/>
      <c r="G1703" s="9" t="n"/>
      <c r="H1703" s="3">
        <f>IF(AND(D1703&lt;&gt;"",F1703&lt;&gt;""),F1703-D1703-G1703,"")</f>
        <v/>
      </c>
      <c r="I1703" s="14">
        <f>IF(E1703&lt;&gt;"", YEARFRAC(C1703, E1703) * 12, "")</f>
        <v/>
      </c>
      <c r="J1703" s="2">
        <f>IF(I1703="", "", IF(AND(A1703="MF (Equity)", I1703&gt;12), "Long Term", "Short Term"))</f>
        <v/>
      </c>
      <c r="K1703" s="5">
        <f>IF(J1703="", "", IF(J1703="Long Term", 12.5%, 20%))</f>
        <v/>
      </c>
      <c r="L1703" s="3">
        <f>+IFERROR(IF(J1703="","",H1703*K1703),"")</f>
        <v/>
      </c>
    </row>
    <row r="1704">
      <c r="A1704" s="11" t="n"/>
      <c r="B1704" s="7" t="n"/>
      <c r="C1704" s="8" t="n"/>
      <c r="D1704" s="9" t="n"/>
      <c r="E1704" s="8" t="n"/>
      <c r="F1704" s="9" t="n"/>
      <c r="G1704" s="9" t="n"/>
      <c r="H1704" s="3">
        <f>IF(AND(D1704&lt;&gt;"",F1704&lt;&gt;""),F1704-D1704-G1704,"")</f>
        <v/>
      </c>
      <c r="I1704" s="14">
        <f>IF(E1704&lt;&gt;"", YEARFRAC(C1704, E1704) * 12, "")</f>
        <v/>
      </c>
      <c r="J1704" s="2">
        <f>IF(I1704="", "", IF(AND(A1704="MF (Equity)", I1704&gt;12), "Long Term", "Short Term"))</f>
        <v/>
      </c>
      <c r="K1704" s="5">
        <f>IF(J1704="", "", IF(J1704="Long Term", 12.5%, 20%))</f>
        <v/>
      </c>
      <c r="L1704" s="3">
        <f>+IFERROR(IF(J1704="","",H1704*K1704),"")</f>
        <v/>
      </c>
    </row>
    <row r="1705">
      <c r="A1705" s="11" t="n"/>
      <c r="B1705" s="7" t="n"/>
      <c r="C1705" s="8" t="n"/>
      <c r="D1705" s="9" t="n"/>
      <c r="E1705" s="8" t="n"/>
      <c r="F1705" s="9" t="n"/>
      <c r="G1705" s="9" t="n"/>
      <c r="H1705" s="3">
        <f>IF(AND(D1705&lt;&gt;"",F1705&lt;&gt;""),F1705-D1705-G1705,"")</f>
        <v/>
      </c>
      <c r="I1705" s="14">
        <f>IF(E1705&lt;&gt;"", YEARFRAC(C1705, E1705) * 12, "")</f>
        <v/>
      </c>
      <c r="J1705" s="2">
        <f>IF(I1705="", "", IF(AND(A1705="MF (Equity)", I1705&gt;12), "Long Term", "Short Term"))</f>
        <v/>
      </c>
      <c r="K1705" s="5">
        <f>IF(J1705="", "", IF(J1705="Long Term", 12.5%, 20%))</f>
        <v/>
      </c>
      <c r="L1705" s="3">
        <f>+IFERROR(IF(J1705="","",H1705*K1705),"")</f>
        <v/>
      </c>
    </row>
    <row r="1706">
      <c r="A1706" s="11" t="n"/>
      <c r="B1706" s="7" t="n"/>
      <c r="C1706" s="8" t="n"/>
      <c r="D1706" s="9" t="n"/>
      <c r="E1706" s="8" t="n"/>
      <c r="F1706" s="9" t="n"/>
      <c r="G1706" s="9" t="n"/>
      <c r="H1706" s="3">
        <f>IF(AND(D1706&lt;&gt;"",F1706&lt;&gt;""),F1706-D1706-G1706,"")</f>
        <v/>
      </c>
      <c r="I1706" s="14">
        <f>IF(E1706&lt;&gt;"", YEARFRAC(C1706, E1706) * 12, "")</f>
        <v/>
      </c>
      <c r="J1706" s="2">
        <f>IF(I1706="", "", IF(AND(A1706="MF (Equity)", I1706&gt;12), "Long Term", "Short Term"))</f>
        <v/>
      </c>
      <c r="K1706" s="5">
        <f>IF(J1706="", "", IF(J1706="Long Term", 12.5%, 20%))</f>
        <v/>
      </c>
      <c r="L1706" s="3">
        <f>+IFERROR(IF(J1706="","",H1706*K1706),"")</f>
        <v/>
      </c>
    </row>
    <row r="1707">
      <c r="A1707" s="11" t="n"/>
      <c r="B1707" s="7" t="n"/>
      <c r="C1707" s="8" t="n"/>
      <c r="D1707" s="9" t="n"/>
      <c r="E1707" s="8" t="n"/>
      <c r="F1707" s="9" t="n"/>
      <c r="G1707" s="9" t="n"/>
      <c r="H1707" s="3">
        <f>IF(AND(D1707&lt;&gt;"",F1707&lt;&gt;""),F1707-D1707-G1707,"")</f>
        <v/>
      </c>
      <c r="I1707" s="14">
        <f>IF(E1707&lt;&gt;"", YEARFRAC(C1707, E1707) * 12, "")</f>
        <v/>
      </c>
      <c r="J1707" s="2">
        <f>IF(I1707="", "", IF(AND(A1707="MF (Equity)", I1707&gt;12), "Long Term", "Short Term"))</f>
        <v/>
      </c>
      <c r="K1707" s="5">
        <f>IF(J1707="", "", IF(J1707="Long Term", 12.5%, 20%))</f>
        <v/>
      </c>
      <c r="L1707" s="3">
        <f>+IFERROR(IF(J1707="","",H1707*K1707),"")</f>
        <v/>
      </c>
    </row>
    <row r="1708">
      <c r="A1708" s="11" t="n"/>
      <c r="B1708" s="7" t="n"/>
      <c r="C1708" s="8" t="n"/>
      <c r="D1708" s="9" t="n"/>
      <c r="E1708" s="8" t="n"/>
      <c r="F1708" s="9" t="n"/>
      <c r="G1708" s="9" t="n"/>
      <c r="H1708" s="3">
        <f>IF(AND(D1708&lt;&gt;"",F1708&lt;&gt;""),F1708-D1708-G1708,"")</f>
        <v/>
      </c>
      <c r="I1708" s="14">
        <f>IF(E1708&lt;&gt;"", YEARFRAC(C1708, E1708) * 12, "")</f>
        <v/>
      </c>
      <c r="J1708" s="2">
        <f>IF(I1708="", "", IF(AND(A1708="MF (Equity)", I1708&gt;12), "Long Term", "Short Term"))</f>
        <v/>
      </c>
      <c r="K1708" s="5">
        <f>IF(J1708="", "", IF(J1708="Long Term", 12.5%, 20%))</f>
        <v/>
      </c>
      <c r="L1708" s="3">
        <f>+IFERROR(IF(J1708="","",H1708*K1708),"")</f>
        <v/>
      </c>
    </row>
    <row r="1709">
      <c r="A1709" s="11" t="n"/>
      <c r="B1709" s="7" t="n"/>
      <c r="C1709" s="8" t="n"/>
      <c r="D1709" s="9" t="n"/>
      <c r="E1709" s="8" t="n"/>
      <c r="F1709" s="9" t="n"/>
      <c r="G1709" s="9" t="n"/>
      <c r="H1709" s="3">
        <f>IF(AND(D1709&lt;&gt;"",F1709&lt;&gt;""),F1709-D1709-G1709,"")</f>
        <v/>
      </c>
      <c r="I1709" s="14">
        <f>IF(E1709&lt;&gt;"", YEARFRAC(C1709, E1709) * 12, "")</f>
        <v/>
      </c>
      <c r="J1709" s="2">
        <f>IF(I1709="", "", IF(AND(A1709="MF (Equity)", I1709&gt;12), "Long Term", "Short Term"))</f>
        <v/>
      </c>
      <c r="K1709" s="5">
        <f>IF(J1709="", "", IF(J1709="Long Term", 12.5%, 20%))</f>
        <v/>
      </c>
      <c r="L1709" s="3">
        <f>+IFERROR(IF(J1709="","",H1709*K1709),"")</f>
        <v/>
      </c>
    </row>
    <row r="1710">
      <c r="A1710" s="11" t="n"/>
      <c r="B1710" s="7" t="n"/>
      <c r="C1710" s="8" t="n"/>
      <c r="D1710" s="9" t="n"/>
      <c r="E1710" s="8" t="n"/>
      <c r="F1710" s="9" t="n"/>
      <c r="G1710" s="9" t="n"/>
      <c r="H1710" s="3">
        <f>IF(AND(D1710&lt;&gt;"",F1710&lt;&gt;""),F1710-D1710-G1710,"")</f>
        <v/>
      </c>
      <c r="I1710" s="14">
        <f>IF(E1710&lt;&gt;"", YEARFRAC(C1710, E1710) * 12, "")</f>
        <v/>
      </c>
      <c r="J1710" s="2">
        <f>IF(I1710="", "", IF(AND(A1710="MF (Equity)", I1710&gt;12), "Long Term", "Short Term"))</f>
        <v/>
      </c>
      <c r="K1710" s="5">
        <f>IF(J1710="", "", IF(J1710="Long Term", 12.5%, 20%))</f>
        <v/>
      </c>
      <c r="L1710" s="3">
        <f>+IFERROR(IF(J1710="","",H1710*K1710),"")</f>
        <v/>
      </c>
    </row>
    <row r="1711">
      <c r="A1711" s="11" t="n"/>
      <c r="B1711" s="7" t="n"/>
      <c r="C1711" s="8" t="n"/>
      <c r="D1711" s="9" t="n"/>
      <c r="E1711" s="8" t="n"/>
      <c r="F1711" s="9" t="n"/>
      <c r="G1711" s="9" t="n"/>
      <c r="H1711" s="3">
        <f>IF(AND(D1711&lt;&gt;"",F1711&lt;&gt;""),F1711-D1711-G1711,"")</f>
        <v/>
      </c>
      <c r="I1711" s="14">
        <f>IF(E1711&lt;&gt;"", YEARFRAC(C1711, E1711) * 12, "")</f>
        <v/>
      </c>
      <c r="J1711" s="2">
        <f>IF(I1711="", "", IF(AND(A1711="MF (Equity)", I1711&gt;12), "Long Term", "Short Term"))</f>
        <v/>
      </c>
      <c r="K1711" s="5">
        <f>IF(J1711="", "", IF(J1711="Long Term", 12.5%, 20%))</f>
        <v/>
      </c>
      <c r="L1711" s="3">
        <f>+IFERROR(IF(J1711="","",H1711*K1711),"")</f>
        <v/>
      </c>
    </row>
    <row r="1712">
      <c r="A1712" s="11" t="n"/>
      <c r="B1712" s="7" t="n"/>
      <c r="C1712" s="8" t="n"/>
      <c r="D1712" s="9" t="n"/>
      <c r="E1712" s="8" t="n"/>
      <c r="F1712" s="9" t="n"/>
      <c r="G1712" s="9" t="n"/>
      <c r="H1712" s="3">
        <f>IF(AND(D1712&lt;&gt;"",F1712&lt;&gt;""),F1712-D1712-G1712,"")</f>
        <v/>
      </c>
      <c r="I1712" s="14">
        <f>IF(E1712&lt;&gt;"", YEARFRAC(C1712, E1712) * 12, "")</f>
        <v/>
      </c>
      <c r="J1712" s="2">
        <f>IF(I1712="", "", IF(AND(A1712="MF (Equity)", I1712&gt;12), "Long Term", "Short Term"))</f>
        <v/>
      </c>
      <c r="K1712" s="5">
        <f>IF(J1712="", "", IF(J1712="Long Term", 12.5%, 20%))</f>
        <v/>
      </c>
      <c r="L1712" s="3">
        <f>+IFERROR(IF(J1712="","",H1712*K1712),"")</f>
        <v/>
      </c>
    </row>
    <row r="1713">
      <c r="A1713" s="11" t="n"/>
      <c r="B1713" s="7" t="n"/>
      <c r="C1713" s="8" t="n"/>
      <c r="D1713" s="9" t="n"/>
      <c r="E1713" s="8" t="n"/>
      <c r="F1713" s="9" t="n"/>
      <c r="G1713" s="9" t="n"/>
      <c r="H1713" s="3">
        <f>IF(AND(D1713&lt;&gt;"",F1713&lt;&gt;""),F1713-D1713-G1713,"")</f>
        <v/>
      </c>
      <c r="I1713" s="14">
        <f>IF(E1713&lt;&gt;"", YEARFRAC(C1713, E1713) * 12, "")</f>
        <v/>
      </c>
      <c r="J1713" s="2">
        <f>IF(I1713="", "", IF(AND(A1713="MF (Equity)", I1713&gt;12), "Long Term", "Short Term"))</f>
        <v/>
      </c>
      <c r="K1713" s="5">
        <f>IF(J1713="", "", IF(J1713="Long Term", 12.5%, 20%))</f>
        <v/>
      </c>
      <c r="L1713" s="3">
        <f>+IFERROR(IF(J1713="","",H1713*K1713),"")</f>
        <v/>
      </c>
    </row>
    <row r="1714">
      <c r="A1714" s="11" t="n"/>
      <c r="B1714" s="7" t="n"/>
      <c r="C1714" s="8" t="n"/>
      <c r="D1714" s="9" t="n"/>
      <c r="E1714" s="8" t="n"/>
      <c r="F1714" s="9" t="n"/>
      <c r="G1714" s="9" t="n"/>
      <c r="H1714" s="3">
        <f>IF(AND(D1714&lt;&gt;"",F1714&lt;&gt;""),F1714-D1714-G1714,"")</f>
        <v/>
      </c>
      <c r="I1714" s="14">
        <f>IF(E1714&lt;&gt;"", YEARFRAC(C1714, E1714) * 12, "")</f>
        <v/>
      </c>
      <c r="J1714" s="2">
        <f>IF(I1714="", "", IF(AND(A1714="MF (Equity)", I1714&gt;12), "Long Term", "Short Term"))</f>
        <v/>
      </c>
      <c r="K1714" s="5">
        <f>IF(J1714="", "", IF(J1714="Long Term", 12.5%, 20%))</f>
        <v/>
      </c>
      <c r="L1714" s="3">
        <f>+IFERROR(IF(J1714="","",H1714*K1714),"")</f>
        <v/>
      </c>
    </row>
    <row r="1715">
      <c r="A1715" s="11" t="n"/>
      <c r="B1715" s="7" t="n"/>
      <c r="C1715" s="8" t="n"/>
      <c r="D1715" s="9" t="n"/>
      <c r="E1715" s="8" t="n"/>
      <c r="F1715" s="9" t="n"/>
      <c r="G1715" s="9" t="n"/>
      <c r="H1715" s="3">
        <f>IF(AND(D1715&lt;&gt;"",F1715&lt;&gt;""),F1715-D1715-G1715,"")</f>
        <v/>
      </c>
      <c r="I1715" s="14">
        <f>IF(E1715&lt;&gt;"", YEARFRAC(C1715, E1715) * 12, "")</f>
        <v/>
      </c>
      <c r="J1715" s="2">
        <f>IF(I1715="", "", IF(AND(A1715="MF (Equity)", I1715&gt;12), "Long Term", "Short Term"))</f>
        <v/>
      </c>
      <c r="K1715" s="5">
        <f>IF(J1715="", "", IF(J1715="Long Term", 12.5%, 20%))</f>
        <v/>
      </c>
      <c r="L1715" s="3">
        <f>+IFERROR(IF(J1715="","",H1715*K1715),"")</f>
        <v/>
      </c>
    </row>
    <row r="1716">
      <c r="A1716" s="11" t="n"/>
      <c r="B1716" s="7" t="n"/>
      <c r="C1716" s="8" t="n"/>
      <c r="D1716" s="9" t="n"/>
      <c r="E1716" s="8" t="n"/>
      <c r="F1716" s="9" t="n"/>
      <c r="G1716" s="9" t="n"/>
      <c r="H1716" s="3">
        <f>IF(AND(D1716&lt;&gt;"",F1716&lt;&gt;""),F1716-D1716-G1716,"")</f>
        <v/>
      </c>
      <c r="I1716" s="14">
        <f>IF(E1716&lt;&gt;"", YEARFRAC(C1716, E1716) * 12, "")</f>
        <v/>
      </c>
      <c r="J1716" s="2">
        <f>IF(I1716="", "", IF(AND(A1716="MF (Equity)", I1716&gt;12), "Long Term", "Short Term"))</f>
        <v/>
      </c>
      <c r="K1716" s="5">
        <f>IF(J1716="", "", IF(J1716="Long Term", 12.5%, 20%))</f>
        <v/>
      </c>
      <c r="L1716" s="3">
        <f>+IFERROR(IF(J1716="","",H1716*K1716),"")</f>
        <v/>
      </c>
    </row>
    <row r="1717">
      <c r="A1717" s="11" t="n"/>
      <c r="B1717" s="7" t="n"/>
      <c r="C1717" s="8" t="n"/>
      <c r="D1717" s="9" t="n"/>
      <c r="E1717" s="8" t="n"/>
      <c r="F1717" s="9" t="n"/>
      <c r="G1717" s="9" t="n"/>
      <c r="H1717" s="3">
        <f>IF(AND(D1717&lt;&gt;"",F1717&lt;&gt;""),F1717-D1717-G1717,"")</f>
        <v/>
      </c>
      <c r="I1717" s="14">
        <f>IF(E1717&lt;&gt;"", YEARFRAC(C1717, E1717) * 12, "")</f>
        <v/>
      </c>
      <c r="J1717" s="2">
        <f>IF(I1717="", "", IF(AND(A1717="MF (Equity)", I1717&gt;12), "Long Term", "Short Term"))</f>
        <v/>
      </c>
      <c r="K1717" s="5">
        <f>IF(J1717="", "", IF(J1717="Long Term", 12.5%, 20%))</f>
        <v/>
      </c>
      <c r="L1717" s="3">
        <f>+IFERROR(IF(J1717="","",H1717*K1717),"")</f>
        <v/>
      </c>
    </row>
    <row r="1718">
      <c r="A1718" s="11" t="n"/>
      <c r="B1718" s="7" t="n"/>
      <c r="C1718" s="8" t="n"/>
      <c r="D1718" s="9" t="n"/>
      <c r="E1718" s="8" t="n"/>
      <c r="F1718" s="9" t="n"/>
      <c r="G1718" s="9" t="n"/>
      <c r="H1718" s="3">
        <f>IF(AND(D1718&lt;&gt;"",F1718&lt;&gt;""),F1718-D1718-G1718,"")</f>
        <v/>
      </c>
      <c r="I1718" s="14">
        <f>IF(E1718&lt;&gt;"", YEARFRAC(C1718, E1718) * 12, "")</f>
        <v/>
      </c>
      <c r="J1718" s="2">
        <f>IF(I1718="", "", IF(AND(A1718="MF (Equity)", I1718&gt;12), "Long Term", "Short Term"))</f>
        <v/>
      </c>
      <c r="K1718" s="5">
        <f>IF(J1718="", "", IF(J1718="Long Term", 12.5%, 20%))</f>
        <v/>
      </c>
      <c r="L1718" s="3">
        <f>+IFERROR(IF(J1718="","",H1718*K1718),"")</f>
        <v/>
      </c>
    </row>
    <row r="1719">
      <c r="A1719" s="11" t="n"/>
      <c r="B1719" s="7" t="n"/>
      <c r="C1719" s="8" t="n"/>
      <c r="D1719" s="9" t="n"/>
      <c r="E1719" s="8" t="n"/>
      <c r="F1719" s="9" t="n"/>
      <c r="G1719" s="9" t="n"/>
      <c r="H1719" s="3">
        <f>IF(AND(D1719&lt;&gt;"",F1719&lt;&gt;""),F1719-D1719-G1719,"")</f>
        <v/>
      </c>
      <c r="I1719" s="14">
        <f>IF(E1719&lt;&gt;"", YEARFRAC(C1719, E1719) * 12, "")</f>
        <v/>
      </c>
      <c r="J1719" s="2">
        <f>IF(I1719="", "", IF(AND(A1719="MF (Equity)", I1719&gt;12), "Long Term", "Short Term"))</f>
        <v/>
      </c>
      <c r="K1719" s="5">
        <f>IF(J1719="", "", IF(J1719="Long Term", 12.5%, 20%))</f>
        <v/>
      </c>
      <c r="L1719" s="3">
        <f>+IFERROR(IF(J1719="","",H1719*K1719),"")</f>
        <v/>
      </c>
    </row>
    <row r="1720">
      <c r="A1720" s="11" t="n"/>
      <c r="B1720" s="7" t="n"/>
      <c r="C1720" s="8" t="n"/>
      <c r="D1720" s="9" t="n"/>
      <c r="E1720" s="8" t="n"/>
      <c r="F1720" s="9" t="n"/>
      <c r="G1720" s="9" t="n"/>
      <c r="H1720" s="3">
        <f>IF(AND(D1720&lt;&gt;"",F1720&lt;&gt;""),F1720-D1720-G1720,"")</f>
        <v/>
      </c>
      <c r="I1720" s="14">
        <f>IF(E1720&lt;&gt;"", YEARFRAC(C1720, E1720) * 12, "")</f>
        <v/>
      </c>
      <c r="J1720" s="2">
        <f>IF(I1720="", "", IF(AND(A1720="MF (Equity)", I1720&gt;12), "Long Term", "Short Term"))</f>
        <v/>
      </c>
      <c r="K1720" s="5">
        <f>IF(J1720="", "", IF(J1720="Long Term", 12.5%, 20%))</f>
        <v/>
      </c>
      <c r="L1720" s="3">
        <f>+IFERROR(IF(J1720="","",H1720*K1720),"")</f>
        <v/>
      </c>
    </row>
    <row r="1721">
      <c r="A1721" s="11" t="n"/>
      <c r="B1721" s="7" t="n"/>
      <c r="C1721" s="8" t="n"/>
      <c r="D1721" s="9" t="n"/>
      <c r="E1721" s="8" t="n"/>
      <c r="F1721" s="9" t="n"/>
      <c r="G1721" s="9" t="n"/>
      <c r="H1721" s="3">
        <f>IF(AND(D1721&lt;&gt;"",F1721&lt;&gt;""),F1721-D1721-G1721,"")</f>
        <v/>
      </c>
      <c r="I1721" s="14">
        <f>IF(E1721&lt;&gt;"", YEARFRAC(C1721, E1721) * 12, "")</f>
        <v/>
      </c>
      <c r="J1721" s="2">
        <f>IF(I1721="", "", IF(AND(A1721="MF (Equity)", I1721&gt;12), "Long Term", "Short Term"))</f>
        <v/>
      </c>
      <c r="K1721" s="5">
        <f>IF(J1721="", "", IF(J1721="Long Term", 12.5%, 20%))</f>
        <v/>
      </c>
      <c r="L1721" s="3">
        <f>+IFERROR(IF(J1721="","",H1721*K1721),"")</f>
        <v/>
      </c>
    </row>
    <row r="1722">
      <c r="A1722" s="11" t="n"/>
      <c r="B1722" s="7" t="n"/>
      <c r="C1722" s="8" t="n"/>
      <c r="D1722" s="9" t="n"/>
      <c r="E1722" s="8" t="n"/>
      <c r="F1722" s="9" t="n"/>
      <c r="G1722" s="9" t="n"/>
      <c r="H1722" s="3">
        <f>IF(AND(D1722&lt;&gt;"",F1722&lt;&gt;""),F1722-D1722-G1722,"")</f>
        <v/>
      </c>
      <c r="I1722" s="14">
        <f>IF(E1722&lt;&gt;"", YEARFRAC(C1722, E1722) * 12, "")</f>
        <v/>
      </c>
      <c r="J1722" s="2">
        <f>IF(I1722="", "", IF(AND(A1722="MF (Equity)", I1722&gt;12), "Long Term", "Short Term"))</f>
        <v/>
      </c>
      <c r="K1722" s="5">
        <f>IF(J1722="", "", IF(J1722="Long Term", 12.5%, 20%))</f>
        <v/>
      </c>
      <c r="L1722" s="3">
        <f>+IFERROR(IF(J1722="","",H1722*K1722),"")</f>
        <v/>
      </c>
    </row>
    <row r="1723">
      <c r="A1723" s="11" t="n"/>
      <c r="B1723" s="7" t="n"/>
      <c r="C1723" s="8" t="n"/>
      <c r="D1723" s="9" t="n"/>
      <c r="E1723" s="8" t="n"/>
      <c r="F1723" s="9" t="n"/>
      <c r="G1723" s="9" t="n"/>
      <c r="H1723" s="3">
        <f>IF(AND(D1723&lt;&gt;"",F1723&lt;&gt;""),F1723-D1723-G1723,"")</f>
        <v/>
      </c>
      <c r="I1723" s="14">
        <f>IF(E1723&lt;&gt;"", YEARFRAC(C1723, E1723) * 12, "")</f>
        <v/>
      </c>
      <c r="J1723" s="2">
        <f>IF(I1723="", "", IF(AND(A1723="MF (Equity)", I1723&gt;12), "Long Term", "Short Term"))</f>
        <v/>
      </c>
      <c r="K1723" s="5">
        <f>IF(J1723="", "", IF(J1723="Long Term", 12.5%, 20%))</f>
        <v/>
      </c>
      <c r="L1723" s="3">
        <f>+IFERROR(IF(J1723="","",H1723*K1723),"")</f>
        <v/>
      </c>
    </row>
    <row r="1724">
      <c r="A1724" s="11" t="n"/>
      <c r="B1724" s="7" t="n"/>
      <c r="C1724" s="8" t="n"/>
      <c r="D1724" s="9" t="n"/>
      <c r="E1724" s="8" t="n"/>
      <c r="F1724" s="9" t="n"/>
      <c r="G1724" s="9" t="n"/>
      <c r="H1724" s="3">
        <f>IF(AND(D1724&lt;&gt;"",F1724&lt;&gt;""),F1724-D1724-G1724,"")</f>
        <v/>
      </c>
      <c r="I1724" s="14">
        <f>IF(E1724&lt;&gt;"", YEARFRAC(C1724, E1724) * 12, "")</f>
        <v/>
      </c>
      <c r="J1724" s="2">
        <f>IF(I1724="", "", IF(AND(A1724="MF (Equity)", I1724&gt;12), "Long Term", "Short Term"))</f>
        <v/>
      </c>
      <c r="K1724" s="5">
        <f>IF(J1724="", "", IF(J1724="Long Term", 12.5%, 20%))</f>
        <v/>
      </c>
      <c r="L1724" s="3">
        <f>+IFERROR(IF(J1724="","",H1724*K1724),"")</f>
        <v/>
      </c>
    </row>
    <row r="1725">
      <c r="A1725" s="11" t="n"/>
      <c r="B1725" s="7" t="n"/>
      <c r="C1725" s="8" t="n"/>
      <c r="D1725" s="9" t="n"/>
      <c r="E1725" s="8" t="n"/>
      <c r="F1725" s="9" t="n"/>
      <c r="G1725" s="9" t="n"/>
      <c r="H1725" s="3">
        <f>IF(AND(D1725&lt;&gt;"",F1725&lt;&gt;""),F1725-D1725-G1725,"")</f>
        <v/>
      </c>
      <c r="I1725" s="14">
        <f>IF(E1725&lt;&gt;"", YEARFRAC(C1725, E1725) * 12, "")</f>
        <v/>
      </c>
      <c r="J1725" s="2">
        <f>IF(I1725="", "", IF(AND(A1725="MF (Equity)", I1725&gt;12), "Long Term", "Short Term"))</f>
        <v/>
      </c>
      <c r="K1725" s="5">
        <f>IF(J1725="", "", IF(J1725="Long Term", 12.5%, 20%))</f>
        <v/>
      </c>
      <c r="L1725" s="3">
        <f>+IFERROR(IF(J1725="","",H1725*K1725),"")</f>
        <v/>
      </c>
    </row>
    <row r="1726">
      <c r="A1726" s="11" t="n"/>
      <c r="B1726" s="7" t="n"/>
      <c r="C1726" s="8" t="n"/>
      <c r="D1726" s="9" t="n"/>
      <c r="E1726" s="8" t="n"/>
      <c r="F1726" s="9" t="n"/>
      <c r="G1726" s="9" t="n"/>
      <c r="H1726" s="3">
        <f>IF(AND(D1726&lt;&gt;"",F1726&lt;&gt;""),F1726-D1726-G1726,"")</f>
        <v/>
      </c>
      <c r="I1726" s="14">
        <f>IF(E1726&lt;&gt;"", YEARFRAC(C1726, E1726) * 12, "")</f>
        <v/>
      </c>
      <c r="J1726" s="2">
        <f>IF(I1726="", "", IF(AND(A1726="MF (Equity)", I1726&gt;12), "Long Term", "Short Term"))</f>
        <v/>
      </c>
      <c r="K1726" s="5">
        <f>IF(J1726="", "", IF(J1726="Long Term", 12.5%, 20%))</f>
        <v/>
      </c>
      <c r="L1726" s="3">
        <f>+IFERROR(IF(J1726="","",H1726*K1726),"")</f>
        <v/>
      </c>
    </row>
    <row r="1727">
      <c r="A1727" s="11" t="n"/>
      <c r="B1727" s="7" t="n"/>
      <c r="C1727" s="8" t="n"/>
      <c r="D1727" s="9" t="n"/>
      <c r="E1727" s="8" t="n"/>
      <c r="F1727" s="9" t="n"/>
      <c r="G1727" s="9" t="n"/>
      <c r="H1727" s="3">
        <f>IF(AND(D1727&lt;&gt;"",F1727&lt;&gt;""),F1727-D1727-G1727,"")</f>
        <v/>
      </c>
      <c r="I1727" s="14">
        <f>IF(E1727&lt;&gt;"", YEARFRAC(C1727, E1727) * 12, "")</f>
        <v/>
      </c>
      <c r="J1727" s="2">
        <f>IF(I1727="", "", IF(AND(A1727="MF (Equity)", I1727&gt;12), "Long Term", "Short Term"))</f>
        <v/>
      </c>
      <c r="K1727" s="5">
        <f>IF(J1727="", "", IF(J1727="Long Term", 12.5%, 20%))</f>
        <v/>
      </c>
      <c r="L1727" s="3">
        <f>+IFERROR(IF(J1727="","",H1727*K1727),"")</f>
        <v/>
      </c>
    </row>
    <row r="1728">
      <c r="A1728" s="11" t="n"/>
      <c r="B1728" s="7" t="n"/>
      <c r="C1728" s="8" t="n"/>
      <c r="D1728" s="9" t="n"/>
      <c r="E1728" s="8" t="n"/>
      <c r="F1728" s="9" t="n"/>
      <c r="G1728" s="9" t="n"/>
      <c r="H1728" s="3">
        <f>IF(AND(D1728&lt;&gt;"",F1728&lt;&gt;""),F1728-D1728-G1728,"")</f>
        <v/>
      </c>
      <c r="I1728" s="14">
        <f>IF(E1728&lt;&gt;"", YEARFRAC(C1728, E1728) * 12, "")</f>
        <v/>
      </c>
      <c r="J1728" s="2">
        <f>IF(I1728="", "", IF(AND(A1728="MF (Equity)", I1728&gt;12), "Long Term", "Short Term"))</f>
        <v/>
      </c>
      <c r="K1728" s="5">
        <f>IF(J1728="", "", IF(J1728="Long Term", 12.5%, 20%))</f>
        <v/>
      </c>
      <c r="L1728" s="3">
        <f>+IFERROR(IF(J1728="","",H1728*K1728),"")</f>
        <v/>
      </c>
    </row>
    <row r="1729">
      <c r="A1729" s="11" t="n"/>
      <c r="B1729" s="7" t="n"/>
      <c r="C1729" s="8" t="n"/>
      <c r="D1729" s="9" t="n"/>
      <c r="E1729" s="8" t="n"/>
      <c r="F1729" s="9" t="n"/>
      <c r="G1729" s="9" t="n"/>
      <c r="H1729" s="3">
        <f>IF(AND(D1729&lt;&gt;"",F1729&lt;&gt;""),F1729-D1729-G1729,"")</f>
        <v/>
      </c>
      <c r="I1729" s="14">
        <f>IF(E1729&lt;&gt;"", YEARFRAC(C1729, E1729) * 12, "")</f>
        <v/>
      </c>
      <c r="J1729" s="2">
        <f>IF(I1729="", "", IF(AND(A1729="MF (Equity)", I1729&gt;12), "Long Term", "Short Term"))</f>
        <v/>
      </c>
      <c r="K1729" s="5">
        <f>IF(J1729="", "", IF(J1729="Long Term", 12.5%, 20%))</f>
        <v/>
      </c>
      <c r="L1729" s="3">
        <f>+IFERROR(IF(J1729="","",H1729*K1729),"")</f>
        <v/>
      </c>
    </row>
    <row r="1730">
      <c r="A1730" s="11" t="n"/>
      <c r="B1730" s="7" t="n"/>
      <c r="C1730" s="8" t="n"/>
      <c r="D1730" s="9" t="n"/>
      <c r="E1730" s="8" t="n"/>
      <c r="F1730" s="9" t="n"/>
      <c r="G1730" s="9" t="n"/>
      <c r="H1730" s="3">
        <f>IF(AND(D1730&lt;&gt;"",F1730&lt;&gt;""),F1730-D1730-G1730,"")</f>
        <v/>
      </c>
      <c r="I1730" s="14">
        <f>IF(E1730&lt;&gt;"", YEARFRAC(C1730, E1730) * 12, "")</f>
        <v/>
      </c>
      <c r="J1730" s="2">
        <f>IF(I1730="", "", IF(AND(A1730="MF (Equity)", I1730&gt;12), "Long Term", "Short Term"))</f>
        <v/>
      </c>
      <c r="K1730" s="5">
        <f>IF(J1730="", "", IF(J1730="Long Term", 12.5%, 20%))</f>
        <v/>
      </c>
      <c r="L1730" s="3">
        <f>+IFERROR(IF(J1730="","",H1730*K1730),"")</f>
        <v/>
      </c>
    </row>
    <row r="1731">
      <c r="A1731" s="11" t="n"/>
      <c r="B1731" s="7" t="n"/>
      <c r="C1731" s="8" t="n"/>
      <c r="D1731" s="9" t="n"/>
      <c r="E1731" s="8" t="n"/>
      <c r="F1731" s="9" t="n"/>
      <c r="G1731" s="9" t="n"/>
      <c r="H1731" s="3">
        <f>IF(AND(D1731&lt;&gt;"",F1731&lt;&gt;""),F1731-D1731-G1731,"")</f>
        <v/>
      </c>
      <c r="I1731" s="14">
        <f>IF(E1731&lt;&gt;"", YEARFRAC(C1731, E1731) * 12, "")</f>
        <v/>
      </c>
      <c r="J1731" s="2">
        <f>IF(I1731="", "", IF(AND(A1731="MF (Equity)", I1731&gt;12), "Long Term", "Short Term"))</f>
        <v/>
      </c>
      <c r="K1731" s="5">
        <f>IF(J1731="", "", IF(J1731="Long Term", 12.5%, 20%))</f>
        <v/>
      </c>
      <c r="L1731" s="3">
        <f>+IFERROR(IF(J1731="","",H1731*K1731),"")</f>
        <v/>
      </c>
    </row>
    <row r="1732">
      <c r="A1732" s="11" t="n"/>
      <c r="B1732" s="7" t="n"/>
      <c r="C1732" s="8" t="n"/>
      <c r="D1732" s="9" t="n"/>
      <c r="E1732" s="8" t="n"/>
      <c r="F1732" s="9" t="n"/>
      <c r="G1732" s="9" t="n"/>
      <c r="H1732" s="3">
        <f>IF(AND(D1732&lt;&gt;"",F1732&lt;&gt;""),F1732-D1732-G1732,"")</f>
        <v/>
      </c>
      <c r="I1732" s="14">
        <f>IF(E1732&lt;&gt;"", YEARFRAC(C1732, E1732) * 12, "")</f>
        <v/>
      </c>
      <c r="J1732" s="2">
        <f>IF(I1732="", "", IF(AND(A1732="MF (Equity)", I1732&gt;12), "Long Term", "Short Term"))</f>
        <v/>
      </c>
      <c r="K1732" s="5">
        <f>IF(J1732="", "", IF(J1732="Long Term", 12.5%, 20%))</f>
        <v/>
      </c>
      <c r="L1732" s="3">
        <f>+IFERROR(IF(J1732="","",H1732*K1732),"")</f>
        <v/>
      </c>
    </row>
    <row r="1733">
      <c r="A1733" s="11" t="n"/>
      <c r="B1733" s="7" t="n"/>
      <c r="C1733" s="8" t="n"/>
      <c r="D1733" s="9" t="n"/>
      <c r="E1733" s="8" t="n"/>
      <c r="F1733" s="9" t="n"/>
      <c r="G1733" s="9" t="n"/>
      <c r="H1733" s="3">
        <f>IF(AND(D1733&lt;&gt;"",F1733&lt;&gt;""),F1733-D1733-G1733,"")</f>
        <v/>
      </c>
      <c r="I1733" s="14">
        <f>IF(E1733&lt;&gt;"", YEARFRAC(C1733, E1733) * 12, "")</f>
        <v/>
      </c>
      <c r="J1733" s="2">
        <f>IF(I1733="", "", IF(AND(A1733="MF (Equity)", I1733&gt;12), "Long Term", "Short Term"))</f>
        <v/>
      </c>
      <c r="K1733" s="5">
        <f>IF(J1733="", "", IF(J1733="Long Term", 12.5%, 20%))</f>
        <v/>
      </c>
      <c r="L1733" s="3">
        <f>+IFERROR(IF(J1733="","",H1733*K1733),"")</f>
        <v/>
      </c>
    </row>
    <row r="1734">
      <c r="A1734" s="11" t="n"/>
      <c r="B1734" s="7" t="n"/>
      <c r="C1734" s="8" t="n"/>
      <c r="D1734" s="9" t="n"/>
      <c r="E1734" s="8" t="n"/>
      <c r="F1734" s="9" t="n"/>
      <c r="G1734" s="9" t="n"/>
      <c r="H1734" s="3">
        <f>IF(AND(D1734&lt;&gt;"",F1734&lt;&gt;""),F1734-D1734-G1734,"")</f>
        <v/>
      </c>
      <c r="I1734" s="14">
        <f>IF(E1734&lt;&gt;"", YEARFRAC(C1734, E1734) * 12, "")</f>
        <v/>
      </c>
      <c r="J1734" s="2">
        <f>IF(I1734="", "", IF(AND(A1734="MF (Equity)", I1734&gt;12), "Long Term", "Short Term"))</f>
        <v/>
      </c>
      <c r="K1734" s="5">
        <f>IF(J1734="", "", IF(J1734="Long Term", 12.5%, 20%))</f>
        <v/>
      </c>
      <c r="L1734" s="3">
        <f>+IFERROR(IF(J1734="","",H1734*K1734),"")</f>
        <v/>
      </c>
    </row>
    <row r="1735">
      <c r="A1735" s="11" t="n"/>
      <c r="B1735" s="7" t="n"/>
      <c r="C1735" s="8" t="n"/>
      <c r="D1735" s="9" t="n"/>
      <c r="E1735" s="8" t="n"/>
      <c r="F1735" s="9" t="n"/>
      <c r="G1735" s="9" t="n"/>
      <c r="H1735" s="3">
        <f>IF(AND(D1735&lt;&gt;"",F1735&lt;&gt;""),F1735-D1735-G1735,"")</f>
        <v/>
      </c>
      <c r="I1735" s="14">
        <f>IF(E1735&lt;&gt;"", YEARFRAC(C1735, E1735) * 12, "")</f>
        <v/>
      </c>
      <c r="J1735" s="2">
        <f>IF(I1735="", "", IF(AND(A1735="MF (Equity)", I1735&gt;12), "Long Term", "Short Term"))</f>
        <v/>
      </c>
      <c r="K1735" s="5">
        <f>IF(J1735="", "", IF(J1735="Long Term", 12.5%, 20%))</f>
        <v/>
      </c>
      <c r="L1735" s="3">
        <f>+IFERROR(IF(J1735="","",H1735*K1735),"")</f>
        <v/>
      </c>
    </row>
    <row r="1736">
      <c r="A1736" s="11" t="n"/>
      <c r="B1736" s="7" t="n"/>
      <c r="C1736" s="8" t="n"/>
      <c r="D1736" s="9" t="n"/>
      <c r="E1736" s="8" t="n"/>
      <c r="F1736" s="9" t="n"/>
      <c r="G1736" s="9" t="n"/>
      <c r="H1736" s="3">
        <f>IF(AND(D1736&lt;&gt;"",F1736&lt;&gt;""),F1736-D1736-G1736,"")</f>
        <v/>
      </c>
      <c r="I1736" s="14">
        <f>IF(E1736&lt;&gt;"", YEARFRAC(C1736, E1736) * 12, "")</f>
        <v/>
      </c>
      <c r="J1736" s="2">
        <f>IF(I1736="", "", IF(AND(A1736="MF (Equity)", I1736&gt;12), "Long Term", "Short Term"))</f>
        <v/>
      </c>
      <c r="K1736" s="5">
        <f>IF(J1736="", "", IF(J1736="Long Term", 12.5%, 20%))</f>
        <v/>
      </c>
      <c r="L1736" s="3">
        <f>+IFERROR(IF(J1736="","",H1736*K1736),"")</f>
        <v/>
      </c>
    </row>
    <row r="1737">
      <c r="A1737" s="11" t="n"/>
      <c r="B1737" s="7" t="n"/>
      <c r="C1737" s="8" t="n"/>
      <c r="D1737" s="9" t="n"/>
      <c r="E1737" s="8" t="n"/>
      <c r="F1737" s="9" t="n"/>
      <c r="G1737" s="9" t="n"/>
      <c r="H1737" s="3">
        <f>IF(AND(D1737&lt;&gt;"",F1737&lt;&gt;""),F1737-D1737-G1737,"")</f>
        <v/>
      </c>
      <c r="I1737" s="14">
        <f>IF(E1737&lt;&gt;"", YEARFRAC(C1737, E1737) * 12, "")</f>
        <v/>
      </c>
      <c r="J1737" s="2">
        <f>IF(I1737="", "", IF(AND(A1737="MF (Equity)", I1737&gt;12), "Long Term", "Short Term"))</f>
        <v/>
      </c>
      <c r="K1737" s="5">
        <f>IF(J1737="", "", IF(J1737="Long Term", 12.5%, 20%))</f>
        <v/>
      </c>
      <c r="L1737" s="3">
        <f>+IFERROR(IF(J1737="","",H1737*K1737),"")</f>
        <v/>
      </c>
    </row>
    <row r="1738">
      <c r="A1738" s="11" t="n"/>
      <c r="B1738" s="7" t="n"/>
      <c r="C1738" s="8" t="n"/>
      <c r="D1738" s="9" t="n"/>
      <c r="E1738" s="8" t="n"/>
      <c r="F1738" s="9" t="n"/>
      <c r="G1738" s="9" t="n"/>
      <c r="H1738" s="3">
        <f>IF(AND(D1738&lt;&gt;"",F1738&lt;&gt;""),F1738-D1738-G1738,"")</f>
        <v/>
      </c>
      <c r="I1738" s="14">
        <f>IF(E1738&lt;&gt;"", YEARFRAC(C1738, E1738) * 12, "")</f>
        <v/>
      </c>
      <c r="J1738" s="2">
        <f>IF(I1738="", "", IF(AND(A1738="MF (Equity)", I1738&gt;12), "Long Term", "Short Term"))</f>
        <v/>
      </c>
      <c r="K1738" s="5">
        <f>IF(J1738="", "", IF(J1738="Long Term", 12.5%, 20%))</f>
        <v/>
      </c>
      <c r="L1738" s="3">
        <f>+IFERROR(IF(J1738="","",H1738*K1738),"")</f>
        <v/>
      </c>
    </row>
    <row r="1739">
      <c r="A1739" s="11" t="n"/>
      <c r="B1739" s="7" t="n"/>
      <c r="C1739" s="8" t="n"/>
      <c r="D1739" s="9" t="n"/>
      <c r="E1739" s="8" t="n"/>
      <c r="F1739" s="9" t="n"/>
      <c r="G1739" s="9" t="n"/>
      <c r="H1739" s="3">
        <f>IF(AND(D1739&lt;&gt;"",F1739&lt;&gt;""),F1739-D1739-G1739,"")</f>
        <v/>
      </c>
      <c r="I1739" s="14">
        <f>IF(E1739&lt;&gt;"", YEARFRAC(C1739, E1739) * 12, "")</f>
        <v/>
      </c>
      <c r="J1739" s="2">
        <f>IF(I1739="", "", IF(AND(A1739="MF (Equity)", I1739&gt;12), "Long Term", "Short Term"))</f>
        <v/>
      </c>
      <c r="K1739" s="5">
        <f>IF(J1739="", "", IF(J1739="Long Term", 12.5%, 20%))</f>
        <v/>
      </c>
      <c r="L1739" s="3">
        <f>+IFERROR(IF(J1739="","",H1739*K1739),"")</f>
        <v/>
      </c>
    </row>
    <row r="1740">
      <c r="A1740" s="11" t="n"/>
      <c r="B1740" s="7" t="n"/>
      <c r="C1740" s="8" t="n"/>
      <c r="D1740" s="9" t="n"/>
      <c r="E1740" s="8" t="n"/>
      <c r="F1740" s="9" t="n"/>
      <c r="G1740" s="9" t="n"/>
      <c r="H1740" s="3">
        <f>IF(AND(D1740&lt;&gt;"",F1740&lt;&gt;""),F1740-D1740-G1740,"")</f>
        <v/>
      </c>
      <c r="I1740" s="14">
        <f>IF(E1740&lt;&gt;"", YEARFRAC(C1740, E1740) * 12, "")</f>
        <v/>
      </c>
      <c r="J1740" s="2">
        <f>IF(I1740="", "", IF(AND(A1740="MF (Equity)", I1740&gt;12), "Long Term", "Short Term"))</f>
        <v/>
      </c>
      <c r="K1740" s="5">
        <f>IF(J1740="", "", IF(J1740="Long Term", 12.5%, 20%))</f>
        <v/>
      </c>
      <c r="L1740" s="3">
        <f>+IFERROR(IF(J1740="","",H1740*K1740),"")</f>
        <v/>
      </c>
    </row>
    <row r="1741">
      <c r="A1741" s="11" t="n"/>
      <c r="B1741" s="7" t="n"/>
      <c r="C1741" s="8" t="n"/>
      <c r="D1741" s="9" t="n"/>
      <c r="E1741" s="8" t="n"/>
      <c r="F1741" s="9" t="n"/>
      <c r="G1741" s="9" t="n"/>
      <c r="H1741" s="3">
        <f>IF(AND(D1741&lt;&gt;"",F1741&lt;&gt;""),F1741-D1741-G1741,"")</f>
        <v/>
      </c>
      <c r="I1741" s="14">
        <f>IF(E1741&lt;&gt;"", YEARFRAC(C1741, E1741) * 12, "")</f>
        <v/>
      </c>
      <c r="J1741" s="2">
        <f>IF(I1741="", "", IF(AND(A1741="MF (Equity)", I1741&gt;12), "Long Term", "Short Term"))</f>
        <v/>
      </c>
      <c r="K1741" s="5">
        <f>IF(J1741="", "", IF(J1741="Long Term", 12.5%, 20%))</f>
        <v/>
      </c>
      <c r="L1741" s="3">
        <f>+IFERROR(IF(J1741="","",H1741*K1741),"")</f>
        <v/>
      </c>
    </row>
    <row r="1742">
      <c r="A1742" s="11" t="n"/>
      <c r="B1742" s="7" t="n"/>
      <c r="C1742" s="8" t="n"/>
      <c r="D1742" s="9" t="n"/>
      <c r="E1742" s="8" t="n"/>
      <c r="F1742" s="9" t="n"/>
      <c r="G1742" s="9" t="n"/>
      <c r="H1742" s="3">
        <f>IF(AND(D1742&lt;&gt;"",F1742&lt;&gt;""),F1742-D1742-G1742,"")</f>
        <v/>
      </c>
      <c r="I1742" s="14">
        <f>IF(E1742&lt;&gt;"", YEARFRAC(C1742, E1742) * 12, "")</f>
        <v/>
      </c>
      <c r="J1742" s="2">
        <f>IF(I1742="", "", IF(AND(A1742="MF (Equity)", I1742&gt;12), "Long Term", "Short Term"))</f>
        <v/>
      </c>
      <c r="K1742" s="5">
        <f>IF(J1742="", "", IF(J1742="Long Term", 12.5%, 20%))</f>
        <v/>
      </c>
      <c r="L1742" s="3">
        <f>+IFERROR(IF(J1742="","",H1742*K1742),"")</f>
        <v/>
      </c>
    </row>
    <row r="1743">
      <c r="A1743" s="11" t="n"/>
      <c r="B1743" s="7" t="n"/>
      <c r="C1743" s="8" t="n"/>
      <c r="D1743" s="9" t="n"/>
      <c r="E1743" s="8" t="n"/>
      <c r="F1743" s="9" t="n"/>
      <c r="G1743" s="9" t="n"/>
      <c r="H1743" s="3">
        <f>IF(AND(D1743&lt;&gt;"",F1743&lt;&gt;""),F1743-D1743-G1743,"")</f>
        <v/>
      </c>
      <c r="I1743" s="14">
        <f>IF(E1743&lt;&gt;"", YEARFRAC(C1743, E1743) * 12, "")</f>
        <v/>
      </c>
      <c r="J1743" s="2">
        <f>IF(I1743="", "", IF(AND(A1743="MF (Equity)", I1743&gt;12), "Long Term", "Short Term"))</f>
        <v/>
      </c>
      <c r="K1743" s="5">
        <f>IF(J1743="", "", IF(J1743="Long Term", 12.5%, 20%))</f>
        <v/>
      </c>
      <c r="L1743" s="3">
        <f>+IFERROR(IF(J1743="","",H1743*K1743),"")</f>
        <v/>
      </c>
    </row>
    <row r="1744">
      <c r="A1744" s="11" t="n"/>
      <c r="B1744" s="7" t="n"/>
      <c r="C1744" s="8" t="n"/>
      <c r="D1744" s="9" t="n"/>
      <c r="E1744" s="8" t="n"/>
      <c r="F1744" s="9" t="n"/>
      <c r="G1744" s="9" t="n"/>
      <c r="H1744" s="3">
        <f>IF(AND(D1744&lt;&gt;"",F1744&lt;&gt;""),F1744-D1744-G1744,"")</f>
        <v/>
      </c>
      <c r="I1744" s="14">
        <f>IF(E1744&lt;&gt;"", YEARFRAC(C1744, E1744) * 12, "")</f>
        <v/>
      </c>
      <c r="J1744" s="2">
        <f>IF(I1744="", "", IF(AND(A1744="MF (Equity)", I1744&gt;12), "Long Term", "Short Term"))</f>
        <v/>
      </c>
      <c r="K1744" s="5">
        <f>IF(J1744="", "", IF(J1744="Long Term", 12.5%, 20%))</f>
        <v/>
      </c>
      <c r="L1744" s="3">
        <f>+IFERROR(IF(J1744="","",H1744*K1744),"")</f>
        <v/>
      </c>
    </row>
    <row r="1745">
      <c r="A1745" s="11" t="n"/>
      <c r="B1745" s="7" t="n"/>
      <c r="C1745" s="8" t="n"/>
      <c r="D1745" s="9" t="n"/>
      <c r="E1745" s="8" t="n"/>
      <c r="F1745" s="9" t="n"/>
      <c r="G1745" s="9" t="n"/>
      <c r="H1745" s="3">
        <f>IF(AND(D1745&lt;&gt;"",F1745&lt;&gt;""),F1745-D1745-G1745,"")</f>
        <v/>
      </c>
      <c r="I1745" s="14">
        <f>IF(E1745&lt;&gt;"", YEARFRAC(C1745, E1745) * 12, "")</f>
        <v/>
      </c>
      <c r="J1745" s="2">
        <f>IF(I1745="", "", IF(AND(A1745="MF (Equity)", I1745&gt;12), "Long Term", "Short Term"))</f>
        <v/>
      </c>
      <c r="K1745" s="5">
        <f>IF(J1745="", "", IF(J1745="Long Term", 12.5%, 20%))</f>
        <v/>
      </c>
      <c r="L1745" s="3">
        <f>+IFERROR(IF(J1745="","",H1745*K1745),"")</f>
        <v/>
      </c>
    </row>
    <row r="1746">
      <c r="A1746" s="11" t="n"/>
      <c r="B1746" s="7" t="n"/>
      <c r="C1746" s="8" t="n"/>
      <c r="D1746" s="9" t="n"/>
      <c r="E1746" s="8" t="n"/>
      <c r="F1746" s="9" t="n"/>
      <c r="G1746" s="9" t="n"/>
      <c r="H1746" s="3">
        <f>IF(AND(D1746&lt;&gt;"",F1746&lt;&gt;""),F1746-D1746-G1746,"")</f>
        <v/>
      </c>
      <c r="I1746" s="14">
        <f>IF(E1746&lt;&gt;"", YEARFRAC(C1746, E1746) * 12, "")</f>
        <v/>
      </c>
      <c r="J1746" s="2">
        <f>IF(I1746="", "", IF(AND(A1746="MF (Equity)", I1746&gt;12), "Long Term", "Short Term"))</f>
        <v/>
      </c>
      <c r="K1746" s="5">
        <f>IF(J1746="", "", IF(J1746="Long Term", 12.5%, 20%))</f>
        <v/>
      </c>
      <c r="L1746" s="3">
        <f>+IFERROR(IF(J1746="","",H1746*K1746),"")</f>
        <v/>
      </c>
    </row>
    <row r="1747">
      <c r="A1747" s="11" t="n"/>
      <c r="B1747" s="7" t="n"/>
      <c r="C1747" s="8" t="n"/>
      <c r="D1747" s="9" t="n"/>
      <c r="E1747" s="8" t="n"/>
      <c r="F1747" s="9" t="n"/>
      <c r="G1747" s="9" t="n"/>
      <c r="H1747" s="3">
        <f>IF(AND(D1747&lt;&gt;"",F1747&lt;&gt;""),F1747-D1747-G1747,"")</f>
        <v/>
      </c>
      <c r="I1747" s="14">
        <f>IF(E1747&lt;&gt;"", YEARFRAC(C1747, E1747) * 12, "")</f>
        <v/>
      </c>
      <c r="J1747" s="2">
        <f>IF(I1747="", "", IF(AND(A1747="MF (Equity)", I1747&gt;12), "Long Term", "Short Term"))</f>
        <v/>
      </c>
      <c r="K1747" s="5">
        <f>IF(J1747="", "", IF(J1747="Long Term", 12.5%, 20%))</f>
        <v/>
      </c>
      <c r="L1747" s="3">
        <f>+IFERROR(IF(J1747="","",H1747*K1747),"")</f>
        <v/>
      </c>
    </row>
    <row r="1748">
      <c r="A1748" s="11" t="n"/>
      <c r="B1748" s="7" t="n"/>
      <c r="C1748" s="8" t="n"/>
      <c r="D1748" s="9" t="n"/>
      <c r="E1748" s="8" t="n"/>
      <c r="F1748" s="9" t="n"/>
      <c r="G1748" s="9" t="n"/>
      <c r="H1748" s="3">
        <f>IF(AND(D1748&lt;&gt;"",F1748&lt;&gt;""),F1748-D1748-G1748,"")</f>
        <v/>
      </c>
      <c r="I1748" s="14">
        <f>IF(E1748&lt;&gt;"", YEARFRAC(C1748, E1748) * 12, "")</f>
        <v/>
      </c>
      <c r="J1748" s="2">
        <f>IF(I1748="", "", IF(AND(A1748="MF (Equity)", I1748&gt;12), "Long Term", "Short Term"))</f>
        <v/>
      </c>
      <c r="K1748" s="5">
        <f>IF(J1748="", "", IF(J1748="Long Term", 12.5%, 20%))</f>
        <v/>
      </c>
      <c r="L1748" s="3">
        <f>+IFERROR(IF(J1748="","",H1748*K1748),"")</f>
        <v/>
      </c>
    </row>
    <row r="1749">
      <c r="A1749" s="11" t="n"/>
      <c r="B1749" s="7" t="n"/>
      <c r="C1749" s="8" t="n"/>
      <c r="D1749" s="9" t="n"/>
      <c r="E1749" s="8" t="n"/>
      <c r="F1749" s="9" t="n"/>
      <c r="G1749" s="9" t="n"/>
      <c r="H1749" s="3">
        <f>IF(AND(D1749&lt;&gt;"",F1749&lt;&gt;""),F1749-D1749-G1749,"")</f>
        <v/>
      </c>
      <c r="I1749" s="14">
        <f>IF(E1749&lt;&gt;"", YEARFRAC(C1749, E1749) * 12, "")</f>
        <v/>
      </c>
      <c r="J1749" s="2">
        <f>IF(I1749="", "", IF(AND(A1749="MF (Equity)", I1749&gt;12), "Long Term", "Short Term"))</f>
        <v/>
      </c>
      <c r="K1749" s="5">
        <f>IF(J1749="", "", IF(J1749="Long Term", 12.5%, 20%))</f>
        <v/>
      </c>
      <c r="L1749" s="3">
        <f>+IFERROR(IF(J1749="","",H1749*K1749),"")</f>
        <v/>
      </c>
    </row>
    <row r="1750">
      <c r="A1750" s="11" t="n"/>
      <c r="B1750" s="7" t="n"/>
      <c r="C1750" s="8" t="n"/>
      <c r="D1750" s="9" t="n"/>
      <c r="E1750" s="8" t="n"/>
      <c r="F1750" s="9" t="n"/>
      <c r="G1750" s="9" t="n"/>
      <c r="H1750" s="3">
        <f>IF(AND(D1750&lt;&gt;"",F1750&lt;&gt;""),F1750-D1750-G1750,"")</f>
        <v/>
      </c>
      <c r="I1750" s="14">
        <f>IF(E1750&lt;&gt;"", YEARFRAC(C1750, E1750) * 12, "")</f>
        <v/>
      </c>
      <c r="J1750" s="2">
        <f>IF(I1750="", "", IF(AND(A1750="MF (Equity)", I1750&gt;12), "Long Term", "Short Term"))</f>
        <v/>
      </c>
      <c r="K1750" s="5">
        <f>IF(J1750="", "", IF(J1750="Long Term", 12.5%, 20%))</f>
        <v/>
      </c>
      <c r="L1750" s="3">
        <f>+IFERROR(IF(J1750="","",H1750*K1750),"")</f>
        <v/>
      </c>
    </row>
    <row r="1751">
      <c r="A1751" s="11" t="n"/>
      <c r="B1751" s="7" t="n"/>
      <c r="C1751" s="8" t="n"/>
      <c r="D1751" s="9" t="n"/>
      <c r="E1751" s="8" t="n"/>
      <c r="F1751" s="9" t="n"/>
      <c r="G1751" s="9" t="n"/>
      <c r="H1751" s="3">
        <f>IF(AND(D1751&lt;&gt;"",F1751&lt;&gt;""),F1751-D1751-G1751,"")</f>
        <v/>
      </c>
      <c r="I1751" s="14">
        <f>IF(E1751&lt;&gt;"", YEARFRAC(C1751, E1751) * 12, "")</f>
        <v/>
      </c>
      <c r="J1751" s="2">
        <f>IF(I1751="", "", IF(AND(A1751="MF (Equity)", I1751&gt;12), "Long Term", "Short Term"))</f>
        <v/>
      </c>
      <c r="K1751" s="5">
        <f>IF(J1751="", "", IF(J1751="Long Term", 12.5%, 20%))</f>
        <v/>
      </c>
      <c r="L1751" s="3">
        <f>+IFERROR(IF(J1751="","",H1751*K1751),"")</f>
        <v/>
      </c>
    </row>
    <row r="1752">
      <c r="A1752" s="11" t="n"/>
      <c r="B1752" s="7" t="n"/>
      <c r="C1752" s="8" t="n"/>
      <c r="D1752" s="9" t="n"/>
      <c r="E1752" s="8" t="n"/>
      <c r="F1752" s="9" t="n"/>
      <c r="G1752" s="9" t="n"/>
      <c r="H1752" s="3">
        <f>IF(AND(D1752&lt;&gt;"",F1752&lt;&gt;""),F1752-D1752-G1752,"")</f>
        <v/>
      </c>
      <c r="I1752" s="14">
        <f>IF(E1752&lt;&gt;"", YEARFRAC(C1752, E1752) * 12, "")</f>
        <v/>
      </c>
      <c r="J1752" s="2">
        <f>IF(I1752="", "", IF(AND(A1752="MF (Equity)", I1752&gt;12), "Long Term", "Short Term"))</f>
        <v/>
      </c>
      <c r="K1752" s="5">
        <f>IF(J1752="", "", IF(J1752="Long Term", 12.5%, 20%))</f>
        <v/>
      </c>
      <c r="L1752" s="3">
        <f>+IFERROR(IF(J1752="","",H1752*K1752),"")</f>
        <v/>
      </c>
    </row>
    <row r="1753">
      <c r="A1753" s="11" t="n"/>
      <c r="B1753" s="7" t="n"/>
      <c r="C1753" s="8" t="n"/>
      <c r="D1753" s="9" t="n"/>
      <c r="E1753" s="8" t="n"/>
      <c r="F1753" s="9" t="n"/>
      <c r="G1753" s="9" t="n"/>
      <c r="H1753" s="3">
        <f>IF(AND(D1753&lt;&gt;"",F1753&lt;&gt;""),F1753-D1753-G1753,"")</f>
        <v/>
      </c>
      <c r="I1753" s="14">
        <f>IF(E1753&lt;&gt;"", YEARFRAC(C1753, E1753) * 12, "")</f>
        <v/>
      </c>
      <c r="J1753" s="2">
        <f>IF(I1753="", "", IF(AND(A1753="MF (Equity)", I1753&gt;12), "Long Term", "Short Term"))</f>
        <v/>
      </c>
      <c r="K1753" s="5">
        <f>IF(J1753="", "", IF(J1753="Long Term", 12.5%, 20%))</f>
        <v/>
      </c>
      <c r="L1753" s="3">
        <f>+IFERROR(IF(J1753="","",H1753*K1753),"")</f>
        <v/>
      </c>
    </row>
    <row r="1754">
      <c r="A1754" s="11" t="n"/>
      <c r="B1754" s="7" t="n"/>
      <c r="C1754" s="8" t="n"/>
      <c r="D1754" s="9" t="n"/>
      <c r="E1754" s="8" t="n"/>
      <c r="F1754" s="9" t="n"/>
      <c r="G1754" s="9" t="n"/>
      <c r="H1754" s="3">
        <f>IF(AND(D1754&lt;&gt;"",F1754&lt;&gt;""),F1754-D1754-G1754,"")</f>
        <v/>
      </c>
      <c r="I1754" s="14">
        <f>IF(E1754&lt;&gt;"", YEARFRAC(C1754, E1754) * 12, "")</f>
        <v/>
      </c>
      <c r="J1754" s="2">
        <f>IF(I1754="", "", IF(AND(A1754="MF (Equity)", I1754&gt;12), "Long Term", "Short Term"))</f>
        <v/>
      </c>
      <c r="K1754" s="5">
        <f>IF(J1754="", "", IF(J1754="Long Term", 12.5%, 20%))</f>
        <v/>
      </c>
      <c r="L1754" s="3">
        <f>+IFERROR(IF(J1754="","",H1754*K1754),"")</f>
        <v/>
      </c>
    </row>
    <row r="1755">
      <c r="A1755" s="11" t="n"/>
      <c r="B1755" s="7" t="n"/>
      <c r="C1755" s="8" t="n"/>
      <c r="D1755" s="9" t="n"/>
      <c r="E1755" s="8" t="n"/>
      <c r="F1755" s="9" t="n"/>
      <c r="G1755" s="9" t="n"/>
      <c r="H1755" s="3">
        <f>IF(AND(D1755&lt;&gt;"",F1755&lt;&gt;""),F1755-D1755-G1755,"")</f>
        <v/>
      </c>
      <c r="I1755" s="14">
        <f>IF(E1755&lt;&gt;"", YEARFRAC(C1755, E1755) * 12, "")</f>
        <v/>
      </c>
      <c r="J1755" s="2">
        <f>IF(I1755="", "", IF(AND(A1755="MF (Equity)", I1755&gt;12), "Long Term", "Short Term"))</f>
        <v/>
      </c>
      <c r="K1755" s="5">
        <f>IF(J1755="", "", IF(J1755="Long Term", 12.5%, 20%))</f>
        <v/>
      </c>
      <c r="L1755" s="3">
        <f>+IFERROR(IF(J1755="","",H1755*K1755),"")</f>
        <v/>
      </c>
    </row>
    <row r="1756">
      <c r="A1756" s="11" t="n"/>
      <c r="B1756" s="7" t="n"/>
      <c r="C1756" s="8" t="n"/>
      <c r="D1756" s="9" t="n"/>
      <c r="E1756" s="8" t="n"/>
      <c r="F1756" s="9" t="n"/>
      <c r="G1756" s="9" t="n"/>
      <c r="H1756" s="3">
        <f>IF(AND(D1756&lt;&gt;"",F1756&lt;&gt;""),F1756-D1756-G1756,"")</f>
        <v/>
      </c>
      <c r="I1756" s="14">
        <f>IF(E1756&lt;&gt;"", YEARFRAC(C1756, E1756) * 12, "")</f>
        <v/>
      </c>
      <c r="J1756" s="2">
        <f>IF(I1756="", "", IF(AND(A1756="MF (Equity)", I1756&gt;12), "Long Term", "Short Term"))</f>
        <v/>
      </c>
      <c r="K1756" s="5">
        <f>IF(J1756="", "", IF(J1756="Long Term", 12.5%, 20%))</f>
        <v/>
      </c>
      <c r="L1756" s="3">
        <f>+IFERROR(IF(J1756="","",H1756*K1756),"")</f>
        <v/>
      </c>
    </row>
    <row r="1757">
      <c r="A1757" s="11" t="n"/>
      <c r="B1757" s="7" t="n"/>
      <c r="C1757" s="8" t="n"/>
      <c r="D1757" s="9" t="n"/>
      <c r="E1757" s="8" t="n"/>
      <c r="F1757" s="9" t="n"/>
      <c r="G1757" s="9" t="n"/>
      <c r="H1757" s="3">
        <f>IF(AND(D1757&lt;&gt;"",F1757&lt;&gt;""),F1757-D1757-G1757,"")</f>
        <v/>
      </c>
      <c r="I1757" s="14">
        <f>IF(E1757&lt;&gt;"", YEARFRAC(C1757, E1757) * 12, "")</f>
        <v/>
      </c>
      <c r="J1757" s="2">
        <f>IF(I1757="", "", IF(AND(A1757="MF (Equity)", I1757&gt;12), "Long Term", "Short Term"))</f>
        <v/>
      </c>
      <c r="K1757" s="5">
        <f>IF(J1757="", "", IF(J1757="Long Term", 12.5%, 20%))</f>
        <v/>
      </c>
      <c r="L1757" s="3">
        <f>+IFERROR(IF(J1757="","",H1757*K1757),"")</f>
        <v/>
      </c>
    </row>
    <row r="1758">
      <c r="A1758" s="11" t="n"/>
      <c r="B1758" s="7" t="n"/>
      <c r="C1758" s="8" t="n"/>
      <c r="D1758" s="9" t="n"/>
      <c r="E1758" s="8" t="n"/>
      <c r="F1758" s="9" t="n"/>
      <c r="G1758" s="9" t="n"/>
      <c r="H1758" s="3">
        <f>IF(AND(D1758&lt;&gt;"",F1758&lt;&gt;""),F1758-D1758-G1758,"")</f>
        <v/>
      </c>
      <c r="I1758" s="14">
        <f>IF(E1758&lt;&gt;"", YEARFRAC(C1758, E1758) * 12, "")</f>
        <v/>
      </c>
      <c r="J1758" s="2">
        <f>IF(I1758="", "", IF(AND(A1758="MF (Equity)", I1758&gt;12), "Long Term", "Short Term"))</f>
        <v/>
      </c>
      <c r="K1758" s="5">
        <f>IF(J1758="", "", IF(J1758="Long Term", 12.5%, 20%))</f>
        <v/>
      </c>
      <c r="L1758" s="3">
        <f>+IFERROR(IF(J1758="","",H1758*K1758),"")</f>
        <v/>
      </c>
    </row>
    <row r="1759">
      <c r="A1759" s="11" t="n"/>
      <c r="B1759" s="7" t="n"/>
      <c r="C1759" s="8" t="n"/>
      <c r="D1759" s="9" t="n"/>
      <c r="E1759" s="8" t="n"/>
      <c r="F1759" s="9" t="n"/>
      <c r="G1759" s="9" t="n"/>
      <c r="H1759" s="3">
        <f>IF(AND(D1759&lt;&gt;"",F1759&lt;&gt;""),F1759-D1759-G1759,"")</f>
        <v/>
      </c>
      <c r="I1759" s="14">
        <f>IF(E1759&lt;&gt;"", YEARFRAC(C1759, E1759) * 12, "")</f>
        <v/>
      </c>
      <c r="J1759" s="2">
        <f>IF(I1759="", "", IF(AND(A1759="MF (Equity)", I1759&gt;12), "Long Term", "Short Term"))</f>
        <v/>
      </c>
      <c r="K1759" s="5">
        <f>IF(J1759="", "", IF(J1759="Long Term", 12.5%, 20%))</f>
        <v/>
      </c>
      <c r="L1759" s="3">
        <f>+IFERROR(IF(J1759="","",H1759*K1759),"")</f>
        <v/>
      </c>
    </row>
    <row r="1760">
      <c r="A1760" s="11" t="n"/>
      <c r="B1760" s="7" t="n"/>
      <c r="C1760" s="8" t="n"/>
      <c r="D1760" s="9" t="n"/>
      <c r="E1760" s="8" t="n"/>
      <c r="F1760" s="9" t="n"/>
      <c r="G1760" s="9" t="n"/>
      <c r="H1760" s="3">
        <f>IF(AND(D1760&lt;&gt;"",F1760&lt;&gt;""),F1760-D1760-G1760,"")</f>
        <v/>
      </c>
      <c r="I1760" s="14">
        <f>IF(E1760&lt;&gt;"", YEARFRAC(C1760, E1760) * 12, "")</f>
        <v/>
      </c>
      <c r="J1760" s="2">
        <f>IF(I1760="", "", IF(AND(A1760="MF (Equity)", I1760&gt;12), "Long Term", "Short Term"))</f>
        <v/>
      </c>
      <c r="K1760" s="5">
        <f>IF(J1760="", "", IF(J1760="Long Term", 12.5%, 20%))</f>
        <v/>
      </c>
      <c r="L1760" s="3">
        <f>+IFERROR(IF(J1760="","",H1760*K1760),"")</f>
        <v/>
      </c>
    </row>
    <row r="1761">
      <c r="A1761" s="11" t="n"/>
      <c r="B1761" s="7" t="n"/>
      <c r="C1761" s="8" t="n"/>
      <c r="D1761" s="9" t="n"/>
      <c r="E1761" s="8" t="n"/>
      <c r="F1761" s="9" t="n"/>
      <c r="G1761" s="9" t="n"/>
      <c r="H1761" s="3">
        <f>IF(AND(D1761&lt;&gt;"",F1761&lt;&gt;""),F1761-D1761-G1761,"")</f>
        <v/>
      </c>
      <c r="I1761" s="14">
        <f>IF(E1761&lt;&gt;"", YEARFRAC(C1761, E1761) * 12, "")</f>
        <v/>
      </c>
      <c r="J1761" s="2">
        <f>IF(I1761="", "", IF(AND(A1761="MF (Equity)", I1761&gt;12), "Long Term", "Short Term"))</f>
        <v/>
      </c>
      <c r="K1761" s="5">
        <f>IF(J1761="", "", IF(J1761="Long Term", 12.5%, 20%))</f>
        <v/>
      </c>
      <c r="L1761" s="3">
        <f>+IFERROR(IF(J1761="","",H1761*K1761),"")</f>
        <v/>
      </c>
    </row>
    <row r="1762">
      <c r="A1762" s="11" t="n"/>
      <c r="B1762" s="7" t="n"/>
      <c r="C1762" s="8" t="n"/>
      <c r="D1762" s="9" t="n"/>
      <c r="E1762" s="8" t="n"/>
      <c r="F1762" s="9" t="n"/>
      <c r="G1762" s="9" t="n"/>
      <c r="H1762" s="3">
        <f>IF(AND(D1762&lt;&gt;"",F1762&lt;&gt;""),F1762-D1762-G1762,"")</f>
        <v/>
      </c>
      <c r="I1762" s="14">
        <f>IF(E1762&lt;&gt;"", YEARFRAC(C1762, E1762) * 12, "")</f>
        <v/>
      </c>
      <c r="J1762" s="2">
        <f>IF(I1762="", "", IF(AND(A1762="MF (Equity)", I1762&gt;12), "Long Term", "Short Term"))</f>
        <v/>
      </c>
      <c r="K1762" s="5">
        <f>IF(J1762="", "", IF(J1762="Long Term", 12.5%, 20%))</f>
        <v/>
      </c>
      <c r="L1762" s="3">
        <f>+IFERROR(IF(J1762="","",H1762*K1762),"")</f>
        <v/>
      </c>
    </row>
    <row r="1763">
      <c r="A1763" s="11" t="n"/>
      <c r="B1763" s="7" t="n"/>
      <c r="C1763" s="8" t="n"/>
      <c r="D1763" s="9" t="n"/>
      <c r="E1763" s="8" t="n"/>
      <c r="F1763" s="9" t="n"/>
      <c r="G1763" s="9" t="n"/>
      <c r="H1763" s="3">
        <f>IF(AND(D1763&lt;&gt;"",F1763&lt;&gt;""),F1763-D1763-G1763,"")</f>
        <v/>
      </c>
      <c r="I1763" s="14">
        <f>IF(E1763&lt;&gt;"", YEARFRAC(C1763, E1763) * 12, "")</f>
        <v/>
      </c>
      <c r="J1763" s="2">
        <f>IF(I1763="", "", IF(AND(A1763="MF (Equity)", I1763&gt;12), "Long Term", "Short Term"))</f>
        <v/>
      </c>
      <c r="K1763" s="5">
        <f>IF(J1763="", "", IF(J1763="Long Term", 12.5%, 20%))</f>
        <v/>
      </c>
      <c r="L1763" s="3">
        <f>+IFERROR(IF(J1763="","",H1763*K1763),"")</f>
        <v/>
      </c>
    </row>
    <row r="1764">
      <c r="A1764" s="11" t="n"/>
      <c r="B1764" s="7" t="n"/>
      <c r="C1764" s="8" t="n"/>
      <c r="D1764" s="9" t="n"/>
      <c r="E1764" s="8" t="n"/>
      <c r="F1764" s="9" t="n"/>
      <c r="G1764" s="9" t="n"/>
      <c r="H1764" s="3">
        <f>IF(AND(D1764&lt;&gt;"",F1764&lt;&gt;""),F1764-D1764-G1764,"")</f>
        <v/>
      </c>
      <c r="I1764" s="14">
        <f>IF(E1764&lt;&gt;"", YEARFRAC(C1764, E1764) * 12, "")</f>
        <v/>
      </c>
      <c r="J1764" s="2">
        <f>IF(I1764="", "", IF(AND(A1764="MF (Equity)", I1764&gt;12), "Long Term", "Short Term"))</f>
        <v/>
      </c>
      <c r="K1764" s="5">
        <f>IF(J1764="", "", IF(J1764="Long Term", 12.5%, 20%))</f>
        <v/>
      </c>
      <c r="L1764" s="3">
        <f>+IFERROR(IF(J1764="","",H1764*K1764),"")</f>
        <v/>
      </c>
    </row>
    <row r="1765">
      <c r="A1765" s="11" t="n"/>
      <c r="B1765" s="7" t="n"/>
      <c r="C1765" s="8" t="n"/>
      <c r="D1765" s="9" t="n"/>
      <c r="E1765" s="8" t="n"/>
      <c r="F1765" s="9" t="n"/>
      <c r="G1765" s="9" t="n"/>
      <c r="H1765" s="3">
        <f>IF(AND(D1765&lt;&gt;"",F1765&lt;&gt;""),F1765-D1765-G1765,"")</f>
        <v/>
      </c>
      <c r="I1765" s="14">
        <f>IF(E1765&lt;&gt;"", YEARFRAC(C1765, E1765) * 12, "")</f>
        <v/>
      </c>
      <c r="J1765" s="2">
        <f>IF(I1765="", "", IF(AND(A1765="MF (Equity)", I1765&gt;12), "Long Term", "Short Term"))</f>
        <v/>
      </c>
      <c r="K1765" s="5">
        <f>IF(J1765="", "", IF(J1765="Long Term", 12.5%, 20%))</f>
        <v/>
      </c>
      <c r="L1765" s="3">
        <f>+IFERROR(IF(J1765="","",H1765*K1765),"")</f>
        <v/>
      </c>
    </row>
    <row r="1766">
      <c r="A1766" s="11" t="n"/>
      <c r="B1766" s="7" t="n"/>
      <c r="C1766" s="8" t="n"/>
      <c r="D1766" s="9" t="n"/>
      <c r="E1766" s="8" t="n"/>
      <c r="F1766" s="9" t="n"/>
      <c r="G1766" s="9" t="n"/>
      <c r="H1766" s="3">
        <f>IF(AND(D1766&lt;&gt;"",F1766&lt;&gt;""),F1766-D1766-G1766,"")</f>
        <v/>
      </c>
      <c r="I1766" s="14">
        <f>IF(E1766&lt;&gt;"", YEARFRAC(C1766, E1766) * 12, "")</f>
        <v/>
      </c>
      <c r="J1766" s="2">
        <f>IF(I1766="", "", IF(AND(A1766="MF (Equity)", I1766&gt;12), "Long Term", "Short Term"))</f>
        <v/>
      </c>
      <c r="K1766" s="5">
        <f>IF(J1766="", "", IF(J1766="Long Term", 12.5%, 20%))</f>
        <v/>
      </c>
      <c r="L1766" s="3">
        <f>+IFERROR(IF(J1766="","",H1766*K1766),"")</f>
        <v/>
      </c>
    </row>
    <row r="1767">
      <c r="A1767" s="11" t="n"/>
      <c r="B1767" s="7" t="n"/>
      <c r="C1767" s="8" t="n"/>
      <c r="D1767" s="9" t="n"/>
      <c r="E1767" s="8" t="n"/>
      <c r="F1767" s="9" t="n"/>
      <c r="G1767" s="9" t="n"/>
      <c r="H1767" s="3">
        <f>IF(AND(D1767&lt;&gt;"",F1767&lt;&gt;""),F1767-D1767-G1767,"")</f>
        <v/>
      </c>
      <c r="I1767" s="14">
        <f>IF(E1767&lt;&gt;"", YEARFRAC(C1767, E1767) * 12, "")</f>
        <v/>
      </c>
      <c r="J1767" s="2">
        <f>IF(I1767="", "", IF(AND(A1767="MF (Equity)", I1767&gt;12), "Long Term", "Short Term"))</f>
        <v/>
      </c>
      <c r="K1767" s="5">
        <f>IF(J1767="", "", IF(J1767="Long Term", 12.5%, 20%))</f>
        <v/>
      </c>
      <c r="L1767" s="3">
        <f>+IFERROR(IF(J1767="","",H1767*K1767),"")</f>
        <v/>
      </c>
    </row>
    <row r="1768">
      <c r="A1768" s="11" t="n"/>
      <c r="B1768" s="7" t="n"/>
      <c r="C1768" s="8" t="n"/>
      <c r="D1768" s="9" t="n"/>
      <c r="E1768" s="8" t="n"/>
      <c r="F1768" s="9" t="n"/>
      <c r="G1768" s="9" t="n"/>
      <c r="H1768" s="3">
        <f>IF(AND(D1768&lt;&gt;"",F1768&lt;&gt;""),F1768-D1768-G1768,"")</f>
        <v/>
      </c>
      <c r="I1768" s="14">
        <f>IF(E1768&lt;&gt;"", YEARFRAC(C1768, E1768) * 12, "")</f>
        <v/>
      </c>
      <c r="J1768" s="2">
        <f>IF(I1768="", "", IF(AND(A1768="MF (Equity)", I1768&gt;12), "Long Term", "Short Term"))</f>
        <v/>
      </c>
      <c r="K1768" s="5">
        <f>IF(J1768="", "", IF(J1768="Long Term", 12.5%, 20%))</f>
        <v/>
      </c>
      <c r="L1768" s="3">
        <f>+IFERROR(IF(J1768="","",H1768*K1768),"")</f>
        <v/>
      </c>
    </row>
    <row r="1769">
      <c r="A1769" s="11" t="n"/>
      <c r="B1769" s="7" t="n"/>
      <c r="C1769" s="8" t="n"/>
      <c r="D1769" s="9" t="n"/>
      <c r="E1769" s="8" t="n"/>
      <c r="F1769" s="9" t="n"/>
      <c r="G1769" s="9" t="n"/>
      <c r="H1769" s="3">
        <f>IF(AND(D1769&lt;&gt;"",F1769&lt;&gt;""),F1769-D1769-G1769,"")</f>
        <v/>
      </c>
      <c r="I1769" s="14">
        <f>IF(E1769&lt;&gt;"", YEARFRAC(C1769, E1769) * 12, "")</f>
        <v/>
      </c>
      <c r="J1769" s="2">
        <f>IF(I1769="", "", IF(AND(A1769="MF (Equity)", I1769&gt;12), "Long Term", "Short Term"))</f>
        <v/>
      </c>
      <c r="K1769" s="5">
        <f>IF(J1769="", "", IF(J1769="Long Term", 12.5%, 20%))</f>
        <v/>
      </c>
      <c r="L1769" s="3">
        <f>+IFERROR(IF(J1769="","",H1769*K1769),"")</f>
        <v/>
      </c>
    </row>
    <row r="1770">
      <c r="A1770" s="11" t="n"/>
      <c r="B1770" s="7" t="n"/>
      <c r="C1770" s="8" t="n"/>
      <c r="D1770" s="9" t="n"/>
      <c r="E1770" s="8" t="n"/>
      <c r="F1770" s="9" t="n"/>
      <c r="G1770" s="9" t="n"/>
      <c r="H1770" s="3">
        <f>IF(AND(D1770&lt;&gt;"",F1770&lt;&gt;""),F1770-D1770-G1770,"")</f>
        <v/>
      </c>
      <c r="I1770" s="14">
        <f>IF(E1770&lt;&gt;"", YEARFRAC(C1770, E1770) * 12, "")</f>
        <v/>
      </c>
      <c r="J1770" s="2">
        <f>IF(I1770="", "", IF(AND(A1770="MF (Equity)", I1770&gt;12), "Long Term", "Short Term"))</f>
        <v/>
      </c>
      <c r="K1770" s="5">
        <f>IF(J1770="", "", IF(J1770="Long Term", 12.5%, 20%))</f>
        <v/>
      </c>
      <c r="L1770" s="3">
        <f>+IFERROR(IF(J1770="","",H1770*K1770),"")</f>
        <v/>
      </c>
    </row>
    <row r="1771">
      <c r="A1771" s="11" t="n"/>
      <c r="B1771" s="7" t="n"/>
      <c r="C1771" s="8" t="n"/>
      <c r="D1771" s="9" t="n"/>
      <c r="E1771" s="8" t="n"/>
      <c r="F1771" s="9" t="n"/>
      <c r="G1771" s="9" t="n"/>
      <c r="H1771" s="3">
        <f>IF(AND(D1771&lt;&gt;"",F1771&lt;&gt;""),F1771-D1771-G1771,"")</f>
        <v/>
      </c>
      <c r="I1771" s="14">
        <f>IF(E1771&lt;&gt;"", YEARFRAC(C1771, E1771) * 12, "")</f>
        <v/>
      </c>
      <c r="J1771" s="2">
        <f>IF(I1771="", "", IF(AND(A1771="MF (Equity)", I1771&gt;12), "Long Term", "Short Term"))</f>
        <v/>
      </c>
      <c r="K1771" s="5">
        <f>IF(J1771="", "", IF(J1771="Long Term", 12.5%, 20%))</f>
        <v/>
      </c>
      <c r="L1771" s="3">
        <f>+IFERROR(IF(J1771="","",H1771*K1771),"")</f>
        <v/>
      </c>
    </row>
    <row r="1772">
      <c r="A1772" s="11" t="n"/>
      <c r="B1772" s="7" t="n"/>
      <c r="C1772" s="8" t="n"/>
      <c r="D1772" s="9" t="n"/>
      <c r="E1772" s="8" t="n"/>
      <c r="F1772" s="9" t="n"/>
      <c r="G1772" s="9" t="n"/>
      <c r="H1772" s="3">
        <f>IF(AND(D1772&lt;&gt;"",F1772&lt;&gt;""),F1772-D1772-G1772,"")</f>
        <v/>
      </c>
      <c r="I1772" s="14">
        <f>IF(E1772&lt;&gt;"", YEARFRAC(C1772, E1772) * 12, "")</f>
        <v/>
      </c>
      <c r="J1772" s="2">
        <f>IF(I1772="", "", IF(AND(A1772="MF (Equity)", I1772&gt;12), "Long Term", "Short Term"))</f>
        <v/>
      </c>
      <c r="K1772" s="5">
        <f>IF(J1772="", "", IF(J1772="Long Term", 12.5%, 20%))</f>
        <v/>
      </c>
      <c r="L1772" s="3">
        <f>+IFERROR(IF(J1772="","",H1772*K1772),"")</f>
        <v/>
      </c>
    </row>
    <row r="1773">
      <c r="A1773" s="11" t="n"/>
      <c r="B1773" s="7" t="n"/>
      <c r="C1773" s="8" t="n"/>
      <c r="D1773" s="9" t="n"/>
      <c r="E1773" s="8" t="n"/>
      <c r="F1773" s="9" t="n"/>
      <c r="G1773" s="9" t="n"/>
      <c r="H1773" s="3">
        <f>IF(AND(D1773&lt;&gt;"",F1773&lt;&gt;""),F1773-D1773-G1773,"")</f>
        <v/>
      </c>
      <c r="I1773" s="14">
        <f>IF(E1773&lt;&gt;"", YEARFRAC(C1773, E1773) * 12, "")</f>
        <v/>
      </c>
      <c r="J1773" s="2">
        <f>IF(I1773="", "", IF(AND(A1773="MF (Equity)", I1773&gt;12), "Long Term", "Short Term"))</f>
        <v/>
      </c>
      <c r="K1773" s="5">
        <f>IF(J1773="", "", IF(J1773="Long Term", 12.5%, 20%))</f>
        <v/>
      </c>
      <c r="L1773" s="3">
        <f>+IFERROR(IF(J1773="","",H1773*K1773),"")</f>
        <v/>
      </c>
    </row>
    <row r="1774">
      <c r="A1774" s="11" t="n"/>
      <c r="B1774" s="7" t="n"/>
      <c r="C1774" s="8" t="n"/>
      <c r="D1774" s="9" t="n"/>
      <c r="E1774" s="8" t="n"/>
      <c r="F1774" s="9" t="n"/>
      <c r="G1774" s="9" t="n"/>
      <c r="H1774" s="3">
        <f>IF(AND(D1774&lt;&gt;"",F1774&lt;&gt;""),F1774-D1774-G1774,"")</f>
        <v/>
      </c>
      <c r="I1774" s="14">
        <f>IF(E1774&lt;&gt;"", YEARFRAC(C1774, E1774) * 12, "")</f>
        <v/>
      </c>
      <c r="J1774" s="2">
        <f>IF(I1774="", "", IF(AND(A1774="MF (Equity)", I1774&gt;12), "Long Term", "Short Term"))</f>
        <v/>
      </c>
      <c r="K1774" s="5">
        <f>IF(J1774="", "", IF(J1774="Long Term", 12.5%, 20%))</f>
        <v/>
      </c>
      <c r="L1774" s="3">
        <f>+IFERROR(IF(J1774="","",H1774*K1774),"")</f>
        <v/>
      </c>
    </row>
    <row r="1775">
      <c r="A1775" s="11" t="n"/>
      <c r="B1775" s="7" t="n"/>
      <c r="C1775" s="8" t="n"/>
      <c r="D1775" s="9" t="n"/>
      <c r="E1775" s="8" t="n"/>
      <c r="F1775" s="9" t="n"/>
      <c r="G1775" s="9" t="n"/>
      <c r="H1775" s="3">
        <f>IF(AND(D1775&lt;&gt;"",F1775&lt;&gt;""),F1775-D1775-G1775,"")</f>
        <v/>
      </c>
      <c r="I1775" s="14">
        <f>IF(E1775&lt;&gt;"", YEARFRAC(C1775, E1775) * 12, "")</f>
        <v/>
      </c>
      <c r="J1775" s="2">
        <f>IF(I1775="", "", IF(AND(A1775="MF (Equity)", I1775&gt;12), "Long Term", "Short Term"))</f>
        <v/>
      </c>
      <c r="K1775" s="5">
        <f>IF(J1775="", "", IF(J1775="Long Term", 12.5%, 20%))</f>
        <v/>
      </c>
      <c r="L1775" s="3">
        <f>+IFERROR(IF(J1775="","",H1775*K1775),"")</f>
        <v/>
      </c>
    </row>
    <row r="1776">
      <c r="A1776" s="11" t="n"/>
      <c r="B1776" s="7" t="n"/>
      <c r="C1776" s="8" t="n"/>
      <c r="D1776" s="9" t="n"/>
      <c r="E1776" s="8" t="n"/>
      <c r="F1776" s="9" t="n"/>
      <c r="G1776" s="9" t="n"/>
      <c r="H1776" s="3">
        <f>IF(AND(D1776&lt;&gt;"",F1776&lt;&gt;""),F1776-D1776-G1776,"")</f>
        <v/>
      </c>
      <c r="I1776" s="14">
        <f>IF(E1776&lt;&gt;"", YEARFRAC(C1776, E1776) * 12, "")</f>
        <v/>
      </c>
      <c r="J1776" s="2">
        <f>IF(I1776="", "", IF(AND(A1776="MF (Equity)", I1776&gt;12), "Long Term", "Short Term"))</f>
        <v/>
      </c>
      <c r="K1776" s="5">
        <f>IF(J1776="", "", IF(J1776="Long Term", 12.5%, 20%))</f>
        <v/>
      </c>
      <c r="L1776" s="3">
        <f>+IFERROR(IF(J1776="","",H1776*K1776),"")</f>
        <v/>
      </c>
    </row>
    <row r="1777">
      <c r="A1777" s="11" t="n"/>
      <c r="B1777" s="7" t="n"/>
      <c r="C1777" s="8" t="n"/>
      <c r="D1777" s="9" t="n"/>
      <c r="E1777" s="8" t="n"/>
      <c r="F1777" s="9" t="n"/>
      <c r="G1777" s="9" t="n"/>
      <c r="H1777" s="3">
        <f>IF(AND(D1777&lt;&gt;"",F1777&lt;&gt;""),F1777-D1777-G1777,"")</f>
        <v/>
      </c>
      <c r="I1777" s="14">
        <f>IF(E1777&lt;&gt;"", YEARFRAC(C1777, E1777) * 12, "")</f>
        <v/>
      </c>
      <c r="J1777" s="2">
        <f>IF(I1777="", "", IF(AND(A1777="MF (Equity)", I1777&gt;12), "Long Term", "Short Term"))</f>
        <v/>
      </c>
      <c r="K1777" s="5">
        <f>IF(J1777="", "", IF(J1777="Long Term", 12.5%, 20%))</f>
        <v/>
      </c>
      <c r="L1777" s="3">
        <f>+IFERROR(IF(J1777="","",H1777*K1777),"")</f>
        <v/>
      </c>
    </row>
    <row r="1778">
      <c r="A1778" s="11" t="n"/>
      <c r="B1778" s="7" t="n"/>
      <c r="C1778" s="8" t="n"/>
      <c r="D1778" s="9" t="n"/>
      <c r="E1778" s="8" t="n"/>
      <c r="F1778" s="9" t="n"/>
      <c r="G1778" s="9" t="n"/>
      <c r="H1778" s="3">
        <f>IF(AND(D1778&lt;&gt;"",F1778&lt;&gt;""),F1778-D1778-G1778,"")</f>
        <v/>
      </c>
      <c r="I1778" s="14">
        <f>IF(E1778&lt;&gt;"", YEARFRAC(C1778, E1778) * 12, "")</f>
        <v/>
      </c>
      <c r="J1778" s="2">
        <f>IF(I1778="", "", IF(AND(A1778="MF (Equity)", I1778&gt;12), "Long Term", "Short Term"))</f>
        <v/>
      </c>
      <c r="K1778" s="5">
        <f>IF(J1778="", "", IF(J1778="Long Term", 12.5%, 20%))</f>
        <v/>
      </c>
      <c r="L1778" s="3">
        <f>+IFERROR(IF(J1778="","",H1778*K1778),"")</f>
        <v/>
      </c>
    </row>
    <row r="1779">
      <c r="A1779" s="11" t="n"/>
      <c r="B1779" s="7" t="n"/>
      <c r="C1779" s="8" t="n"/>
      <c r="D1779" s="9" t="n"/>
      <c r="E1779" s="8" t="n"/>
      <c r="F1779" s="9" t="n"/>
      <c r="G1779" s="9" t="n"/>
      <c r="H1779" s="3">
        <f>IF(AND(D1779&lt;&gt;"",F1779&lt;&gt;""),F1779-D1779-G1779,"")</f>
        <v/>
      </c>
      <c r="I1779" s="14">
        <f>IF(E1779&lt;&gt;"", YEARFRAC(C1779, E1779) * 12, "")</f>
        <v/>
      </c>
      <c r="J1779" s="2">
        <f>IF(I1779="", "", IF(AND(A1779="MF (Equity)", I1779&gt;12), "Long Term", "Short Term"))</f>
        <v/>
      </c>
      <c r="K1779" s="5">
        <f>IF(J1779="", "", IF(J1779="Long Term", 12.5%, 20%))</f>
        <v/>
      </c>
      <c r="L1779" s="3">
        <f>+IFERROR(IF(J1779="","",H1779*K1779),"")</f>
        <v/>
      </c>
    </row>
    <row r="1780">
      <c r="A1780" s="11" t="n"/>
      <c r="B1780" s="7" t="n"/>
      <c r="C1780" s="8" t="n"/>
      <c r="D1780" s="9" t="n"/>
      <c r="E1780" s="8" t="n"/>
      <c r="F1780" s="9" t="n"/>
      <c r="G1780" s="9" t="n"/>
      <c r="H1780" s="3">
        <f>IF(AND(D1780&lt;&gt;"",F1780&lt;&gt;""),F1780-D1780-G1780,"")</f>
        <v/>
      </c>
      <c r="I1780" s="14">
        <f>IF(E1780&lt;&gt;"", YEARFRAC(C1780, E1780) * 12, "")</f>
        <v/>
      </c>
      <c r="J1780" s="2">
        <f>IF(I1780="", "", IF(AND(A1780="MF (Equity)", I1780&gt;12), "Long Term", "Short Term"))</f>
        <v/>
      </c>
      <c r="K1780" s="5">
        <f>IF(J1780="", "", IF(J1780="Long Term", 12.5%, 20%))</f>
        <v/>
      </c>
      <c r="L1780" s="3">
        <f>+IFERROR(IF(J1780="","",H1780*K1780),"")</f>
        <v/>
      </c>
    </row>
    <row r="1781">
      <c r="A1781" s="11" t="n"/>
      <c r="B1781" s="7" t="n"/>
      <c r="C1781" s="8" t="n"/>
      <c r="D1781" s="9" t="n"/>
      <c r="E1781" s="8" t="n"/>
      <c r="F1781" s="9" t="n"/>
      <c r="G1781" s="9" t="n"/>
      <c r="H1781" s="3">
        <f>IF(AND(D1781&lt;&gt;"",F1781&lt;&gt;""),F1781-D1781-G1781,"")</f>
        <v/>
      </c>
      <c r="I1781" s="14">
        <f>IF(E1781&lt;&gt;"", YEARFRAC(C1781, E1781) * 12, "")</f>
        <v/>
      </c>
      <c r="J1781" s="2">
        <f>IF(I1781="", "", IF(AND(A1781="MF (Equity)", I1781&gt;12), "Long Term", "Short Term"))</f>
        <v/>
      </c>
      <c r="K1781" s="5">
        <f>IF(J1781="", "", IF(J1781="Long Term", 12.5%, 20%))</f>
        <v/>
      </c>
      <c r="L1781" s="3">
        <f>+IFERROR(IF(J1781="","",H1781*K1781),"")</f>
        <v/>
      </c>
    </row>
    <row r="1782">
      <c r="A1782" s="11" t="n"/>
      <c r="B1782" s="7" t="n"/>
      <c r="C1782" s="8" t="n"/>
      <c r="D1782" s="9" t="n"/>
      <c r="E1782" s="8" t="n"/>
      <c r="F1782" s="9" t="n"/>
      <c r="G1782" s="9" t="n"/>
      <c r="H1782" s="3">
        <f>IF(AND(D1782&lt;&gt;"",F1782&lt;&gt;""),F1782-D1782-G1782,"")</f>
        <v/>
      </c>
      <c r="I1782" s="14">
        <f>IF(E1782&lt;&gt;"", YEARFRAC(C1782, E1782) * 12, "")</f>
        <v/>
      </c>
      <c r="J1782" s="2">
        <f>IF(I1782="", "", IF(AND(A1782="MF (Equity)", I1782&gt;12), "Long Term", "Short Term"))</f>
        <v/>
      </c>
      <c r="K1782" s="5">
        <f>IF(J1782="", "", IF(J1782="Long Term", 12.5%, 20%))</f>
        <v/>
      </c>
      <c r="L1782" s="3">
        <f>+IFERROR(IF(J1782="","",H1782*K1782),"")</f>
        <v/>
      </c>
    </row>
    <row r="1783">
      <c r="A1783" s="11" t="n"/>
      <c r="B1783" s="7" t="n"/>
      <c r="C1783" s="8" t="n"/>
      <c r="D1783" s="9" t="n"/>
      <c r="E1783" s="8" t="n"/>
      <c r="F1783" s="9" t="n"/>
      <c r="G1783" s="9" t="n"/>
      <c r="H1783" s="3">
        <f>IF(AND(D1783&lt;&gt;"",F1783&lt;&gt;""),F1783-D1783-G1783,"")</f>
        <v/>
      </c>
      <c r="I1783" s="14">
        <f>IF(E1783&lt;&gt;"", YEARFRAC(C1783, E1783) * 12, "")</f>
        <v/>
      </c>
      <c r="J1783" s="2">
        <f>IF(I1783="", "", IF(AND(A1783="MF (Equity)", I1783&gt;12), "Long Term", "Short Term"))</f>
        <v/>
      </c>
      <c r="K1783" s="5">
        <f>IF(J1783="", "", IF(J1783="Long Term", 12.5%, 20%))</f>
        <v/>
      </c>
      <c r="L1783" s="3">
        <f>+IFERROR(IF(J1783="","",H1783*K1783),"")</f>
        <v/>
      </c>
    </row>
    <row r="1784">
      <c r="A1784" s="11" t="n"/>
      <c r="B1784" s="7" t="n"/>
      <c r="C1784" s="8" t="n"/>
      <c r="D1784" s="9" t="n"/>
      <c r="E1784" s="8" t="n"/>
      <c r="F1784" s="9" t="n"/>
      <c r="G1784" s="9" t="n"/>
      <c r="H1784" s="3">
        <f>IF(AND(D1784&lt;&gt;"",F1784&lt;&gt;""),F1784-D1784-G1784,"")</f>
        <v/>
      </c>
      <c r="I1784" s="14">
        <f>IF(E1784&lt;&gt;"", YEARFRAC(C1784, E1784) * 12, "")</f>
        <v/>
      </c>
      <c r="J1784" s="2">
        <f>IF(I1784="", "", IF(AND(A1784="MF (Equity)", I1784&gt;12), "Long Term", "Short Term"))</f>
        <v/>
      </c>
      <c r="K1784" s="5">
        <f>IF(J1784="", "", IF(J1784="Long Term", 12.5%, 20%))</f>
        <v/>
      </c>
      <c r="L1784" s="3">
        <f>+IFERROR(IF(J1784="","",H1784*K1784),"")</f>
        <v/>
      </c>
    </row>
    <row r="1785">
      <c r="A1785" s="11" t="n"/>
      <c r="B1785" s="7" t="n"/>
      <c r="C1785" s="8" t="n"/>
      <c r="D1785" s="9" t="n"/>
      <c r="E1785" s="8" t="n"/>
      <c r="F1785" s="9" t="n"/>
      <c r="G1785" s="9" t="n"/>
      <c r="H1785" s="3">
        <f>IF(AND(D1785&lt;&gt;"",F1785&lt;&gt;""),F1785-D1785-G1785,"")</f>
        <v/>
      </c>
      <c r="I1785" s="14">
        <f>IF(E1785&lt;&gt;"", YEARFRAC(C1785, E1785) * 12, "")</f>
        <v/>
      </c>
      <c r="J1785" s="2">
        <f>IF(I1785="", "", IF(AND(A1785="MF (Equity)", I1785&gt;12), "Long Term", "Short Term"))</f>
        <v/>
      </c>
      <c r="K1785" s="5">
        <f>IF(J1785="", "", IF(J1785="Long Term", 12.5%, 20%))</f>
        <v/>
      </c>
      <c r="L1785" s="3">
        <f>+IFERROR(IF(J1785="","",H1785*K1785),"")</f>
        <v/>
      </c>
    </row>
    <row r="1786">
      <c r="A1786" s="11" t="n"/>
      <c r="B1786" s="7" t="n"/>
      <c r="C1786" s="8" t="n"/>
      <c r="D1786" s="9" t="n"/>
      <c r="E1786" s="8" t="n"/>
      <c r="F1786" s="9" t="n"/>
      <c r="G1786" s="9" t="n"/>
      <c r="H1786" s="3">
        <f>IF(AND(D1786&lt;&gt;"",F1786&lt;&gt;""),F1786-D1786-G1786,"")</f>
        <v/>
      </c>
      <c r="I1786" s="14">
        <f>IF(E1786&lt;&gt;"", YEARFRAC(C1786, E1786) * 12, "")</f>
        <v/>
      </c>
      <c r="J1786" s="2">
        <f>IF(I1786="", "", IF(AND(A1786="MF (Equity)", I1786&gt;12), "Long Term", "Short Term"))</f>
        <v/>
      </c>
      <c r="K1786" s="5">
        <f>IF(J1786="", "", IF(J1786="Long Term", 12.5%, 20%))</f>
        <v/>
      </c>
      <c r="L1786" s="3">
        <f>+IFERROR(IF(J1786="","",H1786*K1786),"")</f>
        <v/>
      </c>
    </row>
    <row r="1787">
      <c r="A1787" s="11" t="n"/>
      <c r="B1787" s="7" t="n"/>
      <c r="C1787" s="8" t="n"/>
      <c r="D1787" s="9" t="n"/>
      <c r="E1787" s="8" t="n"/>
      <c r="F1787" s="9" t="n"/>
      <c r="G1787" s="9" t="n"/>
      <c r="H1787" s="3">
        <f>IF(AND(D1787&lt;&gt;"",F1787&lt;&gt;""),F1787-D1787-G1787,"")</f>
        <v/>
      </c>
      <c r="I1787" s="14">
        <f>IF(E1787&lt;&gt;"", YEARFRAC(C1787, E1787) * 12, "")</f>
        <v/>
      </c>
      <c r="J1787" s="2">
        <f>IF(I1787="", "", IF(AND(A1787="MF (Equity)", I1787&gt;12), "Long Term", "Short Term"))</f>
        <v/>
      </c>
      <c r="K1787" s="5">
        <f>IF(J1787="", "", IF(J1787="Long Term", 12.5%, 20%))</f>
        <v/>
      </c>
      <c r="L1787" s="3">
        <f>+IFERROR(IF(J1787="","",H1787*K1787),"")</f>
        <v/>
      </c>
    </row>
    <row r="1788">
      <c r="A1788" s="11" t="n"/>
      <c r="B1788" s="7" t="n"/>
      <c r="C1788" s="8" t="n"/>
      <c r="D1788" s="9" t="n"/>
      <c r="E1788" s="8" t="n"/>
      <c r="F1788" s="9" t="n"/>
      <c r="G1788" s="9" t="n"/>
      <c r="H1788" s="3">
        <f>IF(AND(D1788&lt;&gt;"",F1788&lt;&gt;""),F1788-D1788-G1788,"")</f>
        <v/>
      </c>
      <c r="I1788" s="14">
        <f>IF(E1788&lt;&gt;"", YEARFRAC(C1788, E1788) * 12, "")</f>
        <v/>
      </c>
      <c r="J1788" s="2">
        <f>IF(I1788="", "", IF(AND(A1788="MF (Equity)", I1788&gt;12), "Long Term", "Short Term"))</f>
        <v/>
      </c>
      <c r="K1788" s="5">
        <f>IF(J1788="", "", IF(J1788="Long Term", 12.5%, 20%))</f>
        <v/>
      </c>
      <c r="L1788" s="3">
        <f>+IFERROR(IF(J1788="","",H1788*K1788),"")</f>
        <v/>
      </c>
    </row>
    <row r="1789">
      <c r="A1789" s="11" t="n"/>
      <c r="B1789" s="7" t="n"/>
      <c r="C1789" s="8" t="n"/>
      <c r="D1789" s="9" t="n"/>
      <c r="E1789" s="8" t="n"/>
      <c r="F1789" s="9" t="n"/>
      <c r="G1789" s="9" t="n"/>
      <c r="H1789" s="3">
        <f>IF(AND(D1789&lt;&gt;"",F1789&lt;&gt;""),F1789-D1789-G1789,"")</f>
        <v/>
      </c>
      <c r="I1789" s="14">
        <f>IF(E1789&lt;&gt;"", YEARFRAC(C1789, E1789) * 12, "")</f>
        <v/>
      </c>
      <c r="J1789" s="2">
        <f>IF(I1789="", "", IF(AND(A1789="MF (Equity)", I1789&gt;12), "Long Term", "Short Term"))</f>
        <v/>
      </c>
      <c r="K1789" s="5">
        <f>IF(J1789="", "", IF(J1789="Long Term", 12.5%, 20%))</f>
        <v/>
      </c>
      <c r="L1789" s="3">
        <f>+IFERROR(IF(J1789="","",H1789*K1789),"")</f>
        <v/>
      </c>
    </row>
    <row r="1790">
      <c r="A1790" s="11" t="n"/>
      <c r="B1790" s="7" t="n"/>
      <c r="C1790" s="8" t="n"/>
      <c r="D1790" s="9" t="n"/>
      <c r="E1790" s="8" t="n"/>
      <c r="F1790" s="9" t="n"/>
      <c r="G1790" s="9" t="n"/>
      <c r="H1790" s="3">
        <f>IF(AND(D1790&lt;&gt;"",F1790&lt;&gt;""),F1790-D1790-G1790,"")</f>
        <v/>
      </c>
      <c r="I1790" s="14">
        <f>IF(E1790&lt;&gt;"", YEARFRAC(C1790, E1790) * 12, "")</f>
        <v/>
      </c>
      <c r="J1790" s="2">
        <f>IF(I1790="", "", IF(AND(A1790="MF (Equity)", I1790&gt;12), "Long Term", "Short Term"))</f>
        <v/>
      </c>
      <c r="K1790" s="5">
        <f>IF(J1790="", "", IF(J1790="Long Term", 12.5%, 20%))</f>
        <v/>
      </c>
      <c r="L1790" s="3">
        <f>+IFERROR(IF(J1790="","",H1790*K1790),"")</f>
        <v/>
      </c>
    </row>
    <row r="1791">
      <c r="A1791" s="11" t="n"/>
      <c r="B1791" s="7" t="n"/>
      <c r="C1791" s="8" t="n"/>
      <c r="D1791" s="9" t="n"/>
      <c r="E1791" s="8" t="n"/>
      <c r="F1791" s="9" t="n"/>
      <c r="G1791" s="9" t="n"/>
      <c r="H1791" s="3">
        <f>IF(AND(D1791&lt;&gt;"",F1791&lt;&gt;""),F1791-D1791-G1791,"")</f>
        <v/>
      </c>
      <c r="I1791" s="14">
        <f>IF(E1791&lt;&gt;"", YEARFRAC(C1791, E1791) * 12, "")</f>
        <v/>
      </c>
      <c r="J1791" s="2">
        <f>IF(I1791="", "", IF(AND(A1791="MF (Equity)", I1791&gt;12), "Long Term", "Short Term"))</f>
        <v/>
      </c>
      <c r="K1791" s="5">
        <f>IF(J1791="", "", IF(J1791="Long Term", 12.5%, 20%))</f>
        <v/>
      </c>
      <c r="L1791" s="3">
        <f>+IFERROR(IF(J1791="","",H1791*K1791),"")</f>
        <v/>
      </c>
    </row>
    <row r="1792">
      <c r="A1792" s="11" t="n"/>
      <c r="B1792" s="7" t="n"/>
      <c r="C1792" s="8" t="n"/>
      <c r="D1792" s="9" t="n"/>
      <c r="E1792" s="8" t="n"/>
      <c r="F1792" s="9" t="n"/>
      <c r="G1792" s="9" t="n"/>
      <c r="H1792" s="3">
        <f>IF(AND(D1792&lt;&gt;"",F1792&lt;&gt;""),F1792-D1792-G1792,"")</f>
        <v/>
      </c>
      <c r="I1792" s="14">
        <f>IF(E1792&lt;&gt;"", YEARFRAC(C1792, E1792) * 12, "")</f>
        <v/>
      </c>
      <c r="J1792" s="2">
        <f>IF(I1792="", "", IF(AND(A1792="MF (Equity)", I1792&gt;12), "Long Term", "Short Term"))</f>
        <v/>
      </c>
      <c r="K1792" s="5">
        <f>IF(J1792="", "", IF(J1792="Long Term", 12.5%, 20%))</f>
        <v/>
      </c>
      <c r="L1792" s="3">
        <f>+IFERROR(IF(J1792="","",H1792*K1792),"")</f>
        <v/>
      </c>
    </row>
    <row r="1793">
      <c r="A1793" s="11" t="n"/>
      <c r="B1793" s="7" t="n"/>
      <c r="C1793" s="8" t="n"/>
      <c r="D1793" s="9" t="n"/>
      <c r="E1793" s="8" t="n"/>
      <c r="F1793" s="9" t="n"/>
      <c r="G1793" s="9" t="n"/>
      <c r="H1793" s="3">
        <f>IF(AND(D1793&lt;&gt;"",F1793&lt;&gt;""),F1793-D1793-G1793,"")</f>
        <v/>
      </c>
      <c r="I1793" s="14">
        <f>IF(E1793&lt;&gt;"", YEARFRAC(C1793, E1793) * 12, "")</f>
        <v/>
      </c>
      <c r="J1793" s="2">
        <f>IF(I1793="", "", IF(AND(A1793="MF (Equity)", I1793&gt;12), "Long Term", "Short Term"))</f>
        <v/>
      </c>
      <c r="K1793" s="5">
        <f>IF(J1793="", "", IF(J1793="Long Term", 12.5%, 20%))</f>
        <v/>
      </c>
      <c r="L1793" s="3">
        <f>+IFERROR(IF(J1793="","",H1793*K1793),"")</f>
        <v/>
      </c>
    </row>
    <row r="1794">
      <c r="A1794" s="11" t="n"/>
      <c r="B1794" s="7" t="n"/>
      <c r="C1794" s="8" t="n"/>
      <c r="D1794" s="9" t="n"/>
      <c r="E1794" s="8" t="n"/>
      <c r="F1794" s="9" t="n"/>
      <c r="G1794" s="9" t="n"/>
      <c r="H1794" s="3">
        <f>IF(AND(D1794&lt;&gt;"",F1794&lt;&gt;""),F1794-D1794-G1794,"")</f>
        <v/>
      </c>
      <c r="I1794" s="14">
        <f>IF(E1794&lt;&gt;"", YEARFRAC(C1794, E1794) * 12, "")</f>
        <v/>
      </c>
      <c r="J1794" s="2">
        <f>IF(I1794="", "", IF(AND(A1794="MF (Equity)", I1794&gt;12), "Long Term", "Short Term"))</f>
        <v/>
      </c>
      <c r="K1794" s="5">
        <f>IF(J1794="", "", IF(J1794="Long Term", 12.5%, 20%))</f>
        <v/>
      </c>
      <c r="L1794" s="3">
        <f>+IFERROR(IF(J1794="","",H1794*K1794),"")</f>
        <v/>
      </c>
    </row>
    <row r="1795">
      <c r="A1795" s="11" t="n"/>
      <c r="B1795" s="7" t="n"/>
      <c r="C1795" s="8" t="n"/>
      <c r="D1795" s="9" t="n"/>
      <c r="E1795" s="8" t="n"/>
      <c r="F1795" s="9" t="n"/>
      <c r="G1795" s="9" t="n"/>
      <c r="H1795" s="3">
        <f>IF(AND(D1795&lt;&gt;"",F1795&lt;&gt;""),F1795-D1795-G1795,"")</f>
        <v/>
      </c>
      <c r="I1795" s="14">
        <f>IF(E1795&lt;&gt;"", YEARFRAC(C1795, E1795) * 12, "")</f>
        <v/>
      </c>
      <c r="J1795" s="2">
        <f>IF(I1795="", "", IF(AND(A1795="MF (Equity)", I1795&gt;12), "Long Term", "Short Term"))</f>
        <v/>
      </c>
      <c r="K1795" s="5">
        <f>IF(J1795="", "", IF(J1795="Long Term", 12.5%, 20%))</f>
        <v/>
      </c>
      <c r="L1795" s="3">
        <f>+IFERROR(IF(J1795="","",H1795*K1795),"")</f>
        <v/>
      </c>
    </row>
    <row r="1796">
      <c r="A1796" s="11" t="n"/>
      <c r="B1796" s="7" t="n"/>
      <c r="C1796" s="8" t="n"/>
      <c r="D1796" s="9" t="n"/>
      <c r="E1796" s="8" t="n"/>
      <c r="F1796" s="9" t="n"/>
      <c r="G1796" s="9" t="n"/>
      <c r="H1796" s="3">
        <f>IF(AND(D1796&lt;&gt;"",F1796&lt;&gt;""),F1796-D1796-G1796,"")</f>
        <v/>
      </c>
      <c r="I1796" s="14">
        <f>IF(E1796&lt;&gt;"", YEARFRAC(C1796, E1796) * 12, "")</f>
        <v/>
      </c>
      <c r="J1796" s="2">
        <f>IF(I1796="", "", IF(AND(A1796="MF (Equity)", I1796&gt;12), "Long Term", "Short Term"))</f>
        <v/>
      </c>
      <c r="K1796" s="5">
        <f>IF(J1796="", "", IF(J1796="Long Term", 12.5%, 20%))</f>
        <v/>
      </c>
      <c r="L1796" s="3">
        <f>+IFERROR(IF(J1796="","",H1796*K1796),"")</f>
        <v/>
      </c>
    </row>
    <row r="1797">
      <c r="A1797" s="11" t="n"/>
      <c r="B1797" s="7" t="n"/>
      <c r="C1797" s="8" t="n"/>
      <c r="D1797" s="9" t="n"/>
      <c r="E1797" s="8" t="n"/>
      <c r="F1797" s="9" t="n"/>
      <c r="G1797" s="9" t="n"/>
      <c r="H1797" s="3">
        <f>IF(AND(D1797&lt;&gt;"",F1797&lt;&gt;""),F1797-D1797-G1797,"")</f>
        <v/>
      </c>
      <c r="I1797" s="14">
        <f>IF(E1797&lt;&gt;"", YEARFRAC(C1797, E1797) * 12, "")</f>
        <v/>
      </c>
      <c r="J1797" s="2">
        <f>IF(I1797="", "", IF(AND(A1797="MF (Equity)", I1797&gt;12), "Long Term", "Short Term"))</f>
        <v/>
      </c>
      <c r="K1797" s="5">
        <f>IF(J1797="", "", IF(J1797="Long Term", 12.5%, 20%))</f>
        <v/>
      </c>
      <c r="L1797" s="3">
        <f>+IFERROR(IF(J1797="","",H1797*K1797),"")</f>
        <v/>
      </c>
    </row>
    <row r="1798">
      <c r="A1798" s="11" t="n"/>
      <c r="B1798" s="7" t="n"/>
      <c r="C1798" s="8" t="n"/>
      <c r="D1798" s="9" t="n"/>
      <c r="E1798" s="8" t="n"/>
      <c r="F1798" s="9" t="n"/>
      <c r="G1798" s="9" t="n"/>
      <c r="H1798" s="3">
        <f>IF(AND(D1798&lt;&gt;"",F1798&lt;&gt;""),F1798-D1798-G1798,"")</f>
        <v/>
      </c>
      <c r="I1798" s="14">
        <f>IF(E1798&lt;&gt;"", YEARFRAC(C1798, E1798) * 12, "")</f>
        <v/>
      </c>
      <c r="J1798" s="2">
        <f>IF(I1798="", "", IF(AND(A1798="MF (Equity)", I1798&gt;12), "Long Term", "Short Term"))</f>
        <v/>
      </c>
      <c r="K1798" s="5">
        <f>IF(J1798="", "", IF(J1798="Long Term", 12.5%, 20%))</f>
        <v/>
      </c>
      <c r="L1798" s="3">
        <f>+IFERROR(IF(J1798="","",H1798*K1798),"")</f>
        <v/>
      </c>
    </row>
    <row r="1799">
      <c r="A1799" s="11" t="n"/>
      <c r="B1799" s="7" t="n"/>
      <c r="C1799" s="8" t="n"/>
      <c r="D1799" s="9" t="n"/>
      <c r="E1799" s="8" t="n"/>
      <c r="F1799" s="9" t="n"/>
      <c r="G1799" s="9" t="n"/>
      <c r="H1799" s="3">
        <f>IF(AND(D1799&lt;&gt;"",F1799&lt;&gt;""),F1799-D1799-G1799,"")</f>
        <v/>
      </c>
      <c r="I1799" s="14">
        <f>IF(E1799&lt;&gt;"", YEARFRAC(C1799, E1799) * 12, "")</f>
        <v/>
      </c>
      <c r="J1799" s="2">
        <f>IF(I1799="", "", IF(AND(A1799="MF (Equity)", I1799&gt;12), "Long Term", "Short Term"))</f>
        <v/>
      </c>
      <c r="K1799" s="5">
        <f>IF(J1799="", "", IF(J1799="Long Term", 12.5%, 20%))</f>
        <v/>
      </c>
      <c r="L1799" s="3">
        <f>+IFERROR(IF(J1799="","",H1799*K1799),"")</f>
        <v/>
      </c>
    </row>
    <row r="1800">
      <c r="A1800" s="11" t="n"/>
      <c r="B1800" s="7" t="n"/>
      <c r="C1800" s="8" t="n"/>
      <c r="D1800" s="9" t="n"/>
      <c r="E1800" s="8" t="n"/>
      <c r="F1800" s="9" t="n"/>
      <c r="G1800" s="9" t="n"/>
      <c r="H1800" s="3">
        <f>IF(AND(D1800&lt;&gt;"",F1800&lt;&gt;""),F1800-D1800-G1800,"")</f>
        <v/>
      </c>
      <c r="I1800" s="14">
        <f>IF(E1800&lt;&gt;"", YEARFRAC(C1800, E1800) * 12, "")</f>
        <v/>
      </c>
      <c r="J1800" s="2">
        <f>IF(I1800="", "", IF(AND(A1800="MF (Equity)", I1800&gt;12), "Long Term", "Short Term"))</f>
        <v/>
      </c>
      <c r="K1800" s="5">
        <f>IF(J1800="", "", IF(J1800="Long Term", 12.5%, 20%))</f>
        <v/>
      </c>
      <c r="L1800" s="3">
        <f>+IFERROR(IF(J1800="","",H1800*K1800),"")</f>
        <v/>
      </c>
    </row>
    <row r="1801">
      <c r="A1801" s="11" t="n"/>
      <c r="B1801" s="7" t="n"/>
      <c r="C1801" s="8" t="n"/>
      <c r="D1801" s="9" t="n"/>
      <c r="E1801" s="8" t="n"/>
      <c r="F1801" s="9" t="n"/>
      <c r="G1801" s="9" t="n"/>
      <c r="H1801" s="3">
        <f>IF(AND(D1801&lt;&gt;"",F1801&lt;&gt;""),F1801-D1801-G1801,"")</f>
        <v/>
      </c>
      <c r="I1801" s="14">
        <f>IF(E1801&lt;&gt;"", YEARFRAC(C1801, E1801) * 12, "")</f>
        <v/>
      </c>
      <c r="J1801" s="2">
        <f>IF(I1801="", "", IF(AND(A1801="MF (Equity)", I1801&gt;12), "Long Term", "Short Term"))</f>
        <v/>
      </c>
      <c r="K1801" s="5">
        <f>IF(J1801="", "", IF(J1801="Long Term", 12.5%, 20%))</f>
        <v/>
      </c>
      <c r="L1801" s="3">
        <f>+IFERROR(IF(J1801="","",H1801*K1801),"")</f>
        <v/>
      </c>
    </row>
    <row r="1802">
      <c r="A1802" s="11" t="n"/>
      <c r="B1802" s="7" t="n"/>
      <c r="C1802" s="8" t="n"/>
      <c r="D1802" s="9" t="n"/>
      <c r="E1802" s="8" t="n"/>
      <c r="F1802" s="9" t="n"/>
      <c r="G1802" s="9" t="n"/>
      <c r="H1802" s="3">
        <f>IF(AND(D1802&lt;&gt;"",F1802&lt;&gt;""),F1802-D1802-G1802,"")</f>
        <v/>
      </c>
      <c r="I1802" s="14">
        <f>IF(E1802&lt;&gt;"", YEARFRAC(C1802, E1802) * 12, "")</f>
        <v/>
      </c>
      <c r="J1802" s="2">
        <f>IF(I1802="", "", IF(AND(A1802="MF (Equity)", I1802&gt;12), "Long Term", "Short Term"))</f>
        <v/>
      </c>
      <c r="K1802" s="5">
        <f>IF(J1802="", "", IF(J1802="Long Term", 12.5%, 20%))</f>
        <v/>
      </c>
      <c r="L1802" s="3">
        <f>+IFERROR(IF(J1802="","",H1802*K1802),"")</f>
        <v/>
      </c>
    </row>
    <row r="1803">
      <c r="A1803" s="11" t="n"/>
      <c r="B1803" s="7" t="n"/>
      <c r="C1803" s="8" t="n"/>
      <c r="D1803" s="9" t="n"/>
      <c r="E1803" s="8" t="n"/>
      <c r="F1803" s="9" t="n"/>
      <c r="G1803" s="9" t="n"/>
      <c r="H1803" s="3">
        <f>IF(AND(D1803&lt;&gt;"",F1803&lt;&gt;""),F1803-D1803-G1803,"")</f>
        <v/>
      </c>
      <c r="I1803" s="14">
        <f>IF(E1803&lt;&gt;"", YEARFRAC(C1803, E1803) * 12, "")</f>
        <v/>
      </c>
      <c r="J1803" s="2">
        <f>IF(I1803="", "", IF(AND(A1803="MF (Equity)", I1803&gt;12), "Long Term", "Short Term"))</f>
        <v/>
      </c>
      <c r="K1803" s="5">
        <f>IF(J1803="", "", IF(J1803="Long Term", 12.5%, 20%))</f>
        <v/>
      </c>
      <c r="L1803" s="3">
        <f>+IFERROR(IF(J1803="","",H1803*K1803),"")</f>
        <v/>
      </c>
    </row>
    <row r="1804">
      <c r="A1804" s="11" t="n"/>
      <c r="B1804" s="7" t="n"/>
      <c r="C1804" s="8" t="n"/>
      <c r="D1804" s="9" t="n"/>
      <c r="E1804" s="8" t="n"/>
      <c r="F1804" s="9" t="n"/>
      <c r="G1804" s="9" t="n"/>
      <c r="H1804" s="3">
        <f>IF(AND(D1804&lt;&gt;"",F1804&lt;&gt;""),F1804-D1804-G1804,"")</f>
        <v/>
      </c>
      <c r="I1804" s="14">
        <f>IF(E1804&lt;&gt;"", YEARFRAC(C1804, E1804) * 12, "")</f>
        <v/>
      </c>
      <c r="J1804" s="2">
        <f>IF(I1804="", "", IF(AND(A1804="MF (Equity)", I1804&gt;12), "Long Term", "Short Term"))</f>
        <v/>
      </c>
      <c r="K1804" s="5">
        <f>IF(J1804="", "", IF(J1804="Long Term", 12.5%, 20%))</f>
        <v/>
      </c>
      <c r="L1804" s="3">
        <f>+IFERROR(IF(J1804="","",H1804*K1804),"")</f>
        <v/>
      </c>
    </row>
    <row r="1805">
      <c r="A1805" s="11" t="n"/>
      <c r="B1805" s="7" t="n"/>
      <c r="C1805" s="8" t="n"/>
      <c r="D1805" s="9" t="n"/>
      <c r="E1805" s="8" t="n"/>
      <c r="F1805" s="9" t="n"/>
      <c r="G1805" s="9" t="n"/>
      <c r="H1805" s="3">
        <f>IF(AND(D1805&lt;&gt;"",F1805&lt;&gt;""),F1805-D1805-G1805,"")</f>
        <v/>
      </c>
      <c r="I1805" s="14">
        <f>IF(E1805&lt;&gt;"", YEARFRAC(C1805, E1805) * 12, "")</f>
        <v/>
      </c>
      <c r="J1805" s="2">
        <f>IF(I1805="", "", IF(AND(A1805="MF (Equity)", I1805&gt;12), "Long Term", "Short Term"))</f>
        <v/>
      </c>
      <c r="K1805" s="5">
        <f>IF(J1805="", "", IF(J1805="Long Term", 12.5%, 20%))</f>
        <v/>
      </c>
      <c r="L1805" s="3">
        <f>+IFERROR(IF(J1805="","",H1805*K1805),"")</f>
        <v/>
      </c>
    </row>
    <row r="1806">
      <c r="A1806" s="11" t="n"/>
      <c r="B1806" s="7" t="n"/>
      <c r="C1806" s="8" t="n"/>
      <c r="D1806" s="9" t="n"/>
      <c r="E1806" s="8" t="n"/>
      <c r="F1806" s="9" t="n"/>
      <c r="G1806" s="9" t="n"/>
      <c r="H1806" s="3">
        <f>IF(AND(D1806&lt;&gt;"",F1806&lt;&gt;""),F1806-D1806-G1806,"")</f>
        <v/>
      </c>
      <c r="I1806" s="14">
        <f>IF(E1806&lt;&gt;"", YEARFRAC(C1806, E1806) * 12, "")</f>
        <v/>
      </c>
      <c r="J1806" s="2">
        <f>IF(I1806="", "", IF(AND(A1806="MF (Equity)", I1806&gt;12), "Long Term", "Short Term"))</f>
        <v/>
      </c>
      <c r="K1806" s="5">
        <f>IF(J1806="", "", IF(J1806="Long Term", 12.5%, 20%))</f>
        <v/>
      </c>
      <c r="L1806" s="3">
        <f>+IFERROR(IF(J1806="","",H1806*K1806),"")</f>
        <v/>
      </c>
    </row>
    <row r="1807">
      <c r="A1807" s="11" t="n"/>
      <c r="B1807" s="7" t="n"/>
      <c r="C1807" s="8" t="n"/>
      <c r="D1807" s="9" t="n"/>
      <c r="E1807" s="8" t="n"/>
      <c r="F1807" s="9" t="n"/>
      <c r="G1807" s="9" t="n"/>
      <c r="H1807" s="3">
        <f>IF(AND(D1807&lt;&gt;"",F1807&lt;&gt;""),F1807-D1807-G1807,"")</f>
        <v/>
      </c>
      <c r="I1807" s="14">
        <f>IF(E1807&lt;&gt;"", YEARFRAC(C1807, E1807) * 12, "")</f>
        <v/>
      </c>
      <c r="J1807" s="2">
        <f>IF(I1807="", "", IF(AND(A1807="MF (Equity)", I1807&gt;12), "Long Term", "Short Term"))</f>
        <v/>
      </c>
      <c r="K1807" s="5">
        <f>IF(J1807="", "", IF(J1807="Long Term", 12.5%, 20%))</f>
        <v/>
      </c>
      <c r="L1807" s="3">
        <f>+IFERROR(IF(J1807="","",H1807*K1807),"")</f>
        <v/>
      </c>
    </row>
    <row r="1808">
      <c r="A1808" s="11" t="n"/>
      <c r="B1808" s="7" t="n"/>
      <c r="C1808" s="8" t="n"/>
      <c r="D1808" s="9" t="n"/>
      <c r="E1808" s="8" t="n"/>
      <c r="F1808" s="9" t="n"/>
      <c r="G1808" s="9" t="n"/>
      <c r="H1808" s="3">
        <f>IF(AND(D1808&lt;&gt;"",F1808&lt;&gt;""),F1808-D1808-G1808,"")</f>
        <v/>
      </c>
      <c r="I1808" s="14">
        <f>IF(E1808&lt;&gt;"", YEARFRAC(C1808, E1808) * 12, "")</f>
        <v/>
      </c>
      <c r="J1808" s="2">
        <f>IF(I1808="", "", IF(AND(A1808="MF (Equity)", I1808&gt;12), "Long Term", "Short Term"))</f>
        <v/>
      </c>
      <c r="K1808" s="5">
        <f>IF(J1808="", "", IF(J1808="Long Term", 12.5%, 20%))</f>
        <v/>
      </c>
      <c r="L1808" s="3">
        <f>+IFERROR(IF(J1808="","",H1808*K1808),"")</f>
        <v/>
      </c>
    </row>
    <row r="1809">
      <c r="A1809" s="11" t="n"/>
      <c r="B1809" s="7" t="n"/>
      <c r="C1809" s="8" t="n"/>
      <c r="D1809" s="9" t="n"/>
      <c r="E1809" s="8" t="n"/>
      <c r="F1809" s="9" t="n"/>
      <c r="G1809" s="9" t="n"/>
      <c r="H1809" s="3">
        <f>IF(AND(D1809&lt;&gt;"",F1809&lt;&gt;""),F1809-D1809-G1809,"")</f>
        <v/>
      </c>
      <c r="I1809" s="14">
        <f>IF(E1809&lt;&gt;"", YEARFRAC(C1809, E1809) * 12, "")</f>
        <v/>
      </c>
      <c r="J1809" s="2">
        <f>IF(I1809="", "", IF(AND(A1809="MF (Equity)", I1809&gt;12), "Long Term", "Short Term"))</f>
        <v/>
      </c>
      <c r="K1809" s="5">
        <f>IF(J1809="", "", IF(J1809="Long Term", 12.5%, 20%))</f>
        <v/>
      </c>
      <c r="L1809" s="3">
        <f>+IFERROR(IF(J1809="","",H1809*K1809),"")</f>
        <v/>
      </c>
    </row>
    <row r="1810">
      <c r="A1810" s="11" t="n"/>
      <c r="B1810" s="7" t="n"/>
      <c r="C1810" s="8" t="n"/>
      <c r="D1810" s="9" t="n"/>
      <c r="E1810" s="8" t="n"/>
      <c r="F1810" s="9" t="n"/>
      <c r="G1810" s="9" t="n"/>
      <c r="H1810" s="3">
        <f>IF(AND(D1810&lt;&gt;"",F1810&lt;&gt;""),F1810-D1810-G1810,"")</f>
        <v/>
      </c>
      <c r="I1810" s="14">
        <f>IF(E1810&lt;&gt;"", YEARFRAC(C1810, E1810) * 12, "")</f>
        <v/>
      </c>
      <c r="J1810" s="2">
        <f>IF(I1810="", "", IF(AND(A1810="MF (Equity)", I1810&gt;12), "Long Term", "Short Term"))</f>
        <v/>
      </c>
      <c r="K1810" s="5">
        <f>IF(J1810="", "", IF(J1810="Long Term", 12.5%, 20%))</f>
        <v/>
      </c>
      <c r="L1810" s="3">
        <f>+IFERROR(IF(J1810="","",H1810*K1810),"")</f>
        <v/>
      </c>
    </row>
    <row r="1811">
      <c r="A1811" s="11" t="n"/>
      <c r="B1811" s="7" t="n"/>
      <c r="C1811" s="8" t="n"/>
      <c r="D1811" s="9" t="n"/>
      <c r="E1811" s="8" t="n"/>
      <c r="F1811" s="9" t="n"/>
      <c r="G1811" s="9" t="n"/>
      <c r="H1811" s="3">
        <f>IF(AND(D1811&lt;&gt;"",F1811&lt;&gt;""),F1811-D1811-G1811,"")</f>
        <v/>
      </c>
      <c r="I1811" s="14">
        <f>IF(E1811&lt;&gt;"", YEARFRAC(C1811, E1811) * 12, "")</f>
        <v/>
      </c>
      <c r="J1811" s="2">
        <f>IF(I1811="", "", IF(AND(A1811="MF (Equity)", I1811&gt;12), "Long Term", "Short Term"))</f>
        <v/>
      </c>
      <c r="K1811" s="5">
        <f>IF(J1811="", "", IF(J1811="Long Term", 12.5%, 20%))</f>
        <v/>
      </c>
      <c r="L1811" s="3">
        <f>+IFERROR(IF(J1811="","",H1811*K1811),"")</f>
        <v/>
      </c>
    </row>
    <row r="1812">
      <c r="A1812" s="11" t="n"/>
      <c r="B1812" s="7" t="n"/>
      <c r="C1812" s="8" t="n"/>
      <c r="D1812" s="9" t="n"/>
      <c r="E1812" s="8" t="n"/>
      <c r="F1812" s="9" t="n"/>
      <c r="G1812" s="9" t="n"/>
      <c r="H1812" s="3">
        <f>IF(AND(D1812&lt;&gt;"",F1812&lt;&gt;""),F1812-D1812-G1812,"")</f>
        <v/>
      </c>
      <c r="I1812" s="14">
        <f>IF(E1812&lt;&gt;"", YEARFRAC(C1812, E1812) * 12, "")</f>
        <v/>
      </c>
      <c r="J1812" s="2">
        <f>IF(I1812="", "", IF(AND(A1812="MF (Equity)", I1812&gt;12), "Long Term", "Short Term"))</f>
        <v/>
      </c>
      <c r="K1812" s="5">
        <f>IF(J1812="", "", IF(J1812="Long Term", 12.5%, 20%))</f>
        <v/>
      </c>
      <c r="L1812" s="3">
        <f>+IFERROR(IF(J1812="","",H1812*K1812),"")</f>
        <v/>
      </c>
    </row>
    <row r="1813">
      <c r="A1813" s="11" t="n"/>
      <c r="B1813" s="7" t="n"/>
      <c r="C1813" s="8" t="n"/>
      <c r="D1813" s="9" t="n"/>
      <c r="E1813" s="8" t="n"/>
      <c r="F1813" s="9" t="n"/>
      <c r="G1813" s="9" t="n"/>
      <c r="H1813" s="3">
        <f>IF(AND(D1813&lt;&gt;"",F1813&lt;&gt;""),F1813-D1813-G1813,"")</f>
        <v/>
      </c>
      <c r="I1813" s="14">
        <f>IF(E1813&lt;&gt;"", YEARFRAC(C1813, E1813) * 12, "")</f>
        <v/>
      </c>
      <c r="J1813" s="2">
        <f>IF(I1813="", "", IF(AND(A1813="MF (Equity)", I1813&gt;12), "Long Term", "Short Term"))</f>
        <v/>
      </c>
      <c r="K1813" s="5">
        <f>IF(J1813="", "", IF(J1813="Long Term", 12.5%, 20%))</f>
        <v/>
      </c>
      <c r="L1813" s="3">
        <f>+IFERROR(IF(J1813="","",H1813*K1813),"")</f>
        <v/>
      </c>
    </row>
    <row r="1814">
      <c r="A1814" s="11" t="n"/>
      <c r="B1814" s="7" t="n"/>
      <c r="C1814" s="8" t="n"/>
      <c r="D1814" s="9" t="n"/>
      <c r="E1814" s="8" t="n"/>
      <c r="F1814" s="9" t="n"/>
      <c r="G1814" s="9" t="n"/>
      <c r="H1814" s="3">
        <f>IF(AND(D1814&lt;&gt;"",F1814&lt;&gt;""),F1814-D1814-G1814,"")</f>
        <v/>
      </c>
      <c r="I1814" s="14">
        <f>IF(E1814&lt;&gt;"", YEARFRAC(C1814, E1814) * 12, "")</f>
        <v/>
      </c>
      <c r="J1814" s="2">
        <f>IF(I1814="", "", IF(AND(A1814="MF (Equity)", I1814&gt;12), "Long Term", "Short Term"))</f>
        <v/>
      </c>
      <c r="K1814" s="5">
        <f>IF(J1814="", "", IF(J1814="Long Term", 12.5%, 20%))</f>
        <v/>
      </c>
      <c r="L1814" s="3">
        <f>+IFERROR(IF(J1814="","",H1814*K1814),"")</f>
        <v/>
      </c>
    </row>
    <row r="1815">
      <c r="A1815" s="11" t="n"/>
      <c r="B1815" s="7" t="n"/>
      <c r="C1815" s="8" t="n"/>
      <c r="D1815" s="9" t="n"/>
      <c r="E1815" s="8" t="n"/>
      <c r="F1815" s="9" t="n"/>
      <c r="G1815" s="9" t="n"/>
      <c r="H1815" s="3">
        <f>IF(AND(D1815&lt;&gt;"",F1815&lt;&gt;""),F1815-D1815-G1815,"")</f>
        <v/>
      </c>
      <c r="I1815" s="14">
        <f>IF(E1815&lt;&gt;"", YEARFRAC(C1815, E1815) * 12, "")</f>
        <v/>
      </c>
      <c r="J1815" s="2">
        <f>IF(I1815="", "", IF(AND(A1815="MF (Equity)", I1815&gt;12), "Long Term", "Short Term"))</f>
        <v/>
      </c>
      <c r="K1815" s="5">
        <f>IF(J1815="", "", IF(J1815="Long Term", 12.5%, 20%))</f>
        <v/>
      </c>
      <c r="L1815" s="3">
        <f>+IFERROR(IF(J1815="","",H1815*K1815),"")</f>
        <v/>
      </c>
    </row>
    <row r="1816">
      <c r="A1816" s="11" t="n"/>
      <c r="B1816" s="7" t="n"/>
      <c r="C1816" s="8" t="n"/>
      <c r="D1816" s="9" t="n"/>
      <c r="E1816" s="8" t="n"/>
      <c r="F1816" s="9" t="n"/>
      <c r="G1816" s="9" t="n"/>
      <c r="H1816" s="3">
        <f>IF(AND(D1816&lt;&gt;"",F1816&lt;&gt;""),F1816-D1816-G1816,"")</f>
        <v/>
      </c>
      <c r="I1816" s="14">
        <f>IF(E1816&lt;&gt;"", YEARFRAC(C1816, E1816) * 12, "")</f>
        <v/>
      </c>
      <c r="J1816" s="2">
        <f>IF(I1816="", "", IF(AND(A1816="MF (Equity)", I1816&gt;12), "Long Term", "Short Term"))</f>
        <v/>
      </c>
      <c r="K1816" s="5">
        <f>IF(J1816="", "", IF(J1816="Long Term", 12.5%, 20%))</f>
        <v/>
      </c>
      <c r="L1816" s="3">
        <f>+IFERROR(IF(J1816="","",H1816*K1816),"")</f>
        <v/>
      </c>
    </row>
    <row r="1817">
      <c r="A1817" s="11" t="n"/>
      <c r="B1817" s="7" t="n"/>
      <c r="C1817" s="8" t="n"/>
      <c r="D1817" s="9" t="n"/>
      <c r="E1817" s="8" t="n"/>
      <c r="F1817" s="9" t="n"/>
      <c r="G1817" s="9" t="n"/>
      <c r="H1817" s="3">
        <f>IF(AND(D1817&lt;&gt;"",F1817&lt;&gt;""),F1817-D1817-G1817,"")</f>
        <v/>
      </c>
      <c r="I1817" s="14">
        <f>IF(E1817&lt;&gt;"", YEARFRAC(C1817, E1817) * 12, "")</f>
        <v/>
      </c>
      <c r="J1817" s="2">
        <f>IF(I1817="", "", IF(AND(A1817="MF (Equity)", I1817&gt;12), "Long Term", "Short Term"))</f>
        <v/>
      </c>
      <c r="K1817" s="5">
        <f>IF(J1817="", "", IF(J1817="Long Term", 12.5%, 20%))</f>
        <v/>
      </c>
      <c r="L1817" s="3">
        <f>+IFERROR(IF(J1817="","",H1817*K1817),"")</f>
        <v/>
      </c>
    </row>
    <row r="1818">
      <c r="A1818" s="11" t="n"/>
      <c r="B1818" s="7" t="n"/>
      <c r="C1818" s="8" t="n"/>
      <c r="D1818" s="9" t="n"/>
      <c r="E1818" s="8" t="n"/>
      <c r="F1818" s="9" t="n"/>
      <c r="G1818" s="9" t="n"/>
      <c r="H1818" s="3">
        <f>IF(AND(D1818&lt;&gt;"",F1818&lt;&gt;""),F1818-D1818-G1818,"")</f>
        <v/>
      </c>
      <c r="I1818" s="14">
        <f>IF(E1818&lt;&gt;"", YEARFRAC(C1818, E1818) * 12, "")</f>
        <v/>
      </c>
      <c r="J1818" s="2">
        <f>IF(I1818="", "", IF(AND(A1818="MF (Equity)", I1818&gt;12), "Long Term", "Short Term"))</f>
        <v/>
      </c>
      <c r="K1818" s="5">
        <f>IF(J1818="", "", IF(J1818="Long Term", 12.5%, 20%))</f>
        <v/>
      </c>
      <c r="L1818" s="3">
        <f>+IFERROR(IF(J1818="","",H1818*K1818),"")</f>
        <v/>
      </c>
    </row>
    <row r="1819">
      <c r="A1819" s="11" t="n"/>
      <c r="B1819" s="7" t="n"/>
      <c r="C1819" s="8" t="n"/>
      <c r="D1819" s="9" t="n"/>
      <c r="E1819" s="8" t="n"/>
      <c r="F1819" s="9" t="n"/>
      <c r="G1819" s="9" t="n"/>
      <c r="H1819" s="3">
        <f>IF(AND(D1819&lt;&gt;"",F1819&lt;&gt;""),F1819-D1819-G1819,"")</f>
        <v/>
      </c>
      <c r="I1819" s="14">
        <f>IF(E1819&lt;&gt;"", YEARFRAC(C1819, E1819) * 12, "")</f>
        <v/>
      </c>
      <c r="J1819" s="2">
        <f>IF(I1819="", "", IF(AND(A1819="MF (Equity)", I1819&gt;12), "Long Term", "Short Term"))</f>
        <v/>
      </c>
      <c r="K1819" s="5">
        <f>IF(J1819="", "", IF(J1819="Long Term", 12.5%, 20%))</f>
        <v/>
      </c>
      <c r="L1819" s="3">
        <f>+IFERROR(IF(J1819="","",H1819*K1819),"")</f>
        <v/>
      </c>
    </row>
    <row r="1820">
      <c r="A1820" s="11" t="n"/>
      <c r="B1820" s="7" t="n"/>
      <c r="C1820" s="8" t="n"/>
      <c r="D1820" s="9" t="n"/>
      <c r="E1820" s="8" t="n"/>
      <c r="F1820" s="9" t="n"/>
      <c r="G1820" s="9" t="n"/>
      <c r="H1820" s="3">
        <f>IF(AND(D1820&lt;&gt;"",F1820&lt;&gt;""),F1820-D1820-G1820,"")</f>
        <v/>
      </c>
      <c r="I1820" s="14">
        <f>IF(E1820&lt;&gt;"", YEARFRAC(C1820, E1820) * 12, "")</f>
        <v/>
      </c>
      <c r="J1820" s="2">
        <f>IF(I1820="", "", IF(AND(A1820="MF (Equity)", I1820&gt;12), "Long Term", "Short Term"))</f>
        <v/>
      </c>
      <c r="K1820" s="5">
        <f>IF(J1820="", "", IF(J1820="Long Term", 12.5%, 20%))</f>
        <v/>
      </c>
      <c r="L1820" s="3">
        <f>+IFERROR(IF(J1820="","",H1820*K1820),"")</f>
        <v/>
      </c>
    </row>
    <row r="1821">
      <c r="A1821" s="11" t="n"/>
      <c r="B1821" s="7" t="n"/>
      <c r="C1821" s="8" t="n"/>
      <c r="D1821" s="9" t="n"/>
      <c r="E1821" s="8" t="n"/>
      <c r="F1821" s="9" t="n"/>
      <c r="G1821" s="9" t="n"/>
      <c r="H1821" s="3">
        <f>IF(AND(D1821&lt;&gt;"",F1821&lt;&gt;""),F1821-D1821-G1821,"")</f>
        <v/>
      </c>
      <c r="I1821" s="14">
        <f>IF(E1821&lt;&gt;"", YEARFRAC(C1821, E1821) * 12, "")</f>
        <v/>
      </c>
      <c r="J1821" s="2">
        <f>IF(I1821="", "", IF(AND(A1821="MF (Equity)", I1821&gt;12), "Long Term", "Short Term"))</f>
        <v/>
      </c>
      <c r="K1821" s="5">
        <f>IF(J1821="", "", IF(J1821="Long Term", 12.5%, 20%))</f>
        <v/>
      </c>
      <c r="L1821" s="3">
        <f>+IFERROR(IF(J1821="","",H1821*K1821),"")</f>
        <v/>
      </c>
    </row>
    <row r="1822">
      <c r="A1822" s="11" t="n"/>
      <c r="B1822" s="7" t="n"/>
      <c r="C1822" s="8" t="n"/>
      <c r="D1822" s="9" t="n"/>
      <c r="E1822" s="8" t="n"/>
      <c r="F1822" s="9" t="n"/>
      <c r="G1822" s="9" t="n"/>
      <c r="H1822" s="3">
        <f>IF(AND(D1822&lt;&gt;"",F1822&lt;&gt;""),F1822-D1822-G1822,"")</f>
        <v/>
      </c>
      <c r="I1822" s="14">
        <f>IF(E1822&lt;&gt;"", YEARFRAC(C1822, E1822) * 12, "")</f>
        <v/>
      </c>
      <c r="J1822" s="2">
        <f>IF(I1822="", "", IF(AND(A1822="MF (Equity)", I1822&gt;12), "Long Term", "Short Term"))</f>
        <v/>
      </c>
      <c r="K1822" s="5">
        <f>IF(J1822="", "", IF(J1822="Long Term", 12.5%, 20%))</f>
        <v/>
      </c>
      <c r="L1822" s="3">
        <f>+IFERROR(IF(J1822="","",H1822*K1822),"")</f>
        <v/>
      </c>
    </row>
    <row r="1823">
      <c r="A1823" s="11" t="n"/>
      <c r="B1823" s="7" t="n"/>
      <c r="C1823" s="8" t="n"/>
      <c r="D1823" s="9" t="n"/>
      <c r="E1823" s="8" t="n"/>
      <c r="F1823" s="9" t="n"/>
      <c r="G1823" s="9" t="n"/>
      <c r="H1823" s="3">
        <f>IF(AND(D1823&lt;&gt;"",F1823&lt;&gt;""),F1823-D1823-G1823,"")</f>
        <v/>
      </c>
      <c r="I1823" s="14">
        <f>IF(E1823&lt;&gt;"", YEARFRAC(C1823, E1823) * 12, "")</f>
        <v/>
      </c>
      <c r="J1823" s="2">
        <f>IF(I1823="", "", IF(AND(A1823="MF (Equity)", I1823&gt;12), "Long Term", "Short Term"))</f>
        <v/>
      </c>
      <c r="K1823" s="5">
        <f>IF(J1823="", "", IF(J1823="Long Term", 12.5%, 20%))</f>
        <v/>
      </c>
      <c r="L1823" s="3">
        <f>+IFERROR(IF(J1823="","",H1823*K1823),"")</f>
        <v/>
      </c>
    </row>
    <row r="1824">
      <c r="A1824" s="11" t="n"/>
      <c r="B1824" s="7" t="n"/>
      <c r="C1824" s="8" t="n"/>
      <c r="D1824" s="9" t="n"/>
      <c r="E1824" s="8" t="n"/>
      <c r="F1824" s="9" t="n"/>
      <c r="G1824" s="9" t="n"/>
      <c r="H1824" s="3">
        <f>IF(AND(D1824&lt;&gt;"",F1824&lt;&gt;""),F1824-D1824-G1824,"")</f>
        <v/>
      </c>
      <c r="I1824" s="14">
        <f>IF(E1824&lt;&gt;"", YEARFRAC(C1824, E1824) * 12, "")</f>
        <v/>
      </c>
      <c r="J1824" s="2">
        <f>IF(I1824="", "", IF(AND(A1824="MF (Equity)", I1824&gt;12), "Long Term", "Short Term"))</f>
        <v/>
      </c>
      <c r="K1824" s="5">
        <f>IF(J1824="", "", IF(J1824="Long Term", 12.5%, 20%))</f>
        <v/>
      </c>
      <c r="L1824" s="3">
        <f>+IFERROR(IF(J1824="","",H1824*K1824),"")</f>
        <v/>
      </c>
    </row>
    <row r="1825">
      <c r="A1825" s="11" t="n"/>
      <c r="B1825" s="7" t="n"/>
      <c r="C1825" s="8" t="n"/>
      <c r="D1825" s="9" t="n"/>
      <c r="E1825" s="8" t="n"/>
      <c r="F1825" s="9" t="n"/>
      <c r="G1825" s="9" t="n"/>
      <c r="H1825" s="3">
        <f>IF(AND(D1825&lt;&gt;"",F1825&lt;&gt;""),F1825-D1825-G1825,"")</f>
        <v/>
      </c>
      <c r="I1825" s="14">
        <f>IF(E1825&lt;&gt;"", YEARFRAC(C1825, E1825) * 12, "")</f>
        <v/>
      </c>
      <c r="J1825" s="2">
        <f>IF(I1825="", "", IF(AND(A1825="MF (Equity)", I1825&gt;12), "Long Term", "Short Term"))</f>
        <v/>
      </c>
      <c r="K1825" s="5">
        <f>IF(J1825="", "", IF(J1825="Long Term", 12.5%, 20%))</f>
        <v/>
      </c>
      <c r="L1825" s="3">
        <f>+IFERROR(IF(J1825="","",H1825*K1825),"")</f>
        <v/>
      </c>
    </row>
    <row r="1826">
      <c r="A1826" s="11" t="n"/>
      <c r="B1826" s="7" t="n"/>
      <c r="C1826" s="8" t="n"/>
      <c r="D1826" s="9" t="n"/>
      <c r="E1826" s="8" t="n"/>
      <c r="F1826" s="9" t="n"/>
      <c r="G1826" s="9" t="n"/>
      <c r="H1826" s="3">
        <f>IF(AND(D1826&lt;&gt;"",F1826&lt;&gt;""),F1826-D1826-G1826,"")</f>
        <v/>
      </c>
      <c r="I1826" s="14">
        <f>IF(E1826&lt;&gt;"", YEARFRAC(C1826, E1826) * 12, "")</f>
        <v/>
      </c>
      <c r="J1826" s="2">
        <f>IF(I1826="", "", IF(AND(A1826="MF (Equity)", I1826&gt;12), "Long Term", "Short Term"))</f>
        <v/>
      </c>
      <c r="K1826" s="5">
        <f>IF(J1826="", "", IF(J1826="Long Term", 12.5%, 20%))</f>
        <v/>
      </c>
      <c r="L1826" s="3">
        <f>+IFERROR(IF(J1826="","",H1826*K1826),"")</f>
        <v/>
      </c>
    </row>
    <row r="1827">
      <c r="A1827" s="11" t="n"/>
      <c r="B1827" s="7" t="n"/>
      <c r="C1827" s="8" t="n"/>
      <c r="D1827" s="9" t="n"/>
      <c r="E1827" s="8" t="n"/>
      <c r="F1827" s="9" t="n"/>
      <c r="G1827" s="9" t="n"/>
      <c r="H1827" s="3">
        <f>IF(AND(D1827&lt;&gt;"",F1827&lt;&gt;""),F1827-D1827-G1827,"")</f>
        <v/>
      </c>
      <c r="I1827" s="14">
        <f>IF(E1827&lt;&gt;"", YEARFRAC(C1827, E1827) * 12, "")</f>
        <v/>
      </c>
      <c r="J1827" s="2">
        <f>IF(I1827="", "", IF(AND(A1827="MF (Equity)", I1827&gt;12), "Long Term", "Short Term"))</f>
        <v/>
      </c>
      <c r="K1827" s="5">
        <f>IF(J1827="", "", IF(J1827="Long Term", 12.5%, 20%))</f>
        <v/>
      </c>
      <c r="L1827" s="3">
        <f>+IFERROR(IF(J1827="","",H1827*K1827),"")</f>
        <v/>
      </c>
    </row>
    <row r="1828">
      <c r="A1828" s="11" t="n"/>
      <c r="B1828" s="7" t="n"/>
      <c r="C1828" s="8" t="n"/>
      <c r="D1828" s="9" t="n"/>
      <c r="E1828" s="8" t="n"/>
      <c r="F1828" s="9" t="n"/>
      <c r="G1828" s="9" t="n"/>
      <c r="H1828" s="3">
        <f>IF(AND(D1828&lt;&gt;"",F1828&lt;&gt;""),F1828-D1828-G1828,"")</f>
        <v/>
      </c>
      <c r="I1828" s="14">
        <f>IF(E1828&lt;&gt;"", YEARFRAC(C1828, E1828) * 12, "")</f>
        <v/>
      </c>
      <c r="J1828" s="2">
        <f>IF(I1828="", "", IF(AND(A1828="MF (Equity)", I1828&gt;12), "Long Term", "Short Term"))</f>
        <v/>
      </c>
      <c r="K1828" s="5">
        <f>IF(J1828="", "", IF(J1828="Long Term", 12.5%, 20%))</f>
        <v/>
      </c>
      <c r="L1828" s="3">
        <f>+IFERROR(IF(J1828="","",H1828*K1828),"")</f>
        <v/>
      </c>
    </row>
    <row r="1829">
      <c r="A1829" s="11" t="n"/>
      <c r="B1829" s="7" t="n"/>
      <c r="C1829" s="8" t="n"/>
      <c r="D1829" s="9" t="n"/>
      <c r="E1829" s="8" t="n"/>
      <c r="F1829" s="9" t="n"/>
      <c r="G1829" s="9" t="n"/>
      <c r="H1829" s="3">
        <f>IF(AND(D1829&lt;&gt;"",F1829&lt;&gt;""),F1829-D1829-G1829,"")</f>
        <v/>
      </c>
      <c r="I1829" s="14">
        <f>IF(E1829&lt;&gt;"", YEARFRAC(C1829, E1829) * 12, "")</f>
        <v/>
      </c>
      <c r="J1829" s="2">
        <f>IF(I1829="", "", IF(AND(A1829="MF (Equity)", I1829&gt;12), "Long Term", "Short Term"))</f>
        <v/>
      </c>
      <c r="K1829" s="5">
        <f>IF(J1829="", "", IF(J1829="Long Term", 12.5%, 20%))</f>
        <v/>
      </c>
      <c r="L1829" s="3">
        <f>+IFERROR(IF(J1829="","",H1829*K1829),"")</f>
        <v/>
      </c>
    </row>
    <row r="1830">
      <c r="A1830" s="11" t="n"/>
      <c r="B1830" s="7" t="n"/>
      <c r="C1830" s="8" t="n"/>
      <c r="D1830" s="9" t="n"/>
      <c r="E1830" s="8" t="n"/>
      <c r="F1830" s="9" t="n"/>
      <c r="G1830" s="9" t="n"/>
      <c r="H1830" s="3">
        <f>IF(AND(D1830&lt;&gt;"",F1830&lt;&gt;""),F1830-D1830-G1830,"")</f>
        <v/>
      </c>
      <c r="I1830" s="14">
        <f>IF(E1830&lt;&gt;"", YEARFRAC(C1830, E1830) * 12, "")</f>
        <v/>
      </c>
      <c r="J1830" s="2">
        <f>IF(I1830="", "", IF(AND(A1830="MF (Equity)", I1830&gt;12), "Long Term", "Short Term"))</f>
        <v/>
      </c>
      <c r="K1830" s="5">
        <f>IF(J1830="", "", IF(J1830="Long Term", 12.5%, 20%))</f>
        <v/>
      </c>
      <c r="L1830" s="3">
        <f>+IFERROR(IF(J1830="","",H1830*K1830),"")</f>
        <v/>
      </c>
    </row>
    <row r="1831">
      <c r="A1831" s="11" t="n"/>
      <c r="B1831" s="7" t="n"/>
      <c r="C1831" s="8" t="n"/>
      <c r="D1831" s="9" t="n"/>
      <c r="E1831" s="8" t="n"/>
      <c r="F1831" s="9" t="n"/>
      <c r="G1831" s="9" t="n"/>
      <c r="H1831" s="3">
        <f>IF(AND(D1831&lt;&gt;"",F1831&lt;&gt;""),F1831-D1831-G1831,"")</f>
        <v/>
      </c>
      <c r="I1831" s="14">
        <f>IF(E1831&lt;&gt;"", YEARFRAC(C1831, E1831) * 12, "")</f>
        <v/>
      </c>
      <c r="J1831" s="2">
        <f>IF(I1831="", "", IF(AND(A1831="MF (Equity)", I1831&gt;12), "Long Term", "Short Term"))</f>
        <v/>
      </c>
      <c r="K1831" s="5">
        <f>IF(J1831="", "", IF(J1831="Long Term", 12.5%, 20%))</f>
        <v/>
      </c>
      <c r="L1831" s="3">
        <f>+IFERROR(IF(J1831="","",H1831*K1831),"")</f>
        <v/>
      </c>
    </row>
    <row r="1832">
      <c r="A1832" s="11" t="n"/>
      <c r="B1832" s="7" t="n"/>
      <c r="C1832" s="8" t="n"/>
      <c r="D1832" s="9" t="n"/>
      <c r="E1832" s="8" t="n"/>
      <c r="F1832" s="9" t="n"/>
      <c r="G1832" s="9" t="n"/>
      <c r="H1832" s="3">
        <f>IF(AND(D1832&lt;&gt;"",F1832&lt;&gt;""),F1832-D1832-G1832,"")</f>
        <v/>
      </c>
      <c r="I1832" s="14">
        <f>IF(E1832&lt;&gt;"", YEARFRAC(C1832, E1832) * 12, "")</f>
        <v/>
      </c>
      <c r="J1832" s="2">
        <f>IF(I1832="", "", IF(AND(A1832="MF (Equity)", I1832&gt;12), "Long Term", "Short Term"))</f>
        <v/>
      </c>
      <c r="K1832" s="5">
        <f>IF(J1832="", "", IF(J1832="Long Term", 12.5%, 20%))</f>
        <v/>
      </c>
      <c r="L1832" s="3">
        <f>+IFERROR(IF(J1832="","",H1832*K1832),"")</f>
        <v/>
      </c>
    </row>
    <row r="1833">
      <c r="A1833" s="11" t="n"/>
      <c r="B1833" s="7" t="n"/>
      <c r="C1833" s="8" t="n"/>
      <c r="D1833" s="9" t="n"/>
      <c r="E1833" s="8" t="n"/>
      <c r="F1833" s="9" t="n"/>
      <c r="G1833" s="9" t="n"/>
      <c r="H1833" s="3">
        <f>IF(AND(D1833&lt;&gt;"",F1833&lt;&gt;""),F1833-D1833-G1833,"")</f>
        <v/>
      </c>
      <c r="I1833" s="14">
        <f>IF(E1833&lt;&gt;"", YEARFRAC(C1833, E1833) * 12, "")</f>
        <v/>
      </c>
      <c r="J1833" s="2">
        <f>IF(I1833="", "", IF(AND(A1833="MF (Equity)", I1833&gt;12), "Long Term", "Short Term"))</f>
        <v/>
      </c>
      <c r="K1833" s="5">
        <f>IF(J1833="", "", IF(J1833="Long Term", 12.5%, 20%))</f>
        <v/>
      </c>
      <c r="L1833" s="3">
        <f>+IFERROR(IF(J1833="","",H1833*K1833),"")</f>
        <v/>
      </c>
    </row>
    <row r="1834">
      <c r="A1834" s="11" t="n"/>
      <c r="B1834" s="7" t="n"/>
      <c r="C1834" s="8" t="n"/>
      <c r="D1834" s="9" t="n"/>
      <c r="E1834" s="8" t="n"/>
      <c r="F1834" s="9" t="n"/>
      <c r="G1834" s="9" t="n"/>
      <c r="H1834" s="3">
        <f>IF(AND(D1834&lt;&gt;"",F1834&lt;&gt;""),F1834-D1834-G1834,"")</f>
        <v/>
      </c>
      <c r="I1834" s="14">
        <f>IF(E1834&lt;&gt;"", YEARFRAC(C1834, E1834) * 12, "")</f>
        <v/>
      </c>
      <c r="J1834" s="2">
        <f>IF(I1834="", "", IF(AND(A1834="MF (Equity)", I1834&gt;12), "Long Term", "Short Term"))</f>
        <v/>
      </c>
      <c r="K1834" s="5">
        <f>IF(J1834="", "", IF(J1834="Long Term", 12.5%, 20%))</f>
        <v/>
      </c>
      <c r="L1834" s="3">
        <f>+IFERROR(IF(J1834="","",H1834*K1834),"")</f>
        <v/>
      </c>
    </row>
    <row r="1835">
      <c r="A1835" s="11" t="n"/>
      <c r="B1835" s="7" t="n"/>
      <c r="C1835" s="8" t="n"/>
      <c r="D1835" s="9" t="n"/>
      <c r="E1835" s="8" t="n"/>
      <c r="F1835" s="9" t="n"/>
      <c r="G1835" s="9" t="n"/>
      <c r="H1835" s="3">
        <f>IF(AND(D1835&lt;&gt;"",F1835&lt;&gt;""),F1835-D1835-G1835,"")</f>
        <v/>
      </c>
      <c r="I1835" s="14">
        <f>IF(E1835&lt;&gt;"", YEARFRAC(C1835, E1835) * 12, "")</f>
        <v/>
      </c>
      <c r="J1835" s="2">
        <f>IF(I1835="", "", IF(AND(A1835="MF (Equity)", I1835&gt;12), "Long Term", "Short Term"))</f>
        <v/>
      </c>
      <c r="K1835" s="5">
        <f>IF(J1835="", "", IF(J1835="Long Term", 12.5%, 20%))</f>
        <v/>
      </c>
      <c r="L1835" s="3">
        <f>+IFERROR(IF(J1835="","",H1835*K1835),"")</f>
        <v/>
      </c>
    </row>
    <row r="1836">
      <c r="A1836" s="11" t="n"/>
      <c r="B1836" s="7" t="n"/>
      <c r="C1836" s="8" t="n"/>
      <c r="D1836" s="9" t="n"/>
      <c r="E1836" s="8" t="n"/>
      <c r="F1836" s="9" t="n"/>
      <c r="G1836" s="9" t="n"/>
      <c r="H1836" s="3">
        <f>IF(AND(D1836&lt;&gt;"",F1836&lt;&gt;""),F1836-D1836-G1836,"")</f>
        <v/>
      </c>
      <c r="I1836" s="14">
        <f>IF(E1836&lt;&gt;"", YEARFRAC(C1836, E1836) * 12, "")</f>
        <v/>
      </c>
      <c r="J1836" s="2">
        <f>IF(I1836="", "", IF(AND(A1836="MF (Equity)", I1836&gt;12), "Long Term", "Short Term"))</f>
        <v/>
      </c>
      <c r="K1836" s="5">
        <f>IF(J1836="", "", IF(J1836="Long Term", 12.5%, 20%))</f>
        <v/>
      </c>
      <c r="L1836" s="3">
        <f>+IFERROR(IF(J1836="","",H1836*K1836),"")</f>
        <v/>
      </c>
    </row>
    <row r="1837">
      <c r="A1837" s="11" t="n"/>
      <c r="B1837" s="7" t="n"/>
      <c r="C1837" s="8" t="n"/>
      <c r="D1837" s="9" t="n"/>
      <c r="E1837" s="8" t="n"/>
      <c r="F1837" s="9" t="n"/>
      <c r="G1837" s="9" t="n"/>
      <c r="H1837" s="3">
        <f>IF(AND(D1837&lt;&gt;"",F1837&lt;&gt;""),F1837-D1837-G1837,"")</f>
        <v/>
      </c>
      <c r="I1837" s="14">
        <f>IF(E1837&lt;&gt;"", YEARFRAC(C1837, E1837) * 12, "")</f>
        <v/>
      </c>
      <c r="J1837" s="2">
        <f>IF(I1837="", "", IF(AND(A1837="MF (Equity)", I1837&gt;12), "Long Term", "Short Term"))</f>
        <v/>
      </c>
      <c r="K1837" s="5">
        <f>IF(J1837="", "", IF(J1837="Long Term", 12.5%, 20%))</f>
        <v/>
      </c>
      <c r="L1837" s="3">
        <f>+IFERROR(IF(J1837="","",H1837*K1837),"")</f>
        <v/>
      </c>
    </row>
    <row r="1838">
      <c r="A1838" s="11" t="n"/>
      <c r="B1838" s="7" t="n"/>
      <c r="C1838" s="8" t="n"/>
      <c r="D1838" s="9" t="n"/>
      <c r="E1838" s="8" t="n"/>
      <c r="F1838" s="9" t="n"/>
      <c r="G1838" s="9" t="n"/>
      <c r="H1838" s="3">
        <f>IF(AND(D1838&lt;&gt;"",F1838&lt;&gt;""),F1838-D1838-G1838,"")</f>
        <v/>
      </c>
      <c r="I1838" s="14">
        <f>IF(E1838&lt;&gt;"", YEARFRAC(C1838, E1838) * 12, "")</f>
        <v/>
      </c>
      <c r="J1838" s="2">
        <f>IF(I1838="", "", IF(AND(A1838="MF (Equity)", I1838&gt;12), "Long Term", "Short Term"))</f>
        <v/>
      </c>
      <c r="K1838" s="5">
        <f>IF(J1838="", "", IF(J1838="Long Term", 12.5%, 20%))</f>
        <v/>
      </c>
      <c r="L1838" s="3">
        <f>+IFERROR(IF(J1838="","",H1838*K1838),"")</f>
        <v/>
      </c>
    </row>
    <row r="1839">
      <c r="A1839" s="11" t="n"/>
      <c r="B1839" s="7" t="n"/>
      <c r="C1839" s="8" t="n"/>
      <c r="D1839" s="9" t="n"/>
      <c r="E1839" s="8" t="n"/>
      <c r="F1839" s="9" t="n"/>
      <c r="G1839" s="9" t="n"/>
      <c r="H1839" s="3">
        <f>IF(AND(D1839&lt;&gt;"",F1839&lt;&gt;""),F1839-D1839-G1839,"")</f>
        <v/>
      </c>
      <c r="I1839" s="14">
        <f>IF(E1839&lt;&gt;"", YEARFRAC(C1839, E1839) * 12, "")</f>
        <v/>
      </c>
      <c r="J1839" s="2">
        <f>IF(I1839="", "", IF(AND(A1839="MF (Equity)", I1839&gt;12), "Long Term", "Short Term"))</f>
        <v/>
      </c>
      <c r="K1839" s="5">
        <f>IF(J1839="", "", IF(J1839="Long Term", 12.5%, 20%))</f>
        <v/>
      </c>
      <c r="L1839" s="3">
        <f>+IFERROR(IF(J1839="","",H1839*K1839),"")</f>
        <v/>
      </c>
    </row>
    <row r="1840">
      <c r="A1840" s="11" t="n"/>
      <c r="B1840" s="7" t="n"/>
      <c r="C1840" s="8" t="n"/>
      <c r="D1840" s="9" t="n"/>
      <c r="E1840" s="8" t="n"/>
      <c r="F1840" s="9" t="n"/>
      <c r="G1840" s="9" t="n"/>
      <c r="H1840" s="3">
        <f>IF(AND(D1840&lt;&gt;"",F1840&lt;&gt;""),F1840-D1840-G1840,"")</f>
        <v/>
      </c>
      <c r="I1840" s="14">
        <f>IF(E1840&lt;&gt;"", YEARFRAC(C1840, E1840) * 12, "")</f>
        <v/>
      </c>
      <c r="J1840" s="2">
        <f>IF(I1840="", "", IF(AND(A1840="MF (Equity)", I1840&gt;12), "Long Term", "Short Term"))</f>
        <v/>
      </c>
      <c r="K1840" s="5">
        <f>IF(J1840="", "", IF(J1840="Long Term", 12.5%, 20%))</f>
        <v/>
      </c>
      <c r="L1840" s="3">
        <f>+IFERROR(IF(J1840="","",H1840*K1840),"")</f>
        <v/>
      </c>
    </row>
    <row r="1841">
      <c r="A1841" s="11" t="n"/>
      <c r="B1841" s="7" t="n"/>
      <c r="C1841" s="8" t="n"/>
      <c r="D1841" s="9" t="n"/>
      <c r="E1841" s="8" t="n"/>
      <c r="F1841" s="9" t="n"/>
      <c r="G1841" s="9" t="n"/>
      <c r="H1841" s="3">
        <f>IF(AND(D1841&lt;&gt;"",F1841&lt;&gt;""),F1841-D1841-G1841,"")</f>
        <v/>
      </c>
      <c r="I1841" s="14">
        <f>IF(E1841&lt;&gt;"", YEARFRAC(C1841, E1841) * 12, "")</f>
        <v/>
      </c>
      <c r="J1841" s="2">
        <f>IF(I1841="", "", IF(AND(A1841="MF (Equity)", I1841&gt;12), "Long Term", "Short Term"))</f>
        <v/>
      </c>
      <c r="K1841" s="5">
        <f>IF(J1841="", "", IF(J1841="Long Term", 12.5%, 20%))</f>
        <v/>
      </c>
      <c r="L1841" s="3">
        <f>+IFERROR(IF(J1841="","",H1841*K1841),"")</f>
        <v/>
      </c>
    </row>
    <row r="1842">
      <c r="A1842" s="11" t="n"/>
      <c r="B1842" s="7" t="n"/>
      <c r="C1842" s="8" t="n"/>
      <c r="D1842" s="9" t="n"/>
      <c r="E1842" s="8" t="n"/>
      <c r="F1842" s="9" t="n"/>
      <c r="G1842" s="9" t="n"/>
      <c r="H1842" s="3">
        <f>IF(AND(D1842&lt;&gt;"",F1842&lt;&gt;""),F1842-D1842-G1842,"")</f>
        <v/>
      </c>
      <c r="I1842" s="14">
        <f>IF(E1842&lt;&gt;"", YEARFRAC(C1842, E1842) * 12, "")</f>
        <v/>
      </c>
      <c r="J1842" s="2">
        <f>IF(I1842="", "", IF(AND(A1842="MF (Equity)", I1842&gt;12), "Long Term", "Short Term"))</f>
        <v/>
      </c>
      <c r="K1842" s="5">
        <f>IF(J1842="", "", IF(J1842="Long Term", 12.5%, 20%))</f>
        <v/>
      </c>
      <c r="L1842" s="3">
        <f>+IFERROR(IF(J1842="","",H1842*K1842),"")</f>
        <v/>
      </c>
    </row>
    <row r="1843">
      <c r="A1843" s="11" t="n"/>
      <c r="B1843" s="7" t="n"/>
      <c r="C1843" s="8" t="n"/>
      <c r="D1843" s="9" t="n"/>
      <c r="E1843" s="8" t="n"/>
      <c r="F1843" s="9" t="n"/>
      <c r="G1843" s="9" t="n"/>
      <c r="H1843" s="3">
        <f>IF(AND(D1843&lt;&gt;"",F1843&lt;&gt;""),F1843-D1843-G1843,"")</f>
        <v/>
      </c>
      <c r="I1843" s="14">
        <f>IF(E1843&lt;&gt;"", YEARFRAC(C1843, E1843) * 12, "")</f>
        <v/>
      </c>
      <c r="J1843" s="2">
        <f>IF(I1843="", "", IF(AND(A1843="MF (Equity)", I1843&gt;12), "Long Term", "Short Term"))</f>
        <v/>
      </c>
      <c r="K1843" s="5">
        <f>IF(J1843="", "", IF(J1843="Long Term", 12.5%, 20%))</f>
        <v/>
      </c>
      <c r="L1843" s="3">
        <f>+IFERROR(IF(J1843="","",H1843*K1843),"")</f>
        <v/>
      </c>
    </row>
    <row r="1844">
      <c r="A1844" s="11" t="n"/>
      <c r="B1844" s="7" t="n"/>
      <c r="C1844" s="8" t="n"/>
      <c r="D1844" s="9" t="n"/>
      <c r="E1844" s="8" t="n"/>
      <c r="F1844" s="9" t="n"/>
      <c r="G1844" s="9" t="n"/>
      <c r="H1844" s="3">
        <f>IF(AND(D1844&lt;&gt;"",F1844&lt;&gt;""),F1844-D1844-G1844,"")</f>
        <v/>
      </c>
      <c r="I1844" s="14">
        <f>IF(E1844&lt;&gt;"", YEARFRAC(C1844, E1844) * 12, "")</f>
        <v/>
      </c>
      <c r="J1844" s="2">
        <f>IF(I1844="", "", IF(AND(A1844="MF (Equity)", I1844&gt;12), "Long Term", "Short Term"))</f>
        <v/>
      </c>
      <c r="K1844" s="5">
        <f>IF(J1844="", "", IF(J1844="Long Term", 12.5%, 20%))</f>
        <v/>
      </c>
      <c r="L1844" s="3">
        <f>+IFERROR(IF(J1844="","",H1844*K1844),"")</f>
        <v/>
      </c>
    </row>
    <row r="1845">
      <c r="A1845" s="11" t="n"/>
      <c r="B1845" s="7" t="n"/>
      <c r="C1845" s="8" t="n"/>
      <c r="D1845" s="9" t="n"/>
      <c r="E1845" s="8" t="n"/>
      <c r="F1845" s="9" t="n"/>
      <c r="G1845" s="9" t="n"/>
      <c r="H1845" s="3">
        <f>IF(AND(D1845&lt;&gt;"",F1845&lt;&gt;""),F1845-D1845-G1845,"")</f>
        <v/>
      </c>
      <c r="I1845" s="14">
        <f>IF(E1845&lt;&gt;"", YEARFRAC(C1845, E1845) * 12, "")</f>
        <v/>
      </c>
      <c r="J1845" s="2">
        <f>IF(I1845="", "", IF(AND(A1845="MF (Equity)", I1845&gt;12), "Long Term", "Short Term"))</f>
        <v/>
      </c>
      <c r="K1845" s="5">
        <f>IF(J1845="", "", IF(J1845="Long Term", 12.5%, 20%))</f>
        <v/>
      </c>
      <c r="L1845" s="3">
        <f>+IFERROR(IF(J1845="","",H1845*K1845),"")</f>
        <v/>
      </c>
    </row>
    <row r="1846">
      <c r="A1846" s="11" t="n"/>
      <c r="B1846" s="7" t="n"/>
      <c r="C1846" s="8" t="n"/>
      <c r="D1846" s="9" t="n"/>
      <c r="E1846" s="8" t="n"/>
      <c r="F1846" s="9" t="n"/>
      <c r="G1846" s="9" t="n"/>
      <c r="H1846" s="3">
        <f>IF(AND(D1846&lt;&gt;"",F1846&lt;&gt;""),F1846-D1846-G1846,"")</f>
        <v/>
      </c>
      <c r="I1846" s="14">
        <f>IF(E1846&lt;&gt;"", YEARFRAC(C1846, E1846) * 12, "")</f>
        <v/>
      </c>
      <c r="J1846" s="2">
        <f>IF(I1846="", "", IF(AND(A1846="MF (Equity)", I1846&gt;12), "Long Term", "Short Term"))</f>
        <v/>
      </c>
      <c r="K1846" s="5">
        <f>IF(J1846="", "", IF(J1846="Long Term", 12.5%, 20%))</f>
        <v/>
      </c>
      <c r="L1846" s="3">
        <f>+IFERROR(IF(J1846="","",H1846*K1846),"")</f>
        <v/>
      </c>
    </row>
    <row r="1847">
      <c r="A1847" s="11" t="n"/>
      <c r="B1847" s="7" t="n"/>
      <c r="C1847" s="8" t="n"/>
      <c r="D1847" s="9" t="n"/>
      <c r="E1847" s="8" t="n"/>
      <c r="F1847" s="9" t="n"/>
      <c r="G1847" s="9" t="n"/>
      <c r="H1847" s="3">
        <f>IF(AND(D1847&lt;&gt;"",F1847&lt;&gt;""),F1847-D1847-G1847,"")</f>
        <v/>
      </c>
      <c r="I1847" s="14">
        <f>IF(E1847&lt;&gt;"", YEARFRAC(C1847, E1847) * 12, "")</f>
        <v/>
      </c>
      <c r="J1847" s="2">
        <f>IF(I1847="", "", IF(AND(A1847="MF (Equity)", I1847&gt;12), "Long Term", "Short Term"))</f>
        <v/>
      </c>
      <c r="K1847" s="5">
        <f>IF(J1847="", "", IF(J1847="Long Term", 12.5%, 20%))</f>
        <v/>
      </c>
      <c r="L1847" s="3">
        <f>+IFERROR(IF(J1847="","",H1847*K1847),"")</f>
        <v/>
      </c>
    </row>
    <row r="1848">
      <c r="A1848" s="11" t="n"/>
      <c r="B1848" s="7" t="n"/>
      <c r="C1848" s="8" t="n"/>
      <c r="D1848" s="9" t="n"/>
      <c r="E1848" s="8" t="n"/>
      <c r="F1848" s="9" t="n"/>
      <c r="G1848" s="9" t="n"/>
      <c r="H1848" s="3">
        <f>IF(AND(D1848&lt;&gt;"",F1848&lt;&gt;""),F1848-D1848-G1848,"")</f>
        <v/>
      </c>
      <c r="I1848" s="14">
        <f>IF(E1848&lt;&gt;"", YEARFRAC(C1848, E1848) * 12, "")</f>
        <v/>
      </c>
      <c r="J1848" s="2">
        <f>IF(I1848="", "", IF(AND(A1848="MF (Equity)", I1848&gt;12), "Long Term", "Short Term"))</f>
        <v/>
      </c>
      <c r="K1848" s="5">
        <f>IF(J1848="", "", IF(J1848="Long Term", 12.5%, 20%))</f>
        <v/>
      </c>
      <c r="L1848" s="3">
        <f>+IFERROR(IF(J1848="","",H1848*K1848),"")</f>
        <v/>
      </c>
    </row>
    <row r="1849">
      <c r="A1849" s="11" t="n"/>
      <c r="B1849" s="7" t="n"/>
      <c r="C1849" s="8" t="n"/>
      <c r="D1849" s="9" t="n"/>
      <c r="E1849" s="8" t="n"/>
      <c r="F1849" s="9" t="n"/>
      <c r="G1849" s="9" t="n"/>
      <c r="H1849" s="3">
        <f>IF(AND(D1849&lt;&gt;"",F1849&lt;&gt;""),F1849-D1849-G1849,"")</f>
        <v/>
      </c>
      <c r="I1849" s="14">
        <f>IF(E1849&lt;&gt;"", YEARFRAC(C1849, E1849) * 12, "")</f>
        <v/>
      </c>
      <c r="J1849" s="2">
        <f>IF(I1849="", "", IF(AND(A1849="MF (Equity)", I1849&gt;12), "Long Term", "Short Term"))</f>
        <v/>
      </c>
      <c r="K1849" s="5">
        <f>IF(J1849="", "", IF(J1849="Long Term", 12.5%, 20%))</f>
        <v/>
      </c>
      <c r="L1849" s="3">
        <f>+IFERROR(IF(J1849="","",H1849*K1849),"")</f>
        <v/>
      </c>
    </row>
    <row r="1850">
      <c r="A1850" s="11" t="n"/>
      <c r="B1850" s="7" t="n"/>
      <c r="C1850" s="8" t="n"/>
      <c r="D1850" s="9" t="n"/>
      <c r="E1850" s="8" t="n"/>
      <c r="F1850" s="9" t="n"/>
      <c r="G1850" s="9" t="n"/>
      <c r="H1850" s="3">
        <f>IF(AND(D1850&lt;&gt;"",F1850&lt;&gt;""),F1850-D1850-G1850,"")</f>
        <v/>
      </c>
      <c r="I1850" s="14">
        <f>IF(E1850&lt;&gt;"", YEARFRAC(C1850, E1850) * 12, "")</f>
        <v/>
      </c>
      <c r="J1850" s="2">
        <f>IF(I1850="", "", IF(AND(A1850="MF (Equity)", I1850&gt;12), "Long Term", "Short Term"))</f>
        <v/>
      </c>
      <c r="K1850" s="5">
        <f>IF(J1850="", "", IF(J1850="Long Term", 12.5%, 20%))</f>
        <v/>
      </c>
      <c r="L1850" s="3">
        <f>+IFERROR(IF(J1850="","",H1850*K1850),"")</f>
        <v/>
      </c>
    </row>
    <row r="1851">
      <c r="A1851" s="11" t="n"/>
      <c r="B1851" s="7" t="n"/>
      <c r="C1851" s="8" t="n"/>
      <c r="D1851" s="9" t="n"/>
      <c r="E1851" s="8" t="n"/>
      <c r="F1851" s="9" t="n"/>
      <c r="G1851" s="9" t="n"/>
      <c r="H1851" s="3">
        <f>IF(AND(D1851&lt;&gt;"",F1851&lt;&gt;""),F1851-D1851-G1851,"")</f>
        <v/>
      </c>
      <c r="I1851" s="14">
        <f>IF(E1851&lt;&gt;"", YEARFRAC(C1851, E1851) * 12, "")</f>
        <v/>
      </c>
      <c r="J1851" s="2">
        <f>IF(I1851="", "", IF(AND(A1851="MF (Equity)", I1851&gt;12), "Long Term", "Short Term"))</f>
        <v/>
      </c>
      <c r="K1851" s="5">
        <f>IF(J1851="", "", IF(J1851="Long Term", 12.5%, 20%))</f>
        <v/>
      </c>
      <c r="L1851" s="3">
        <f>+IFERROR(IF(J1851="","",H1851*K1851),"")</f>
        <v/>
      </c>
    </row>
    <row r="1852">
      <c r="A1852" s="11" t="n"/>
      <c r="B1852" s="7" t="n"/>
      <c r="C1852" s="8" t="n"/>
      <c r="D1852" s="9" t="n"/>
      <c r="E1852" s="8" t="n"/>
      <c r="F1852" s="9" t="n"/>
      <c r="G1852" s="9" t="n"/>
      <c r="H1852" s="3">
        <f>IF(AND(D1852&lt;&gt;"",F1852&lt;&gt;""),F1852-D1852-G1852,"")</f>
        <v/>
      </c>
      <c r="I1852" s="14">
        <f>IF(E1852&lt;&gt;"", YEARFRAC(C1852, E1852) * 12, "")</f>
        <v/>
      </c>
      <c r="J1852" s="2">
        <f>IF(I1852="", "", IF(AND(A1852="MF (Equity)", I1852&gt;12), "Long Term", "Short Term"))</f>
        <v/>
      </c>
      <c r="K1852" s="5">
        <f>IF(J1852="", "", IF(J1852="Long Term", 12.5%, 20%))</f>
        <v/>
      </c>
      <c r="L1852" s="3">
        <f>+IFERROR(IF(J1852="","",H1852*K1852),"")</f>
        <v/>
      </c>
    </row>
    <row r="1853">
      <c r="A1853" s="11" t="n"/>
      <c r="B1853" s="7" t="n"/>
      <c r="C1853" s="8" t="n"/>
      <c r="D1853" s="9" t="n"/>
      <c r="E1853" s="8" t="n"/>
      <c r="F1853" s="9" t="n"/>
      <c r="G1853" s="9" t="n"/>
      <c r="H1853" s="3">
        <f>IF(AND(D1853&lt;&gt;"",F1853&lt;&gt;""),F1853-D1853-G1853,"")</f>
        <v/>
      </c>
      <c r="I1853" s="14">
        <f>IF(E1853&lt;&gt;"", YEARFRAC(C1853, E1853) * 12, "")</f>
        <v/>
      </c>
      <c r="J1853" s="2">
        <f>IF(I1853="", "", IF(AND(A1853="MF (Equity)", I1853&gt;12), "Long Term", "Short Term"))</f>
        <v/>
      </c>
      <c r="K1853" s="5">
        <f>IF(J1853="", "", IF(J1853="Long Term", 12.5%, 20%))</f>
        <v/>
      </c>
      <c r="L1853" s="3">
        <f>+IFERROR(IF(J1853="","",H1853*K1853),"")</f>
        <v/>
      </c>
    </row>
    <row r="1854">
      <c r="A1854" s="11" t="n"/>
      <c r="B1854" s="7" t="n"/>
      <c r="C1854" s="8" t="n"/>
      <c r="D1854" s="9" t="n"/>
      <c r="E1854" s="8" t="n"/>
      <c r="F1854" s="9" t="n"/>
      <c r="G1854" s="9" t="n"/>
      <c r="H1854" s="3">
        <f>IF(AND(D1854&lt;&gt;"",F1854&lt;&gt;""),F1854-D1854-G1854,"")</f>
        <v/>
      </c>
      <c r="I1854" s="14">
        <f>IF(E1854&lt;&gt;"", YEARFRAC(C1854, E1854) * 12, "")</f>
        <v/>
      </c>
      <c r="J1854" s="2">
        <f>IF(I1854="", "", IF(AND(A1854="MF (Equity)", I1854&gt;12), "Long Term", "Short Term"))</f>
        <v/>
      </c>
      <c r="K1854" s="5">
        <f>IF(J1854="", "", IF(J1854="Long Term", 12.5%, 20%))</f>
        <v/>
      </c>
      <c r="L1854" s="3">
        <f>+IFERROR(IF(J1854="","",H1854*K1854),"")</f>
        <v/>
      </c>
    </row>
    <row r="1855">
      <c r="A1855" s="11" t="n"/>
      <c r="B1855" s="7" t="n"/>
      <c r="C1855" s="8" t="n"/>
      <c r="D1855" s="9" t="n"/>
      <c r="E1855" s="8" t="n"/>
      <c r="F1855" s="9" t="n"/>
      <c r="G1855" s="9" t="n"/>
      <c r="H1855" s="3">
        <f>IF(AND(D1855&lt;&gt;"",F1855&lt;&gt;""),F1855-D1855-G1855,"")</f>
        <v/>
      </c>
      <c r="I1855" s="14">
        <f>IF(E1855&lt;&gt;"", YEARFRAC(C1855, E1855) * 12, "")</f>
        <v/>
      </c>
      <c r="J1855" s="2">
        <f>IF(I1855="", "", IF(AND(A1855="MF (Equity)", I1855&gt;12), "Long Term", "Short Term"))</f>
        <v/>
      </c>
      <c r="K1855" s="5">
        <f>IF(J1855="", "", IF(J1855="Long Term", 12.5%, 20%))</f>
        <v/>
      </c>
      <c r="L1855" s="3">
        <f>+IFERROR(IF(J1855="","",H1855*K1855),"")</f>
        <v/>
      </c>
    </row>
    <row r="1856">
      <c r="A1856" s="11" t="n"/>
      <c r="B1856" s="7" t="n"/>
      <c r="C1856" s="8" t="n"/>
      <c r="D1856" s="9" t="n"/>
      <c r="E1856" s="8" t="n"/>
      <c r="F1856" s="9" t="n"/>
      <c r="G1856" s="9" t="n"/>
      <c r="H1856" s="3">
        <f>IF(AND(D1856&lt;&gt;"",F1856&lt;&gt;""),F1856-D1856-G1856,"")</f>
        <v/>
      </c>
      <c r="I1856" s="14">
        <f>IF(E1856&lt;&gt;"", YEARFRAC(C1856, E1856) * 12, "")</f>
        <v/>
      </c>
      <c r="J1856" s="2">
        <f>IF(I1856="", "", IF(AND(A1856="MF (Equity)", I1856&gt;12), "Long Term", "Short Term"))</f>
        <v/>
      </c>
      <c r="K1856" s="5">
        <f>IF(J1856="", "", IF(J1856="Long Term", 12.5%, 20%))</f>
        <v/>
      </c>
      <c r="L1856" s="3">
        <f>+IFERROR(IF(J1856="","",H1856*K1856),"")</f>
        <v/>
      </c>
    </row>
    <row r="1857">
      <c r="A1857" s="11" t="n"/>
      <c r="B1857" s="7" t="n"/>
      <c r="C1857" s="8" t="n"/>
      <c r="D1857" s="9" t="n"/>
      <c r="E1857" s="8" t="n"/>
      <c r="F1857" s="9" t="n"/>
      <c r="G1857" s="9" t="n"/>
      <c r="H1857" s="3">
        <f>IF(AND(D1857&lt;&gt;"",F1857&lt;&gt;""),F1857-D1857-G1857,"")</f>
        <v/>
      </c>
      <c r="I1857" s="14">
        <f>IF(E1857&lt;&gt;"", YEARFRAC(C1857, E1857) * 12, "")</f>
        <v/>
      </c>
      <c r="J1857" s="2">
        <f>IF(I1857="", "", IF(AND(A1857="MF (Equity)", I1857&gt;12), "Long Term", "Short Term"))</f>
        <v/>
      </c>
      <c r="K1857" s="5">
        <f>IF(J1857="", "", IF(J1857="Long Term", 12.5%, 20%))</f>
        <v/>
      </c>
      <c r="L1857" s="3">
        <f>+IFERROR(IF(J1857="","",H1857*K1857),"")</f>
        <v/>
      </c>
    </row>
    <row r="1858">
      <c r="A1858" s="11" t="n"/>
      <c r="B1858" s="7" t="n"/>
      <c r="C1858" s="8" t="n"/>
      <c r="D1858" s="9" t="n"/>
      <c r="E1858" s="8" t="n"/>
      <c r="F1858" s="9" t="n"/>
      <c r="G1858" s="9" t="n"/>
      <c r="H1858" s="3">
        <f>IF(AND(D1858&lt;&gt;"",F1858&lt;&gt;""),F1858-D1858-G1858,"")</f>
        <v/>
      </c>
      <c r="I1858" s="14">
        <f>IF(E1858&lt;&gt;"", YEARFRAC(C1858, E1858) * 12, "")</f>
        <v/>
      </c>
      <c r="J1858" s="2">
        <f>IF(I1858="", "", IF(AND(A1858="MF (Equity)", I1858&gt;12), "Long Term", "Short Term"))</f>
        <v/>
      </c>
      <c r="K1858" s="5">
        <f>IF(J1858="", "", IF(J1858="Long Term", 12.5%, 20%))</f>
        <v/>
      </c>
      <c r="L1858" s="3">
        <f>+IFERROR(IF(J1858="","",H1858*K1858),"")</f>
        <v/>
      </c>
    </row>
    <row r="1859">
      <c r="A1859" s="11" t="n"/>
      <c r="B1859" s="7" t="n"/>
      <c r="C1859" s="8" t="n"/>
      <c r="D1859" s="9" t="n"/>
      <c r="E1859" s="8" t="n"/>
      <c r="F1859" s="9" t="n"/>
      <c r="G1859" s="9" t="n"/>
      <c r="H1859" s="3">
        <f>IF(AND(D1859&lt;&gt;"",F1859&lt;&gt;""),F1859-D1859-G1859,"")</f>
        <v/>
      </c>
      <c r="I1859" s="14">
        <f>IF(E1859&lt;&gt;"", YEARFRAC(C1859, E1859) * 12, "")</f>
        <v/>
      </c>
      <c r="J1859" s="2">
        <f>IF(I1859="", "", IF(AND(A1859="MF (Equity)", I1859&gt;12), "Long Term", "Short Term"))</f>
        <v/>
      </c>
      <c r="K1859" s="5">
        <f>IF(J1859="", "", IF(J1859="Long Term", 12.5%, 20%))</f>
        <v/>
      </c>
      <c r="L1859" s="3">
        <f>+IFERROR(IF(J1859="","",H1859*K1859),"")</f>
        <v/>
      </c>
    </row>
    <row r="1860">
      <c r="A1860" s="11" t="n"/>
      <c r="B1860" s="7" t="n"/>
      <c r="C1860" s="8" t="n"/>
      <c r="D1860" s="9" t="n"/>
      <c r="E1860" s="8" t="n"/>
      <c r="F1860" s="9" t="n"/>
      <c r="G1860" s="9" t="n"/>
      <c r="H1860" s="3">
        <f>IF(AND(D1860&lt;&gt;"",F1860&lt;&gt;""),F1860-D1860-G1860,"")</f>
        <v/>
      </c>
      <c r="I1860" s="14">
        <f>IF(E1860&lt;&gt;"", YEARFRAC(C1860, E1860) * 12, "")</f>
        <v/>
      </c>
      <c r="J1860" s="2">
        <f>IF(I1860="", "", IF(AND(A1860="MF (Equity)", I1860&gt;12), "Long Term", "Short Term"))</f>
        <v/>
      </c>
      <c r="K1860" s="5">
        <f>IF(J1860="", "", IF(J1860="Long Term", 12.5%, 20%))</f>
        <v/>
      </c>
      <c r="L1860" s="3">
        <f>+IFERROR(IF(J1860="","",H1860*K1860),"")</f>
        <v/>
      </c>
    </row>
    <row r="1861">
      <c r="A1861" s="11" t="n"/>
      <c r="B1861" s="7" t="n"/>
      <c r="C1861" s="8" t="n"/>
      <c r="D1861" s="9" t="n"/>
      <c r="E1861" s="8" t="n"/>
      <c r="F1861" s="9" t="n"/>
      <c r="G1861" s="9" t="n"/>
      <c r="H1861" s="3">
        <f>IF(AND(D1861&lt;&gt;"",F1861&lt;&gt;""),F1861-D1861-G1861,"")</f>
        <v/>
      </c>
      <c r="I1861" s="14">
        <f>IF(E1861&lt;&gt;"", YEARFRAC(C1861, E1861) * 12, "")</f>
        <v/>
      </c>
      <c r="J1861" s="2">
        <f>IF(I1861="", "", IF(AND(A1861="MF (Equity)", I1861&gt;12), "Long Term", "Short Term"))</f>
        <v/>
      </c>
      <c r="K1861" s="5">
        <f>IF(J1861="", "", IF(J1861="Long Term", 12.5%, 20%))</f>
        <v/>
      </c>
      <c r="L1861" s="3">
        <f>+IFERROR(IF(J1861="","",H1861*K1861),"")</f>
        <v/>
      </c>
    </row>
    <row r="1862">
      <c r="A1862" s="11" t="n"/>
      <c r="B1862" s="7" t="n"/>
      <c r="C1862" s="8" t="n"/>
      <c r="D1862" s="9" t="n"/>
      <c r="E1862" s="8" t="n"/>
      <c r="F1862" s="9" t="n"/>
      <c r="G1862" s="9" t="n"/>
      <c r="H1862" s="3">
        <f>IF(AND(D1862&lt;&gt;"",F1862&lt;&gt;""),F1862-D1862-G1862,"")</f>
        <v/>
      </c>
      <c r="I1862" s="14">
        <f>IF(E1862&lt;&gt;"", YEARFRAC(C1862, E1862) * 12, "")</f>
        <v/>
      </c>
      <c r="J1862" s="2">
        <f>IF(I1862="", "", IF(AND(A1862="MF (Equity)", I1862&gt;12), "Long Term", "Short Term"))</f>
        <v/>
      </c>
      <c r="K1862" s="5">
        <f>IF(J1862="", "", IF(J1862="Long Term", 12.5%, 20%))</f>
        <v/>
      </c>
      <c r="L1862" s="3">
        <f>+IFERROR(IF(J1862="","",H1862*K1862),"")</f>
        <v/>
      </c>
    </row>
    <row r="1863">
      <c r="A1863" s="11" t="n"/>
      <c r="B1863" s="7" t="n"/>
      <c r="C1863" s="8" t="n"/>
      <c r="D1863" s="9" t="n"/>
      <c r="E1863" s="8" t="n"/>
      <c r="F1863" s="9" t="n"/>
      <c r="G1863" s="9" t="n"/>
      <c r="H1863" s="3">
        <f>IF(AND(D1863&lt;&gt;"",F1863&lt;&gt;""),F1863-D1863-G1863,"")</f>
        <v/>
      </c>
      <c r="I1863" s="14">
        <f>IF(E1863&lt;&gt;"", YEARFRAC(C1863, E1863) * 12, "")</f>
        <v/>
      </c>
      <c r="J1863" s="2">
        <f>IF(I1863="", "", IF(AND(A1863="MF (Equity)", I1863&gt;12), "Long Term", "Short Term"))</f>
        <v/>
      </c>
      <c r="K1863" s="5">
        <f>IF(J1863="", "", IF(J1863="Long Term", 12.5%, 20%))</f>
        <v/>
      </c>
      <c r="L1863" s="3">
        <f>+IFERROR(IF(J1863="","",H1863*K1863),"")</f>
        <v/>
      </c>
    </row>
    <row r="1864">
      <c r="A1864" s="11" t="n"/>
      <c r="B1864" s="7" t="n"/>
      <c r="C1864" s="8" t="n"/>
      <c r="D1864" s="9" t="n"/>
      <c r="E1864" s="8" t="n"/>
      <c r="F1864" s="9" t="n"/>
      <c r="G1864" s="9" t="n"/>
      <c r="H1864" s="3">
        <f>IF(AND(D1864&lt;&gt;"",F1864&lt;&gt;""),F1864-D1864-G1864,"")</f>
        <v/>
      </c>
      <c r="I1864" s="14">
        <f>IF(E1864&lt;&gt;"", YEARFRAC(C1864, E1864) * 12, "")</f>
        <v/>
      </c>
      <c r="J1864" s="2">
        <f>IF(I1864="", "", IF(AND(A1864="MF (Equity)", I1864&gt;12), "Long Term", "Short Term"))</f>
        <v/>
      </c>
      <c r="K1864" s="5">
        <f>IF(J1864="", "", IF(J1864="Long Term", 12.5%, 20%))</f>
        <v/>
      </c>
      <c r="L1864" s="3">
        <f>+IFERROR(IF(J1864="","",H1864*K1864),"")</f>
        <v/>
      </c>
    </row>
    <row r="1865">
      <c r="A1865" s="11" t="n"/>
      <c r="B1865" s="7" t="n"/>
      <c r="C1865" s="8" t="n"/>
      <c r="D1865" s="9" t="n"/>
      <c r="E1865" s="8" t="n"/>
      <c r="F1865" s="9" t="n"/>
      <c r="G1865" s="9" t="n"/>
      <c r="H1865" s="3">
        <f>IF(AND(D1865&lt;&gt;"",F1865&lt;&gt;""),F1865-D1865-G1865,"")</f>
        <v/>
      </c>
      <c r="I1865" s="14">
        <f>IF(E1865&lt;&gt;"", YEARFRAC(C1865, E1865) * 12, "")</f>
        <v/>
      </c>
      <c r="J1865" s="2">
        <f>IF(I1865="", "", IF(AND(A1865="MF (Equity)", I1865&gt;12), "Long Term", "Short Term"))</f>
        <v/>
      </c>
      <c r="K1865" s="5">
        <f>IF(J1865="", "", IF(J1865="Long Term", 12.5%, 20%))</f>
        <v/>
      </c>
      <c r="L1865" s="3">
        <f>+IFERROR(IF(J1865="","",H1865*K1865),"")</f>
        <v/>
      </c>
    </row>
    <row r="1866">
      <c r="A1866" s="11" t="n"/>
      <c r="B1866" s="7" t="n"/>
      <c r="C1866" s="8" t="n"/>
      <c r="D1866" s="9" t="n"/>
      <c r="E1866" s="8" t="n"/>
      <c r="F1866" s="9" t="n"/>
      <c r="G1866" s="9" t="n"/>
      <c r="H1866" s="3">
        <f>IF(AND(D1866&lt;&gt;"",F1866&lt;&gt;""),F1866-D1866-G1866,"")</f>
        <v/>
      </c>
      <c r="I1866" s="14">
        <f>IF(E1866&lt;&gt;"", YEARFRAC(C1866, E1866) * 12, "")</f>
        <v/>
      </c>
      <c r="J1866" s="2">
        <f>IF(I1866="", "", IF(AND(A1866="MF (Equity)", I1866&gt;12), "Long Term", "Short Term"))</f>
        <v/>
      </c>
      <c r="K1866" s="5">
        <f>IF(J1866="", "", IF(J1866="Long Term", 12.5%, 20%))</f>
        <v/>
      </c>
      <c r="L1866" s="3">
        <f>+IFERROR(IF(J1866="","",H1866*K1866),"")</f>
        <v/>
      </c>
    </row>
    <row r="1867">
      <c r="A1867" s="11" t="n"/>
      <c r="B1867" s="7" t="n"/>
      <c r="C1867" s="8" t="n"/>
      <c r="D1867" s="9" t="n"/>
      <c r="E1867" s="8" t="n"/>
      <c r="F1867" s="9" t="n"/>
      <c r="G1867" s="9" t="n"/>
      <c r="H1867" s="3">
        <f>IF(AND(D1867&lt;&gt;"",F1867&lt;&gt;""),F1867-D1867-G1867,"")</f>
        <v/>
      </c>
      <c r="I1867" s="14">
        <f>IF(E1867&lt;&gt;"", YEARFRAC(C1867, E1867) * 12, "")</f>
        <v/>
      </c>
      <c r="J1867" s="2">
        <f>IF(I1867="", "", IF(AND(A1867="MF (Equity)", I1867&gt;12), "Long Term", "Short Term"))</f>
        <v/>
      </c>
      <c r="K1867" s="5">
        <f>IF(J1867="", "", IF(J1867="Long Term", 12.5%, 20%))</f>
        <v/>
      </c>
      <c r="L1867" s="3">
        <f>+IFERROR(IF(J1867="","",H1867*K1867),"")</f>
        <v/>
      </c>
    </row>
    <row r="1868">
      <c r="A1868" s="11" t="n"/>
      <c r="B1868" s="7" t="n"/>
      <c r="C1868" s="8" t="n"/>
      <c r="D1868" s="9" t="n"/>
      <c r="E1868" s="8" t="n"/>
      <c r="F1868" s="9" t="n"/>
      <c r="G1868" s="9" t="n"/>
      <c r="H1868" s="3">
        <f>IF(AND(D1868&lt;&gt;"",F1868&lt;&gt;""),F1868-D1868-G1868,"")</f>
        <v/>
      </c>
      <c r="I1868" s="14">
        <f>IF(E1868&lt;&gt;"", YEARFRAC(C1868, E1868) * 12, "")</f>
        <v/>
      </c>
      <c r="J1868" s="2">
        <f>IF(I1868="", "", IF(AND(A1868="MF (Equity)", I1868&gt;12), "Long Term", "Short Term"))</f>
        <v/>
      </c>
      <c r="K1868" s="5">
        <f>IF(J1868="", "", IF(J1868="Long Term", 12.5%, 20%))</f>
        <v/>
      </c>
      <c r="L1868" s="3">
        <f>+IFERROR(IF(J1868="","",H1868*K1868),"")</f>
        <v/>
      </c>
    </row>
    <row r="1869">
      <c r="A1869" s="11" t="n"/>
      <c r="B1869" s="7" t="n"/>
      <c r="C1869" s="8" t="n"/>
      <c r="D1869" s="9" t="n"/>
      <c r="E1869" s="8" t="n"/>
      <c r="F1869" s="9" t="n"/>
      <c r="G1869" s="9" t="n"/>
      <c r="H1869" s="3">
        <f>IF(AND(D1869&lt;&gt;"",F1869&lt;&gt;""),F1869-D1869-G1869,"")</f>
        <v/>
      </c>
      <c r="I1869" s="14">
        <f>IF(E1869&lt;&gt;"", YEARFRAC(C1869, E1869) * 12, "")</f>
        <v/>
      </c>
      <c r="J1869" s="2">
        <f>IF(I1869="", "", IF(AND(A1869="MF (Equity)", I1869&gt;12), "Long Term", "Short Term"))</f>
        <v/>
      </c>
      <c r="K1869" s="5">
        <f>IF(J1869="", "", IF(J1869="Long Term", 12.5%, 20%))</f>
        <v/>
      </c>
      <c r="L1869" s="3">
        <f>+IFERROR(IF(J1869="","",H1869*K1869),"")</f>
        <v/>
      </c>
    </row>
    <row r="1870">
      <c r="A1870" s="11" t="n"/>
      <c r="B1870" s="7" t="n"/>
      <c r="C1870" s="8" t="n"/>
      <c r="D1870" s="9" t="n"/>
      <c r="E1870" s="8" t="n"/>
      <c r="F1870" s="9" t="n"/>
      <c r="G1870" s="9" t="n"/>
      <c r="H1870" s="3">
        <f>IF(AND(D1870&lt;&gt;"",F1870&lt;&gt;""),F1870-D1870-G1870,"")</f>
        <v/>
      </c>
      <c r="I1870" s="14">
        <f>IF(E1870&lt;&gt;"", YEARFRAC(C1870, E1870) * 12, "")</f>
        <v/>
      </c>
      <c r="J1870" s="2">
        <f>IF(I1870="", "", IF(AND(A1870="MF (Equity)", I1870&gt;12), "Long Term", "Short Term"))</f>
        <v/>
      </c>
      <c r="K1870" s="5">
        <f>IF(J1870="", "", IF(J1870="Long Term", 12.5%, 20%))</f>
        <v/>
      </c>
      <c r="L1870" s="3">
        <f>+IFERROR(IF(J1870="","",H1870*K1870),"")</f>
        <v/>
      </c>
    </row>
    <row r="1871">
      <c r="A1871" s="11" t="n"/>
      <c r="B1871" s="7" t="n"/>
      <c r="C1871" s="8" t="n"/>
      <c r="D1871" s="9" t="n"/>
      <c r="E1871" s="8" t="n"/>
      <c r="F1871" s="9" t="n"/>
      <c r="G1871" s="9" t="n"/>
      <c r="H1871" s="3">
        <f>IF(AND(D1871&lt;&gt;"",F1871&lt;&gt;""),F1871-D1871-G1871,"")</f>
        <v/>
      </c>
      <c r="I1871" s="14">
        <f>IF(E1871&lt;&gt;"", YEARFRAC(C1871, E1871) * 12, "")</f>
        <v/>
      </c>
      <c r="J1871" s="2">
        <f>IF(I1871="", "", IF(AND(A1871="MF (Equity)", I1871&gt;12), "Long Term", "Short Term"))</f>
        <v/>
      </c>
      <c r="K1871" s="5">
        <f>IF(J1871="", "", IF(J1871="Long Term", 12.5%, 20%))</f>
        <v/>
      </c>
      <c r="L1871" s="3">
        <f>+IFERROR(IF(J1871="","",H1871*K1871),"")</f>
        <v/>
      </c>
    </row>
    <row r="1872">
      <c r="A1872" s="11" t="n"/>
      <c r="B1872" s="7" t="n"/>
      <c r="C1872" s="8" t="n"/>
      <c r="D1872" s="9" t="n"/>
      <c r="E1872" s="8" t="n"/>
      <c r="F1872" s="9" t="n"/>
      <c r="G1872" s="9" t="n"/>
      <c r="H1872" s="3">
        <f>IF(AND(D1872&lt;&gt;"",F1872&lt;&gt;""),F1872-D1872-G1872,"")</f>
        <v/>
      </c>
      <c r="I1872" s="14">
        <f>IF(E1872&lt;&gt;"", YEARFRAC(C1872, E1872) * 12, "")</f>
        <v/>
      </c>
      <c r="J1872" s="2">
        <f>IF(I1872="", "", IF(AND(A1872="MF (Equity)", I1872&gt;12), "Long Term", "Short Term"))</f>
        <v/>
      </c>
      <c r="K1872" s="5">
        <f>IF(J1872="", "", IF(J1872="Long Term", 12.5%, 20%))</f>
        <v/>
      </c>
      <c r="L1872" s="3">
        <f>+IFERROR(IF(J1872="","",H1872*K1872),"")</f>
        <v/>
      </c>
    </row>
    <row r="1873">
      <c r="A1873" s="11" t="n"/>
      <c r="B1873" s="7" t="n"/>
      <c r="C1873" s="8" t="n"/>
      <c r="D1873" s="9" t="n"/>
      <c r="E1873" s="8" t="n"/>
      <c r="F1873" s="9" t="n"/>
      <c r="G1873" s="9" t="n"/>
      <c r="H1873" s="3">
        <f>IF(AND(D1873&lt;&gt;"",F1873&lt;&gt;""),F1873-D1873-G1873,"")</f>
        <v/>
      </c>
      <c r="I1873" s="14">
        <f>IF(E1873&lt;&gt;"", YEARFRAC(C1873, E1873) * 12, "")</f>
        <v/>
      </c>
      <c r="J1873" s="2">
        <f>IF(I1873="", "", IF(AND(A1873="MF (Equity)", I1873&gt;12), "Long Term", "Short Term"))</f>
        <v/>
      </c>
      <c r="K1873" s="5">
        <f>IF(J1873="", "", IF(J1873="Long Term", 12.5%, 20%))</f>
        <v/>
      </c>
      <c r="L1873" s="3">
        <f>+IFERROR(IF(J1873="","",H1873*K1873),"")</f>
        <v/>
      </c>
    </row>
    <row r="1874">
      <c r="A1874" s="11" t="n"/>
      <c r="B1874" s="7" t="n"/>
      <c r="C1874" s="8" t="n"/>
      <c r="D1874" s="9" t="n"/>
      <c r="E1874" s="8" t="n"/>
      <c r="F1874" s="9" t="n"/>
      <c r="G1874" s="9" t="n"/>
      <c r="H1874" s="3">
        <f>IF(AND(D1874&lt;&gt;"",F1874&lt;&gt;""),F1874-D1874-G1874,"")</f>
        <v/>
      </c>
      <c r="I1874" s="14">
        <f>IF(E1874&lt;&gt;"", YEARFRAC(C1874, E1874) * 12, "")</f>
        <v/>
      </c>
      <c r="J1874" s="2">
        <f>IF(I1874="", "", IF(AND(A1874="MF (Equity)", I1874&gt;12), "Long Term", "Short Term"))</f>
        <v/>
      </c>
      <c r="K1874" s="5">
        <f>IF(J1874="", "", IF(J1874="Long Term", 12.5%, 20%))</f>
        <v/>
      </c>
      <c r="L1874" s="3">
        <f>+IFERROR(IF(J1874="","",H1874*K1874),"")</f>
        <v/>
      </c>
    </row>
    <row r="1875">
      <c r="A1875" s="11" t="n"/>
      <c r="B1875" s="7" t="n"/>
      <c r="C1875" s="8" t="n"/>
      <c r="D1875" s="9" t="n"/>
      <c r="E1875" s="8" t="n"/>
      <c r="F1875" s="9" t="n"/>
      <c r="G1875" s="9" t="n"/>
      <c r="H1875" s="3">
        <f>IF(AND(D1875&lt;&gt;"",F1875&lt;&gt;""),F1875-D1875-G1875,"")</f>
        <v/>
      </c>
      <c r="I1875" s="14">
        <f>IF(E1875&lt;&gt;"", YEARFRAC(C1875, E1875) * 12, "")</f>
        <v/>
      </c>
      <c r="J1875" s="2">
        <f>IF(I1875="", "", IF(AND(A1875="MF (Equity)", I1875&gt;12), "Long Term", "Short Term"))</f>
        <v/>
      </c>
      <c r="K1875" s="5">
        <f>IF(J1875="", "", IF(J1875="Long Term", 12.5%, 20%))</f>
        <v/>
      </c>
      <c r="L1875" s="3">
        <f>+IFERROR(IF(J1875="","",H1875*K1875),"")</f>
        <v/>
      </c>
    </row>
    <row r="1876">
      <c r="A1876" s="11" t="n"/>
      <c r="B1876" s="7" t="n"/>
      <c r="C1876" s="8" t="n"/>
      <c r="D1876" s="9" t="n"/>
      <c r="E1876" s="8" t="n"/>
      <c r="F1876" s="9" t="n"/>
      <c r="G1876" s="9" t="n"/>
      <c r="H1876" s="3">
        <f>IF(AND(D1876&lt;&gt;"",F1876&lt;&gt;""),F1876-D1876-G1876,"")</f>
        <v/>
      </c>
      <c r="I1876" s="14">
        <f>IF(E1876&lt;&gt;"", YEARFRAC(C1876, E1876) * 12, "")</f>
        <v/>
      </c>
      <c r="J1876" s="2">
        <f>IF(I1876="", "", IF(AND(A1876="MF (Equity)", I1876&gt;12), "Long Term", "Short Term"))</f>
        <v/>
      </c>
      <c r="K1876" s="5">
        <f>IF(J1876="", "", IF(J1876="Long Term", 12.5%, 20%))</f>
        <v/>
      </c>
      <c r="L1876" s="3">
        <f>+IFERROR(IF(J1876="","",H1876*K1876),"")</f>
        <v/>
      </c>
    </row>
    <row r="1877">
      <c r="A1877" s="11" t="n"/>
      <c r="B1877" s="7" t="n"/>
      <c r="C1877" s="8" t="n"/>
      <c r="D1877" s="9" t="n"/>
      <c r="E1877" s="8" t="n"/>
      <c r="F1877" s="9" t="n"/>
      <c r="G1877" s="9" t="n"/>
      <c r="H1877" s="3">
        <f>IF(AND(D1877&lt;&gt;"",F1877&lt;&gt;""),F1877-D1877-G1877,"")</f>
        <v/>
      </c>
      <c r="I1877" s="14">
        <f>IF(E1877&lt;&gt;"", YEARFRAC(C1877, E1877) * 12, "")</f>
        <v/>
      </c>
      <c r="J1877" s="2">
        <f>IF(I1877="", "", IF(AND(A1877="MF (Equity)", I1877&gt;12), "Long Term", "Short Term"))</f>
        <v/>
      </c>
      <c r="K1877" s="5">
        <f>IF(J1877="", "", IF(J1877="Long Term", 12.5%, 20%))</f>
        <v/>
      </c>
      <c r="L1877" s="3">
        <f>+IFERROR(IF(J1877="","",H1877*K1877),"")</f>
        <v/>
      </c>
    </row>
    <row r="1878">
      <c r="A1878" s="11" t="n"/>
      <c r="B1878" s="7" t="n"/>
      <c r="C1878" s="8" t="n"/>
      <c r="D1878" s="9" t="n"/>
      <c r="E1878" s="8" t="n"/>
      <c r="F1878" s="9" t="n"/>
      <c r="G1878" s="9" t="n"/>
      <c r="H1878" s="3">
        <f>IF(AND(D1878&lt;&gt;"",F1878&lt;&gt;""),F1878-D1878-G1878,"")</f>
        <v/>
      </c>
      <c r="I1878" s="14">
        <f>IF(E1878&lt;&gt;"", YEARFRAC(C1878, E1878) * 12, "")</f>
        <v/>
      </c>
      <c r="J1878" s="2">
        <f>IF(I1878="", "", IF(AND(A1878="MF (Equity)", I1878&gt;12), "Long Term", "Short Term"))</f>
        <v/>
      </c>
      <c r="K1878" s="5">
        <f>IF(J1878="", "", IF(J1878="Long Term", 12.5%, 20%))</f>
        <v/>
      </c>
      <c r="L1878" s="3">
        <f>+IFERROR(IF(J1878="","",H1878*K1878),"")</f>
        <v/>
      </c>
    </row>
    <row r="1879">
      <c r="A1879" s="11" t="n"/>
      <c r="B1879" s="7" t="n"/>
      <c r="C1879" s="8" t="n"/>
      <c r="D1879" s="9" t="n"/>
      <c r="E1879" s="8" t="n"/>
      <c r="F1879" s="9" t="n"/>
      <c r="G1879" s="9" t="n"/>
      <c r="H1879" s="3">
        <f>IF(AND(D1879&lt;&gt;"",F1879&lt;&gt;""),F1879-D1879-G1879,"")</f>
        <v/>
      </c>
      <c r="I1879" s="14">
        <f>IF(E1879&lt;&gt;"", YEARFRAC(C1879, E1879) * 12, "")</f>
        <v/>
      </c>
      <c r="J1879" s="2">
        <f>IF(I1879="", "", IF(AND(A1879="MF (Equity)", I1879&gt;12), "Long Term", "Short Term"))</f>
        <v/>
      </c>
      <c r="K1879" s="5">
        <f>IF(J1879="", "", IF(J1879="Long Term", 12.5%, 20%))</f>
        <v/>
      </c>
      <c r="L1879" s="3">
        <f>+IFERROR(IF(J1879="","",H1879*K1879),"")</f>
        <v/>
      </c>
    </row>
    <row r="1880">
      <c r="A1880" s="11" t="n"/>
      <c r="B1880" s="7" t="n"/>
      <c r="C1880" s="8" t="n"/>
      <c r="D1880" s="9" t="n"/>
      <c r="E1880" s="8" t="n"/>
      <c r="F1880" s="9" t="n"/>
      <c r="G1880" s="9" t="n"/>
      <c r="H1880" s="3">
        <f>IF(AND(D1880&lt;&gt;"",F1880&lt;&gt;""),F1880-D1880-G1880,"")</f>
        <v/>
      </c>
      <c r="I1880" s="14">
        <f>IF(E1880&lt;&gt;"", YEARFRAC(C1880, E1880) * 12, "")</f>
        <v/>
      </c>
      <c r="J1880" s="2">
        <f>IF(I1880="", "", IF(AND(A1880="MF (Equity)", I1880&gt;12), "Long Term", "Short Term"))</f>
        <v/>
      </c>
      <c r="K1880" s="5">
        <f>IF(J1880="", "", IF(J1880="Long Term", 12.5%, 20%))</f>
        <v/>
      </c>
      <c r="L1880" s="3">
        <f>+IFERROR(IF(J1880="","",H1880*K1880),"")</f>
        <v/>
      </c>
    </row>
    <row r="1881">
      <c r="A1881" s="11" t="n"/>
      <c r="B1881" s="7" t="n"/>
      <c r="C1881" s="8" t="n"/>
      <c r="D1881" s="9" t="n"/>
      <c r="E1881" s="8" t="n"/>
      <c r="F1881" s="9" t="n"/>
      <c r="G1881" s="9" t="n"/>
      <c r="H1881" s="3">
        <f>IF(AND(D1881&lt;&gt;"",F1881&lt;&gt;""),F1881-D1881-G1881,"")</f>
        <v/>
      </c>
      <c r="I1881" s="14">
        <f>IF(E1881&lt;&gt;"", YEARFRAC(C1881, E1881) * 12, "")</f>
        <v/>
      </c>
      <c r="J1881" s="2">
        <f>IF(I1881="", "", IF(AND(A1881="MF (Equity)", I1881&gt;12), "Long Term", "Short Term"))</f>
        <v/>
      </c>
      <c r="K1881" s="5">
        <f>IF(J1881="", "", IF(J1881="Long Term", 12.5%, 20%))</f>
        <v/>
      </c>
      <c r="L1881" s="3">
        <f>+IFERROR(IF(J1881="","",H1881*K1881),"")</f>
        <v/>
      </c>
    </row>
    <row r="1882">
      <c r="A1882" s="11" t="n"/>
      <c r="B1882" s="7" t="n"/>
      <c r="C1882" s="8" t="n"/>
      <c r="D1882" s="9" t="n"/>
      <c r="E1882" s="8" t="n"/>
      <c r="F1882" s="9" t="n"/>
      <c r="G1882" s="9" t="n"/>
      <c r="H1882" s="3">
        <f>IF(AND(D1882&lt;&gt;"",F1882&lt;&gt;""),F1882-D1882-G1882,"")</f>
        <v/>
      </c>
      <c r="I1882" s="14">
        <f>IF(E1882&lt;&gt;"", YEARFRAC(C1882, E1882) * 12, "")</f>
        <v/>
      </c>
      <c r="J1882" s="2">
        <f>IF(I1882="", "", IF(AND(A1882="MF (Equity)", I1882&gt;12), "Long Term", "Short Term"))</f>
        <v/>
      </c>
      <c r="K1882" s="5">
        <f>IF(J1882="", "", IF(J1882="Long Term", 12.5%, 20%))</f>
        <v/>
      </c>
      <c r="L1882" s="3">
        <f>+IFERROR(IF(J1882="","",H1882*K1882),"")</f>
        <v/>
      </c>
    </row>
    <row r="1883">
      <c r="A1883" s="11" t="n"/>
      <c r="B1883" s="7" t="n"/>
      <c r="C1883" s="8" t="n"/>
      <c r="D1883" s="9" t="n"/>
      <c r="E1883" s="8" t="n"/>
      <c r="F1883" s="9" t="n"/>
      <c r="G1883" s="9" t="n"/>
      <c r="H1883" s="3">
        <f>IF(AND(D1883&lt;&gt;"",F1883&lt;&gt;""),F1883-D1883-G1883,"")</f>
        <v/>
      </c>
      <c r="I1883" s="14">
        <f>IF(E1883&lt;&gt;"", YEARFRAC(C1883, E1883) * 12, "")</f>
        <v/>
      </c>
      <c r="J1883" s="2">
        <f>IF(I1883="", "", IF(AND(A1883="MF (Equity)", I1883&gt;12), "Long Term", "Short Term"))</f>
        <v/>
      </c>
      <c r="K1883" s="5">
        <f>IF(J1883="", "", IF(J1883="Long Term", 12.5%, 20%))</f>
        <v/>
      </c>
      <c r="L1883" s="3">
        <f>+IFERROR(IF(J1883="","",H1883*K1883),"")</f>
        <v/>
      </c>
    </row>
    <row r="1884">
      <c r="A1884" s="11" t="n"/>
      <c r="B1884" s="7" t="n"/>
      <c r="C1884" s="8" t="n"/>
      <c r="D1884" s="9" t="n"/>
      <c r="E1884" s="8" t="n"/>
      <c r="F1884" s="9" t="n"/>
      <c r="G1884" s="9" t="n"/>
      <c r="H1884" s="3">
        <f>IF(AND(D1884&lt;&gt;"",F1884&lt;&gt;""),F1884-D1884-G1884,"")</f>
        <v/>
      </c>
      <c r="I1884" s="14">
        <f>IF(E1884&lt;&gt;"", YEARFRAC(C1884, E1884) * 12, "")</f>
        <v/>
      </c>
      <c r="J1884" s="2">
        <f>IF(I1884="", "", IF(AND(A1884="MF (Equity)", I1884&gt;12), "Long Term", "Short Term"))</f>
        <v/>
      </c>
      <c r="K1884" s="5">
        <f>IF(J1884="", "", IF(J1884="Long Term", 12.5%, 20%))</f>
        <v/>
      </c>
      <c r="L1884" s="3">
        <f>+IFERROR(IF(J1884="","",H1884*K1884),"")</f>
        <v/>
      </c>
    </row>
    <row r="1885">
      <c r="A1885" s="11" t="n"/>
      <c r="B1885" s="7" t="n"/>
      <c r="C1885" s="8" t="n"/>
      <c r="D1885" s="9" t="n"/>
      <c r="E1885" s="8" t="n"/>
      <c r="F1885" s="9" t="n"/>
      <c r="G1885" s="9" t="n"/>
      <c r="H1885" s="3">
        <f>IF(AND(D1885&lt;&gt;"",F1885&lt;&gt;""),F1885-D1885-G1885,"")</f>
        <v/>
      </c>
      <c r="I1885" s="14">
        <f>IF(E1885&lt;&gt;"", YEARFRAC(C1885, E1885) * 12, "")</f>
        <v/>
      </c>
      <c r="J1885" s="2">
        <f>IF(I1885="", "", IF(AND(A1885="MF (Equity)", I1885&gt;12), "Long Term", "Short Term"))</f>
        <v/>
      </c>
      <c r="K1885" s="5">
        <f>IF(J1885="", "", IF(J1885="Long Term", 12.5%, 20%))</f>
        <v/>
      </c>
      <c r="L1885" s="3">
        <f>+IFERROR(IF(J1885="","",H1885*K1885),"")</f>
        <v/>
      </c>
    </row>
    <row r="1886">
      <c r="A1886" s="11" t="n"/>
      <c r="B1886" s="7" t="n"/>
      <c r="C1886" s="8" t="n"/>
      <c r="D1886" s="9" t="n"/>
      <c r="E1886" s="8" t="n"/>
      <c r="F1886" s="9" t="n"/>
      <c r="G1886" s="9" t="n"/>
      <c r="H1886" s="3">
        <f>IF(AND(D1886&lt;&gt;"",F1886&lt;&gt;""),F1886-D1886-G1886,"")</f>
        <v/>
      </c>
      <c r="I1886" s="14">
        <f>IF(E1886&lt;&gt;"", YEARFRAC(C1886, E1886) * 12, "")</f>
        <v/>
      </c>
      <c r="J1886" s="2">
        <f>IF(I1886="", "", IF(AND(A1886="MF (Equity)", I1886&gt;12), "Long Term", "Short Term"))</f>
        <v/>
      </c>
      <c r="K1886" s="5">
        <f>IF(J1886="", "", IF(J1886="Long Term", 12.5%, 20%))</f>
        <v/>
      </c>
      <c r="L1886" s="3">
        <f>+IFERROR(IF(J1886="","",H1886*K1886),"")</f>
        <v/>
      </c>
    </row>
    <row r="1887">
      <c r="A1887" s="11" t="n"/>
      <c r="B1887" s="7" t="n"/>
      <c r="C1887" s="8" t="n"/>
      <c r="D1887" s="9" t="n"/>
      <c r="E1887" s="8" t="n"/>
      <c r="F1887" s="9" t="n"/>
      <c r="G1887" s="9" t="n"/>
      <c r="H1887" s="3">
        <f>IF(AND(D1887&lt;&gt;"",F1887&lt;&gt;""),F1887-D1887-G1887,"")</f>
        <v/>
      </c>
      <c r="I1887" s="14">
        <f>IF(E1887&lt;&gt;"", YEARFRAC(C1887, E1887) * 12, "")</f>
        <v/>
      </c>
      <c r="J1887" s="2">
        <f>IF(I1887="", "", IF(AND(A1887="MF (Equity)", I1887&gt;12), "Long Term", "Short Term"))</f>
        <v/>
      </c>
      <c r="K1887" s="5">
        <f>IF(J1887="", "", IF(J1887="Long Term", 12.5%, 20%))</f>
        <v/>
      </c>
      <c r="L1887" s="3">
        <f>+IFERROR(IF(J1887="","",H1887*K1887),"")</f>
        <v/>
      </c>
    </row>
    <row r="1888">
      <c r="A1888" s="11" t="n"/>
      <c r="B1888" s="7" t="n"/>
      <c r="C1888" s="8" t="n"/>
      <c r="D1888" s="9" t="n"/>
      <c r="E1888" s="8" t="n"/>
      <c r="F1888" s="9" t="n"/>
      <c r="G1888" s="9" t="n"/>
      <c r="H1888" s="3">
        <f>IF(AND(D1888&lt;&gt;"",F1888&lt;&gt;""),F1888-D1888-G1888,"")</f>
        <v/>
      </c>
      <c r="I1888" s="14">
        <f>IF(E1888&lt;&gt;"", YEARFRAC(C1888, E1888) * 12, "")</f>
        <v/>
      </c>
      <c r="J1888" s="2">
        <f>IF(I1888="", "", IF(AND(A1888="MF (Equity)", I1888&gt;12), "Long Term", "Short Term"))</f>
        <v/>
      </c>
      <c r="K1888" s="5">
        <f>IF(J1888="", "", IF(J1888="Long Term", 12.5%, 20%))</f>
        <v/>
      </c>
      <c r="L1888" s="3">
        <f>+IFERROR(IF(J1888="","",H1888*K1888),"")</f>
        <v/>
      </c>
    </row>
    <row r="1889">
      <c r="A1889" s="11" t="n"/>
      <c r="B1889" s="7" t="n"/>
      <c r="C1889" s="8" t="n"/>
      <c r="D1889" s="9" t="n"/>
      <c r="E1889" s="8" t="n"/>
      <c r="F1889" s="9" t="n"/>
      <c r="G1889" s="9" t="n"/>
      <c r="H1889" s="3">
        <f>IF(AND(D1889&lt;&gt;"",F1889&lt;&gt;""),F1889-D1889-G1889,"")</f>
        <v/>
      </c>
      <c r="I1889" s="14">
        <f>IF(E1889&lt;&gt;"", YEARFRAC(C1889, E1889) * 12, "")</f>
        <v/>
      </c>
      <c r="J1889" s="2">
        <f>IF(I1889="", "", IF(AND(A1889="MF (Equity)", I1889&gt;12), "Long Term", "Short Term"))</f>
        <v/>
      </c>
      <c r="K1889" s="5">
        <f>IF(J1889="", "", IF(J1889="Long Term", 12.5%, 20%))</f>
        <v/>
      </c>
      <c r="L1889" s="3">
        <f>+IFERROR(IF(J1889="","",H1889*K1889),"")</f>
        <v/>
      </c>
    </row>
    <row r="1890">
      <c r="A1890" s="11" t="n"/>
      <c r="B1890" s="7" t="n"/>
      <c r="C1890" s="8" t="n"/>
      <c r="D1890" s="9" t="n"/>
      <c r="E1890" s="8" t="n"/>
      <c r="F1890" s="9" t="n"/>
      <c r="G1890" s="9" t="n"/>
      <c r="H1890" s="3">
        <f>IF(AND(D1890&lt;&gt;"",F1890&lt;&gt;""),F1890-D1890-G1890,"")</f>
        <v/>
      </c>
      <c r="I1890" s="14">
        <f>IF(E1890&lt;&gt;"", YEARFRAC(C1890, E1890) * 12, "")</f>
        <v/>
      </c>
      <c r="J1890" s="2">
        <f>IF(I1890="", "", IF(AND(A1890="MF (Equity)", I1890&gt;12), "Long Term", "Short Term"))</f>
        <v/>
      </c>
      <c r="K1890" s="5">
        <f>IF(J1890="", "", IF(J1890="Long Term", 12.5%, 20%))</f>
        <v/>
      </c>
      <c r="L1890" s="3">
        <f>+IFERROR(IF(J1890="","",H1890*K1890),"")</f>
        <v/>
      </c>
    </row>
    <row r="1891">
      <c r="A1891" s="11" t="n"/>
      <c r="B1891" s="7" t="n"/>
      <c r="C1891" s="8" t="n"/>
      <c r="D1891" s="9" t="n"/>
      <c r="E1891" s="8" t="n"/>
      <c r="F1891" s="9" t="n"/>
      <c r="G1891" s="9" t="n"/>
      <c r="H1891" s="3">
        <f>IF(AND(D1891&lt;&gt;"",F1891&lt;&gt;""),F1891-D1891-G1891,"")</f>
        <v/>
      </c>
      <c r="I1891" s="14">
        <f>IF(E1891&lt;&gt;"", YEARFRAC(C1891, E1891) * 12, "")</f>
        <v/>
      </c>
      <c r="J1891" s="2">
        <f>IF(I1891="", "", IF(AND(A1891="MF (Equity)", I1891&gt;12), "Long Term", "Short Term"))</f>
        <v/>
      </c>
      <c r="K1891" s="5">
        <f>IF(J1891="", "", IF(J1891="Long Term", 12.5%, 20%))</f>
        <v/>
      </c>
      <c r="L1891" s="3">
        <f>+IFERROR(IF(J1891="","",H1891*K1891),"")</f>
        <v/>
      </c>
    </row>
    <row r="1892">
      <c r="A1892" s="11" t="n"/>
      <c r="B1892" s="7" t="n"/>
      <c r="C1892" s="8" t="n"/>
      <c r="D1892" s="9" t="n"/>
      <c r="E1892" s="8" t="n"/>
      <c r="F1892" s="9" t="n"/>
      <c r="G1892" s="9" t="n"/>
      <c r="H1892" s="3">
        <f>IF(AND(D1892&lt;&gt;"",F1892&lt;&gt;""),F1892-D1892-G1892,"")</f>
        <v/>
      </c>
      <c r="I1892" s="14">
        <f>IF(E1892&lt;&gt;"", YEARFRAC(C1892, E1892) * 12, "")</f>
        <v/>
      </c>
      <c r="J1892" s="2">
        <f>IF(I1892="", "", IF(AND(A1892="MF (Equity)", I1892&gt;12), "Long Term", "Short Term"))</f>
        <v/>
      </c>
      <c r="K1892" s="5">
        <f>IF(J1892="", "", IF(J1892="Long Term", 12.5%, 20%))</f>
        <v/>
      </c>
      <c r="L1892" s="3">
        <f>+IFERROR(IF(J1892="","",H1892*K1892),"")</f>
        <v/>
      </c>
    </row>
    <row r="1893">
      <c r="A1893" s="11" t="n"/>
      <c r="B1893" s="7" t="n"/>
      <c r="C1893" s="8" t="n"/>
      <c r="D1893" s="9" t="n"/>
      <c r="E1893" s="8" t="n"/>
      <c r="F1893" s="9" t="n"/>
      <c r="G1893" s="9" t="n"/>
      <c r="H1893" s="3">
        <f>IF(AND(D1893&lt;&gt;"",F1893&lt;&gt;""),F1893-D1893-G1893,"")</f>
        <v/>
      </c>
      <c r="I1893" s="14">
        <f>IF(E1893&lt;&gt;"", YEARFRAC(C1893, E1893) * 12, "")</f>
        <v/>
      </c>
      <c r="J1893" s="2">
        <f>IF(I1893="", "", IF(AND(A1893="MF (Equity)", I1893&gt;12), "Long Term", "Short Term"))</f>
        <v/>
      </c>
      <c r="K1893" s="5">
        <f>IF(J1893="", "", IF(J1893="Long Term", 12.5%, 20%))</f>
        <v/>
      </c>
      <c r="L1893" s="3">
        <f>+IFERROR(IF(J1893="","",H1893*K1893),"")</f>
        <v/>
      </c>
    </row>
    <row r="1894">
      <c r="A1894" s="11" t="n"/>
      <c r="B1894" s="7" t="n"/>
      <c r="C1894" s="8" t="n"/>
      <c r="D1894" s="9" t="n"/>
      <c r="E1894" s="8" t="n"/>
      <c r="F1894" s="9" t="n"/>
      <c r="G1894" s="9" t="n"/>
      <c r="H1894" s="3">
        <f>IF(AND(D1894&lt;&gt;"",F1894&lt;&gt;""),F1894-D1894-G1894,"")</f>
        <v/>
      </c>
      <c r="I1894" s="14">
        <f>IF(E1894&lt;&gt;"", YEARFRAC(C1894, E1894) * 12, "")</f>
        <v/>
      </c>
      <c r="J1894" s="2">
        <f>IF(I1894="", "", IF(AND(A1894="MF (Equity)", I1894&gt;12), "Long Term", "Short Term"))</f>
        <v/>
      </c>
      <c r="K1894" s="5">
        <f>IF(J1894="", "", IF(J1894="Long Term", 12.5%, 20%))</f>
        <v/>
      </c>
      <c r="L1894" s="3">
        <f>+IFERROR(IF(J1894="","",H1894*K1894),"")</f>
        <v/>
      </c>
    </row>
    <row r="1895">
      <c r="A1895" s="11" t="n"/>
      <c r="B1895" s="7" t="n"/>
      <c r="C1895" s="8" t="n"/>
      <c r="D1895" s="9" t="n"/>
      <c r="E1895" s="8" t="n"/>
      <c r="F1895" s="9" t="n"/>
      <c r="G1895" s="9" t="n"/>
      <c r="H1895" s="3">
        <f>IF(AND(D1895&lt;&gt;"",F1895&lt;&gt;""),F1895-D1895-G1895,"")</f>
        <v/>
      </c>
      <c r="I1895" s="14">
        <f>IF(E1895&lt;&gt;"", YEARFRAC(C1895, E1895) * 12, "")</f>
        <v/>
      </c>
      <c r="J1895" s="2">
        <f>IF(I1895="", "", IF(AND(A1895="MF (Equity)", I1895&gt;12), "Long Term", "Short Term"))</f>
        <v/>
      </c>
      <c r="K1895" s="5">
        <f>IF(J1895="", "", IF(J1895="Long Term", 12.5%, 20%))</f>
        <v/>
      </c>
      <c r="L1895" s="3">
        <f>+IFERROR(IF(J1895="","",H1895*K1895),"")</f>
        <v/>
      </c>
    </row>
    <row r="1896">
      <c r="A1896" s="11" t="n"/>
      <c r="B1896" s="7" t="n"/>
      <c r="C1896" s="8" t="n"/>
      <c r="D1896" s="9" t="n"/>
      <c r="E1896" s="8" t="n"/>
      <c r="F1896" s="9" t="n"/>
      <c r="G1896" s="9" t="n"/>
      <c r="H1896" s="3">
        <f>IF(AND(D1896&lt;&gt;"",F1896&lt;&gt;""),F1896-D1896-G1896,"")</f>
        <v/>
      </c>
      <c r="I1896" s="14">
        <f>IF(E1896&lt;&gt;"", YEARFRAC(C1896, E1896) * 12, "")</f>
        <v/>
      </c>
      <c r="J1896" s="2">
        <f>IF(I1896="", "", IF(AND(A1896="MF (Equity)", I1896&gt;12), "Long Term", "Short Term"))</f>
        <v/>
      </c>
      <c r="K1896" s="5">
        <f>IF(J1896="", "", IF(J1896="Long Term", 12.5%, 20%))</f>
        <v/>
      </c>
      <c r="L1896" s="3">
        <f>+IFERROR(IF(J1896="","",H1896*K1896),"")</f>
        <v/>
      </c>
    </row>
    <row r="1897">
      <c r="A1897" s="11" t="n"/>
      <c r="B1897" s="7" t="n"/>
      <c r="C1897" s="8" t="n"/>
      <c r="D1897" s="9" t="n"/>
      <c r="E1897" s="8" t="n"/>
      <c r="F1897" s="9" t="n"/>
      <c r="G1897" s="9" t="n"/>
      <c r="H1897" s="3">
        <f>IF(AND(D1897&lt;&gt;"",F1897&lt;&gt;""),F1897-D1897-G1897,"")</f>
        <v/>
      </c>
      <c r="I1897" s="14">
        <f>IF(E1897&lt;&gt;"", YEARFRAC(C1897, E1897) * 12, "")</f>
        <v/>
      </c>
      <c r="J1897" s="2">
        <f>IF(I1897="", "", IF(AND(A1897="MF (Equity)", I1897&gt;12), "Long Term", "Short Term"))</f>
        <v/>
      </c>
      <c r="K1897" s="5">
        <f>IF(J1897="", "", IF(J1897="Long Term", 12.5%, 20%))</f>
        <v/>
      </c>
      <c r="L1897" s="3">
        <f>+IFERROR(IF(J1897="","",H1897*K1897),"")</f>
        <v/>
      </c>
    </row>
    <row r="1898">
      <c r="A1898" s="11" t="n"/>
      <c r="B1898" s="7" t="n"/>
      <c r="C1898" s="8" t="n"/>
      <c r="D1898" s="9" t="n"/>
      <c r="E1898" s="8" t="n"/>
      <c r="F1898" s="9" t="n"/>
      <c r="G1898" s="9" t="n"/>
      <c r="H1898" s="3">
        <f>IF(AND(D1898&lt;&gt;"",F1898&lt;&gt;""),F1898-D1898-G1898,"")</f>
        <v/>
      </c>
      <c r="I1898" s="14">
        <f>IF(E1898&lt;&gt;"", YEARFRAC(C1898, E1898) * 12, "")</f>
        <v/>
      </c>
      <c r="J1898" s="2">
        <f>IF(I1898="", "", IF(AND(A1898="MF (Equity)", I1898&gt;12), "Long Term", "Short Term"))</f>
        <v/>
      </c>
      <c r="K1898" s="5">
        <f>IF(J1898="", "", IF(J1898="Long Term", 12.5%, 20%))</f>
        <v/>
      </c>
      <c r="L1898" s="3">
        <f>+IFERROR(IF(J1898="","",H1898*K1898),"")</f>
        <v/>
      </c>
    </row>
    <row r="1899">
      <c r="A1899" s="11" t="n"/>
      <c r="B1899" s="7" t="n"/>
      <c r="C1899" s="8" t="n"/>
      <c r="D1899" s="9" t="n"/>
      <c r="E1899" s="8" t="n"/>
      <c r="F1899" s="9" t="n"/>
      <c r="G1899" s="9" t="n"/>
      <c r="H1899" s="3">
        <f>IF(AND(D1899&lt;&gt;"",F1899&lt;&gt;""),F1899-D1899-G1899,"")</f>
        <v/>
      </c>
      <c r="I1899" s="14">
        <f>IF(E1899&lt;&gt;"", YEARFRAC(C1899, E1899) * 12, "")</f>
        <v/>
      </c>
      <c r="J1899" s="2">
        <f>IF(I1899="", "", IF(AND(A1899="MF (Equity)", I1899&gt;12), "Long Term", "Short Term"))</f>
        <v/>
      </c>
      <c r="K1899" s="5">
        <f>IF(J1899="", "", IF(J1899="Long Term", 12.5%, 20%))</f>
        <v/>
      </c>
      <c r="L1899" s="3">
        <f>+IFERROR(IF(J1899="","",H1899*K1899),"")</f>
        <v/>
      </c>
    </row>
    <row r="1900">
      <c r="A1900" s="11" t="n"/>
      <c r="B1900" s="7" t="n"/>
      <c r="C1900" s="8" t="n"/>
      <c r="D1900" s="9" t="n"/>
      <c r="E1900" s="8" t="n"/>
      <c r="F1900" s="9" t="n"/>
      <c r="G1900" s="9" t="n"/>
      <c r="H1900" s="3">
        <f>IF(AND(D1900&lt;&gt;"",F1900&lt;&gt;""),F1900-D1900-G1900,"")</f>
        <v/>
      </c>
      <c r="I1900" s="14">
        <f>IF(E1900&lt;&gt;"", YEARFRAC(C1900, E1900) * 12, "")</f>
        <v/>
      </c>
      <c r="J1900" s="2">
        <f>IF(I1900="", "", IF(AND(A1900="MF (Equity)", I1900&gt;12), "Long Term", "Short Term"))</f>
        <v/>
      </c>
      <c r="K1900" s="5">
        <f>IF(J1900="", "", IF(J1900="Long Term", 12.5%, 20%))</f>
        <v/>
      </c>
      <c r="L1900" s="3">
        <f>+IFERROR(IF(J1900="","",H1900*K1900),"")</f>
        <v/>
      </c>
    </row>
    <row r="1901">
      <c r="A1901" s="11" t="n"/>
      <c r="B1901" s="7" t="n"/>
      <c r="C1901" s="8" t="n"/>
      <c r="D1901" s="9" t="n"/>
      <c r="E1901" s="8" t="n"/>
      <c r="F1901" s="9" t="n"/>
      <c r="G1901" s="9" t="n"/>
      <c r="H1901" s="3">
        <f>IF(AND(D1901&lt;&gt;"",F1901&lt;&gt;""),F1901-D1901-G1901,"")</f>
        <v/>
      </c>
      <c r="I1901" s="14">
        <f>IF(E1901&lt;&gt;"", YEARFRAC(C1901, E1901) * 12, "")</f>
        <v/>
      </c>
      <c r="J1901" s="2">
        <f>IF(I1901="", "", IF(AND(A1901="MF (Equity)", I1901&gt;12), "Long Term", "Short Term"))</f>
        <v/>
      </c>
      <c r="K1901" s="5">
        <f>IF(J1901="", "", IF(J1901="Long Term", 12.5%, 20%))</f>
        <v/>
      </c>
      <c r="L1901" s="3">
        <f>+IFERROR(IF(J1901="","",H1901*K1901),"")</f>
        <v/>
      </c>
    </row>
    <row r="1902">
      <c r="A1902" s="11" t="n"/>
      <c r="B1902" s="7" t="n"/>
      <c r="C1902" s="8" t="n"/>
      <c r="D1902" s="9" t="n"/>
      <c r="E1902" s="8" t="n"/>
      <c r="F1902" s="9" t="n"/>
      <c r="G1902" s="9" t="n"/>
      <c r="H1902" s="3">
        <f>IF(AND(D1902&lt;&gt;"",F1902&lt;&gt;""),F1902-D1902-G1902,"")</f>
        <v/>
      </c>
      <c r="I1902" s="14">
        <f>IF(E1902&lt;&gt;"", YEARFRAC(C1902, E1902) * 12, "")</f>
        <v/>
      </c>
      <c r="J1902" s="2">
        <f>IF(I1902="", "", IF(AND(A1902="MF (Equity)", I1902&gt;12), "Long Term", "Short Term"))</f>
        <v/>
      </c>
      <c r="K1902" s="5">
        <f>IF(J1902="", "", IF(J1902="Long Term", 12.5%, 20%))</f>
        <v/>
      </c>
      <c r="L1902" s="3">
        <f>+IFERROR(IF(J1902="","",H1902*K1902),"")</f>
        <v/>
      </c>
    </row>
    <row r="1903">
      <c r="A1903" s="11" t="n"/>
      <c r="B1903" s="7" t="n"/>
      <c r="C1903" s="8" t="n"/>
      <c r="D1903" s="9" t="n"/>
      <c r="E1903" s="8" t="n"/>
      <c r="F1903" s="9" t="n"/>
      <c r="G1903" s="9" t="n"/>
      <c r="H1903" s="3">
        <f>IF(AND(D1903&lt;&gt;"",F1903&lt;&gt;""),F1903-D1903-G1903,"")</f>
        <v/>
      </c>
      <c r="I1903" s="14">
        <f>IF(E1903&lt;&gt;"", YEARFRAC(C1903, E1903) * 12, "")</f>
        <v/>
      </c>
      <c r="J1903" s="2">
        <f>IF(I1903="", "", IF(AND(A1903="MF (Equity)", I1903&gt;12), "Long Term", "Short Term"))</f>
        <v/>
      </c>
      <c r="K1903" s="5">
        <f>IF(J1903="", "", IF(J1903="Long Term", 12.5%, 20%))</f>
        <v/>
      </c>
      <c r="L1903" s="3">
        <f>+IFERROR(IF(J1903="","",H1903*K1903),"")</f>
        <v/>
      </c>
    </row>
    <row r="1904">
      <c r="A1904" s="11" t="n"/>
      <c r="B1904" s="7" t="n"/>
      <c r="C1904" s="8" t="n"/>
      <c r="D1904" s="9" t="n"/>
      <c r="E1904" s="8" t="n"/>
      <c r="F1904" s="9" t="n"/>
      <c r="G1904" s="9" t="n"/>
      <c r="H1904" s="3">
        <f>IF(AND(D1904&lt;&gt;"",F1904&lt;&gt;""),F1904-D1904-G1904,"")</f>
        <v/>
      </c>
      <c r="I1904" s="14">
        <f>IF(E1904&lt;&gt;"", YEARFRAC(C1904, E1904) * 12, "")</f>
        <v/>
      </c>
      <c r="J1904" s="2">
        <f>IF(I1904="", "", IF(AND(A1904="MF (Equity)", I1904&gt;12), "Long Term", "Short Term"))</f>
        <v/>
      </c>
      <c r="K1904" s="5">
        <f>IF(J1904="", "", IF(J1904="Long Term", 12.5%, 20%))</f>
        <v/>
      </c>
      <c r="L1904" s="3">
        <f>+IFERROR(IF(J1904="","",H1904*K1904),"")</f>
        <v/>
      </c>
    </row>
    <row r="1905">
      <c r="A1905" s="11" t="n"/>
      <c r="B1905" s="7" t="n"/>
      <c r="C1905" s="8" t="n"/>
      <c r="D1905" s="9" t="n"/>
      <c r="E1905" s="8" t="n"/>
      <c r="F1905" s="9" t="n"/>
      <c r="G1905" s="9" t="n"/>
      <c r="H1905" s="3">
        <f>IF(AND(D1905&lt;&gt;"",F1905&lt;&gt;""),F1905-D1905-G1905,"")</f>
        <v/>
      </c>
      <c r="I1905" s="14">
        <f>IF(E1905&lt;&gt;"", YEARFRAC(C1905, E1905) * 12, "")</f>
        <v/>
      </c>
      <c r="J1905" s="2">
        <f>IF(I1905="", "", IF(AND(A1905="MF (Equity)", I1905&gt;12), "Long Term", "Short Term"))</f>
        <v/>
      </c>
      <c r="K1905" s="5">
        <f>IF(J1905="", "", IF(J1905="Long Term", 12.5%, 20%))</f>
        <v/>
      </c>
      <c r="L1905" s="3">
        <f>+IFERROR(IF(J1905="","",H1905*K1905),"")</f>
        <v/>
      </c>
    </row>
    <row r="1906">
      <c r="A1906" s="11" t="n"/>
      <c r="B1906" s="7" t="n"/>
      <c r="C1906" s="8" t="n"/>
      <c r="D1906" s="9" t="n"/>
      <c r="E1906" s="8" t="n"/>
      <c r="F1906" s="9" t="n"/>
      <c r="G1906" s="9" t="n"/>
      <c r="H1906" s="3">
        <f>IF(AND(D1906&lt;&gt;"",F1906&lt;&gt;""),F1906-D1906-G1906,"")</f>
        <v/>
      </c>
      <c r="I1906" s="14">
        <f>IF(E1906&lt;&gt;"", YEARFRAC(C1906, E1906) * 12, "")</f>
        <v/>
      </c>
      <c r="J1906" s="2">
        <f>IF(I1906="", "", IF(AND(A1906="MF (Equity)", I1906&gt;12), "Long Term", "Short Term"))</f>
        <v/>
      </c>
      <c r="K1906" s="5">
        <f>IF(J1906="", "", IF(J1906="Long Term", 12.5%, 20%))</f>
        <v/>
      </c>
      <c r="L1906" s="3">
        <f>+IFERROR(IF(J1906="","",H1906*K1906),"")</f>
        <v/>
      </c>
    </row>
    <row r="1907">
      <c r="A1907" s="11" t="n"/>
      <c r="B1907" s="7" t="n"/>
      <c r="C1907" s="8" t="n"/>
      <c r="D1907" s="9" t="n"/>
      <c r="E1907" s="8" t="n"/>
      <c r="F1907" s="9" t="n"/>
      <c r="G1907" s="9" t="n"/>
      <c r="H1907" s="3">
        <f>IF(AND(D1907&lt;&gt;"",F1907&lt;&gt;""),F1907-D1907-G1907,"")</f>
        <v/>
      </c>
      <c r="I1907" s="14">
        <f>IF(E1907&lt;&gt;"", YEARFRAC(C1907, E1907) * 12, "")</f>
        <v/>
      </c>
      <c r="J1907" s="2">
        <f>IF(I1907="", "", IF(AND(A1907="MF (Equity)", I1907&gt;12), "Long Term", "Short Term"))</f>
        <v/>
      </c>
      <c r="K1907" s="5">
        <f>IF(J1907="", "", IF(J1907="Long Term", 12.5%, 20%))</f>
        <v/>
      </c>
      <c r="L1907" s="3">
        <f>+IFERROR(IF(J1907="","",H1907*K1907),"")</f>
        <v/>
      </c>
    </row>
    <row r="1908">
      <c r="A1908" s="11" t="n"/>
      <c r="B1908" s="7" t="n"/>
      <c r="C1908" s="8" t="n"/>
      <c r="D1908" s="9" t="n"/>
      <c r="E1908" s="8" t="n"/>
      <c r="F1908" s="9" t="n"/>
      <c r="G1908" s="9" t="n"/>
      <c r="H1908" s="3">
        <f>IF(AND(D1908&lt;&gt;"",F1908&lt;&gt;""),F1908-D1908-G1908,"")</f>
        <v/>
      </c>
      <c r="I1908" s="14">
        <f>IF(E1908&lt;&gt;"", YEARFRAC(C1908, E1908) * 12, "")</f>
        <v/>
      </c>
      <c r="J1908" s="2">
        <f>IF(I1908="", "", IF(AND(A1908="MF (Equity)", I1908&gt;12), "Long Term", "Short Term"))</f>
        <v/>
      </c>
      <c r="K1908" s="5">
        <f>IF(J1908="", "", IF(J1908="Long Term", 12.5%, 20%))</f>
        <v/>
      </c>
      <c r="L1908" s="3">
        <f>+IFERROR(IF(J1908="","",H1908*K1908),"")</f>
        <v/>
      </c>
    </row>
    <row r="1909">
      <c r="A1909" s="11" t="n"/>
      <c r="B1909" s="7" t="n"/>
      <c r="C1909" s="8" t="n"/>
      <c r="D1909" s="9" t="n"/>
      <c r="E1909" s="8" t="n"/>
      <c r="F1909" s="9" t="n"/>
      <c r="G1909" s="9" t="n"/>
      <c r="H1909" s="3">
        <f>IF(AND(D1909&lt;&gt;"",F1909&lt;&gt;""),F1909-D1909-G1909,"")</f>
        <v/>
      </c>
      <c r="I1909" s="14">
        <f>IF(E1909&lt;&gt;"", YEARFRAC(C1909, E1909) * 12, "")</f>
        <v/>
      </c>
      <c r="J1909" s="2">
        <f>IF(I1909="", "", IF(AND(A1909="MF (Equity)", I1909&gt;12), "Long Term", "Short Term"))</f>
        <v/>
      </c>
      <c r="K1909" s="5">
        <f>IF(J1909="", "", IF(J1909="Long Term", 12.5%, 20%))</f>
        <v/>
      </c>
      <c r="L1909" s="3">
        <f>+IFERROR(IF(J1909="","",H1909*K1909),"")</f>
        <v/>
      </c>
    </row>
    <row r="1910">
      <c r="A1910" s="11" t="n"/>
      <c r="B1910" s="7" t="n"/>
      <c r="C1910" s="8" t="n"/>
      <c r="D1910" s="9" t="n"/>
      <c r="E1910" s="8" t="n"/>
      <c r="F1910" s="9" t="n"/>
      <c r="G1910" s="9" t="n"/>
      <c r="H1910" s="3">
        <f>IF(AND(D1910&lt;&gt;"",F1910&lt;&gt;""),F1910-D1910-G1910,"")</f>
        <v/>
      </c>
      <c r="I1910" s="14">
        <f>IF(E1910&lt;&gt;"", YEARFRAC(C1910, E1910) * 12, "")</f>
        <v/>
      </c>
      <c r="J1910" s="2">
        <f>IF(I1910="", "", IF(AND(A1910="MF (Equity)", I1910&gt;12), "Long Term", "Short Term"))</f>
        <v/>
      </c>
      <c r="K1910" s="5">
        <f>IF(J1910="", "", IF(J1910="Long Term", 12.5%, 20%))</f>
        <v/>
      </c>
      <c r="L1910" s="3">
        <f>+IFERROR(IF(J1910="","",H1910*K1910),"")</f>
        <v/>
      </c>
    </row>
    <row r="1911">
      <c r="A1911" s="11" t="n"/>
      <c r="B1911" s="7" t="n"/>
      <c r="C1911" s="8" t="n"/>
      <c r="D1911" s="9" t="n"/>
      <c r="E1911" s="8" t="n"/>
      <c r="F1911" s="9" t="n"/>
      <c r="G1911" s="9" t="n"/>
      <c r="H1911" s="3">
        <f>IF(AND(D1911&lt;&gt;"",F1911&lt;&gt;""),F1911-D1911-G1911,"")</f>
        <v/>
      </c>
      <c r="I1911" s="14">
        <f>IF(E1911&lt;&gt;"", YEARFRAC(C1911, E1911) * 12, "")</f>
        <v/>
      </c>
      <c r="J1911" s="2">
        <f>IF(I1911="", "", IF(AND(A1911="MF (Equity)", I1911&gt;12), "Long Term", "Short Term"))</f>
        <v/>
      </c>
      <c r="K1911" s="5">
        <f>IF(J1911="", "", IF(J1911="Long Term", 12.5%, 20%))</f>
        <v/>
      </c>
      <c r="L1911" s="3">
        <f>+IFERROR(IF(J1911="","",H1911*K1911),"")</f>
        <v/>
      </c>
    </row>
    <row r="1912">
      <c r="A1912" s="11" t="n"/>
      <c r="B1912" s="7" t="n"/>
      <c r="C1912" s="8" t="n"/>
      <c r="D1912" s="9" t="n"/>
      <c r="E1912" s="8" t="n"/>
      <c r="F1912" s="9" t="n"/>
      <c r="G1912" s="9" t="n"/>
      <c r="H1912" s="3">
        <f>IF(AND(D1912&lt;&gt;"",F1912&lt;&gt;""),F1912-D1912-G1912,"")</f>
        <v/>
      </c>
      <c r="I1912" s="14">
        <f>IF(E1912&lt;&gt;"", YEARFRAC(C1912, E1912) * 12, "")</f>
        <v/>
      </c>
      <c r="J1912" s="2">
        <f>IF(I1912="", "", IF(AND(A1912="MF (Equity)", I1912&gt;12), "Long Term", "Short Term"))</f>
        <v/>
      </c>
      <c r="K1912" s="5">
        <f>IF(J1912="", "", IF(J1912="Long Term", 12.5%, 20%))</f>
        <v/>
      </c>
      <c r="L1912" s="3">
        <f>+IFERROR(IF(J1912="","",H1912*K1912),"")</f>
        <v/>
      </c>
    </row>
    <row r="1913">
      <c r="A1913" s="11" t="n"/>
      <c r="B1913" s="7" t="n"/>
      <c r="C1913" s="8" t="n"/>
      <c r="D1913" s="9" t="n"/>
      <c r="E1913" s="8" t="n"/>
      <c r="F1913" s="9" t="n"/>
      <c r="G1913" s="9" t="n"/>
      <c r="H1913" s="3">
        <f>IF(AND(D1913&lt;&gt;"",F1913&lt;&gt;""),F1913-D1913-G1913,"")</f>
        <v/>
      </c>
      <c r="I1913" s="14">
        <f>IF(E1913&lt;&gt;"", YEARFRAC(C1913, E1913) * 12, "")</f>
        <v/>
      </c>
      <c r="J1913" s="2">
        <f>IF(I1913="", "", IF(AND(A1913="MF (Equity)", I1913&gt;12), "Long Term", "Short Term"))</f>
        <v/>
      </c>
      <c r="K1913" s="5">
        <f>IF(J1913="", "", IF(J1913="Long Term", 12.5%, 20%))</f>
        <v/>
      </c>
      <c r="L1913" s="3">
        <f>+IFERROR(IF(J1913="","",H1913*K1913),"")</f>
        <v/>
      </c>
    </row>
    <row r="1914">
      <c r="A1914" s="11" t="n"/>
      <c r="B1914" s="7" t="n"/>
      <c r="C1914" s="8" t="n"/>
      <c r="D1914" s="9" t="n"/>
      <c r="E1914" s="8" t="n"/>
      <c r="F1914" s="9" t="n"/>
      <c r="G1914" s="9" t="n"/>
      <c r="H1914" s="3">
        <f>IF(AND(D1914&lt;&gt;"",F1914&lt;&gt;""),F1914-D1914-G1914,"")</f>
        <v/>
      </c>
      <c r="I1914" s="14">
        <f>IF(E1914&lt;&gt;"", YEARFRAC(C1914, E1914) * 12, "")</f>
        <v/>
      </c>
      <c r="J1914" s="2">
        <f>IF(I1914="", "", IF(AND(A1914="MF (Equity)", I1914&gt;12), "Long Term", "Short Term"))</f>
        <v/>
      </c>
      <c r="K1914" s="5">
        <f>IF(J1914="", "", IF(J1914="Long Term", 12.5%, 20%))</f>
        <v/>
      </c>
      <c r="L1914" s="3">
        <f>+IFERROR(IF(J1914="","",H1914*K1914),"")</f>
        <v/>
      </c>
    </row>
    <row r="1915">
      <c r="A1915" s="11" t="n"/>
      <c r="B1915" s="7" t="n"/>
      <c r="C1915" s="8" t="n"/>
      <c r="D1915" s="9" t="n"/>
      <c r="E1915" s="8" t="n"/>
      <c r="F1915" s="9" t="n"/>
      <c r="G1915" s="9" t="n"/>
      <c r="H1915" s="3">
        <f>IF(AND(D1915&lt;&gt;"",F1915&lt;&gt;""),F1915-D1915-G1915,"")</f>
        <v/>
      </c>
      <c r="I1915" s="14">
        <f>IF(E1915&lt;&gt;"", YEARFRAC(C1915, E1915) * 12, "")</f>
        <v/>
      </c>
      <c r="J1915" s="2">
        <f>IF(I1915="", "", IF(AND(A1915="MF (Equity)", I1915&gt;12), "Long Term", "Short Term"))</f>
        <v/>
      </c>
      <c r="K1915" s="5">
        <f>IF(J1915="", "", IF(J1915="Long Term", 12.5%, 20%))</f>
        <v/>
      </c>
      <c r="L1915" s="3">
        <f>+IFERROR(IF(J1915="","",H1915*K1915),"")</f>
        <v/>
      </c>
    </row>
    <row r="1916">
      <c r="A1916" s="11" t="n"/>
      <c r="B1916" s="7" t="n"/>
      <c r="C1916" s="8" t="n"/>
      <c r="D1916" s="9" t="n"/>
      <c r="E1916" s="8" t="n"/>
      <c r="F1916" s="9" t="n"/>
      <c r="G1916" s="9" t="n"/>
      <c r="H1916" s="3">
        <f>IF(AND(D1916&lt;&gt;"",F1916&lt;&gt;""),F1916-D1916-G1916,"")</f>
        <v/>
      </c>
      <c r="I1916" s="14">
        <f>IF(E1916&lt;&gt;"", YEARFRAC(C1916, E1916) * 12, "")</f>
        <v/>
      </c>
      <c r="J1916" s="2">
        <f>IF(I1916="", "", IF(AND(A1916="MF (Equity)", I1916&gt;12), "Long Term", "Short Term"))</f>
        <v/>
      </c>
      <c r="K1916" s="5">
        <f>IF(J1916="", "", IF(J1916="Long Term", 12.5%, 20%))</f>
        <v/>
      </c>
      <c r="L1916" s="3">
        <f>+IFERROR(IF(J1916="","",H1916*K1916),"")</f>
        <v/>
      </c>
    </row>
    <row r="1917">
      <c r="A1917" s="11" t="n"/>
      <c r="B1917" s="7" t="n"/>
      <c r="C1917" s="8" t="n"/>
      <c r="D1917" s="9" t="n"/>
      <c r="E1917" s="8" t="n"/>
      <c r="F1917" s="9" t="n"/>
      <c r="G1917" s="9" t="n"/>
      <c r="H1917" s="3">
        <f>IF(AND(D1917&lt;&gt;"",F1917&lt;&gt;""),F1917-D1917-G1917,"")</f>
        <v/>
      </c>
      <c r="I1917" s="14">
        <f>IF(E1917&lt;&gt;"", YEARFRAC(C1917, E1917) * 12, "")</f>
        <v/>
      </c>
      <c r="J1917" s="2">
        <f>IF(I1917="", "", IF(AND(A1917="MF (Equity)", I1917&gt;12), "Long Term", "Short Term"))</f>
        <v/>
      </c>
      <c r="K1917" s="5">
        <f>IF(J1917="", "", IF(J1917="Long Term", 12.5%, 20%))</f>
        <v/>
      </c>
      <c r="L1917" s="3">
        <f>+IFERROR(IF(J1917="","",H1917*K1917),"")</f>
        <v/>
      </c>
    </row>
    <row r="1918">
      <c r="A1918" s="11" t="n"/>
      <c r="B1918" s="7" t="n"/>
      <c r="C1918" s="8" t="n"/>
      <c r="D1918" s="9" t="n"/>
      <c r="E1918" s="8" t="n"/>
      <c r="F1918" s="9" t="n"/>
      <c r="G1918" s="9" t="n"/>
      <c r="H1918" s="3">
        <f>IF(AND(D1918&lt;&gt;"",F1918&lt;&gt;""),F1918-D1918-G1918,"")</f>
        <v/>
      </c>
      <c r="I1918" s="14">
        <f>IF(E1918&lt;&gt;"", YEARFRAC(C1918, E1918) * 12, "")</f>
        <v/>
      </c>
      <c r="J1918" s="2">
        <f>IF(I1918="", "", IF(AND(A1918="MF (Equity)", I1918&gt;12), "Long Term", "Short Term"))</f>
        <v/>
      </c>
      <c r="K1918" s="5">
        <f>IF(J1918="", "", IF(J1918="Long Term", 12.5%, 20%))</f>
        <v/>
      </c>
      <c r="L1918" s="3">
        <f>+IFERROR(IF(J1918="","",H1918*K1918),"")</f>
        <v/>
      </c>
    </row>
    <row r="1919">
      <c r="A1919" s="11" t="n"/>
      <c r="B1919" s="7" t="n"/>
      <c r="C1919" s="8" t="n"/>
      <c r="D1919" s="9" t="n"/>
      <c r="E1919" s="8" t="n"/>
      <c r="F1919" s="9" t="n"/>
      <c r="G1919" s="9" t="n"/>
      <c r="H1919" s="3">
        <f>IF(AND(D1919&lt;&gt;"",F1919&lt;&gt;""),F1919-D1919-G1919,"")</f>
        <v/>
      </c>
      <c r="I1919" s="14">
        <f>IF(E1919&lt;&gt;"", YEARFRAC(C1919, E1919) * 12, "")</f>
        <v/>
      </c>
      <c r="J1919" s="2">
        <f>IF(I1919="", "", IF(AND(A1919="MF (Equity)", I1919&gt;12), "Long Term", "Short Term"))</f>
        <v/>
      </c>
      <c r="K1919" s="5">
        <f>IF(J1919="", "", IF(J1919="Long Term", 12.5%, 20%))</f>
        <v/>
      </c>
      <c r="L1919" s="3">
        <f>+IFERROR(IF(J1919="","",H1919*K1919),"")</f>
        <v/>
      </c>
    </row>
    <row r="1920">
      <c r="A1920" s="11" t="n"/>
      <c r="B1920" s="7" t="n"/>
      <c r="C1920" s="8" t="n"/>
      <c r="D1920" s="9" t="n"/>
      <c r="E1920" s="8" t="n"/>
      <c r="F1920" s="9" t="n"/>
      <c r="G1920" s="9" t="n"/>
      <c r="H1920" s="3">
        <f>IF(AND(D1920&lt;&gt;"",F1920&lt;&gt;""),F1920-D1920-G1920,"")</f>
        <v/>
      </c>
      <c r="I1920" s="14">
        <f>IF(E1920&lt;&gt;"", YEARFRAC(C1920, E1920) * 12, "")</f>
        <v/>
      </c>
      <c r="J1920" s="2">
        <f>IF(I1920="", "", IF(AND(A1920="MF (Equity)", I1920&gt;12), "Long Term", "Short Term"))</f>
        <v/>
      </c>
      <c r="K1920" s="5">
        <f>IF(J1920="", "", IF(J1920="Long Term", 12.5%, 20%))</f>
        <v/>
      </c>
      <c r="L1920" s="3">
        <f>+IFERROR(IF(J1920="","",H1920*K1920),"")</f>
        <v/>
      </c>
    </row>
    <row r="1921">
      <c r="A1921" s="11" t="n"/>
      <c r="B1921" s="7" t="n"/>
      <c r="C1921" s="8" t="n"/>
      <c r="D1921" s="9" t="n"/>
      <c r="E1921" s="8" t="n"/>
      <c r="F1921" s="9" t="n"/>
      <c r="G1921" s="9" t="n"/>
      <c r="H1921" s="3">
        <f>IF(AND(D1921&lt;&gt;"",F1921&lt;&gt;""),F1921-D1921-G1921,"")</f>
        <v/>
      </c>
      <c r="I1921" s="14">
        <f>IF(E1921&lt;&gt;"", YEARFRAC(C1921, E1921) * 12, "")</f>
        <v/>
      </c>
      <c r="J1921" s="2">
        <f>IF(I1921="", "", IF(AND(A1921="MF (Equity)", I1921&gt;12), "Long Term", "Short Term"))</f>
        <v/>
      </c>
      <c r="K1921" s="5">
        <f>IF(J1921="", "", IF(J1921="Long Term", 12.5%, 20%))</f>
        <v/>
      </c>
      <c r="L1921" s="3">
        <f>+IFERROR(IF(J1921="","",H1921*K1921),"")</f>
        <v/>
      </c>
    </row>
    <row r="1922">
      <c r="A1922" s="11" t="n"/>
      <c r="B1922" s="7" t="n"/>
      <c r="C1922" s="8" t="n"/>
      <c r="D1922" s="9" t="n"/>
      <c r="E1922" s="8" t="n"/>
      <c r="F1922" s="9" t="n"/>
      <c r="G1922" s="9" t="n"/>
      <c r="H1922" s="3">
        <f>IF(AND(D1922&lt;&gt;"",F1922&lt;&gt;""),F1922-D1922-G1922,"")</f>
        <v/>
      </c>
      <c r="I1922" s="14">
        <f>IF(E1922&lt;&gt;"", YEARFRAC(C1922, E1922) * 12, "")</f>
        <v/>
      </c>
      <c r="J1922" s="2">
        <f>IF(I1922="", "", IF(AND(A1922="MF (Equity)", I1922&gt;12), "Long Term", "Short Term"))</f>
        <v/>
      </c>
      <c r="K1922" s="5">
        <f>IF(J1922="", "", IF(J1922="Long Term", 12.5%, 20%))</f>
        <v/>
      </c>
      <c r="L1922" s="3">
        <f>+IFERROR(IF(J1922="","",H1922*K1922),"")</f>
        <v/>
      </c>
    </row>
    <row r="1923">
      <c r="A1923" s="11" t="n"/>
      <c r="B1923" s="7" t="n"/>
      <c r="C1923" s="8" t="n"/>
      <c r="D1923" s="9" t="n"/>
      <c r="E1923" s="8" t="n"/>
      <c r="F1923" s="9" t="n"/>
      <c r="G1923" s="9" t="n"/>
      <c r="H1923" s="3">
        <f>IF(AND(D1923&lt;&gt;"",F1923&lt;&gt;""),F1923-D1923-G1923,"")</f>
        <v/>
      </c>
      <c r="I1923" s="14">
        <f>IF(E1923&lt;&gt;"", YEARFRAC(C1923, E1923) * 12, "")</f>
        <v/>
      </c>
      <c r="J1923" s="2">
        <f>IF(I1923="", "", IF(AND(A1923="MF (Equity)", I1923&gt;12), "Long Term", "Short Term"))</f>
        <v/>
      </c>
      <c r="K1923" s="5">
        <f>IF(J1923="", "", IF(J1923="Long Term", 12.5%, 20%))</f>
        <v/>
      </c>
      <c r="L1923" s="3">
        <f>+IFERROR(IF(J1923="","",H1923*K1923),"")</f>
        <v/>
      </c>
    </row>
    <row r="1924">
      <c r="A1924" s="11" t="n"/>
      <c r="B1924" s="7" t="n"/>
      <c r="C1924" s="8" t="n"/>
      <c r="D1924" s="9" t="n"/>
      <c r="E1924" s="8" t="n"/>
      <c r="F1924" s="9" t="n"/>
      <c r="G1924" s="9" t="n"/>
      <c r="H1924" s="3">
        <f>IF(AND(D1924&lt;&gt;"",F1924&lt;&gt;""),F1924-D1924-G1924,"")</f>
        <v/>
      </c>
      <c r="I1924" s="14">
        <f>IF(E1924&lt;&gt;"", YEARFRAC(C1924, E1924) * 12, "")</f>
        <v/>
      </c>
      <c r="J1924" s="2">
        <f>IF(I1924="", "", IF(AND(A1924="MF (Equity)", I1924&gt;12), "Long Term", "Short Term"))</f>
        <v/>
      </c>
      <c r="K1924" s="5">
        <f>IF(J1924="", "", IF(J1924="Long Term", 12.5%, 20%))</f>
        <v/>
      </c>
      <c r="L1924" s="3">
        <f>+IFERROR(IF(J1924="","",H1924*K1924),"")</f>
        <v/>
      </c>
    </row>
    <row r="1925">
      <c r="A1925" s="11" t="n"/>
      <c r="B1925" s="7" t="n"/>
      <c r="C1925" s="8" t="n"/>
      <c r="D1925" s="9" t="n"/>
      <c r="E1925" s="8" t="n"/>
      <c r="F1925" s="9" t="n"/>
      <c r="G1925" s="9" t="n"/>
      <c r="H1925" s="3">
        <f>IF(AND(D1925&lt;&gt;"",F1925&lt;&gt;""),F1925-D1925-G1925,"")</f>
        <v/>
      </c>
      <c r="I1925" s="14">
        <f>IF(E1925&lt;&gt;"", YEARFRAC(C1925, E1925) * 12, "")</f>
        <v/>
      </c>
      <c r="J1925" s="2">
        <f>IF(I1925="", "", IF(AND(A1925="MF (Equity)", I1925&gt;12), "Long Term", "Short Term"))</f>
        <v/>
      </c>
      <c r="K1925" s="5">
        <f>IF(J1925="", "", IF(J1925="Long Term", 12.5%, 20%))</f>
        <v/>
      </c>
      <c r="L1925" s="3">
        <f>+IFERROR(IF(J1925="","",H1925*K1925),"")</f>
        <v/>
      </c>
    </row>
    <row r="1926">
      <c r="A1926" s="11" t="n"/>
      <c r="B1926" s="7" t="n"/>
      <c r="C1926" s="8" t="n"/>
      <c r="D1926" s="9" t="n"/>
      <c r="E1926" s="8" t="n"/>
      <c r="F1926" s="9" t="n"/>
      <c r="G1926" s="9" t="n"/>
      <c r="H1926" s="3">
        <f>IF(AND(D1926&lt;&gt;"",F1926&lt;&gt;""),F1926-D1926-G1926,"")</f>
        <v/>
      </c>
      <c r="I1926" s="14">
        <f>IF(E1926&lt;&gt;"", YEARFRAC(C1926, E1926) * 12, "")</f>
        <v/>
      </c>
      <c r="J1926" s="2">
        <f>IF(I1926="", "", IF(AND(A1926="MF (Equity)", I1926&gt;12), "Long Term", "Short Term"))</f>
        <v/>
      </c>
      <c r="K1926" s="5">
        <f>IF(J1926="", "", IF(J1926="Long Term", 12.5%, 20%))</f>
        <v/>
      </c>
      <c r="L1926" s="3">
        <f>+IFERROR(IF(J1926="","",H1926*K1926),"")</f>
        <v/>
      </c>
    </row>
    <row r="1927">
      <c r="A1927" s="11" t="n"/>
      <c r="B1927" s="7" t="n"/>
      <c r="C1927" s="8" t="n"/>
      <c r="D1927" s="9" t="n"/>
      <c r="E1927" s="8" t="n"/>
      <c r="F1927" s="9" t="n"/>
      <c r="G1927" s="9" t="n"/>
      <c r="H1927" s="3">
        <f>IF(AND(D1927&lt;&gt;"",F1927&lt;&gt;""),F1927-D1927-G1927,"")</f>
        <v/>
      </c>
      <c r="I1927" s="14">
        <f>IF(E1927&lt;&gt;"", YEARFRAC(C1927, E1927) * 12, "")</f>
        <v/>
      </c>
      <c r="J1927" s="2">
        <f>IF(I1927="", "", IF(AND(A1927="MF (Equity)", I1927&gt;12), "Long Term", "Short Term"))</f>
        <v/>
      </c>
      <c r="K1927" s="5">
        <f>IF(J1927="", "", IF(J1927="Long Term", 12.5%, 20%))</f>
        <v/>
      </c>
      <c r="L1927" s="3">
        <f>+IFERROR(IF(J1927="","",H1927*K1927),"")</f>
        <v/>
      </c>
    </row>
    <row r="1928">
      <c r="A1928" s="11" t="n"/>
      <c r="B1928" s="7" t="n"/>
      <c r="C1928" s="8" t="n"/>
      <c r="D1928" s="9" t="n"/>
      <c r="E1928" s="8" t="n"/>
      <c r="F1928" s="9" t="n"/>
      <c r="G1928" s="9" t="n"/>
      <c r="H1928" s="3">
        <f>IF(AND(D1928&lt;&gt;"",F1928&lt;&gt;""),F1928-D1928-G1928,"")</f>
        <v/>
      </c>
      <c r="I1928" s="14">
        <f>IF(E1928&lt;&gt;"", YEARFRAC(C1928, E1928) * 12, "")</f>
        <v/>
      </c>
      <c r="J1928" s="2">
        <f>IF(I1928="", "", IF(AND(A1928="MF (Equity)", I1928&gt;12), "Long Term", "Short Term"))</f>
        <v/>
      </c>
      <c r="K1928" s="5">
        <f>IF(J1928="", "", IF(J1928="Long Term", 12.5%, 20%))</f>
        <v/>
      </c>
      <c r="L1928" s="3">
        <f>+IFERROR(IF(J1928="","",H1928*K1928),"")</f>
        <v/>
      </c>
    </row>
    <row r="1929">
      <c r="A1929" s="11" t="n"/>
      <c r="B1929" s="7" t="n"/>
      <c r="C1929" s="8" t="n"/>
      <c r="D1929" s="9" t="n"/>
      <c r="E1929" s="8" t="n"/>
      <c r="F1929" s="9" t="n"/>
      <c r="G1929" s="9" t="n"/>
      <c r="H1929" s="3">
        <f>IF(AND(D1929&lt;&gt;"",F1929&lt;&gt;""),F1929-D1929-G1929,"")</f>
        <v/>
      </c>
      <c r="I1929" s="14">
        <f>IF(E1929&lt;&gt;"", YEARFRAC(C1929, E1929) * 12, "")</f>
        <v/>
      </c>
      <c r="J1929" s="2">
        <f>IF(I1929="", "", IF(AND(A1929="MF (Equity)", I1929&gt;12), "Long Term", "Short Term"))</f>
        <v/>
      </c>
      <c r="K1929" s="5">
        <f>IF(J1929="", "", IF(J1929="Long Term", 12.5%, 20%))</f>
        <v/>
      </c>
      <c r="L1929" s="3">
        <f>+IFERROR(IF(J1929="","",H1929*K1929),"")</f>
        <v/>
      </c>
    </row>
    <row r="1930">
      <c r="A1930" s="11" t="n"/>
      <c r="B1930" s="7" t="n"/>
      <c r="C1930" s="8" t="n"/>
      <c r="D1930" s="9" t="n"/>
      <c r="E1930" s="8" t="n"/>
      <c r="F1930" s="9" t="n"/>
      <c r="G1930" s="9" t="n"/>
      <c r="H1930" s="3">
        <f>IF(AND(D1930&lt;&gt;"",F1930&lt;&gt;""),F1930-D1930-G1930,"")</f>
        <v/>
      </c>
      <c r="I1930" s="14">
        <f>IF(E1930&lt;&gt;"", YEARFRAC(C1930, E1930) * 12, "")</f>
        <v/>
      </c>
      <c r="J1930" s="2">
        <f>IF(I1930="", "", IF(AND(A1930="MF (Equity)", I1930&gt;12), "Long Term", "Short Term"))</f>
        <v/>
      </c>
      <c r="K1930" s="5">
        <f>IF(J1930="", "", IF(J1930="Long Term", 12.5%, 20%))</f>
        <v/>
      </c>
      <c r="L1930" s="3">
        <f>+IFERROR(IF(J1930="","",H1930*K1930),"")</f>
        <v/>
      </c>
    </row>
    <row r="1931">
      <c r="A1931" s="11" t="n"/>
      <c r="B1931" s="7" t="n"/>
      <c r="C1931" s="8" t="n"/>
      <c r="D1931" s="9" t="n"/>
      <c r="E1931" s="8" t="n"/>
      <c r="F1931" s="9" t="n"/>
      <c r="G1931" s="9" t="n"/>
      <c r="H1931" s="3">
        <f>IF(AND(D1931&lt;&gt;"",F1931&lt;&gt;""),F1931-D1931-G1931,"")</f>
        <v/>
      </c>
      <c r="I1931" s="14">
        <f>IF(E1931&lt;&gt;"", YEARFRAC(C1931, E1931) * 12, "")</f>
        <v/>
      </c>
      <c r="J1931" s="2">
        <f>IF(I1931="", "", IF(AND(A1931="MF (Equity)", I1931&gt;12), "Long Term", "Short Term"))</f>
        <v/>
      </c>
      <c r="K1931" s="5">
        <f>IF(J1931="", "", IF(J1931="Long Term", 12.5%, 20%))</f>
        <v/>
      </c>
      <c r="L1931" s="3">
        <f>+IFERROR(IF(J1931="","",H1931*K1931),"")</f>
        <v/>
      </c>
    </row>
    <row r="1932">
      <c r="A1932" s="11" t="n"/>
      <c r="B1932" s="7" t="n"/>
      <c r="C1932" s="8" t="n"/>
      <c r="D1932" s="9" t="n"/>
      <c r="E1932" s="8" t="n"/>
      <c r="F1932" s="9" t="n"/>
      <c r="G1932" s="9" t="n"/>
      <c r="H1932" s="3">
        <f>IF(AND(D1932&lt;&gt;"",F1932&lt;&gt;""),F1932-D1932-G1932,"")</f>
        <v/>
      </c>
      <c r="I1932" s="14">
        <f>IF(E1932&lt;&gt;"", YEARFRAC(C1932, E1932) * 12, "")</f>
        <v/>
      </c>
      <c r="J1932" s="2">
        <f>IF(I1932="", "", IF(AND(A1932="MF (Equity)", I1932&gt;12), "Long Term", "Short Term"))</f>
        <v/>
      </c>
      <c r="K1932" s="5">
        <f>IF(J1932="", "", IF(J1932="Long Term", 12.5%, 20%))</f>
        <v/>
      </c>
      <c r="L1932" s="3">
        <f>+IFERROR(IF(J1932="","",H1932*K1932),"")</f>
        <v/>
      </c>
    </row>
    <row r="1933">
      <c r="A1933" s="11" t="n"/>
      <c r="B1933" s="7" t="n"/>
      <c r="C1933" s="8" t="n"/>
      <c r="D1933" s="9" t="n"/>
      <c r="E1933" s="8" t="n"/>
      <c r="F1933" s="9" t="n"/>
      <c r="G1933" s="9" t="n"/>
      <c r="H1933" s="3">
        <f>IF(AND(D1933&lt;&gt;"",F1933&lt;&gt;""),F1933-D1933-G1933,"")</f>
        <v/>
      </c>
      <c r="I1933" s="14">
        <f>IF(E1933&lt;&gt;"", YEARFRAC(C1933, E1933) * 12, "")</f>
        <v/>
      </c>
      <c r="J1933" s="2">
        <f>IF(I1933="", "", IF(AND(A1933="MF (Equity)", I1933&gt;12), "Long Term", "Short Term"))</f>
        <v/>
      </c>
      <c r="K1933" s="5">
        <f>IF(J1933="", "", IF(J1933="Long Term", 12.5%, 20%))</f>
        <v/>
      </c>
      <c r="L1933" s="3">
        <f>+IFERROR(IF(J1933="","",H1933*K1933),"")</f>
        <v/>
      </c>
    </row>
    <row r="1934">
      <c r="A1934" s="11" t="n"/>
      <c r="B1934" s="7" t="n"/>
      <c r="C1934" s="8" t="n"/>
      <c r="D1934" s="9" t="n"/>
      <c r="E1934" s="8" t="n"/>
      <c r="F1934" s="9" t="n"/>
      <c r="G1934" s="9" t="n"/>
      <c r="H1934" s="3">
        <f>IF(AND(D1934&lt;&gt;"",F1934&lt;&gt;""),F1934-D1934-G1934,"")</f>
        <v/>
      </c>
      <c r="I1934" s="14">
        <f>IF(E1934&lt;&gt;"", YEARFRAC(C1934, E1934) * 12, "")</f>
        <v/>
      </c>
      <c r="J1934" s="2">
        <f>IF(I1934="", "", IF(AND(A1934="MF (Equity)", I1934&gt;12), "Long Term", "Short Term"))</f>
        <v/>
      </c>
      <c r="K1934" s="5">
        <f>IF(J1934="", "", IF(J1934="Long Term", 12.5%, 20%))</f>
        <v/>
      </c>
      <c r="L1934" s="3">
        <f>+IFERROR(IF(J1934="","",H1934*K1934),"")</f>
        <v/>
      </c>
    </row>
    <row r="1935">
      <c r="A1935" s="11" t="n"/>
      <c r="B1935" s="7" t="n"/>
      <c r="C1935" s="8" t="n"/>
      <c r="D1935" s="9" t="n"/>
      <c r="E1935" s="8" t="n"/>
      <c r="F1935" s="9" t="n"/>
      <c r="G1935" s="9" t="n"/>
      <c r="H1935" s="3">
        <f>IF(AND(D1935&lt;&gt;"",F1935&lt;&gt;""),F1935-D1935-G1935,"")</f>
        <v/>
      </c>
      <c r="I1935" s="14">
        <f>IF(E1935&lt;&gt;"", YEARFRAC(C1935, E1935) * 12, "")</f>
        <v/>
      </c>
      <c r="J1935" s="2">
        <f>IF(I1935="", "", IF(AND(A1935="MF (Equity)", I1935&gt;12), "Long Term", "Short Term"))</f>
        <v/>
      </c>
      <c r="K1935" s="5">
        <f>IF(J1935="", "", IF(J1935="Long Term", 12.5%, 20%))</f>
        <v/>
      </c>
      <c r="L1935" s="3">
        <f>+IFERROR(IF(J1935="","",H1935*K1935),"")</f>
        <v/>
      </c>
    </row>
    <row r="1936">
      <c r="A1936" s="11" t="n"/>
      <c r="B1936" s="7" t="n"/>
      <c r="C1936" s="8" t="n"/>
      <c r="D1936" s="9" t="n"/>
      <c r="E1936" s="8" t="n"/>
      <c r="F1936" s="9" t="n"/>
      <c r="G1936" s="9" t="n"/>
      <c r="H1936" s="3">
        <f>IF(AND(D1936&lt;&gt;"",F1936&lt;&gt;""),F1936-D1936-G1936,"")</f>
        <v/>
      </c>
      <c r="I1936" s="14">
        <f>IF(E1936&lt;&gt;"", YEARFRAC(C1936, E1936) * 12, "")</f>
        <v/>
      </c>
      <c r="J1936" s="2">
        <f>IF(I1936="", "", IF(AND(A1936="MF (Equity)", I1936&gt;12), "Long Term", "Short Term"))</f>
        <v/>
      </c>
      <c r="K1936" s="5">
        <f>IF(J1936="", "", IF(J1936="Long Term", 12.5%, 20%))</f>
        <v/>
      </c>
      <c r="L1936" s="3">
        <f>+IFERROR(IF(J1936="","",H1936*K1936),"")</f>
        <v/>
      </c>
    </row>
    <row r="1937">
      <c r="A1937" s="11" t="n"/>
      <c r="B1937" s="7" t="n"/>
      <c r="C1937" s="8" t="n"/>
      <c r="D1937" s="9" t="n"/>
      <c r="E1937" s="8" t="n"/>
      <c r="F1937" s="9" t="n"/>
      <c r="G1937" s="9" t="n"/>
      <c r="H1937" s="3">
        <f>IF(AND(D1937&lt;&gt;"",F1937&lt;&gt;""),F1937-D1937-G1937,"")</f>
        <v/>
      </c>
      <c r="I1937" s="14">
        <f>IF(E1937&lt;&gt;"", YEARFRAC(C1937, E1937) * 12, "")</f>
        <v/>
      </c>
      <c r="J1937" s="2">
        <f>IF(I1937="", "", IF(AND(A1937="MF (Equity)", I1937&gt;12), "Long Term", "Short Term"))</f>
        <v/>
      </c>
      <c r="K1937" s="5">
        <f>IF(J1937="", "", IF(J1937="Long Term", 12.5%, 20%))</f>
        <v/>
      </c>
      <c r="L1937" s="3">
        <f>+IFERROR(IF(J1937="","",H1937*K1937),"")</f>
        <v/>
      </c>
    </row>
    <row r="1938">
      <c r="A1938" s="11" t="n"/>
      <c r="B1938" s="7" t="n"/>
      <c r="C1938" s="8" t="n"/>
      <c r="D1938" s="9" t="n"/>
      <c r="E1938" s="8" t="n"/>
      <c r="F1938" s="9" t="n"/>
      <c r="G1938" s="9" t="n"/>
      <c r="H1938" s="3">
        <f>IF(AND(D1938&lt;&gt;"",F1938&lt;&gt;""),F1938-D1938-G1938,"")</f>
        <v/>
      </c>
      <c r="I1938" s="14">
        <f>IF(E1938&lt;&gt;"", YEARFRAC(C1938, E1938) * 12, "")</f>
        <v/>
      </c>
      <c r="J1938" s="2">
        <f>IF(I1938="", "", IF(AND(A1938="MF (Equity)", I1938&gt;12), "Long Term", "Short Term"))</f>
        <v/>
      </c>
      <c r="K1938" s="5">
        <f>IF(J1938="", "", IF(J1938="Long Term", 12.5%, 20%))</f>
        <v/>
      </c>
      <c r="L1938" s="3">
        <f>+IFERROR(IF(J1938="","",H1938*K1938),"")</f>
        <v/>
      </c>
    </row>
    <row r="1939">
      <c r="A1939" s="11" t="n"/>
      <c r="B1939" s="7" t="n"/>
      <c r="C1939" s="8" t="n"/>
      <c r="D1939" s="9" t="n"/>
      <c r="E1939" s="8" t="n"/>
      <c r="F1939" s="9" t="n"/>
      <c r="G1939" s="9" t="n"/>
      <c r="H1939" s="3">
        <f>IF(AND(D1939&lt;&gt;"",F1939&lt;&gt;""),F1939-D1939-G1939,"")</f>
        <v/>
      </c>
      <c r="I1939" s="14">
        <f>IF(E1939&lt;&gt;"", YEARFRAC(C1939, E1939) * 12, "")</f>
        <v/>
      </c>
      <c r="J1939" s="2">
        <f>IF(I1939="", "", IF(AND(A1939="MF (Equity)", I1939&gt;12), "Long Term", "Short Term"))</f>
        <v/>
      </c>
      <c r="K1939" s="5">
        <f>IF(J1939="", "", IF(J1939="Long Term", 12.5%, 20%))</f>
        <v/>
      </c>
      <c r="L1939" s="3">
        <f>+IFERROR(IF(J1939="","",H1939*K1939),"")</f>
        <v/>
      </c>
    </row>
    <row r="1940">
      <c r="A1940" s="11" t="n"/>
      <c r="B1940" s="7" t="n"/>
      <c r="C1940" s="8" t="n"/>
      <c r="D1940" s="9" t="n"/>
      <c r="E1940" s="8" t="n"/>
      <c r="F1940" s="9" t="n"/>
      <c r="G1940" s="9" t="n"/>
      <c r="H1940" s="3">
        <f>IF(AND(D1940&lt;&gt;"",F1940&lt;&gt;""),F1940-D1940-G1940,"")</f>
        <v/>
      </c>
      <c r="I1940" s="14">
        <f>IF(E1940&lt;&gt;"", YEARFRAC(C1940, E1940) * 12, "")</f>
        <v/>
      </c>
      <c r="J1940" s="2">
        <f>IF(I1940="", "", IF(AND(A1940="MF (Equity)", I1940&gt;12), "Long Term", "Short Term"))</f>
        <v/>
      </c>
      <c r="K1940" s="5">
        <f>IF(J1940="", "", IF(J1940="Long Term", 12.5%, 20%))</f>
        <v/>
      </c>
      <c r="L1940" s="3">
        <f>+IFERROR(IF(J1940="","",H1940*K1940),"")</f>
        <v/>
      </c>
    </row>
    <row r="1941">
      <c r="A1941" s="11" t="n"/>
      <c r="B1941" s="7" t="n"/>
      <c r="C1941" s="8" t="n"/>
      <c r="D1941" s="9" t="n"/>
      <c r="E1941" s="8" t="n"/>
      <c r="F1941" s="9" t="n"/>
      <c r="G1941" s="9" t="n"/>
      <c r="H1941" s="3">
        <f>IF(AND(D1941&lt;&gt;"",F1941&lt;&gt;""),F1941-D1941-G1941,"")</f>
        <v/>
      </c>
      <c r="I1941" s="14">
        <f>IF(E1941&lt;&gt;"", YEARFRAC(C1941, E1941) * 12, "")</f>
        <v/>
      </c>
      <c r="J1941" s="2">
        <f>IF(I1941="", "", IF(AND(A1941="MF (Equity)", I1941&gt;12), "Long Term", "Short Term"))</f>
        <v/>
      </c>
      <c r="K1941" s="5">
        <f>IF(J1941="", "", IF(J1941="Long Term", 12.5%, 20%))</f>
        <v/>
      </c>
      <c r="L1941" s="3">
        <f>+IFERROR(IF(J1941="","",H1941*K1941),"")</f>
        <v/>
      </c>
    </row>
    <row r="1942">
      <c r="A1942" s="11" t="n"/>
      <c r="B1942" s="7" t="n"/>
      <c r="C1942" s="8" t="n"/>
      <c r="D1942" s="9" t="n"/>
      <c r="E1942" s="8" t="n"/>
      <c r="F1942" s="9" t="n"/>
      <c r="G1942" s="9" t="n"/>
      <c r="H1942" s="3">
        <f>IF(AND(D1942&lt;&gt;"",F1942&lt;&gt;""),F1942-D1942-G1942,"")</f>
        <v/>
      </c>
      <c r="I1942" s="14">
        <f>IF(E1942&lt;&gt;"", YEARFRAC(C1942, E1942) * 12, "")</f>
        <v/>
      </c>
      <c r="J1942" s="2">
        <f>IF(I1942="", "", IF(AND(A1942="MF (Equity)", I1942&gt;12), "Long Term", "Short Term"))</f>
        <v/>
      </c>
      <c r="K1942" s="5">
        <f>IF(J1942="", "", IF(J1942="Long Term", 12.5%, 20%))</f>
        <v/>
      </c>
      <c r="L1942" s="3">
        <f>+IFERROR(IF(J1942="","",H1942*K1942),"")</f>
        <v/>
      </c>
    </row>
    <row r="1943">
      <c r="A1943" s="11" t="n"/>
      <c r="B1943" s="7" t="n"/>
      <c r="C1943" s="8" t="n"/>
      <c r="D1943" s="9" t="n"/>
      <c r="E1943" s="8" t="n"/>
      <c r="F1943" s="9" t="n"/>
      <c r="G1943" s="9" t="n"/>
      <c r="H1943" s="3">
        <f>IF(AND(D1943&lt;&gt;"",F1943&lt;&gt;""),F1943-D1943-G1943,"")</f>
        <v/>
      </c>
      <c r="I1943" s="14">
        <f>IF(E1943&lt;&gt;"", YEARFRAC(C1943, E1943) * 12, "")</f>
        <v/>
      </c>
      <c r="J1943" s="2">
        <f>IF(I1943="", "", IF(AND(A1943="MF (Equity)", I1943&gt;12), "Long Term", "Short Term"))</f>
        <v/>
      </c>
      <c r="K1943" s="5">
        <f>IF(J1943="", "", IF(J1943="Long Term", 12.5%, 20%))</f>
        <v/>
      </c>
      <c r="L1943" s="3">
        <f>+IFERROR(IF(J1943="","",H1943*K1943),"")</f>
        <v/>
      </c>
    </row>
    <row r="1944">
      <c r="A1944" s="11" t="n"/>
      <c r="B1944" s="7" t="n"/>
      <c r="C1944" s="8" t="n"/>
      <c r="D1944" s="9" t="n"/>
      <c r="E1944" s="8" t="n"/>
      <c r="F1944" s="9" t="n"/>
      <c r="G1944" s="9" t="n"/>
      <c r="H1944" s="3">
        <f>IF(AND(D1944&lt;&gt;"",F1944&lt;&gt;""),F1944-D1944-G1944,"")</f>
        <v/>
      </c>
      <c r="I1944" s="14">
        <f>IF(E1944&lt;&gt;"", YEARFRAC(C1944, E1944) * 12, "")</f>
        <v/>
      </c>
      <c r="J1944" s="2">
        <f>IF(I1944="", "", IF(AND(A1944="MF (Equity)", I1944&gt;12), "Long Term", "Short Term"))</f>
        <v/>
      </c>
      <c r="K1944" s="5">
        <f>IF(J1944="", "", IF(J1944="Long Term", 12.5%, 20%))</f>
        <v/>
      </c>
      <c r="L1944" s="3">
        <f>+IFERROR(IF(J1944="","",H1944*K1944),"")</f>
        <v/>
      </c>
    </row>
    <row r="1945">
      <c r="A1945" s="11" t="n"/>
      <c r="B1945" s="7" t="n"/>
      <c r="C1945" s="8" t="n"/>
      <c r="D1945" s="9" t="n"/>
      <c r="E1945" s="8" t="n"/>
      <c r="F1945" s="9" t="n"/>
      <c r="G1945" s="9" t="n"/>
      <c r="H1945" s="3">
        <f>IF(AND(D1945&lt;&gt;"",F1945&lt;&gt;""),F1945-D1945-G1945,"")</f>
        <v/>
      </c>
      <c r="I1945" s="14">
        <f>IF(E1945&lt;&gt;"", YEARFRAC(C1945, E1945) * 12, "")</f>
        <v/>
      </c>
      <c r="J1945" s="2">
        <f>IF(I1945="", "", IF(AND(A1945="MF (Equity)", I1945&gt;12), "Long Term", "Short Term"))</f>
        <v/>
      </c>
      <c r="K1945" s="5">
        <f>IF(J1945="", "", IF(J1945="Long Term", 12.5%, 20%))</f>
        <v/>
      </c>
      <c r="L1945" s="3">
        <f>+IFERROR(IF(J1945="","",H1945*K1945),"")</f>
        <v/>
      </c>
    </row>
    <row r="1946">
      <c r="A1946" s="11" t="n"/>
      <c r="B1946" s="7" t="n"/>
      <c r="C1946" s="8" t="n"/>
      <c r="D1946" s="9" t="n"/>
      <c r="E1946" s="8" t="n"/>
      <c r="F1946" s="9" t="n"/>
      <c r="G1946" s="9" t="n"/>
      <c r="H1946" s="3">
        <f>IF(AND(D1946&lt;&gt;"",F1946&lt;&gt;""),F1946-D1946-G1946,"")</f>
        <v/>
      </c>
      <c r="I1946" s="14">
        <f>IF(E1946&lt;&gt;"", YEARFRAC(C1946, E1946) * 12, "")</f>
        <v/>
      </c>
      <c r="J1946" s="2">
        <f>IF(I1946="", "", IF(AND(A1946="MF (Equity)", I1946&gt;12), "Long Term", "Short Term"))</f>
        <v/>
      </c>
      <c r="K1946" s="5">
        <f>IF(J1946="", "", IF(J1946="Long Term", 12.5%, 20%))</f>
        <v/>
      </c>
      <c r="L1946" s="3">
        <f>+IFERROR(IF(J1946="","",H1946*K1946),"")</f>
        <v/>
      </c>
    </row>
    <row r="1947">
      <c r="A1947" s="11" t="n"/>
      <c r="B1947" s="7" t="n"/>
      <c r="C1947" s="8" t="n"/>
      <c r="D1947" s="9" t="n"/>
      <c r="E1947" s="8" t="n"/>
      <c r="F1947" s="9" t="n"/>
      <c r="G1947" s="9" t="n"/>
      <c r="H1947" s="3">
        <f>IF(AND(D1947&lt;&gt;"",F1947&lt;&gt;""),F1947-D1947-G1947,"")</f>
        <v/>
      </c>
      <c r="I1947" s="14">
        <f>IF(E1947&lt;&gt;"", YEARFRAC(C1947, E1947) * 12, "")</f>
        <v/>
      </c>
      <c r="J1947" s="2">
        <f>IF(I1947="", "", IF(AND(A1947="MF (Equity)", I1947&gt;12), "Long Term", "Short Term"))</f>
        <v/>
      </c>
      <c r="K1947" s="5">
        <f>IF(J1947="", "", IF(J1947="Long Term", 12.5%, 20%))</f>
        <v/>
      </c>
      <c r="L1947" s="3">
        <f>+IFERROR(IF(J1947="","",H1947*K1947),"")</f>
        <v/>
      </c>
    </row>
    <row r="1948">
      <c r="A1948" s="11" t="n"/>
      <c r="B1948" s="7" t="n"/>
      <c r="C1948" s="8" t="n"/>
      <c r="D1948" s="9" t="n"/>
      <c r="E1948" s="8" t="n"/>
      <c r="F1948" s="9" t="n"/>
      <c r="G1948" s="9" t="n"/>
      <c r="H1948" s="3">
        <f>IF(AND(D1948&lt;&gt;"",F1948&lt;&gt;""),F1948-D1948-G1948,"")</f>
        <v/>
      </c>
      <c r="I1948" s="14">
        <f>IF(E1948&lt;&gt;"", YEARFRAC(C1948, E1948) * 12, "")</f>
        <v/>
      </c>
      <c r="J1948" s="2">
        <f>IF(I1948="", "", IF(AND(A1948="MF (Equity)", I1948&gt;12), "Long Term", "Short Term"))</f>
        <v/>
      </c>
      <c r="K1948" s="5">
        <f>IF(J1948="", "", IF(J1948="Long Term", 12.5%, 20%))</f>
        <v/>
      </c>
      <c r="L1948" s="3">
        <f>+IFERROR(IF(J1948="","",H1948*K1948),"")</f>
        <v/>
      </c>
    </row>
    <row r="1949">
      <c r="A1949" s="11" t="n"/>
      <c r="B1949" s="7" t="n"/>
      <c r="C1949" s="8" t="n"/>
      <c r="D1949" s="9" t="n"/>
      <c r="E1949" s="8" t="n"/>
      <c r="F1949" s="9" t="n"/>
      <c r="G1949" s="9" t="n"/>
      <c r="H1949" s="3">
        <f>IF(AND(D1949&lt;&gt;"",F1949&lt;&gt;""),F1949-D1949-G1949,"")</f>
        <v/>
      </c>
      <c r="I1949" s="14">
        <f>IF(E1949&lt;&gt;"", YEARFRAC(C1949, E1949) * 12, "")</f>
        <v/>
      </c>
      <c r="J1949" s="2">
        <f>IF(I1949="", "", IF(AND(A1949="MF (Equity)", I1949&gt;12), "Long Term", "Short Term"))</f>
        <v/>
      </c>
      <c r="K1949" s="5">
        <f>IF(J1949="", "", IF(J1949="Long Term", 12.5%, 20%))</f>
        <v/>
      </c>
      <c r="L1949" s="3">
        <f>+IFERROR(IF(J1949="","",H1949*K1949),"")</f>
        <v/>
      </c>
    </row>
    <row r="1950">
      <c r="A1950" s="11" t="n"/>
      <c r="B1950" s="7" t="n"/>
      <c r="C1950" s="8" t="n"/>
      <c r="D1950" s="9" t="n"/>
      <c r="E1950" s="8" t="n"/>
      <c r="F1950" s="9" t="n"/>
      <c r="G1950" s="9" t="n"/>
      <c r="H1950" s="3">
        <f>IF(AND(D1950&lt;&gt;"",F1950&lt;&gt;""),F1950-D1950-G1950,"")</f>
        <v/>
      </c>
      <c r="I1950" s="14">
        <f>IF(E1950&lt;&gt;"", YEARFRAC(C1950, E1950) * 12, "")</f>
        <v/>
      </c>
      <c r="J1950" s="2">
        <f>IF(I1950="", "", IF(AND(A1950="MF (Equity)", I1950&gt;12), "Long Term", "Short Term"))</f>
        <v/>
      </c>
      <c r="K1950" s="5">
        <f>IF(J1950="", "", IF(J1950="Long Term", 12.5%, 20%))</f>
        <v/>
      </c>
      <c r="L1950" s="3">
        <f>+IFERROR(IF(J1950="","",H1950*K1950),"")</f>
        <v/>
      </c>
    </row>
    <row r="1951">
      <c r="A1951" s="11" t="n"/>
      <c r="B1951" s="7" t="n"/>
      <c r="C1951" s="8" t="n"/>
      <c r="D1951" s="9" t="n"/>
      <c r="E1951" s="8" t="n"/>
      <c r="F1951" s="9" t="n"/>
      <c r="G1951" s="9" t="n"/>
      <c r="H1951" s="3">
        <f>IF(AND(D1951&lt;&gt;"",F1951&lt;&gt;""),F1951-D1951-G1951,"")</f>
        <v/>
      </c>
      <c r="I1951" s="14">
        <f>IF(E1951&lt;&gt;"", YEARFRAC(C1951, E1951) * 12, "")</f>
        <v/>
      </c>
      <c r="J1951" s="2">
        <f>IF(I1951="", "", IF(AND(A1951="MF (Equity)", I1951&gt;12), "Long Term", "Short Term"))</f>
        <v/>
      </c>
      <c r="K1951" s="5">
        <f>IF(J1951="", "", IF(J1951="Long Term", 12.5%, 20%))</f>
        <v/>
      </c>
      <c r="L1951" s="3">
        <f>+IFERROR(IF(J1951="","",H1951*K1951),"")</f>
        <v/>
      </c>
    </row>
    <row r="1952">
      <c r="A1952" s="11" t="n"/>
      <c r="B1952" s="7" t="n"/>
      <c r="C1952" s="8" t="n"/>
      <c r="D1952" s="9" t="n"/>
      <c r="E1952" s="8" t="n"/>
      <c r="F1952" s="9" t="n"/>
      <c r="G1952" s="9" t="n"/>
      <c r="H1952" s="3">
        <f>IF(AND(D1952&lt;&gt;"",F1952&lt;&gt;""),F1952-D1952-G1952,"")</f>
        <v/>
      </c>
      <c r="I1952" s="14">
        <f>IF(E1952&lt;&gt;"", YEARFRAC(C1952, E1952) * 12, "")</f>
        <v/>
      </c>
      <c r="J1952" s="2">
        <f>IF(I1952="", "", IF(AND(A1952="MF (Equity)", I1952&gt;12), "Long Term", "Short Term"))</f>
        <v/>
      </c>
      <c r="K1952" s="5">
        <f>IF(J1952="", "", IF(J1952="Long Term", 12.5%, 20%))</f>
        <v/>
      </c>
      <c r="L1952" s="3">
        <f>+IFERROR(IF(J1952="","",H1952*K1952),"")</f>
        <v/>
      </c>
    </row>
    <row r="1953">
      <c r="A1953" s="11" t="n"/>
      <c r="B1953" s="7" t="n"/>
      <c r="C1953" s="8" t="n"/>
      <c r="D1953" s="9" t="n"/>
      <c r="E1953" s="8" t="n"/>
      <c r="F1953" s="9" t="n"/>
      <c r="G1953" s="9" t="n"/>
      <c r="H1953" s="3">
        <f>IF(AND(D1953&lt;&gt;"",F1953&lt;&gt;""),F1953-D1953-G1953,"")</f>
        <v/>
      </c>
      <c r="I1953" s="14">
        <f>IF(E1953&lt;&gt;"", YEARFRAC(C1953, E1953) * 12, "")</f>
        <v/>
      </c>
      <c r="J1953" s="2">
        <f>IF(I1953="", "", IF(AND(A1953="MF (Equity)", I1953&gt;12), "Long Term", "Short Term"))</f>
        <v/>
      </c>
      <c r="K1953" s="5">
        <f>IF(J1953="", "", IF(J1953="Long Term", 12.5%, 20%))</f>
        <v/>
      </c>
      <c r="L1953" s="3">
        <f>+IFERROR(IF(J1953="","",H1953*K1953),"")</f>
        <v/>
      </c>
    </row>
    <row r="1954">
      <c r="A1954" s="11" t="n"/>
      <c r="B1954" s="7" t="n"/>
      <c r="C1954" s="8" t="n"/>
      <c r="D1954" s="9" t="n"/>
      <c r="E1954" s="8" t="n"/>
      <c r="F1954" s="9" t="n"/>
      <c r="G1954" s="9" t="n"/>
      <c r="H1954" s="3">
        <f>IF(AND(D1954&lt;&gt;"",F1954&lt;&gt;""),F1954-D1954-G1954,"")</f>
        <v/>
      </c>
      <c r="I1954" s="14">
        <f>IF(E1954&lt;&gt;"", YEARFRAC(C1954, E1954) * 12, "")</f>
        <v/>
      </c>
      <c r="J1954" s="2">
        <f>IF(I1954="", "", IF(AND(A1954="MF (Equity)", I1954&gt;12), "Long Term", "Short Term"))</f>
        <v/>
      </c>
      <c r="K1954" s="5">
        <f>IF(J1954="", "", IF(J1954="Long Term", 12.5%, 20%))</f>
        <v/>
      </c>
      <c r="L1954" s="3">
        <f>+IFERROR(IF(J1954="","",H1954*K1954),"")</f>
        <v/>
      </c>
    </row>
    <row r="1955">
      <c r="A1955" s="11" t="n"/>
      <c r="B1955" s="7" t="n"/>
      <c r="C1955" s="8" t="n"/>
      <c r="D1955" s="9" t="n"/>
      <c r="E1955" s="8" t="n"/>
      <c r="F1955" s="9" t="n"/>
      <c r="G1955" s="9" t="n"/>
      <c r="H1955" s="3">
        <f>IF(AND(D1955&lt;&gt;"",F1955&lt;&gt;""),F1955-D1955-G1955,"")</f>
        <v/>
      </c>
      <c r="I1955" s="14">
        <f>IF(E1955&lt;&gt;"", YEARFRAC(C1955, E1955) * 12, "")</f>
        <v/>
      </c>
      <c r="J1955" s="2">
        <f>IF(I1955="", "", IF(AND(A1955="MF (Equity)", I1955&gt;12), "Long Term", "Short Term"))</f>
        <v/>
      </c>
      <c r="K1955" s="5">
        <f>IF(J1955="", "", IF(J1955="Long Term", 12.5%, 20%))</f>
        <v/>
      </c>
      <c r="L1955" s="3">
        <f>+IFERROR(IF(J1955="","",H1955*K1955),"")</f>
        <v/>
      </c>
    </row>
    <row r="1956">
      <c r="A1956" s="11" t="n"/>
      <c r="B1956" s="7" t="n"/>
      <c r="C1956" s="8" t="n"/>
      <c r="D1956" s="9" t="n"/>
      <c r="E1956" s="8" t="n"/>
      <c r="F1956" s="9" t="n"/>
      <c r="G1956" s="9" t="n"/>
      <c r="H1956" s="3">
        <f>IF(AND(D1956&lt;&gt;"",F1956&lt;&gt;""),F1956-D1956-G1956,"")</f>
        <v/>
      </c>
      <c r="I1956" s="14">
        <f>IF(E1956&lt;&gt;"", YEARFRAC(C1956, E1956) * 12, "")</f>
        <v/>
      </c>
      <c r="J1956" s="2">
        <f>IF(I1956="", "", IF(AND(A1956="MF (Equity)", I1956&gt;12), "Long Term", "Short Term"))</f>
        <v/>
      </c>
      <c r="K1956" s="5">
        <f>IF(J1956="", "", IF(J1956="Long Term", 12.5%, 20%))</f>
        <v/>
      </c>
      <c r="L1956" s="3">
        <f>+IFERROR(IF(J1956="","",H1956*K1956),"")</f>
        <v/>
      </c>
    </row>
    <row r="1957">
      <c r="A1957" s="11" t="n"/>
      <c r="B1957" s="7" t="n"/>
      <c r="C1957" s="8" t="n"/>
      <c r="D1957" s="9" t="n"/>
      <c r="E1957" s="8" t="n"/>
      <c r="F1957" s="9" t="n"/>
      <c r="G1957" s="9" t="n"/>
      <c r="H1957" s="3">
        <f>IF(AND(D1957&lt;&gt;"",F1957&lt;&gt;""),F1957-D1957-G1957,"")</f>
        <v/>
      </c>
      <c r="I1957" s="14">
        <f>IF(E1957&lt;&gt;"", YEARFRAC(C1957, E1957) * 12, "")</f>
        <v/>
      </c>
      <c r="J1957" s="2">
        <f>IF(I1957="", "", IF(AND(A1957="MF (Equity)", I1957&gt;12), "Long Term", "Short Term"))</f>
        <v/>
      </c>
      <c r="K1957" s="5">
        <f>IF(J1957="", "", IF(J1957="Long Term", 12.5%, 20%))</f>
        <v/>
      </c>
      <c r="L1957" s="3">
        <f>+IFERROR(IF(J1957="","",H1957*K1957),"")</f>
        <v/>
      </c>
    </row>
    <row r="1958">
      <c r="A1958" s="11" t="n"/>
      <c r="B1958" s="7" t="n"/>
      <c r="C1958" s="8" t="n"/>
      <c r="D1958" s="9" t="n"/>
      <c r="E1958" s="8" t="n"/>
      <c r="F1958" s="9" t="n"/>
      <c r="G1958" s="9" t="n"/>
      <c r="H1958" s="3">
        <f>IF(AND(D1958&lt;&gt;"",F1958&lt;&gt;""),F1958-D1958-G1958,"")</f>
        <v/>
      </c>
      <c r="I1958" s="14">
        <f>IF(E1958&lt;&gt;"", YEARFRAC(C1958, E1958) * 12, "")</f>
        <v/>
      </c>
      <c r="J1958" s="2">
        <f>IF(I1958="", "", IF(AND(A1958="MF (Equity)", I1958&gt;12), "Long Term", "Short Term"))</f>
        <v/>
      </c>
      <c r="K1958" s="5">
        <f>IF(J1958="", "", IF(J1958="Long Term", 12.5%, 20%))</f>
        <v/>
      </c>
      <c r="L1958" s="3">
        <f>+IFERROR(IF(J1958="","",H1958*K1958),"")</f>
        <v/>
      </c>
    </row>
    <row r="1959">
      <c r="A1959" s="11" t="n"/>
      <c r="B1959" s="7" t="n"/>
      <c r="C1959" s="8" t="n"/>
      <c r="D1959" s="9" t="n"/>
      <c r="E1959" s="8" t="n"/>
      <c r="F1959" s="9" t="n"/>
      <c r="G1959" s="9" t="n"/>
      <c r="H1959" s="3">
        <f>IF(AND(D1959&lt;&gt;"",F1959&lt;&gt;""),F1959-D1959-G1959,"")</f>
        <v/>
      </c>
      <c r="I1959" s="14">
        <f>IF(E1959&lt;&gt;"", YEARFRAC(C1959, E1959) * 12, "")</f>
        <v/>
      </c>
      <c r="J1959" s="2">
        <f>IF(I1959="", "", IF(AND(A1959="MF (Equity)", I1959&gt;12), "Long Term", "Short Term"))</f>
        <v/>
      </c>
      <c r="K1959" s="5">
        <f>IF(J1959="", "", IF(J1959="Long Term", 12.5%, 20%))</f>
        <v/>
      </c>
      <c r="L1959" s="3">
        <f>+IFERROR(IF(J1959="","",H1959*K1959),"")</f>
        <v/>
      </c>
    </row>
    <row r="1960">
      <c r="A1960" s="11" t="n"/>
      <c r="B1960" s="7" t="n"/>
      <c r="C1960" s="8" t="n"/>
      <c r="D1960" s="9" t="n"/>
      <c r="E1960" s="8" t="n"/>
      <c r="F1960" s="9" t="n"/>
      <c r="G1960" s="9" t="n"/>
      <c r="H1960" s="3">
        <f>IF(AND(D1960&lt;&gt;"",F1960&lt;&gt;""),F1960-D1960-G1960,"")</f>
        <v/>
      </c>
      <c r="I1960" s="14">
        <f>IF(E1960&lt;&gt;"", YEARFRAC(C1960, E1960) * 12, "")</f>
        <v/>
      </c>
      <c r="J1960" s="2">
        <f>IF(I1960="", "", IF(AND(A1960="MF (Equity)", I1960&gt;12), "Long Term", "Short Term"))</f>
        <v/>
      </c>
      <c r="K1960" s="5">
        <f>IF(J1960="", "", IF(J1960="Long Term", 12.5%, 20%))</f>
        <v/>
      </c>
      <c r="L1960" s="3">
        <f>+IFERROR(IF(J1960="","",H1960*K1960),"")</f>
        <v/>
      </c>
    </row>
    <row r="1961">
      <c r="A1961" s="11" t="n"/>
      <c r="B1961" s="7" t="n"/>
      <c r="C1961" s="8" t="n"/>
      <c r="D1961" s="9" t="n"/>
      <c r="E1961" s="8" t="n"/>
      <c r="F1961" s="9" t="n"/>
      <c r="G1961" s="9" t="n"/>
      <c r="H1961" s="3">
        <f>IF(AND(D1961&lt;&gt;"",F1961&lt;&gt;""),F1961-D1961-G1961,"")</f>
        <v/>
      </c>
      <c r="I1961" s="14">
        <f>IF(E1961&lt;&gt;"", YEARFRAC(C1961, E1961) * 12, "")</f>
        <v/>
      </c>
      <c r="J1961" s="2">
        <f>IF(I1961="", "", IF(AND(A1961="MF (Equity)", I1961&gt;12), "Long Term", "Short Term"))</f>
        <v/>
      </c>
      <c r="K1961" s="5">
        <f>IF(J1961="", "", IF(J1961="Long Term", 12.5%, 20%))</f>
        <v/>
      </c>
      <c r="L1961" s="3">
        <f>+IFERROR(IF(J1961="","",H1961*K1961),"")</f>
        <v/>
      </c>
    </row>
    <row r="1962">
      <c r="A1962" s="11" t="n"/>
      <c r="B1962" s="7" t="n"/>
      <c r="C1962" s="8" t="n"/>
      <c r="D1962" s="9" t="n"/>
      <c r="E1962" s="8" t="n"/>
      <c r="F1962" s="9" t="n"/>
      <c r="G1962" s="9" t="n"/>
      <c r="H1962" s="3">
        <f>IF(AND(D1962&lt;&gt;"",F1962&lt;&gt;""),F1962-D1962-G1962,"")</f>
        <v/>
      </c>
      <c r="I1962" s="14">
        <f>IF(E1962&lt;&gt;"", YEARFRAC(C1962, E1962) * 12, "")</f>
        <v/>
      </c>
      <c r="J1962" s="2">
        <f>IF(I1962="", "", IF(AND(A1962="MF (Equity)", I1962&gt;12), "Long Term", "Short Term"))</f>
        <v/>
      </c>
      <c r="K1962" s="5">
        <f>IF(J1962="", "", IF(J1962="Long Term", 12.5%, 20%))</f>
        <v/>
      </c>
      <c r="L1962" s="3">
        <f>+IFERROR(IF(J1962="","",H1962*K1962),"")</f>
        <v/>
      </c>
    </row>
    <row r="1963">
      <c r="A1963" s="11" t="n"/>
      <c r="B1963" s="7" t="n"/>
      <c r="C1963" s="8" t="n"/>
      <c r="D1963" s="9" t="n"/>
      <c r="E1963" s="8" t="n"/>
      <c r="F1963" s="9" t="n"/>
      <c r="G1963" s="9" t="n"/>
      <c r="H1963" s="3">
        <f>IF(AND(D1963&lt;&gt;"",F1963&lt;&gt;""),F1963-D1963-G1963,"")</f>
        <v/>
      </c>
      <c r="I1963" s="14">
        <f>IF(E1963&lt;&gt;"", YEARFRAC(C1963, E1963) * 12, "")</f>
        <v/>
      </c>
      <c r="J1963" s="2">
        <f>IF(I1963="", "", IF(AND(A1963="MF (Equity)", I1963&gt;12), "Long Term", "Short Term"))</f>
        <v/>
      </c>
      <c r="K1963" s="5">
        <f>IF(J1963="", "", IF(J1963="Long Term", 12.5%, 20%))</f>
        <v/>
      </c>
      <c r="L1963" s="3">
        <f>+IFERROR(IF(J1963="","",H1963*K1963),"")</f>
        <v/>
      </c>
    </row>
    <row r="1964">
      <c r="A1964" s="11" t="n"/>
      <c r="B1964" s="7" t="n"/>
      <c r="C1964" s="8" t="n"/>
      <c r="D1964" s="9" t="n"/>
      <c r="E1964" s="8" t="n"/>
      <c r="F1964" s="9" t="n"/>
      <c r="G1964" s="9" t="n"/>
      <c r="H1964" s="3">
        <f>IF(AND(D1964&lt;&gt;"",F1964&lt;&gt;""),F1964-D1964-G1964,"")</f>
        <v/>
      </c>
      <c r="I1964" s="14">
        <f>IF(E1964&lt;&gt;"", YEARFRAC(C1964, E1964) * 12, "")</f>
        <v/>
      </c>
      <c r="J1964" s="2">
        <f>IF(I1964="", "", IF(AND(A1964="MF (Equity)", I1964&gt;12), "Long Term", "Short Term"))</f>
        <v/>
      </c>
      <c r="K1964" s="5">
        <f>IF(J1964="", "", IF(J1964="Long Term", 12.5%, 20%))</f>
        <v/>
      </c>
      <c r="L1964" s="3">
        <f>+IFERROR(IF(J1964="","",H1964*K1964),"")</f>
        <v/>
      </c>
    </row>
    <row r="1965">
      <c r="A1965" s="11" t="n"/>
      <c r="B1965" s="7" t="n"/>
      <c r="C1965" s="8" t="n"/>
      <c r="D1965" s="9" t="n"/>
      <c r="E1965" s="8" t="n"/>
      <c r="F1965" s="9" t="n"/>
      <c r="G1965" s="9" t="n"/>
      <c r="H1965" s="3">
        <f>IF(AND(D1965&lt;&gt;"",F1965&lt;&gt;""),F1965-D1965-G1965,"")</f>
        <v/>
      </c>
      <c r="I1965" s="14">
        <f>IF(E1965&lt;&gt;"", YEARFRAC(C1965, E1965) * 12, "")</f>
        <v/>
      </c>
      <c r="J1965" s="2">
        <f>IF(I1965="", "", IF(AND(A1965="MF (Equity)", I1965&gt;12), "Long Term", "Short Term"))</f>
        <v/>
      </c>
      <c r="K1965" s="5">
        <f>IF(J1965="", "", IF(J1965="Long Term", 12.5%, 20%))</f>
        <v/>
      </c>
      <c r="L1965" s="3">
        <f>+IFERROR(IF(J1965="","",H1965*K1965),"")</f>
        <v/>
      </c>
    </row>
    <row r="1966">
      <c r="A1966" s="11" t="n"/>
      <c r="B1966" s="7" t="n"/>
      <c r="C1966" s="8" t="n"/>
      <c r="D1966" s="9" t="n"/>
      <c r="E1966" s="8" t="n"/>
      <c r="F1966" s="9" t="n"/>
      <c r="G1966" s="9" t="n"/>
      <c r="H1966" s="3">
        <f>IF(AND(D1966&lt;&gt;"",F1966&lt;&gt;""),F1966-D1966-G1966,"")</f>
        <v/>
      </c>
      <c r="I1966" s="14">
        <f>IF(E1966&lt;&gt;"", YEARFRAC(C1966, E1966) * 12, "")</f>
        <v/>
      </c>
      <c r="J1966" s="2">
        <f>IF(I1966="", "", IF(AND(A1966="MF (Equity)", I1966&gt;12), "Long Term", "Short Term"))</f>
        <v/>
      </c>
      <c r="K1966" s="5">
        <f>IF(J1966="", "", IF(J1966="Long Term", 12.5%, 20%))</f>
        <v/>
      </c>
      <c r="L1966" s="3">
        <f>+IFERROR(IF(J1966="","",H1966*K1966),"")</f>
        <v/>
      </c>
    </row>
    <row r="1967">
      <c r="A1967" s="11" t="n"/>
      <c r="B1967" s="7" t="n"/>
      <c r="C1967" s="8" t="n"/>
      <c r="D1967" s="9" t="n"/>
      <c r="E1967" s="8" t="n"/>
      <c r="F1967" s="9" t="n"/>
      <c r="G1967" s="9" t="n"/>
      <c r="H1967" s="3">
        <f>IF(AND(D1967&lt;&gt;"",F1967&lt;&gt;""),F1967-D1967-G1967,"")</f>
        <v/>
      </c>
      <c r="I1967" s="14">
        <f>IF(E1967&lt;&gt;"", YEARFRAC(C1967, E1967) * 12, "")</f>
        <v/>
      </c>
      <c r="J1967" s="2">
        <f>IF(I1967="", "", IF(AND(A1967="MF (Equity)", I1967&gt;12), "Long Term", "Short Term"))</f>
        <v/>
      </c>
      <c r="K1967" s="5">
        <f>IF(J1967="", "", IF(J1967="Long Term", 12.5%, 20%))</f>
        <v/>
      </c>
      <c r="L1967" s="3">
        <f>+IFERROR(IF(J1967="","",H1967*K1967),"")</f>
        <v/>
      </c>
    </row>
    <row r="1968">
      <c r="A1968" s="11" t="n"/>
      <c r="B1968" s="7" t="n"/>
      <c r="C1968" s="8" t="n"/>
      <c r="D1968" s="9" t="n"/>
      <c r="E1968" s="8" t="n"/>
      <c r="F1968" s="9" t="n"/>
      <c r="G1968" s="9" t="n"/>
      <c r="H1968" s="3">
        <f>IF(AND(D1968&lt;&gt;"",F1968&lt;&gt;""),F1968-D1968-G1968,"")</f>
        <v/>
      </c>
      <c r="I1968" s="14">
        <f>IF(E1968&lt;&gt;"", YEARFRAC(C1968, E1968) * 12, "")</f>
        <v/>
      </c>
      <c r="J1968" s="2">
        <f>IF(I1968="", "", IF(AND(A1968="MF (Equity)", I1968&gt;12), "Long Term", "Short Term"))</f>
        <v/>
      </c>
      <c r="K1968" s="5">
        <f>IF(J1968="", "", IF(J1968="Long Term", 12.5%, 20%))</f>
        <v/>
      </c>
      <c r="L1968" s="3">
        <f>+IFERROR(IF(J1968="","",H1968*K1968),"")</f>
        <v/>
      </c>
    </row>
    <row r="1969">
      <c r="A1969" s="11" t="n"/>
      <c r="B1969" s="7" t="n"/>
      <c r="C1969" s="8" t="n"/>
      <c r="D1969" s="9" t="n"/>
      <c r="E1969" s="8" t="n"/>
      <c r="F1969" s="9" t="n"/>
      <c r="G1969" s="9" t="n"/>
      <c r="H1969" s="3">
        <f>IF(AND(D1969&lt;&gt;"",F1969&lt;&gt;""),F1969-D1969-G1969,"")</f>
        <v/>
      </c>
      <c r="I1969" s="14">
        <f>IF(E1969&lt;&gt;"", YEARFRAC(C1969, E1969) * 12, "")</f>
        <v/>
      </c>
      <c r="J1969" s="2">
        <f>IF(I1969="", "", IF(AND(A1969="MF (Equity)", I1969&gt;12), "Long Term", "Short Term"))</f>
        <v/>
      </c>
      <c r="K1969" s="5">
        <f>IF(J1969="", "", IF(J1969="Long Term", 12.5%, 20%))</f>
        <v/>
      </c>
      <c r="L1969" s="3">
        <f>+IFERROR(IF(J1969="","",H1969*K1969),"")</f>
        <v/>
      </c>
    </row>
    <row r="1970">
      <c r="A1970" s="11" t="n"/>
      <c r="B1970" s="7" t="n"/>
      <c r="C1970" s="8" t="n"/>
      <c r="D1970" s="9" t="n"/>
      <c r="E1970" s="8" t="n"/>
      <c r="F1970" s="9" t="n"/>
      <c r="G1970" s="9" t="n"/>
      <c r="H1970" s="3">
        <f>IF(AND(D1970&lt;&gt;"",F1970&lt;&gt;""),F1970-D1970-G1970,"")</f>
        <v/>
      </c>
      <c r="I1970" s="14">
        <f>IF(E1970&lt;&gt;"", YEARFRAC(C1970, E1970) * 12, "")</f>
        <v/>
      </c>
      <c r="J1970" s="2">
        <f>IF(I1970="", "", IF(AND(A1970="MF (Equity)", I1970&gt;12), "Long Term", "Short Term"))</f>
        <v/>
      </c>
      <c r="K1970" s="5">
        <f>IF(J1970="", "", IF(J1970="Long Term", 12.5%, 20%))</f>
        <v/>
      </c>
      <c r="L1970" s="3">
        <f>+IFERROR(IF(J1970="","",H1970*K1970),"")</f>
        <v/>
      </c>
    </row>
    <row r="1971">
      <c r="A1971" s="11" t="n"/>
      <c r="B1971" s="7" t="n"/>
      <c r="C1971" s="8" t="n"/>
      <c r="D1971" s="9" t="n"/>
      <c r="E1971" s="8" t="n"/>
      <c r="F1971" s="9" t="n"/>
      <c r="G1971" s="9" t="n"/>
      <c r="H1971" s="3">
        <f>IF(AND(D1971&lt;&gt;"",F1971&lt;&gt;""),F1971-D1971-G1971,"")</f>
        <v/>
      </c>
      <c r="I1971" s="14">
        <f>IF(E1971&lt;&gt;"", YEARFRAC(C1971, E1971) * 12, "")</f>
        <v/>
      </c>
      <c r="J1971" s="2">
        <f>IF(I1971="", "", IF(AND(A1971="MF (Equity)", I1971&gt;12), "Long Term", "Short Term"))</f>
        <v/>
      </c>
      <c r="K1971" s="5">
        <f>IF(J1971="", "", IF(J1971="Long Term", 12.5%, 20%))</f>
        <v/>
      </c>
      <c r="L1971" s="3">
        <f>+IFERROR(IF(J1971="","",H1971*K1971),"")</f>
        <v/>
      </c>
    </row>
    <row r="1972">
      <c r="A1972" s="11" t="n"/>
      <c r="B1972" s="7" t="n"/>
      <c r="C1972" s="8" t="n"/>
      <c r="D1972" s="9" t="n"/>
      <c r="E1972" s="8" t="n"/>
      <c r="F1972" s="9" t="n"/>
      <c r="G1972" s="9" t="n"/>
      <c r="H1972" s="3">
        <f>IF(AND(D1972&lt;&gt;"",F1972&lt;&gt;""),F1972-D1972-G1972,"")</f>
        <v/>
      </c>
      <c r="I1972" s="14">
        <f>IF(E1972&lt;&gt;"", YEARFRAC(C1972, E1972) * 12, "")</f>
        <v/>
      </c>
      <c r="J1972" s="2">
        <f>IF(I1972="", "", IF(AND(A1972="MF (Equity)", I1972&gt;12), "Long Term", "Short Term"))</f>
        <v/>
      </c>
      <c r="K1972" s="5">
        <f>IF(J1972="", "", IF(J1972="Long Term", 12.5%, 20%))</f>
        <v/>
      </c>
      <c r="L1972" s="3">
        <f>+IFERROR(IF(J1972="","",H1972*K1972),"")</f>
        <v/>
      </c>
    </row>
    <row r="1973">
      <c r="A1973" s="11" t="n"/>
      <c r="B1973" s="7" t="n"/>
      <c r="C1973" s="8" t="n"/>
      <c r="D1973" s="9" t="n"/>
      <c r="E1973" s="8" t="n"/>
      <c r="F1973" s="9" t="n"/>
      <c r="G1973" s="9" t="n"/>
      <c r="H1973" s="3">
        <f>IF(AND(D1973&lt;&gt;"",F1973&lt;&gt;""),F1973-D1973-G1973,"")</f>
        <v/>
      </c>
      <c r="I1973" s="14">
        <f>IF(E1973&lt;&gt;"", YEARFRAC(C1973, E1973) * 12, "")</f>
        <v/>
      </c>
      <c r="J1973" s="2">
        <f>IF(I1973="", "", IF(AND(A1973="MF (Equity)", I1973&gt;12), "Long Term", "Short Term"))</f>
        <v/>
      </c>
      <c r="K1973" s="5">
        <f>IF(J1973="", "", IF(J1973="Long Term", 12.5%, 20%))</f>
        <v/>
      </c>
      <c r="L1973" s="3">
        <f>+IFERROR(IF(J1973="","",H1973*K1973),"")</f>
        <v/>
      </c>
    </row>
    <row r="1974">
      <c r="A1974" s="11" t="n"/>
      <c r="B1974" s="7" t="n"/>
      <c r="C1974" s="8" t="n"/>
      <c r="D1974" s="9" t="n"/>
      <c r="E1974" s="8" t="n"/>
      <c r="F1974" s="9" t="n"/>
      <c r="G1974" s="9" t="n"/>
      <c r="H1974" s="3">
        <f>IF(AND(D1974&lt;&gt;"",F1974&lt;&gt;""),F1974-D1974-G1974,"")</f>
        <v/>
      </c>
      <c r="I1974" s="14">
        <f>IF(E1974&lt;&gt;"", YEARFRAC(C1974, E1974) * 12, "")</f>
        <v/>
      </c>
      <c r="J1974" s="2">
        <f>IF(I1974="", "", IF(AND(A1974="MF (Equity)", I1974&gt;12), "Long Term", "Short Term"))</f>
        <v/>
      </c>
      <c r="K1974" s="5">
        <f>IF(J1974="", "", IF(J1974="Long Term", 12.5%, 20%))</f>
        <v/>
      </c>
      <c r="L1974" s="3">
        <f>+IFERROR(IF(J1974="","",H1974*K1974),"")</f>
        <v/>
      </c>
    </row>
    <row r="1975">
      <c r="A1975" s="11" t="n"/>
      <c r="B1975" s="7" t="n"/>
      <c r="C1975" s="8" t="n"/>
      <c r="D1975" s="9" t="n"/>
      <c r="E1975" s="8" t="n"/>
      <c r="F1975" s="9" t="n"/>
      <c r="G1975" s="9" t="n"/>
      <c r="H1975" s="3">
        <f>IF(AND(D1975&lt;&gt;"",F1975&lt;&gt;""),F1975-D1975-G1975,"")</f>
        <v/>
      </c>
      <c r="I1975" s="14">
        <f>IF(E1975&lt;&gt;"", YEARFRAC(C1975, E1975) * 12, "")</f>
        <v/>
      </c>
      <c r="J1975" s="2">
        <f>IF(I1975="", "", IF(AND(A1975="MF (Equity)", I1975&gt;12), "Long Term", "Short Term"))</f>
        <v/>
      </c>
      <c r="K1975" s="5">
        <f>IF(J1975="", "", IF(J1975="Long Term", 12.5%, 20%))</f>
        <v/>
      </c>
      <c r="L1975" s="3">
        <f>+IFERROR(IF(J1975="","",H1975*K1975),"")</f>
        <v/>
      </c>
    </row>
    <row r="1976">
      <c r="A1976" s="11" t="n"/>
      <c r="B1976" s="7" t="n"/>
      <c r="C1976" s="8" t="n"/>
      <c r="D1976" s="9" t="n"/>
      <c r="E1976" s="8" t="n"/>
      <c r="F1976" s="9" t="n"/>
      <c r="G1976" s="9" t="n"/>
      <c r="H1976" s="3">
        <f>IF(AND(D1976&lt;&gt;"",F1976&lt;&gt;""),F1976-D1976-G1976,"")</f>
        <v/>
      </c>
      <c r="I1976" s="14">
        <f>IF(E1976&lt;&gt;"", YEARFRAC(C1976, E1976) * 12, "")</f>
        <v/>
      </c>
      <c r="J1976" s="2">
        <f>IF(I1976="", "", IF(AND(A1976="MF (Equity)", I1976&gt;12), "Long Term", "Short Term"))</f>
        <v/>
      </c>
      <c r="K1976" s="5">
        <f>IF(J1976="", "", IF(J1976="Long Term", 12.5%, 20%))</f>
        <v/>
      </c>
      <c r="L1976" s="3">
        <f>+IFERROR(IF(J1976="","",H1976*K1976),"")</f>
        <v/>
      </c>
    </row>
    <row r="1977">
      <c r="A1977" s="11" t="n"/>
      <c r="B1977" s="7" t="n"/>
      <c r="C1977" s="8" t="n"/>
      <c r="D1977" s="9" t="n"/>
      <c r="E1977" s="8" t="n"/>
      <c r="F1977" s="9" t="n"/>
      <c r="G1977" s="9" t="n"/>
      <c r="H1977" s="3">
        <f>IF(AND(D1977&lt;&gt;"",F1977&lt;&gt;""),F1977-D1977-G1977,"")</f>
        <v/>
      </c>
      <c r="I1977" s="14">
        <f>IF(E1977&lt;&gt;"", YEARFRAC(C1977, E1977) * 12, "")</f>
        <v/>
      </c>
      <c r="J1977" s="2">
        <f>IF(I1977="", "", IF(AND(A1977="MF (Equity)", I1977&gt;12), "Long Term", "Short Term"))</f>
        <v/>
      </c>
      <c r="K1977" s="5">
        <f>IF(J1977="", "", IF(J1977="Long Term", 12.5%, 20%))</f>
        <v/>
      </c>
      <c r="L1977" s="3">
        <f>+IFERROR(IF(J1977="","",H1977*K1977),"")</f>
        <v/>
      </c>
    </row>
    <row r="1978">
      <c r="A1978" s="11" t="n"/>
      <c r="B1978" s="7" t="n"/>
      <c r="C1978" s="8" t="n"/>
      <c r="D1978" s="9" t="n"/>
      <c r="E1978" s="8" t="n"/>
      <c r="F1978" s="9" t="n"/>
      <c r="G1978" s="9" t="n"/>
      <c r="H1978" s="3">
        <f>IF(AND(D1978&lt;&gt;"",F1978&lt;&gt;""),F1978-D1978-G1978,"")</f>
        <v/>
      </c>
      <c r="I1978" s="14">
        <f>IF(E1978&lt;&gt;"", YEARFRAC(C1978, E1978) * 12, "")</f>
        <v/>
      </c>
      <c r="J1978" s="2">
        <f>IF(I1978="", "", IF(AND(A1978="MF (Equity)", I1978&gt;12), "Long Term", "Short Term"))</f>
        <v/>
      </c>
      <c r="K1978" s="5">
        <f>IF(J1978="", "", IF(J1978="Long Term", 12.5%, 20%))</f>
        <v/>
      </c>
      <c r="L1978" s="3">
        <f>+IFERROR(IF(J1978="","",H1978*K1978),"")</f>
        <v/>
      </c>
    </row>
    <row r="1979">
      <c r="A1979" s="11" t="n"/>
      <c r="B1979" s="7" t="n"/>
      <c r="C1979" s="8" t="n"/>
      <c r="D1979" s="9" t="n"/>
      <c r="E1979" s="8" t="n"/>
      <c r="F1979" s="9" t="n"/>
      <c r="G1979" s="9" t="n"/>
      <c r="H1979" s="3">
        <f>IF(AND(D1979&lt;&gt;"",F1979&lt;&gt;""),F1979-D1979-G1979,"")</f>
        <v/>
      </c>
      <c r="I1979" s="14">
        <f>IF(E1979&lt;&gt;"", YEARFRAC(C1979, E1979) * 12, "")</f>
        <v/>
      </c>
      <c r="J1979" s="2">
        <f>IF(I1979="", "", IF(AND(A1979="MF (Equity)", I1979&gt;12), "Long Term", "Short Term"))</f>
        <v/>
      </c>
      <c r="K1979" s="5">
        <f>IF(J1979="", "", IF(J1979="Long Term", 12.5%, 20%))</f>
        <v/>
      </c>
      <c r="L1979" s="3">
        <f>+IFERROR(IF(J1979="","",H1979*K1979),"")</f>
        <v/>
      </c>
    </row>
    <row r="1980">
      <c r="A1980" s="11" t="n"/>
      <c r="B1980" s="7" t="n"/>
      <c r="C1980" s="8" t="n"/>
      <c r="D1980" s="9" t="n"/>
      <c r="E1980" s="8" t="n"/>
      <c r="F1980" s="9" t="n"/>
      <c r="G1980" s="9" t="n"/>
      <c r="H1980" s="3">
        <f>IF(AND(D1980&lt;&gt;"",F1980&lt;&gt;""),F1980-D1980-G1980,"")</f>
        <v/>
      </c>
      <c r="I1980" s="14">
        <f>IF(E1980&lt;&gt;"", YEARFRAC(C1980, E1980) * 12, "")</f>
        <v/>
      </c>
      <c r="J1980" s="2">
        <f>IF(I1980="", "", IF(AND(A1980="MF (Equity)", I1980&gt;12), "Long Term", "Short Term"))</f>
        <v/>
      </c>
      <c r="K1980" s="5">
        <f>IF(J1980="", "", IF(J1980="Long Term", 12.5%, 20%))</f>
        <v/>
      </c>
      <c r="L1980" s="3">
        <f>+IFERROR(IF(J1980="","",H1980*K1980),"")</f>
        <v/>
      </c>
    </row>
    <row r="1981">
      <c r="A1981" s="11" t="n"/>
      <c r="B1981" s="7" t="n"/>
      <c r="C1981" s="8" t="n"/>
      <c r="D1981" s="9" t="n"/>
      <c r="E1981" s="8" t="n"/>
      <c r="F1981" s="9" t="n"/>
      <c r="G1981" s="9" t="n"/>
      <c r="H1981" s="3">
        <f>IF(AND(D1981&lt;&gt;"",F1981&lt;&gt;""),F1981-D1981-G1981,"")</f>
        <v/>
      </c>
      <c r="I1981" s="14">
        <f>IF(E1981&lt;&gt;"", YEARFRAC(C1981, E1981) * 12, "")</f>
        <v/>
      </c>
      <c r="J1981" s="2">
        <f>IF(I1981="", "", IF(AND(A1981="MF (Equity)", I1981&gt;12), "Long Term", "Short Term"))</f>
        <v/>
      </c>
      <c r="K1981" s="5">
        <f>IF(J1981="", "", IF(J1981="Long Term", 12.5%, 20%))</f>
        <v/>
      </c>
      <c r="L1981" s="3">
        <f>+IFERROR(IF(J1981="","",H1981*K1981),"")</f>
        <v/>
      </c>
    </row>
    <row r="1982">
      <c r="A1982" s="11" t="n"/>
      <c r="B1982" s="7" t="n"/>
      <c r="C1982" s="8" t="n"/>
      <c r="D1982" s="9" t="n"/>
      <c r="E1982" s="8" t="n"/>
      <c r="F1982" s="9" t="n"/>
      <c r="G1982" s="9" t="n"/>
      <c r="H1982" s="3">
        <f>IF(AND(D1982&lt;&gt;"",F1982&lt;&gt;""),F1982-D1982-G1982,"")</f>
        <v/>
      </c>
      <c r="I1982" s="14">
        <f>IF(E1982&lt;&gt;"", YEARFRAC(C1982, E1982) * 12, "")</f>
        <v/>
      </c>
      <c r="J1982" s="2">
        <f>IF(I1982="", "", IF(AND(A1982="MF (Equity)", I1982&gt;12), "Long Term", "Short Term"))</f>
        <v/>
      </c>
      <c r="K1982" s="5">
        <f>IF(J1982="", "", IF(J1982="Long Term", 12.5%, 20%))</f>
        <v/>
      </c>
      <c r="L1982" s="3">
        <f>+IFERROR(IF(J1982="","",H1982*K1982),"")</f>
        <v/>
      </c>
    </row>
    <row r="1983">
      <c r="A1983" s="11" t="n"/>
      <c r="B1983" s="7" t="n"/>
      <c r="C1983" s="8" t="n"/>
      <c r="D1983" s="9" t="n"/>
      <c r="E1983" s="8" t="n"/>
      <c r="F1983" s="9" t="n"/>
      <c r="G1983" s="9" t="n"/>
      <c r="H1983" s="3">
        <f>IF(AND(D1983&lt;&gt;"",F1983&lt;&gt;""),F1983-D1983-G1983,"")</f>
        <v/>
      </c>
      <c r="I1983" s="14">
        <f>IF(E1983&lt;&gt;"", YEARFRAC(C1983, E1983) * 12, "")</f>
        <v/>
      </c>
      <c r="J1983" s="2">
        <f>IF(I1983="", "", IF(AND(A1983="MF (Equity)", I1983&gt;12), "Long Term", "Short Term"))</f>
        <v/>
      </c>
      <c r="K1983" s="5">
        <f>IF(J1983="", "", IF(J1983="Long Term", 12.5%, 20%))</f>
        <v/>
      </c>
      <c r="L1983" s="3">
        <f>+IFERROR(IF(J1983="","",H1983*K1983),"")</f>
        <v/>
      </c>
    </row>
    <row r="1984">
      <c r="A1984" s="11" t="n"/>
      <c r="B1984" s="7" t="n"/>
      <c r="C1984" s="8" t="n"/>
      <c r="D1984" s="9" t="n"/>
      <c r="E1984" s="8" t="n"/>
      <c r="F1984" s="9" t="n"/>
      <c r="G1984" s="9" t="n"/>
      <c r="H1984" s="3">
        <f>IF(AND(D1984&lt;&gt;"",F1984&lt;&gt;""),F1984-D1984-G1984,"")</f>
        <v/>
      </c>
      <c r="I1984" s="14">
        <f>IF(E1984&lt;&gt;"", YEARFRAC(C1984, E1984) * 12, "")</f>
        <v/>
      </c>
      <c r="J1984" s="2">
        <f>IF(I1984="", "", IF(AND(A1984="MF (Equity)", I1984&gt;12), "Long Term", "Short Term"))</f>
        <v/>
      </c>
      <c r="K1984" s="5">
        <f>IF(J1984="", "", IF(J1984="Long Term", 12.5%, 20%))</f>
        <v/>
      </c>
      <c r="L1984" s="3">
        <f>+IFERROR(IF(J1984="","",H1984*K1984),"")</f>
        <v/>
      </c>
    </row>
    <row r="1985">
      <c r="A1985" s="11" t="n"/>
      <c r="B1985" s="7" t="n"/>
      <c r="C1985" s="8" t="n"/>
      <c r="D1985" s="9" t="n"/>
      <c r="E1985" s="8" t="n"/>
      <c r="F1985" s="9" t="n"/>
      <c r="G1985" s="9" t="n"/>
      <c r="H1985" s="3">
        <f>IF(AND(D1985&lt;&gt;"",F1985&lt;&gt;""),F1985-D1985-G1985,"")</f>
        <v/>
      </c>
      <c r="I1985" s="14">
        <f>IF(E1985&lt;&gt;"", YEARFRAC(C1985, E1985) * 12, "")</f>
        <v/>
      </c>
      <c r="J1985" s="2">
        <f>IF(I1985="", "", IF(AND(A1985="MF (Equity)", I1985&gt;12), "Long Term", "Short Term"))</f>
        <v/>
      </c>
      <c r="K1985" s="5">
        <f>IF(J1985="", "", IF(J1985="Long Term", 12.5%, 20%))</f>
        <v/>
      </c>
      <c r="L1985" s="3">
        <f>+IFERROR(IF(J1985="","",H1985*K1985),"")</f>
        <v/>
      </c>
    </row>
    <row r="1986">
      <c r="A1986" s="11" t="n"/>
      <c r="B1986" s="7" t="n"/>
      <c r="C1986" s="8" t="n"/>
      <c r="D1986" s="9" t="n"/>
      <c r="E1986" s="8" t="n"/>
      <c r="F1986" s="9" t="n"/>
      <c r="G1986" s="9" t="n"/>
      <c r="H1986" s="3">
        <f>IF(AND(D1986&lt;&gt;"",F1986&lt;&gt;""),F1986-D1986-G1986,"")</f>
        <v/>
      </c>
      <c r="I1986" s="14">
        <f>IF(E1986&lt;&gt;"", YEARFRAC(C1986, E1986) * 12, "")</f>
        <v/>
      </c>
      <c r="J1986" s="2">
        <f>IF(I1986="", "", IF(AND(A1986="MF (Equity)", I1986&gt;12), "Long Term", "Short Term"))</f>
        <v/>
      </c>
      <c r="K1986" s="5">
        <f>IF(J1986="", "", IF(J1986="Long Term", 12.5%, 20%))</f>
        <v/>
      </c>
      <c r="L1986" s="3">
        <f>+IFERROR(IF(J1986="","",H1986*K1986),"")</f>
        <v/>
      </c>
    </row>
    <row r="1987">
      <c r="A1987" s="11" t="n"/>
      <c r="B1987" s="7" t="n"/>
      <c r="C1987" s="8" t="n"/>
      <c r="D1987" s="9" t="n"/>
      <c r="E1987" s="8" t="n"/>
      <c r="F1987" s="9" t="n"/>
      <c r="G1987" s="9" t="n"/>
      <c r="H1987" s="3">
        <f>IF(AND(D1987&lt;&gt;"",F1987&lt;&gt;""),F1987-D1987-G1987,"")</f>
        <v/>
      </c>
      <c r="I1987" s="14">
        <f>IF(E1987&lt;&gt;"", YEARFRAC(C1987, E1987) * 12, "")</f>
        <v/>
      </c>
      <c r="J1987" s="2">
        <f>IF(I1987="", "", IF(AND(A1987="MF (Equity)", I1987&gt;12), "Long Term", "Short Term"))</f>
        <v/>
      </c>
      <c r="K1987" s="5">
        <f>IF(J1987="", "", IF(J1987="Long Term", 12.5%, 20%))</f>
        <v/>
      </c>
      <c r="L1987" s="3">
        <f>+IFERROR(IF(J1987="","",H1987*K1987),"")</f>
        <v/>
      </c>
    </row>
    <row r="1988">
      <c r="A1988" s="11" t="n"/>
      <c r="B1988" s="7" t="n"/>
      <c r="C1988" s="8" t="n"/>
      <c r="D1988" s="9" t="n"/>
      <c r="E1988" s="8" t="n"/>
      <c r="F1988" s="9" t="n"/>
      <c r="G1988" s="9" t="n"/>
      <c r="H1988" s="3">
        <f>IF(AND(D1988&lt;&gt;"",F1988&lt;&gt;""),F1988-D1988-G1988,"")</f>
        <v/>
      </c>
      <c r="I1988" s="14">
        <f>IF(E1988&lt;&gt;"", YEARFRAC(C1988, E1988) * 12, "")</f>
        <v/>
      </c>
      <c r="J1988" s="2">
        <f>IF(I1988="", "", IF(AND(A1988="MF (Equity)", I1988&gt;12), "Long Term", "Short Term"))</f>
        <v/>
      </c>
      <c r="K1988" s="5">
        <f>IF(J1988="", "", IF(J1988="Long Term", 12.5%, 20%))</f>
        <v/>
      </c>
      <c r="L1988" s="3">
        <f>+IFERROR(IF(J1988="","",H1988*K1988),"")</f>
        <v/>
      </c>
    </row>
    <row r="1989">
      <c r="A1989" s="11" t="n"/>
      <c r="B1989" s="7" t="n"/>
      <c r="C1989" s="8" t="n"/>
      <c r="D1989" s="9" t="n"/>
      <c r="E1989" s="8" t="n"/>
      <c r="F1989" s="9" t="n"/>
      <c r="G1989" s="9" t="n"/>
      <c r="H1989" s="3">
        <f>IF(AND(D1989&lt;&gt;"",F1989&lt;&gt;""),F1989-D1989-G1989,"")</f>
        <v/>
      </c>
      <c r="I1989" s="14">
        <f>IF(E1989&lt;&gt;"", YEARFRAC(C1989, E1989) * 12, "")</f>
        <v/>
      </c>
      <c r="J1989" s="2">
        <f>IF(I1989="", "", IF(AND(A1989="MF (Equity)", I1989&gt;12), "Long Term", "Short Term"))</f>
        <v/>
      </c>
      <c r="K1989" s="5">
        <f>IF(J1989="", "", IF(J1989="Long Term", 12.5%, 20%))</f>
        <v/>
      </c>
      <c r="L1989" s="3">
        <f>+IFERROR(IF(J1989="","",H1989*K1989),"")</f>
        <v/>
      </c>
    </row>
    <row r="1990">
      <c r="A1990" s="11" t="n"/>
      <c r="B1990" s="7" t="n"/>
      <c r="C1990" s="8" t="n"/>
      <c r="D1990" s="9" t="n"/>
      <c r="E1990" s="8" t="n"/>
      <c r="F1990" s="9" t="n"/>
      <c r="G1990" s="9" t="n"/>
      <c r="H1990" s="3">
        <f>IF(AND(D1990&lt;&gt;"",F1990&lt;&gt;""),F1990-D1990-G1990,"")</f>
        <v/>
      </c>
      <c r="I1990" s="14">
        <f>IF(E1990&lt;&gt;"", YEARFRAC(C1990, E1990) * 12, "")</f>
        <v/>
      </c>
      <c r="J1990" s="2">
        <f>IF(I1990="", "", IF(AND(A1990="MF (Equity)", I1990&gt;12), "Long Term", "Short Term"))</f>
        <v/>
      </c>
      <c r="K1990" s="5">
        <f>IF(J1990="", "", IF(J1990="Long Term", 12.5%, 20%))</f>
        <v/>
      </c>
      <c r="L1990" s="3">
        <f>+IFERROR(IF(J1990="","",H1990*K1990),"")</f>
        <v/>
      </c>
    </row>
    <row r="1991">
      <c r="A1991" s="11" t="n"/>
      <c r="B1991" s="7" t="n"/>
      <c r="C1991" s="8" t="n"/>
      <c r="D1991" s="9" t="n"/>
      <c r="E1991" s="8" t="n"/>
      <c r="F1991" s="9" t="n"/>
      <c r="G1991" s="9" t="n"/>
      <c r="H1991" s="3">
        <f>IF(AND(D1991&lt;&gt;"",F1991&lt;&gt;""),F1991-D1991-G1991,"")</f>
        <v/>
      </c>
      <c r="I1991" s="14">
        <f>IF(E1991&lt;&gt;"", YEARFRAC(C1991, E1991) * 12, "")</f>
        <v/>
      </c>
      <c r="J1991" s="2">
        <f>IF(I1991="", "", IF(AND(A1991="MF (Equity)", I1991&gt;12), "Long Term", "Short Term"))</f>
        <v/>
      </c>
      <c r="K1991" s="5">
        <f>IF(J1991="", "", IF(J1991="Long Term", 12.5%, 20%))</f>
        <v/>
      </c>
      <c r="L1991" s="3">
        <f>+IFERROR(IF(J1991="","",H1991*K1991),"")</f>
        <v/>
      </c>
    </row>
    <row r="1992">
      <c r="A1992" s="11" t="n"/>
      <c r="B1992" s="7" t="n"/>
      <c r="C1992" s="8" t="n"/>
      <c r="D1992" s="9" t="n"/>
      <c r="E1992" s="8" t="n"/>
      <c r="F1992" s="9" t="n"/>
      <c r="G1992" s="9" t="n"/>
      <c r="H1992" s="3">
        <f>IF(AND(D1992&lt;&gt;"",F1992&lt;&gt;""),F1992-D1992-G1992,"")</f>
        <v/>
      </c>
      <c r="I1992" s="14">
        <f>IF(E1992&lt;&gt;"", YEARFRAC(C1992, E1992) * 12, "")</f>
        <v/>
      </c>
      <c r="J1992" s="2">
        <f>IF(I1992="", "", IF(AND(A1992="MF (Equity)", I1992&gt;12), "Long Term", "Short Term"))</f>
        <v/>
      </c>
      <c r="K1992" s="5">
        <f>IF(J1992="", "", IF(J1992="Long Term", 12.5%, 20%))</f>
        <v/>
      </c>
      <c r="L1992" s="3">
        <f>+IFERROR(IF(J1992="","",H1992*K1992),"")</f>
        <v/>
      </c>
    </row>
    <row r="1993">
      <c r="A1993" s="11" t="n"/>
      <c r="B1993" s="7" t="n"/>
      <c r="C1993" s="8" t="n"/>
      <c r="D1993" s="9" t="n"/>
      <c r="E1993" s="8" t="n"/>
      <c r="F1993" s="9" t="n"/>
      <c r="G1993" s="9" t="n"/>
      <c r="H1993" s="3">
        <f>IF(AND(D1993&lt;&gt;"",F1993&lt;&gt;""),F1993-D1993-G1993,"")</f>
        <v/>
      </c>
      <c r="I1993" s="14">
        <f>IF(E1993&lt;&gt;"", YEARFRAC(C1993, E1993) * 12, "")</f>
        <v/>
      </c>
      <c r="J1993" s="2">
        <f>IF(I1993="", "", IF(AND(A1993="MF (Equity)", I1993&gt;12), "Long Term", "Short Term"))</f>
        <v/>
      </c>
      <c r="K1993" s="5">
        <f>IF(J1993="", "", IF(J1993="Long Term", 12.5%, 20%))</f>
        <v/>
      </c>
      <c r="L1993" s="3">
        <f>+IFERROR(IF(J1993="","",H1993*K1993),"")</f>
        <v/>
      </c>
    </row>
    <row r="1994">
      <c r="A1994" s="11" t="n"/>
      <c r="B1994" s="7" t="n"/>
      <c r="C1994" s="8" t="n"/>
      <c r="D1994" s="9" t="n"/>
      <c r="E1994" s="8" t="n"/>
      <c r="F1994" s="9" t="n"/>
      <c r="G1994" s="9" t="n"/>
      <c r="H1994" s="3">
        <f>IF(AND(D1994&lt;&gt;"",F1994&lt;&gt;""),F1994-D1994-G1994,"")</f>
        <v/>
      </c>
      <c r="I1994" s="14">
        <f>IF(E1994&lt;&gt;"", YEARFRAC(C1994, E1994) * 12, "")</f>
        <v/>
      </c>
      <c r="J1994" s="2">
        <f>IF(I1994="", "", IF(AND(A1994="MF (Equity)", I1994&gt;12), "Long Term", "Short Term"))</f>
        <v/>
      </c>
      <c r="K1994" s="5">
        <f>IF(J1994="", "", IF(J1994="Long Term", 12.5%, 20%))</f>
        <v/>
      </c>
      <c r="L1994" s="3">
        <f>+IFERROR(IF(J1994="","",H1994*K1994),"")</f>
        <v/>
      </c>
    </row>
    <row r="1995">
      <c r="A1995" s="11" t="n"/>
      <c r="B1995" s="7" t="n"/>
      <c r="C1995" s="8" t="n"/>
      <c r="D1995" s="9" t="n"/>
      <c r="E1995" s="8" t="n"/>
      <c r="F1995" s="9" t="n"/>
      <c r="G1995" s="9" t="n"/>
      <c r="H1995" s="3">
        <f>IF(AND(D1995&lt;&gt;"",F1995&lt;&gt;""),F1995-D1995-G1995,"")</f>
        <v/>
      </c>
      <c r="I1995" s="14">
        <f>IF(E1995&lt;&gt;"", YEARFRAC(C1995, E1995) * 12, "")</f>
        <v/>
      </c>
      <c r="J1995" s="2">
        <f>IF(I1995="", "", IF(AND(A1995="MF (Equity)", I1995&gt;12), "Long Term", "Short Term"))</f>
        <v/>
      </c>
      <c r="K1995" s="5">
        <f>IF(J1995="", "", IF(J1995="Long Term", 12.5%, 20%))</f>
        <v/>
      </c>
      <c r="L1995" s="3">
        <f>+IFERROR(IF(J1995="","",H1995*K1995),"")</f>
        <v/>
      </c>
    </row>
    <row r="1996">
      <c r="A1996" s="11" t="n"/>
      <c r="B1996" s="7" t="n"/>
      <c r="C1996" s="8" t="n"/>
      <c r="D1996" s="9" t="n"/>
      <c r="E1996" s="8" t="n"/>
      <c r="F1996" s="9" t="n"/>
      <c r="G1996" s="9" t="n"/>
      <c r="H1996" s="3">
        <f>IF(AND(D1996&lt;&gt;"",F1996&lt;&gt;""),F1996-D1996-G1996,"")</f>
        <v/>
      </c>
      <c r="I1996" s="14">
        <f>IF(E1996&lt;&gt;"", YEARFRAC(C1996, E1996) * 12, "")</f>
        <v/>
      </c>
      <c r="J1996" s="2">
        <f>IF(I1996="", "", IF(AND(A1996="MF (Equity)", I1996&gt;12), "Long Term", "Short Term"))</f>
        <v/>
      </c>
      <c r="K1996" s="5">
        <f>IF(J1996="", "", IF(J1996="Long Term", 12.5%, 20%))</f>
        <v/>
      </c>
      <c r="L1996" s="3">
        <f>+IFERROR(IF(J1996="","",H1996*K1996),"")</f>
        <v/>
      </c>
    </row>
    <row r="1997">
      <c r="A1997" s="11" t="n"/>
      <c r="B1997" s="7" t="n"/>
      <c r="C1997" s="8" t="n"/>
      <c r="D1997" s="9" t="n"/>
      <c r="E1997" s="8" t="n"/>
      <c r="F1997" s="9" t="n"/>
      <c r="G1997" s="9" t="n"/>
      <c r="H1997" s="3">
        <f>IF(AND(D1997&lt;&gt;"",F1997&lt;&gt;""),F1997-D1997-G1997,"")</f>
        <v/>
      </c>
      <c r="I1997" s="14">
        <f>IF(E1997&lt;&gt;"", YEARFRAC(C1997, E1997) * 12, "")</f>
        <v/>
      </c>
      <c r="J1997" s="2">
        <f>IF(I1997="", "", IF(AND(A1997="MF (Equity)", I1997&gt;12), "Long Term", "Short Term"))</f>
        <v/>
      </c>
      <c r="K1997" s="5">
        <f>IF(J1997="", "", IF(J1997="Long Term", 12.5%, 20%))</f>
        <v/>
      </c>
      <c r="L1997" s="3">
        <f>+IFERROR(IF(J1997="","",H1997*K1997),"")</f>
        <v/>
      </c>
    </row>
    <row r="1998">
      <c r="A1998" s="11" t="n"/>
      <c r="B1998" s="7" t="n"/>
      <c r="C1998" s="8" t="n"/>
      <c r="D1998" s="9" t="n"/>
      <c r="E1998" s="8" t="n"/>
      <c r="F1998" s="9" t="n"/>
      <c r="G1998" s="9" t="n"/>
      <c r="H1998" s="3">
        <f>IF(AND(D1998&lt;&gt;"",F1998&lt;&gt;""),F1998-D1998-G1998,"")</f>
        <v/>
      </c>
      <c r="I1998" s="14">
        <f>IF(E1998&lt;&gt;"", YEARFRAC(C1998, E1998) * 12, "")</f>
        <v/>
      </c>
      <c r="J1998" s="2">
        <f>IF(I1998="", "", IF(AND(A1998="MF (Equity)", I1998&gt;12), "Long Term", "Short Term"))</f>
        <v/>
      </c>
      <c r="K1998" s="5">
        <f>IF(J1998="", "", IF(J1998="Long Term", 12.5%, 20%))</f>
        <v/>
      </c>
      <c r="L1998" s="3">
        <f>+IFERROR(IF(J1998="","",H1998*K1998),"")</f>
        <v/>
      </c>
    </row>
    <row r="1999">
      <c r="A1999" s="11" t="n"/>
      <c r="B1999" s="7" t="n"/>
      <c r="C1999" s="8" t="n"/>
      <c r="D1999" s="9" t="n"/>
      <c r="E1999" s="8" t="n"/>
      <c r="F1999" s="9" t="n"/>
      <c r="G1999" s="9" t="n"/>
      <c r="H1999" s="3">
        <f>IF(AND(D1999&lt;&gt;"",F1999&lt;&gt;""),F1999-D1999-G1999,"")</f>
        <v/>
      </c>
      <c r="I1999" s="14">
        <f>IF(E1999&lt;&gt;"", YEARFRAC(C1999, E1999) * 12, "")</f>
        <v/>
      </c>
      <c r="J1999" s="2">
        <f>IF(I1999="", "", IF(AND(A1999="MF (Equity)", I1999&gt;12), "Long Term", "Short Term"))</f>
        <v/>
      </c>
      <c r="K1999" s="5">
        <f>IF(J1999="", "", IF(J1999="Long Term", 12.5%, 20%))</f>
        <v/>
      </c>
      <c r="L1999" s="3">
        <f>+IFERROR(IF(J1999="","",H1999*K1999),"")</f>
        <v/>
      </c>
    </row>
    <row r="2000">
      <c r="A2000" s="11" t="n"/>
      <c r="B2000" s="7" t="n"/>
      <c r="C2000" s="8" t="n"/>
      <c r="D2000" s="9" t="n"/>
      <c r="E2000" s="8" t="n"/>
      <c r="F2000" s="9" t="n"/>
      <c r="G2000" s="9" t="n"/>
      <c r="H2000" s="3">
        <f>IF(AND(D2000&lt;&gt;"",F2000&lt;&gt;""),F2000-D2000-G2000,"")</f>
        <v/>
      </c>
      <c r="I2000" s="14">
        <f>IF(E2000&lt;&gt;"", YEARFRAC(C2000, E2000) * 12, "")</f>
        <v/>
      </c>
      <c r="J2000" s="2">
        <f>IF(I2000="", "", IF(AND(A2000="MF (Equity)", I2000&gt;12), "Long Term", "Short Term"))</f>
        <v/>
      </c>
      <c r="K2000" s="5">
        <f>IF(J2000="", "", IF(J2000="Long Term", 12.5%, 20%))</f>
        <v/>
      </c>
      <c r="L2000" s="3">
        <f>+IFERROR(IF(J2000="","",H2000*K2000),"")</f>
        <v/>
      </c>
    </row>
    <row r="2001">
      <c r="A2001" s="11" t="n"/>
      <c r="B2001" s="7" t="n"/>
      <c r="C2001" s="8" t="n"/>
      <c r="D2001" s="9" t="n"/>
      <c r="E2001" s="8" t="n"/>
      <c r="F2001" s="9" t="n"/>
      <c r="G2001" s="9" t="n"/>
      <c r="H2001" s="3">
        <f>IF(AND(D2001&lt;&gt;"",F2001&lt;&gt;""),F2001-D2001-G2001,"")</f>
        <v/>
      </c>
      <c r="I2001" s="14">
        <f>IF(E2001&lt;&gt;"", YEARFRAC(C2001, E2001) * 12, "")</f>
        <v/>
      </c>
      <c r="J2001" s="2">
        <f>IF(I2001="", "", IF(AND(A2001="MF (Equity)", I2001&gt;12), "Long Term", "Short Term"))</f>
        <v/>
      </c>
      <c r="K2001" s="5">
        <f>IF(J2001="", "", IF(J2001="Long Term", 12.5%, 20%))</f>
        <v/>
      </c>
      <c r="L2001" s="3">
        <f>+IFERROR(IF(J2001="","",H2001*K2001),"")</f>
        <v/>
      </c>
    </row>
    <row r="2002">
      <c r="A2002" s="11" t="n"/>
      <c r="B2002" s="7" t="n"/>
      <c r="C2002" s="8" t="n"/>
      <c r="D2002" s="9" t="n"/>
      <c r="E2002" s="8" t="n"/>
      <c r="F2002" s="9" t="n"/>
      <c r="G2002" s="9" t="n"/>
      <c r="H2002" s="3">
        <f>IF(AND(D2002&lt;&gt;"",F2002&lt;&gt;""),F2002-D2002-G2002,"")</f>
        <v/>
      </c>
      <c r="I2002" s="14">
        <f>IF(E2002&lt;&gt;"", YEARFRAC(C2002, E2002) * 12, "")</f>
        <v/>
      </c>
      <c r="J2002" s="2">
        <f>IF(I2002="", "", IF(AND(A2002="MF (Equity)", I2002&gt;12), "Long Term", "Short Term"))</f>
        <v/>
      </c>
      <c r="K2002" s="5">
        <f>IF(J2002="", "", IF(J2002="Long Term", 12.5%, 20%))</f>
        <v/>
      </c>
      <c r="L2002" s="3">
        <f>+IFERROR(IF(J2002="","",H2002*K2002),"")</f>
        <v/>
      </c>
    </row>
    <row r="2003">
      <c r="A2003" s="11" t="n"/>
      <c r="B2003" s="7" t="n"/>
      <c r="C2003" s="8" t="n"/>
      <c r="D2003" s="9" t="n"/>
      <c r="E2003" s="8" t="n"/>
      <c r="F2003" s="9" t="n"/>
      <c r="G2003" s="9" t="n"/>
      <c r="H2003" s="3">
        <f>IF(AND(D2003&lt;&gt;"",F2003&lt;&gt;""),F2003-D2003-G2003,"")</f>
        <v/>
      </c>
      <c r="I2003" s="14">
        <f>IF(E2003&lt;&gt;"", YEARFRAC(C2003, E2003) * 12, "")</f>
        <v/>
      </c>
      <c r="J2003" s="2">
        <f>IF(I2003="", "", IF(AND(A2003="MF (Equity)", I2003&gt;12), "Long Term", "Short Term"))</f>
        <v/>
      </c>
      <c r="K2003" s="5">
        <f>IF(J2003="", "", IF(J2003="Long Term", 12.5%, 20%))</f>
        <v/>
      </c>
      <c r="L2003" s="3">
        <f>+IFERROR(IF(J2003="","",H2003*K2003),"")</f>
        <v/>
      </c>
    </row>
    <row r="2004">
      <c r="A2004" s="11" t="n"/>
      <c r="B2004" s="7" t="n"/>
      <c r="C2004" s="8" t="n"/>
      <c r="D2004" s="9" t="n"/>
      <c r="E2004" s="8" t="n"/>
      <c r="F2004" s="9" t="n"/>
      <c r="G2004" s="9" t="n"/>
      <c r="H2004" s="3">
        <f>IF(AND(D2004&lt;&gt;"",F2004&lt;&gt;""),F2004-D2004-G2004,"")</f>
        <v/>
      </c>
      <c r="I2004" s="14">
        <f>IF(E2004&lt;&gt;"", YEARFRAC(C2004, E2004) * 12, "")</f>
        <v/>
      </c>
      <c r="J2004" s="2">
        <f>IF(I2004="", "", IF(AND(A2004="MF (Equity)", I2004&gt;12), "Long Term", "Short Term"))</f>
        <v/>
      </c>
      <c r="K2004" s="5">
        <f>IF(J2004="", "", IF(J2004="Long Term", 12.5%, 20%))</f>
        <v/>
      </c>
      <c r="L2004" s="3">
        <f>+IFERROR(IF(J2004="","",H2004*K2004),"")</f>
        <v/>
      </c>
    </row>
    <row r="2005">
      <c r="A2005" s="11" t="n"/>
      <c r="B2005" s="7" t="n"/>
      <c r="C2005" s="8" t="n"/>
      <c r="D2005" s="9" t="n"/>
      <c r="E2005" s="8" t="n"/>
      <c r="F2005" s="9" t="n"/>
      <c r="G2005" s="9" t="n"/>
      <c r="H2005" s="3">
        <f>IF(AND(D2005&lt;&gt;"",F2005&lt;&gt;""),F2005-D2005-G2005,"")</f>
        <v/>
      </c>
      <c r="I2005" s="14">
        <f>IF(E2005&lt;&gt;"", YEARFRAC(C2005, E2005) * 12, "")</f>
        <v/>
      </c>
      <c r="J2005" s="2">
        <f>IF(I2005="", "", IF(AND(A2005="MF (Equity)", I2005&gt;12), "Long Term", "Short Term"))</f>
        <v/>
      </c>
      <c r="K2005" s="5">
        <f>IF(J2005="", "", IF(J2005="Long Term", 12.5%, 20%))</f>
        <v/>
      </c>
      <c r="L2005" s="3">
        <f>+IFERROR(IF(J2005="","",H2005*K2005),"")</f>
        <v/>
      </c>
    </row>
    <row r="2006">
      <c r="A2006" s="11" t="n"/>
      <c r="B2006" s="7" t="n"/>
      <c r="C2006" s="8" t="n"/>
      <c r="D2006" s="9" t="n"/>
      <c r="E2006" s="8" t="n"/>
      <c r="F2006" s="9" t="n"/>
      <c r="G2006" s="9" t="n"/>
      <c r="H2006" s="3">
        <f>IF(AND(D2006&lt;&gt;"",F2006&lt;&gt;""),F2006-D2006-G2006,"")</f>
        <v/>
      </c>
      <c r="I2006" s="14">
        <f>IF(E2006&lt;&gt;"", YEARFRAC(C2006, E2006) * 12, "")</f>
        <v/>
      </c>
      <c r="J2006" s="2">
        <f>IF(I2006="", "", IF(AND(A2006="MF (Equity)", I2006&gt;12), "Long Term", "Short Term"))</f>
        <v/>
      </c>
      <c r="K2006" s="5">
        <f>IF(J2006="", "", IF(J2006="Long Term", 12.5%, 20%))</f>
        <v/>
      </c>
      <c r="L2006" s="3">
        <f>+IFERROR(IF(J2006="","",H2006*K2006),"")</f>
        <v/>
      </c>
    </row>
    <row r="2007">
      <c r="A2007" s="11" t="n"/>
      <c r="B2007" s="7" t="n"/>
      <c r="C2007" s="8" t="n"/>
      <c r="D2007" s="9" t="n"/>
      <c r="E2007" s="8" t="n"/>
      <c r="F2007" s="9" t="n"/>
      <c r="G2007" s="9" t="n"/>
      <c r="H2007" s="3">
        <f>IF(AND(D2007&lt;&gt;"",F2007&lt;&gt;""),F2007-D2007-G2007,"")</f>
        <v/>
      </c>
      <c r="I2007" s="14">
        <f>IF(E2007&lt;&gt;"", YEARFRAC(C2007, E2007) * 12, "")</f>
        <v/>
      </c>
      <c r="J2007" s="2">
        <f>IF(I2007="", "", IF(AND(A2007="MF (Equity)", I2007&gt;12), "Long Term", "Short Term"))</f>
        <v/>
      </c>
      <c r="K2007" s="5">
        <f>IF(J2007="", "", IF(J2007="Long Term", 12.5%, 20%))</f>
        <v/>
      </c>
      <c r="L2007" s="3">
        <f>+IFERROR(IF(J2007="","",H2007*K2007),"")</f>
        <v/>
      </c>
    </row>
    <row r="2008">
      <c r="A2008" s="11" t="n"/>
      <c r="B2008" s="7" t="n"/>
      <c r="C2008" s="8" t="n"/>
      <c r="D2008" s="9" t="n"/>
      <c r="E2008" s="8" t="n"/>
      <c r="F2008" s="9" t="n"/>
      <c r="G2008" s="9" t="n"/>
      <c r="H2008" s="3">
        <f>IF(AND(D2008&lt;&gt;"",F2008&lt;&gt;""),F2008-D2008-G2008,"")</f>
        <v/>
      </c>
      <c r="I2008" s="14">
        <f>IF(E2008&lt;&gt;"", YEARFRAC(C2008, E2008) * 12, "")</f>
        <v/>
      </c>
      <c r="J2008" s="2">
        <f>IF(I2008="", "", IF(AND(A2008="MF (Equity)", I2008&gt;12), "Long Term", "Short Term"))</f>
        <v/>
      </c>
      <c r="K2008" s="5">
        <f>IF(J2008="", "", IF(J2008="Long Term", 12.5%, 20%))</f>
        <v/>
      </c>
      <c r="L2008" s="3">
        <f>+IFERROR(IF(J2008="","",H2008*K2008),"")</f>
        <v/>
      </c>
    </row>
    <row r="2009">
      <c r="A2009" s="11" t="n"/>
      <c r="B2009" s="7" t="n"/>
      <c r="C2009" s="8" t="n"/>
      <c r="D2009" s="9" t="n"/>
      <c r="E2009" s="8" t="n"/>
      <c r="F2009" s="9" t="n"/>
      <c r="G2009" s="9" t="n"/>
      <c r="H2009" s="3">
        <f>IF(AND(D2009&lt;&gt;"",F2009&lt;&gt;""),F2009-D2009-G2009,"")</f>
        <v/>
      </c>
      <c r="I2009" s="14">
        <f>IF(E2009&lt;&gt;"", YEARFRAC(C2009, E2009) * 12, "")</f>
        <v/>
      </c>
      <c r="J2009" s="2">
        <f>IF(I2009="", "", IF(AND(A2009="MF (Equity)", I2009&gt;12), "Long Term", "Short Term"))</f>
        <v/>
      </c>
      <c r="K2009" s="5">
        <f>IF(J2009="", "", IF(J2009="Long Term", 12.5%, 20%))</f>
        <v/>
      </c>
      <c r="L2009" s="3">
        <f>+IFERROR(IF(J2009="","",H2009*K2009),"")</f>
        <v/>
      </c>
    </row>
    <row r="2010">
      <c r="A2010" s="11" t="n"/>
      <c r="B2010" s="7" t="n"/>
      <c r="C2010" s="8" t="n"/>
      <c r="D2010" s="9" t="n"/>
      <c r="E2010" s="8" t="n"/>
      <c r="F2010" s="9" t="n"/>
      <c r="G2010" s="9" t="n"/>
      <c r="H2010" s="3">
        <f>IF(AND(D2010&lt;&gt;"",F2010&lt;&gt;""),F2010-D2010-G2010,"")</f>
        <v/>
      </c>
      <c r="I2010" s="14">
        <f>IF(E2010&lt;&gt;"", YEARFRAC(C2010, E2010) * 12, "")</f>
        <v/>
      </c>
      <c r="J2010" s="2">
        <f>IF(I2010="", "", IF(AND(A2010="MF (Equity)", I2010&gt;12), "Long Term", "Short Term"))</f>
        <v/>
      </c>
      <c r="K2010" s="5">
        <f>IF(J2010="", "", IF(J2010="Long Term", 12.5%, 20%))</f>
        <v/>
      </c>
      <c r="L2010" s="3">
        <f>+IFERROR(IF(J2010="","",H2010*K2010),"")</f>
        <v/>
      </c>
    </row>
    <row r="2011">
      <c r="A2011" s="11" t="n"/>
      <c r="B2011" s="7" t="n"/>
      <c r="C2011" s="8" t="n"/>
      <c r="D2011" s="9" t="n"/>
      <c r="E2011" s="8" t="n"/>
      <c r="F2011" s="9" t="n"/>
      <c r="G2011" s="9" t="n"/>
      <c r="H2011" s="3">
        <f>IF(AND(D2011&lt;&gt;"",F2011&lt;&gt;""),F2011-D2011-G2011,"")</f>
        <v/>
      </c>
      <c r="I2011" s="14">
        <f>IF(E2011&lt;&gt;"", YEARFRAC(C2011, E2011) * 12, "")</f>
        <v/>
      </c>
      <c r="J2011" s="2">
        <f>IF(I2011="", "", IF(AND(A2011="MF (Equity)", I2011&gt;12), "Long Term", "Short Term"))</f>
        <v/>
      </c>
      <c r="K2011" s="5">
        <f>IF(J2011="", "", IF(J2011="Long Term", 12.5%, 20%))</f>
        <v/>
      </c>
      <c r="L2011" s="3">
        <f>+IFERROR(IF(J2011="","",H2011*K2011),"")</f>
        <v/>
      </c>
    </row>
    <row r="2012">
      <c r="A2012" s="11" t="n"/>
      <c r="B2012" s="7" t="n"/>
      <c r="C2012" s="8" t="n"/>
      <c r="D2012" s="9" t="n"/>
      <c r="E2012" s="8" t="n"/>
      <c r="F2012" s="9" t="n"/>
      <c r="G2012" s="9" t="n"/>
      <c r="H2012" s="3">
        <f>IF(AND(D2012&lt;&gt;"",F2012&lt;&gt;""),F2012-D2012-G2012,"")</f>
        <v/>
      </c>
      <c r="I2012" s="14">
        <f>IF(E2012&lt;&gt;"", YEARFRAC(C2012, E2012) * 12, "")</f>
        <v/>
      </c>
      <c r="J2012" s="2">
        <f>IF(I2012="", "", IF(AND(A2012="MF (Equity)", I2012&gt;12), "Long Term", "Short Term"))</f>
        <v/>
      </c>
      <c r="K2012" s="5">
        <f>IF(J2012="", "", IF(J2012="Long Term", 12.5%, 20%))</f>
        <v/>
      </c>
      <c r="L2012" s="3">
        <f>+IFERROR(IF(J2012="","",H2012*K2012),"")</f>
        <v/>
      </c>
    </row>
    <row r="2013">
      <c r="A2013" s="11" t="n"/>
      <c r="B2013" s="7" t="n"/>
      <c r="C2013" s="8" t="n"/>
      <c r="D2013" s="9" t="n"/>
      <c r="E2013" s="8" t="n"/>
      <c r="F2013" s="9" t="n"/>
      <c r="G2013" s="9" t="n"/>
      <c r="H2013" s="3">
        <f>IF(AND(D2013&lt;&gt;"",F2013&lt;&gt;""),F2013-D2013-G2013,"")</f>
        <v/>
      </c>
      <c r="I2013" s="14">
        <f>IF(E2013&lt;&gt;"", YEARFRAC(C2013, E2013) * 12, "")</f>
        <v/>
      </c>
      <c r="J2013" s="2">
        <f>IF(I2013="", "", IF(AND(A2013="MF (Equity)", I2013&gt;12), "Long Term", "Short Term"))</f>
        <v/>
      </c>
      <c r="K2013" s="5">
        <f>IF(J2013="", "", IF(J2013="Long Term", 12.5%, 20%))</f>
        <v/>
      </c>
      <c r="L2013" s="3">
        <f>+IFERROR(IF(J2013="","",H2013*K2013),"")</f>
        <v/>
      </c>
    </row>
    <row r="2014">
      <c r="A2014" s="11" t="n"/>
      <c r="B2014" s="7" t="n"/>
      <c r="C2014" s="8" t="n"/>
      <c r="D2014" s="9" t="n"/>
      <c r="E2014" s="8" t="n"/>
      <c r="F2014" s="9" t="n"/>
      <c r="G2014" s="9" t="n"/>
      <c r="H2014" s="3">
        <f>IF(AND(D2014&lt;&gt;"",F2014&lt;&gt;""),F2014-D2014-G2014,"")</f>
        <v/>
      </c>
      <c r="I2014" s="14">
        <f>IF(E2014&lt;&gt;"", YEARFRAC(C2014, E2014) * 12, "")</f>
        <v/>
      </c>
      <c r="J2014" s="2">
        <f>IF(I2014="", "", IF(AND(A2014="MF (Equity)", I2014&gt;12), "Long Term", "Short Term"))</f>
        <v/>
      </c>
      <c r="K2014" s="5">
        <f>IF(J2014="", "", IF(J2014="Long Term", 12.5%, 20%))</f>
        <v/>
      </c>
      <c r="L2014" s="3">
        <f>+IFERROR(IF(J2014="","",H2014*K2014),"")</f>
        <v/>
      </c>
    </row>
    <row r="2015">
      <c r="A2015" s="11" t="n"/>
      <c r="B2015" s="7" t="n"/>
      <c r="C2015" s="8" t="n"/>
      <c r="D2015" s="9" t="n"/>
      <c r="E2015" s="8" t="n"/>
      <c r="F2015" s="9" t="n"/>
      <c r="G2015" s="9" t="n"/>
      <c r="H2015" s="3">
        <f>IF(AND(D2015&lt;&gt;"",F2015&lt;&gt;""),F2015-D2015-G2015,"")</f>
        <v/>
      </c>
      <c r="I2015" s="14">
        <f>IF(E2015&lt;&gt;"", YEARFRAC(C2015, E2015) * 12, "")</f>
        <v/>
      </c>
      <c r="J2015" s="2">
        <f>IF(I2015="", "", IF(AND(A2015="MF (Equity)", I2015&gt;12), "Long Term", "Short Term"))</f>
        <v/>
      </c>
      <c r="K2015" s="5">
        <f>IF(J2015="", "", IF(J2015="Long Term", 12.5%, 20%))</f>
        <v/>
      </c>
      <c r="L2015" s="3">
        <f>+IFERROR(IF(J2015="","",H2015*K2015),"")</f>
        <v/>
      </c>
    </row>
    <row r="2016">
      <c r="A2016" s="11" t="n"/>
      <c r="B2016" s="7" t="n"/>
      <c r="C2016" s="8" t="n"/>
      <c r="D2016" s="9" t="n"/>
      <c r="E2016" s="8" t="n"/>
      <c r="F2016" s="9" t="n"/>
      <c r="G2016" s="9" t="n"/>
      <c r="H2016" s="3">
        <f>IF(AND(D2016&lt;&gt;"",F2016&lt;&gt;""),F2016-D2016-G2016,"")</f>
        <v/>
      </c>
      <c r="I2016" s="14">
        <f>IF(E2016&lt;&gt;"", YEARFRAC(C2016, E2016) * 12, "")</f>
        <v/>
      </c>
      <c r="J2016" s="2">
        <f>IF(I2016="", "", IF(AND(A2016="MF (Equity)", I2016&gt;12), "Long Term", "Short Term"))</f>
        <v/>
      </c>
      <c r="K2016" s="5">
        <f>IF(J2016="", "", IF(J2016="Long Term", 12.5%, 20%))</f>
        <v/>
      </c>
      <c r="L2016" s="3">
        <f>+IFERROR(IF(J2016="","",H2016*K2016),"")</f>
        <v/>
      </c>
    </row>
    <row r="2017">
      <c r="A2017" s="11" t="n"/>
      <c r="B2017" s="7" t="n"/>
      <c r="C2017" s="8" t="n"/>
      <c r="D2017" s="9" t="n"/>
      <c r="E2017" s="8" t="n"/>
      <c r="F2017" s="9" t="n"/>
      <c r="G2017" s="9" t="n"/>
      <c r="H2017" s="3">
        <f>IF(AND(D2017&lt;&gt;"",F2017&lt;&gt;""),F2017-D2017-G2017,"")</f>
        <v/>
      </c>
      <c r="I2017" s="14">
        <f>IF(E2017&lt;&gt;"", YEARFRAC(C2017, E2017) * 12, "")</f>
        <v/>
      </c>
      <c r="J2017" s="2">
        <f>IF(I2017="", "", IF(AND(A2017="MF (Equity)", I2017&gt;12), "Long Term", "Short Term"))</f>
        <v/>
      </c>
      <c r="K2017" s="5">
        <f>IF(J2017="", "", IF(J2017="Long Term", 12.5%, 20%))</f>
        <v/>
      </c>
      <c r="L2017" s="3">
        <f>+IFERROR(IF(J2017="","",H2017*K2017),"")</f>
        <v/>
      </c>
    </row>
    <row r="2018">
      <c r="A2018" s="11" t="n"/>
      <c r="B2018" s="7" t="n"/>
      <c r="C2018" s="8" t="n"/>
      <c r="D2018" s="9" t="n"/>
      <c r="E2018" s="8" t="n"/>
      <c r="F2018" s="9" t="n"/>
      <c r="G2018" s="9" t="n"/>
      <c r="H2018" s="3">
        <f>IF(AND(D2018&lt;&gt;"",F2018&lt;&gt;""),F2018-D2018-G2018,"")</f>
        <v/>
      </c>
      <c r="I2018" s="14">
        <f>IF(E2018&lt;&gt;"", YEARFRAC(C2018, E2018) * 12, "")</f>
        <v/>
      </c>
      <c r="J2018" s="2">
        <f>IF(I2018="", "", IF(AND(A2018="MF (Equity)", I2018&gt;12), "Long Term", "Short Term"))</f>
        <v/>
      </c>
      <c r="K2018" s="5">
        <f>IF(J2018="", "", IF(J2018="Long Term", 12.5%, 20%))</f>
        <v/>
      </c>
      <c r="L2018" s="3">
        <f>+IFERROR(IF(J2018="","",H2018*K2018),"")</f>
        <v/>
      </c>
    </row>
    <row r="2019">
      <c r="A2019" s="11" t="n"/>
      <c r="B2019" s="7" t="n"/>
      <c r="C2019" s="8" t="n"/>
      <c r="D2019" s="9" t="n"/>
      <c r="E2019" s="8" t="n"/>
      <c r="F2019" s="9" t="n"/>
      <c r="G2019" s="9" t="n"/>
      <c r="H2019" s="3">
        <f>IF(AND(D2019&lt;&gt;"",F2019&lt;&gt;""),F2019-D2019-G2019,"")</f>
        <v/>
      </c>
      <c r="I2019" s="14">
        <f>IF(E2019&lt;&gt;"", YEARFRAC(C2019, E2019) * 12, "")</f>
        <v/>
      </c>
      <c r="J2019" s="2">
        <f>IF(I2019="", "", IF(AND(A2019="MF (Equity)", I2019&gt;12), "Long Term", "Short Term"))</f>
        <v/>
      </c>
      <c r="K2019" s="5">
        <f>IF(J2019="", "", IF(J2019="Long Term", 12.5%, 20%))</f>
        <v/>
      </c>
      <c r="L2019" s="3">
        <f>+IFERROR(IF(J2019="","",H2019*K2019),"")</f>
        <v/>
      </c>
    </row>
    <row r="2020">
      <c r="A2020" s="11" t="n"/>
      <c r="B2020" s="7" t="n"/>
      <c r="C2020" s="8" t="n"/>
      <c r="D2020" s="9" t="n"/>
      <c r="E2020" s="8" t="n"/>
      <c r="F2020" s="9" t="n"/>
      <c r="G2020" s="9" t="n"/>
      <c r="H2020" s="3">
        <f>IF(AND(D2020&lt;&gt;"",F2020&lt;&gt;""),F2020-D2020-G2020,"")</f>
        <v/>
      </c>
      <c r="I2020" s="14">
        <f>IF(E2020&lt;&gt;"", YEARFRAC(C2020, E2020) * 12, "")</f>
        <v/>
      </c>
      <c r="J2020" s="2">
        <f>IF(I2020="", "", IF(AND(A2020="MF (Equity)", I2020&gt;12), "Long Term", "Short Term"))</f>
        <v/>
      </c>
      <c r="K2020" s="5">
        <f>IF(J2020="", "", IF(J2020="Long Term", 12.5%, 20%))</f>
        <v/>
      </c>
      <c r="L2020" s="3">
        <f>+IFERROR(IF(J2020="","",H2020*K2020),"")</f>
        <v/>
      </c>
    </row>
    <row r="2021">
      <c r="A2021" s="11" t="n"/>
      <c r="B2021" s="7" t="n"/>
      <c r="C2021" s="8" t="n"/>
      <c r="D2021" s="9" t="n"/>
      <c r="E2021" s="8" t="n"/>
      <c r="F2021" s="9" t="n"/>
      <c r="G2021" s="9" t="n"/>
      <c r="H2021" s="3">
        <f>IF(AND(D2021&lt;&gt;"",F2021&lt;&gt;""),F2021-D2021-G2021,"")</f>
        <v/>
      </c>
      <c r="I2021" s="14">
        <f>IF(E2021&lt;&gt;"", YEARFRAC(C2021, E2021) * 12, "")</f>
        <v/>
      </c>
      <c r="J2021" s="2">
        <f>IF(I2021="", "", IF(AND(A2021="MF (Equity)", I2021&gt;12), "Long Term", "Short Term"))</f>
        <v/>
      </c>
      <c r="K2021" s="5">
        <f>IF(J2021="", "", IF(J2021="Long Term", 12.5%, 20%))</f>
        <v/>
      </c>
      <c r="L2021" s="3">
        <f>+IFERROR(IF(J2021="","",H2021*K2021),"")</f>
        <v/>
      </c>
    </row>
    <row r="2022">
      <c r="A2022" s="11" t="n"/>
      <c r="B2022" s="7" t="n"/>
      <c r="C2022" s="8" t="n"/>
      <c r="D2022" s="9" t="n"/>
      <c r="E2022" s="8" t="n"/>
      <c r="F2022" s="9" t="n"/>
      <c r="G2022" s="9" t="n"/>
      <c r="H2022" s="3">
        <f>IF(AND(D2022&lt;&gt;"",F2022&lt;&gt;""),F2022-D2022-G2022,"")</f>
        <v/>
      </c>
      <c r="I2022" s="14">
        <f>IF(E2022&lt;&gt;"", YEARFRAC(C2022, E2022) * 12, "")</f>
        <v/>
      </c>
      <c r="J2022" s="2">
        <f>IF(I2022="", "", IF(AND(A2022="MF (Equity)", I2022&gt;12), "Long Term", "Short Term"))</f>
        <v/>
      </c>
      <c r="K2022" s="5">
        <f>IF(J2022="", "", IF(J2022="Long Term", 12.5%, 20%))</f>
        <v/>
      </c>
      <c r="L2022" s="3">
        <f>+IFERROR(IF(J2022="","",H2022*K2022),"")</f>
        <v/>
      </c>
    </row>
    <row r="2023">
      <c r="A2023" s="11" t="n"/>
      <c r="B2023" s="7" t="n"/>
      <c r="C2023" s="8" t="n"/>
      <c r="D2023" s="9" t="n"/>
      <c r="E2023" s="8" t="n"/>
      <c r="F2023" s="9" t="n"/>
      <c r="G2023" s="9" t="n"/>
      <c r="H2023" s="3">
        <f>IF(AND(D2023&lt;&gt;"",F2023&lt;&gt;""),F2023-D2023-G2023,"")</f>
        <v/>
      </c>
      <c r="I2023" s="14">
        <f>IF(E2023&lt;&gt;"", YEARFRAC(C2023, E2023) * 12, "")</f>
        <v/>
      </c>
      <c r="J2023" s="2">
        <f>IF(I2023="", "", IF(AND(A2023="MF (Equity)", I2023&gt;12), "Long Term", "Short Term"))</f>
        <v/>
      </c>
      <c r="K2023" s="5">
        <f>IF(J2023="", "", IF(J2023="Long Term", 12.5%, 20%))</f>
        <v/>
      </c>
      <c r="L2023" s="3">
        <f>+IFERROR(IF(J2023="","",H2023*K2023),"")</f>
        <v/>
      </c>
    </row>
    <row r="2024">
      <c r="A2024" s="11" t="n"/>
      <c r="B2024" s="7" t="n"/>
      <c r="C2024" s="8" t="n"/>
      <c r="D2024" s="9" t="n"/>
      <c r="E2024" s="8" t="n"/>
      <c r="F2024" s="9" t="n"/>
      <c r="G2024" s="9" t="n"/>
      <c r="H2024" s="3">
        <f>IF(AND(D2024&lt;&gt;"",F2024&lt;&gt;""),F2024-D2024-G2024,"")</f>
        <v/>
      </c>
      <c r="I2024" s="14">
        <f>IF(E2024&lt;&gt;"", YEARFRAC(C2024, E2024) * 12, "")</f>
        <v/>
      </c>
      <c r="J2024" s="2">
        <f>IF(I2024="", "", IF(AND(A2024="MF (Equity)", I2024&gt;12), "Long Term", "Short Term"))</f>
        <v/>
      </c>
      <c r="K2024" s="5">
        <f>IF(J2024="", "", IF(J2024="Long Term", 12.5%, 20%))</f>
        <v/>
      </c>
      <c r="L2024" s="3">
        <f>+IFERROR(IF(J2024="","",H2024*K2024),"")</f>
        <v/>
      </c>
    </row>
    <row r="2025">
      <c r="A2025" s="11" t="n"/>
      <c r="B2025" s="7" t="n"/>
      <c r="C2025" s="8" t="n"/>
      <c r="D2025" s="9" t="n"/>
      <c r="E2025" s="8" t="n"/>
      <c r="F2025" s="9" t="n"/>
      <c r="G2025" s="9" t="n"/>
      <c r="H2025" s="3">
        <f>IF(AND(D2025&lt;&gt;"",F2025&lt;&gt;""),F2025-D2025-G2025,"")</f>
        <v/>
      </c>
      <c r="I2025" s="14">
        <f>IF(E2025&lt;&gt;"", YEARFRAC(C2025, E2025) * 12, "")</f>
        <v/>
      </c>
      <c r="J2025" s="2">
        <f>IF(I2025="", "", IF(AND(A2025="MF (Equity)", I2025&gt;12), "Long Term", "Short Term"))</f>
        <v/>
      </c>
      <c r="K2025" s="5">
        <f>IF(J2025="", "", IF(J2025="Long Term", 12.5%, 20%))</f>
        <v/>
      </c>
      <c r="L2025" s="3">
        <f>+IFERROR(IF(J2025="","",H2025*K2025),"")</f>
        <v/>
      </c>
    </row>
    <row r="2026">
      <c r="A2026" s="11" t="n"/>
      <c r="B2026" s="7" t="n"/>
      <c r="C2026" s="8" t="n"/>
      <c r="D2026" s="9" t="n"/>
      <c r="E2026" s="8" t="n"/>
      <c r="F2026" s="9" t="n"/>
      <c r="G2026" s="9" t="n"/>
      <c r="H2026" s="3">
        <f>IF(AND(D2026&lt;&gt;"",F2026&lt;&gt;""),F2026-D2026-G2026,"")</f>
        <v/>
      </c>
      <c r="I2026" s="14">
        <f>IF(E2026&lt;&gt;"", YEARFRAC(C2026, E2026) * 12, "")</f>
        <v/>
      </c>
      <c r="J2026" s="2">
        <f>IF(I2026="", "", IF(AND(A2026="MF (Equity)", I2026&gt;12), "Long Term", "Short Term"))</f>
        <v/>
      </c>
      <c r="K2026" s="5">
        <f>IF(J2026="", "", IF(J2026="Long Term", 12.5%, 20%))</f>
        <v/>
      </c>
      <c r="L2026" s="3">
        <f>+IFERROR(IF(J2026="","",H2026*K2026),"")</f>
        <v/>
      </c>
    </row>
    <row r="2027">
      <c r="A2027" s="11" t="n"/>
      <c r="B2027" s="7" t="n"/>
      <c r="C2027" s="8" t="n"/>
      <c r="D2027" s="9" t="n"/>
      <c r="E2027" s="8" t="n"/>
      <c r="F2027" s="9" t="n"/>
      <c r="G2027" s="9" t="n"/>
      <c r="H2027" s="3">
        <f>IF(AND(D2027&lt;&gt;"",F2027&lt;&gt;""),F2027-D2027-G2027,"")</f>
        <v/>
      </c>
      <c r="I2027" s="14">
        <f>IF(E2027&lt;&gt;"", YEARFRAC(C2027, E2027) * 12, "")</f>
        <v/>
      </c>
      <c r="J2027" s="2">
        <f>IF(I2027="", "", IF(AND(A2027="MF (Equity)", I2027&gt;12), "Long Term", "Short Term"))</f>
        <v/>
      </c>
      <c r="K2027" s="5">
        <f>IF(J2027="", "", IF(J2027="Long Term", 12.5%, 20%))</f>
        <v/>
      </c>
      <c r="L2027" s="3">
        <f>+IFERROR(IF(J2027="","",H2027*K2027),"")</f>
        <v/>
      </c>
    </row>
    <row r="2028">
      <c r="A2028" s="11" t="n"/>
      <c r="B2028" s="7" t="n"/>
      <c r="C2028" s="8" t="n"/>
      <c r="D2028" s="9" t="n"/>
      <c r="E2028" s="8" t="n"/>
      <c r="F2028" s="9" t="n"/>
      <c r="G2028" s="9" t="n"/>
      <c r="H2028" s="3">
        <f>IF(AND(D2028&lt;&gt;"",F2028&lt;&gt;""),F2028-D2028-G2028,"")</f>
        <v/>
      </c>
      <c r="I2028" s="14">
        <f>IF(E2028&lt;&gt;"", YEARFRAC(C2028, E2028) * 12, "")</f>
        <v/>
      </c>
      <c r="J2028" s="2">
        <f>IF(I2028="", "", IF(AND(A2028="MF (Equity)", I2028&gt;12), "Long Term", "Short Term"))</f>
        <v/>
      </c>
      <c r="K2028" s="5">
        <f>IF(J2028="", "", IF(J2028="Long Term", 12.5%, 20%))</f>
        <v/>
      </c>
      <c r="L2028" s="3">
        <f>+IFERROR(IF(J2028="","",H2028*K2028),"")</f>
        <v/>
      </c>
    </row>
    <row r="2029">
      <c r="A2029" s="11" t="n"/>
      <c r="B2029" s="7" t="n"/>
      <c r="C2029" s="8" t="n"/>
      <c r="D2029" s="9" t="n"/>
      <c r="E2029" s="8" t="n"/>
      <c r="F2029" s="9" t="n"/>
      <c r="G2029" s="9" t="n"/>
      <c r="H2029" s="3">
        <f>IF(AND(D2029&lt;&gt;"",F2029&lt;&gt;""),F2029-D2029-G2029,"")</f>
        <v/>
      </c>
      <c r="I2029" s="14">
        <f>IF(E2029&lt;&gt;"", YEARFRAC(C2029, E2029) * 12, "")</f>
        <v/>
      </c>
      <c r="J2029" s="2">
        <f>IF(I2029="", "", IF(AND(A2029="MF (Equity)", I2029&gt;12), "Long Term", "Short Term"))</f>
        <v/>
      </c>
      <c r="K2029" s="5">
        <f>IF(J2029="", "", IF(J2029="Long Term", 12.5%, 20%))</f>
        <v/>
      </c>
      <c r="L2029" s="3">
        <f>+IFERROR(IF(J2029="","",H2029*K2029),"")</f>
        <v/>
      </c>
    </row>
    <row r="2030">
      <c r="A2030" s="11" t="n"/>
      <c r="B2030" s="7" t="n"/>
      <c r="C2030" s="8" t="n"/>
      <c r="D2030" s="9" t="n"/>
      <c r="E2030" s="8" t="n"/>
      <c r="F2030" s="9" t="n"/>
      <c r="G2030" s="9" t="n"/>
      <c r="H2030" s="3">
        <f>IF(AND(D2030&lt;&gt;"",F2030&lt;&gt;""),F2030-D2030-G2030,"")</f>
        <v/>
      </c>
      <c r="I2030" s="14">
        <f>IF(E2030&lt;&gt;"", YEARFRAC(C2030, E2030) * 12, "")</f>
        <v/>
      </c>
      <c r="J2030" s="2">
        <f>IF(I2030="", "", IF(AND(A2030="MF (Equity)", I2030&gt;12), "Long Term", "Short Term"))</f>
        <v/>
      </c>
      <c r="K2030" s="5">
        <f>IF(J2030="", "", IF(J2030="Long Term", 12.5%, 20%))</f>
        <v/>
      </c>
      <c r="L2030" s="3">
        <f>+IFERROR(IF(J2030="","",H2030*K2030),"")</f>
        <v/>
      </c>
    </row>
    <row r="2031">
      <c r="A2031" s="11" t="n"/>
      <c r="B2031" s="7" t="n"/>
      <c r="C2031" s="8" t="n"/>
      <c r="D2031" s="9" t="n"/>
      <c r="E2031" s="8" t="n"/>
      <c r="F2031" s="9" t="n"/>
      <c r="G2031" s="9" t="n"/>
      <c r="H2031" s="3">
        <f>IF(AND(D2031&lt;&gt;"",F2031&lt;&gt;""),F2031-D2031-G2031,"")</f>
        <v/>
      </c>
      <c r="I2031" s="14">
        <f>IF(E2031&lt;&gt;"", YEARFRAC(C2031, E2031) * 12, "")</f>
        <v/>
      </c>
      <c r="J2031" s="2">
        <f>IF(I2031="", "", IF(AND(A2031="MF (Equity)", I2031&gt;12), "Long Term", "Short Term"))</f>
        <v/>
      </c>
      <c r="K2031" s="5">
        <f>IF(J2031="", "", IF(J2031="Long Term", 12.5%, 20%))</f>
        <v/>
      </c>
      <c r="L2031" s="3">
        <f>+IFERROR(IF(J2031="","",H2031*K2031),"")</f>
        <v/>
      </c>
    </row>
    <row r="2032">
      <c r="A2032" s="11" t="n"/>
      <c r="B2032" s="7" t="n"/>
      <c r="C2032" s="8" t="n"/>
      <c r="D2032" s="9" t="n"/>
      <c r="E2032" s="8" t="n"/>
      <c r="F2032" s="9" t="n"/>
      <c r="G2032" s="9" t="n"/>
      <c r="H2032" s="3">
        <f>IF(AND(D2032&lt;&gt;"",F2032&lt;&gt;""),F2032-D2032-G2032,"")</f>
        <v/>
      </c>
      <c r="I2032" s="14">
        <f>IF(E2032&lt;&gt;"", YEARFRAC(C2032, E2032) * 12, "")</f>
        <v/>
      </c>
      <c r="J2032" s="2">
        <f>IF(I2032="", "", IF(AND(A2032="MF (Equity)", I2032&gt;12), "Long Term", "Short Term"))</f>
        <v/>
      </c>
      <c r="K2032" s="5">
        <f>IF(J2032="", "", IF(J2032="Long Term", 12.5%, 20%))</f>
        <v/>
      </c>
      <c r="L2032" s="3">
        <f>+IFERROR(IF(J2032="","",H2032*K2032),"")</f>
        <v/>
      </c>
    </row>
    <row r="2033">
      <c r="A2033" s="11" t="n"/>
      <c r="B2033" s="7" t="n"/>
      <c r="C2033" s="8" t="n"/>
      <c r="D2033" s="9" t="n"/>
      <c r="E2033" s="8" t="n"/>
      <c r="F2033" s="9" t="n"/>
      <c r="G2033" s="9" t="n"/>
      <c r="H2033" s="3">
        <f>IF(AND(D2033&lt;&gt;"",F2033&lt;&gt;""),F2033-D2033-G2033,"")</f>
        <v/>
      </c>
      <c r="I2033" s="14">
        <f>IF(E2033&lt;&gt;"", YEARFRAC(C2033, E2033) * 12, "")</f>
        <v/>
      </c>
      <c r="J2033" s="2">
        <f>IF(I2033="", "", IF(AND(A2033="MF (Equity)", I2033&gt;12), "Long Term", "Short Term"))</f>
        <v/>
      </c>
      <c r="K2033" s="5">
        <f>IF(J2033="", "", IF(J2033="Long Term", 12.5%, 20%))</f>
        <v/>
      </c>
      <c r="L2033" s="3">
        <f>+IFERROR(IF(J2033="","",H2033*K2033),"")</f>
        <v/>
      </c>
    </row>
    <row r="2034">
      <c r="A2034" s="11" t="n"/>
      <c r="B2034" s="7" t="n"/>
      <c r="C2034" s="8" t="n"/>
      <c r="D2034" s="9" t="n"/>
      <c r="E2034" s="8" t="n"/>
      <c r="F2034" s="9" t="n"/>
      <c r="G2034" s="9" t="n"/>
      <c r="H2034" s="3">
        <f>IF(AND(D2034&lt;&gt;"",F2034&lt;&gt;""),F2034-D2034-G2034,"")</f>
        <v/>
      </c>
      <c r="I2034" s="14">
        <f>IF(E2034&lt;&gt;"", YEARFRAC(C2034, E2034) * 12, "")</f>
        <v/>
      </c>
      <c r="J2034" s="2">
        <f>IF(I2034="", "", IF(AND(A2034="MF (Equity)", I2034&gt;12), "Long Term", "Short Term"))</f>
        <v/>
      </c>
      <c r="K2034" s="5">
        <f>IF(J2034="", "", IF(J2034="Long Term", 12.5%, 20%))</f>
        <v/>
      </c>
      <c r="L2034" s="3">
        <f>+IFERROR(IF(J2034="","",H2034*K2034),"")</f>
        <v/>
      </c>
    </row>
    <row r="2035">
      <c r="A2035" s="11" t="n"/>
      <c r="B2035" s="7" t="n"/>
      <c r="C2035" s="8" t="n"/>
      <c r="D2035" s="9" t="n"/>
      <c r="E2035" s="8" t="n"/>
      <c r="F2035" s="9" t="n"/>
      <c r="G2035" s="9" t="n"/>
      <c r="H2035" s="3">
        <f>IF(AND(D2035&lt;&gt;"",F2035&lt;&gt;""),F2035-D2035-G2035,"")</f>
        <v/>
      </c>
      <c r="I2035" s="14">
        <f>IF(E2035&lt;&gt;"", YEARFRAC(C2035, E2035) * 12, "")</f>
        <v/>
      </c>
      <c r="J2035" s="2">
        <f>IF(I2035="", "", IF(AND(A2035="MF (Equity)", I2035&gt;12), "Long Term", "Short Term"))</f>
        <v/>
      </c>
      <c r="K2035" s="5">
        <f>IF(J2035="", "", IF(J2035="Long Term", 12.5%, 20%))</f>
        <v/>
      </c>
      <c r="L2035" s="3">
        <f>+IFERROR(IF(J2035="","",H2035*K2035),"")</f>
        <v/>
      </c>
    </row>
    <row r="2036">
      <c r="A2036" s="11" t="n"/>
      <c r="B2036" s="7" t="n"/>
      <c r="C2036" s="8" t="n"/>
      <c r="D2036" s="9" t="n"/>
      <c r="E2036" s="8" t="n"/>
      <c r="F2036" s="9" t="n"/>
      <c r="G2036" s="9" t="n"/>
      <c r="H2036" s="3">
        <f>IF(AND(D2036&lt;&gt;"",F2036&lt;&gt;""),F2036-D2036-G2036,"")</f>
        <v/>
      </c>
      <c r="I2036" s="14">
        <f>IF(E2036&lt;&gt;"", YEARFRAC(C2036, E2036) * 12, "")</f>
        <v/>
      </c>
      <c r="J2036" s="2">
        <f>IF(I2036="", "", IF(AND(A2036="MF (Equity)", I2036&gt;12), "Long Term", "Short Term"))</f>
        <v/>
      </c>
      <c r="K2036" s="5">
        <f>IF(J2036="", "", IF(J2036="Long Term", 12.5%, 20%))</f>
        <v/>
      </c>
      <c r="L2036" s="3">
        <f>+IFERROR(IF(J2036="","",H2036*K2036),"")</f>
        <v/>
      </c>
    </row>
    <row r="2037">
      <c r="A2037" s="11" t="n"/>
      <c r="B2037" s="7" t="n"/>
      <c r="C2037" s="8" t="n"/>
      <c r="D2037" s="9" t="n"/>
      <c r="E2037" s="8" t="n"/>
      <c r="F2037" s="9" t="n"/>
      <c r="G2037" s="9" t="n"/>
      <c r="H2037" s="3">
        <f>IF(AND(D2037&lt;&gt;"",F2037&lt;&gt;""),F2037-D2037-G2037,"")</f>
        <v/>
      </c>
      <c r="I2037" s="14">
        <f>IF(E2037&lt;&gt;"", YEARFRAC(C2037, E2037) * 12, "")</f>
        <v/>
      </c>
      <c r="J2037" s="2">
        <f>IF(I2037="", "", IF(AND(A2037="MF (Equity)", I2037&gt;12), "Long Term", "Short Term"))</f>
        <v/>
      </c>
      <c r="K2037" s="5">
        <f>IF(J2037="", "", IF(J2037="Long Term", 12.5%, 20%))</f>
        <v/>
      </c>
      <c r="L2037" s="3">
        <f>+IFERROR(IF(J2037="","",H2037*K2037),"")</f>
        <v/>
      </c>
    </row>
    <row r="2038">
      <c r="A2038" s="11" t="n"/>
      <c r="B2038" s="7" t="n"/>
      <c r="C2038" s="8" t="n"/>
      <c r="D2038" s="9" t="n"/>
      <c r="E2038" s="8" t="n"/>
      <c r="F2038" s="9" t="n"/>
      <c r="G2038" s="9" t="n"/>
      <c r="H2038" s="3">
        <f>IF(AND(D2038&lt;&gt;"",F2038&lt;&gt;""),F2038-D2038-G2038,"")</f>
        <v/>
      </c>
      <c r="I2038" s="14">
        <f>IF(E2038&lt;&gt;"", YEARFRAC(C2038, E2038) * 12, "")</f>
        <v/>
      </c>
      <c r="J2038" s="2">
        <f>IF(I2038="", "", IF(AND(A2038="MF (Equity)", I2038&gt;12), "Long Term", "Short Term"))</f>
        <v/>
      </c>
      <c r="K2038" s="5">
        <f>IF(J2038="", "", IF(J2038="Long Term", 12.5%, 20%))</f>
        <v/>
      </c>
      <c r="L2038" s="3">
        <f>+IFERROR(IF(J2038="","",H2038*K2038),"")</f>
        <v/>
      </c>
    </row>
    <row r="2039">
      <c r="A2039" s="11" t="n"/>
      <c r="B2039" s="7" t="n"/>
      <c r="C2039" s="8" t="n"/>
      <c r="D2039" s="9" t="n"/>
      <c r="E2039" s="8" t="n"/>
      <c r="F2039" s="9" t="n"/>
      <c r="G2039" s="9" t="n"/>
      <c r="H2039" s="3">
        <f>IF(AND(D2039&lt;&gt;"",F2039&lt;&gt;""),F2039-D2039-G2039,"")</f>
        <v/>
      </c>
      <c r="I2039" s="14">
        <f>IF(E2039&lt;&gt;"", YEARFRAC(C2039, E2039) * 12, "")</f>
        <v/>
      </c>
      <c r="J2039" s="2">
        <f>IF(I2039="", "", IF(AND(A2039="MF (Equity)", I2039&gt;12), "Long Term", "Short Term"))</f>
        <v/>
      </c>
      <c r="K2039" s="5">
        <f>IF(J2039="", "", IF(J2039="Long Term", 12.5%, 20%))</f>
        <v/>
      </c>
      <c r="L2039" s="3">
        <f>+IFERROR(IF(J2039="","",H2039*K2039),"")</f>
        <v/>
      </c>
    </row>
    <row r="2040">
      <c r="A2040" s="11" t="n"/>
      <c r="B2040" s="7" t="n"/>
      <c r="C2040" s="8" t="n"/>
      <c r="D2040" s="9" t="n"/>
      <c r="E2040" s="8" t="n"/>
      <c r="F2040" s="9" t="n"/>
      <c r="G2040" s="9" t="n"/>
      <c r="H2040" s="3">
        <f>IF(AND(D2040&lt;&gt;"",F2040&lt;&gt;""),F2040-D2040-G2040,"")</f>
        <v/>
      </c>
      <c r="I2040" s="14">
        <f>IF(E2040&lt;&gt;"", YEARFRAC(C2040, E2040) * 12, "")</f>
        <v/>
      </c>
      <c r="J2040" s="2">
        <f>IF(I2040="", "", IF(AND(A2040="MF (Equity)", I2040&gt;12), "Long Term", "Short Term"))</f>
        <v/>
      </c>
      <c r="K2040" s="5">
        <f>IF(J2040="", "", IF(J2040="Long Term", 12.5%, 20%))</f>
        <v/>
      </c>
      <c r="L2040" s="3">
        <f>+IFERROR(IF(J2040="","",H2040*K2040),"")</f>
        <v/>
      </c>
    </row>
    <row r="2041">
      <c r="A2041" s="11" t="n"/>
      <c r="B2041" s="7" t="n"/>
      <c r="C2041" s="8" t="n"/>
      <c r="D2041" s="9" t="n"/>
      <c r="E2041" s="8" t="n"/>
      <c r="F2041" s="9" t="n"/>
      <c r="G2041" s="9" t="n"/>
      <c r="H2041" s="3">
        <f>IF(AND(D2041&lt;&gt;"",F2041&lt;&gt;""),F2041-D2041-G2041,"")</f>
        <v/>
      </c>
      <c r="I2041" s="14">
        <f>IF(E2041&lt;&gt;"", YEARFRAC(C2041, E2041) * 12, "")</f>
        <v/>
      </c>
      <c r="J2041" s="2">
        <f>IF(I2041="", "", IF(AND(A2041="MF (Equity)", I2041&gt;12), "Long Term", "Short Term"))</f>
        <v/>
      </c>
      <c r="K2041" s="5">
        <f>IF(J2041="", "", IF(J2041="Long Term", 12.5%, 20%))</f>
        <v/>
      </c>
      <c r="L2041" s="3">
        <f>+IFERROR(IF(J2041="","",H2041*K2041),"")</f>
        <v/>
      </c>
    </row>
    <row r="2042">
      <c r="A2042" s="11" t="n"/>
      <c r="B2042" s="7" t="n"/>
      <c r="C2042" s="8" t="n"/>
      <c r="D2042" s="9" t="n"/>
      <c r="E2042" s="8" t="n"/>
      <c r="F2042" s="9" t="n"/>
      <c r="G2042" s="9" t="n"/>
      <c r="H2042" s="3">
        <f>IF(AND(D2042&lt;&gt;"",F2042&lt;&gt;""),F2042-D2042-G2042,"")</f>
        <v/>
      </c>
      <c r="I2042" s="14">
        <f>IF(E2042&lt;&gt;"", YEARFRAC(C2042, E2042) * 12, "")</f>
        <v/>
      </c>
      <c r="J2042" s="2">
        <f>IF(I2042="", "", IF(AND(A2042="MF (Equity)", I2042&gt;12), "Long Term", "Short Term"))</f>
        <v/>
      </c>
      <c r="K2042" s="5">
        <f>IF(J2042="", "", IF(J2042="Long Term", 12.5%, 20%))</f>
        <v/>
      </c>
      <c r="L2042" s="3">
        <f>+IFERROR(IF(J2042="","",H2042*K2042),"")</f>
        <v/>
      </c>
    </row>
    <row r="2043">
      <c r="A2043" s="11" t="n"/>
      <c r="B2043" s="7" t="n"/>
      <c r="C2043" s="8" t="n"/>
      <c r="D2043" s="9" t="n"/>
      <c r="E2043" s="8" t="n"/>
      <c r="F2043" s="9" t="n"/>
      <c r="G2043" s="9" t="n"/>
      <c r="H2043" s="3">
        <f>IF(AND(D2043&lt;&gt;"",F2043&lt;&gt;""),F2043-D2043-G2043,"")</f>
        <v/>
      </c>
      <c r="I2043" s="14">
        <f>IF(E2043&lt;&gt;"", YEARFRAC(C2043, E2043) * 12, "")</f>
        <v/>
      </c>
      <c r="J2043" s="2">
        <f>IF(I2043="", "", IF(AND(A2043="MF (Equity)", I2043&gt;12), "Long Term", "Short Term"))</f>
        <v/>
      </c>
      <c r="K2043" s="5">
        <f>IF(J2043="", "", IF(J2043="Long Term", 12.5%, 20%))</f>
        <v/>
      </c>
      <c r="L2043" s="3">
        <f>+IFERROR(IF(J2043="","",H2043*K2043),"")</f>
        <v/>
      </c>
    </row>
    <row r="2044">
      <c r="A2044" s="11" t="n"/>
      <c r="B2044" s="7" t="n"/>
      <c r="C2044" s="8" t="n"/>
      <c r="D2044" s="9" t="n"/>
      <c r="E2044" s="8" t="n"/>
      <c r="F2044" s="9" t="n"/>
      <c r="G2044" s="9" t="n"/>
      <c r="H2044" s="3">
        <f>IF(AND(D2044&lt;&gt;"",F2044&lt;&gt;""),F2044-D2044-G2044,"")</f>
        <v/>
      </c>
      <c r="I2044" s="14">
        <f>IF(E2044&lt;&gt;"", YEARFRAC(C2044, E2044) * 12, "")</f>
        <v/>
      </c>
      <c r="J2044" s="2">
        <f>IF(I2044="", "", IF(AND(A2044="MF (Equity)", I2044&gt;12), "Long Term", "Short Term"))</f>
        <v/>
      </c>
      <c r="K2044" s="5">
        <f>IF(J2044="", "", IF(J2044="Long Term", 12.5%, 20%))</f>
        <v/>
      </c>
      <c r="L2044" s="3">
        <f>+IFERROR(IF(J2044="","",H2044*K2044),"")</f>
        <v/>
      </c>
    </row>
    <row r="2045">
      <c r="A2045" s="11" t="n"/>
      <c r="B2045" s="7" t="n"/>
      <c r="C2045" s="8" t="n"/>
      <c r="D2045" s="9" t="n"/>
      <c r="E2045" s="8" t="n"/>
      <c r="F2045" s="9" t="n"/>
      <c r="G2045" s="9" t="n"/>
      <c r="H2045" s="3">
        <f>IF(AND(D2045&lt;&gt;"",F2045&lt;&gt;""),F2045-D2045-G2045,"")</f>
        <v/>
      </c>
      <c r="I2045" s="14">
        <f>IF(E2045&lt;&gt;"", YEARFRAC(C2045, E2045) * 12, "")</f>
        <v/>
      </c>
      <c r="J2045" s="2">
        <f>IF(I2045="", "", IF(AND(A2045="MF (Equity)", I2045&gt;12), "Long Term", "Short Term"))</f>
        <v/>
      </c>
      <c r="K2045" s="5">
        <f>IF(J2045="", "", IF(J2045="Long Term", 12.5%, 20%))</f>
        <v/>
      </c>
      <c r="L2045" s="3">
        <f>+IFERROR(IF(J2045="","",H2045*K2045),"")</f>
        <v/>
      </c>
    </row>
    <row r="2046">
      <c r="A2046" s="11" t="n"/>
      <c r="B2046" s="7" t="n"/>
      <c r="C2046" s="8" t="n"/>
      <c r="D2046" s="9" t="n"/>
      <c r="E2046" s="8" t="n"/>
      <c r="F2046" s="9" t="n"/>
      <c r="G2046" s="9" t="n"/>
      <c r="H2046" s="3">
        <f>IF(AND(D2046&lt;&gt;"",F2046&lt;&gt;""),F2046-D2046-G2046,"")</f>
        <v/>
      </c>
      <c r="I2046" s="14">
        <f>IF(E2046&lt;&gt;"", YEARFRAC(C2046, E2046) * 12, "")</f>
        <v/>
      </c>
      <c r="J2046" s="2">
        <f>IF(I2046="", "", IF(AND(A2046="MF (Equity)", I2046&gt;12), "Long Term", "Short Term"))</f>
        <v/>
      </c>
      <c r="K2046" s="5">
        <f>IF(J2046="", "", IF(J2046="Long Term", 12.5%, 20%))</f>
        <v/>
      </c>
      <c r="L2046" s="3">
        <f>+IFERROR(IF(J2046="","",H2046*K2046),"")</f>
        <v/>
      </c>
    </row>
    <row r="2047">
      <c r="A2047" s="11" t="n"/>
      <c r="B2047" s="7" t="n"/>
      <c r="C2047" s="8" t="n"/>
      <c r="D2047" s="9" t="n"/>
      <c r="E2047" s="8" t="n"/>
      <c r="F2047" s="9" t="n"/>
      <c r="G2047" s="9" t="n"/>
      <c r="H2047" s="3">
        <f>IF(AND(D2047&lt;&gt;"",F2047&lt;&gt;""),F2047-D2047-G2047,"")</f>
        <v/>
      </c>
      <c r="I2047" s="14">
        <f>IF(E2047&lt;&gt;"", YEARFRAC(C2047, E2047) * 12, "")</f>
        <v/>
      </c>
      <c r="J2047" s="2">
        <f>IF(I2047="", "", IF(AND(A2047="MF (Equity)", I2047&gt;12), "Long Term", "Short Term"))</f>
        <v/>
      </c>
      <c r="K2047" s="5">
        <f>IF(J2047="", "", IF(J2047="Long Term", 12.5%, 20%))</f>
        <v/>
      </c>
      <c r="L2047" s="3">
        <f>+IFERROR(IF(J2047="","",H2047*K2047),"")</f>
        <v/>
      </c>
    </row>
    <row r="2048">
      <c r="A2048" s="11" t="n"/>
      <c r="B2048" s="7" t="n"/>
      <c r="C2048" s="8" t="n"/>
      <c r="D2048" s="9" t="n"/>
      <c r="E2048" s="8" t="n"/>
      <c r="F2048" s="9" t="n"/>
      <c r="G2048" s="9" t="n"/>
      <c r="H2048" s="3">
        <f>IF(AND(D2048&lt;&gt;"",F2048&lt;&gt;""),F2048-D2048-G2048,"")</f>
        <v/>
      </c>
      <c r="I2048" s="14">
        <f>IF(E2048&lt;&gt;"", YEARFRAC(C2048, E2048) * 12, "")</f>
        <v/>
      </c>
      <c r="J2048" s="2">
        <f>IF(I2048="", "", IF(AND(A2048="MF (Equity)", I2048&gt;12), "Long Term", "Short Term"))</f>
        <v/>
      </c>
      <c r="K2048" s="5">
        <f>IF(J2048="", "", IF(J2048="Long Term", 12.5%, 20%))</f>
        <v/>
      </c>
      <c r="L2048" s="3">
        <f>+IFERROR(IF(J2048="","",H2048*K2048),"")</f>
        <v/>
      </c>
    </row>
    <row r="2049">
      <c r="A2049" s="11" t="n"/>
      <c r="B2049" s="7" t="n"/>
      <c r="C2049" s="8" t="n"/>
      <c r="D2049" s="9" t="n"/>
      <c r="E2049" s="8" t="n"/>
      <c r="F2049" s="9" t="n"/>
      <c r="G2049" s="9" t="n"/>
      <c r="H2049" s="3">
        <f>IF(AND(D2049&lt;&gt;"",F2049&lt;&gt;""),F2049-D2049-G2049,"")</f>
        <v/>
      </c>
      <c r="I2049" s="14">
        <f>IF(E2049&lt;&gt;"", YEARFRAC(C2049, E2049) * 12, "")</f>
        <v/>
      </c>
      <c r="J2049" s="2">
        <f>IF(I2049="", "", IF(AND(A2049="MF (Equity)", I2049&gt;12), "Long Term", "Short Term"))</f>
        <v/>
      </c>
      <c r="K2049" s="5">
        <f>IF(J2049="", "", IF(J2049="Long Term", 12.5%, 20%))</f>
        <v/>
      </c>
      <c r="L2049" s="3">
        <f>+IFERROR(IF(J2049="","",H2049*K2049),"")</f>
        <v/>
      </c>
    </row>
    <row r="2050">
      <c r="A2050" s="11" t="n"/>
      <c r="B2050" s="7" t="n"/>
      <c r="C2050" s="8" t="n"/>
      <c r="D2050" s="9" t="n"/>
      <c r="E2050" s="8" t="n"/>
      <c r="F2050" s="9" t="n"/>
      <c r="G2050" s="9" t="n"/>
      <c r="H2050" s="3">
        <f>IF(AND(D2050&lt;&gt;"",F2050&lt;&gt;""),F2050-D2050-G2050,"")</f>
        <v/>
      </c>
      <c r="I2050" s="14">
        <f>IF(E2050&lt;&gt;"", YEARFRAC(C2050, E2050) * 12, "")</f>
        <v/>
      </c>
      <c r="J2050" s="2">
        <f>IF(I2050="", "", IF(AND(A2050="MF (Equity)", I2050&gt;12), "Long Term", "Short Term"))</f>
        <v/>
      </c>
      <c r="K2050" s="5">
        <f>IF(J2050="", "", IF(J2050="Long Term", 12.5%, 20%))</f>
        <v/>
      </c>
      <c r="L2050" s="3">
        <f>+IFERROR(IF(J2050="","",H2050*K2050),"")</f>
        <v/>
      </c>
    </row>
    <row r="2051">
      <c r="A2051" s="11" t="n"/>
      <c r="B2051" s="7" t="n"/>
      <c r="C2051" s="8" t="n"/>
      <c r="D2051" s="9" t="n"/>
      <c r="E2051" s="8" t="n"/>
      <c r="F2051" s="9" t="n"/>
      <c r="G2051" s="9" t="n"/>
      <c r="H2051" s="3">
        <f>IF(AND(D2051&lt;&gt;"",F2051&lt;&gt;""),F2051-D2051-G2051,"")</f>
        <v/>
      </c>
      <c r="I2051" s="14">
        <f>IF(E2051&lt;&gt;"", YEARFRAC(C2051, E2051) * 12, "")</f>
        <v/>
      </c>
      <c r="J2051" s="2">
        <f>IF(I2051="", "", IF(AND(A2051="MF (Equity)", I2051&gt;12), "Long Term", "Short Term"))</f>
        <v/>
      </c>
      <c r="K2051" s="5">
        <f>IF(J2051="", "", IF(J2051="Long Term", 12.5%, 20%))</f>
        <v/>
      </c>
      <c r="L2051" s="3">
        <f>+IFERROR(IF(J2051="","",H2051*K2051),"")</f>
        <v/>
      </c>
    </row>
    <row r="2052">
      <c r="A2052" s="11" t="n"/>
      <c r="B2052" s="7" t="n"/>
      <c r="C2052" s="8" t="n"/>
      <c r="D2052" s="9" t="n"/>
      <c r="E2052" s="8" t="n"/>
      <c r="F2052" s="9" t="n"/>
      <c r="G2052" s="9" t="n"/>
      <c r="H2052" s="3">
        <f>IF(AND(D2052&lt;&gt;"",F2052&lt;&gt;""),F2052-D2052-G2052,"")</f>
        <v/>
      </c>
      <c r="I2052" s="14">
        <f>IF(E2052&lt;&gt;"", YEARFRAC(C2052, E2052) * 12, "")</f>
        <v/>
      </c>
      <c r="J2052" s="2">
        <f>IF(I2052="", "", IF(AND(A2052="MF (Equity)", I2052&gt;12), "Long Term", "Short Term"))</f>
        <v/>
      </c>
      <c r="K2052" s="5">
        <f>IF(J2052="", "", IF(J2052="Long Term", 12.5%, 20%))</f>
        <v/>
      </c>
      <c r="L2052" s="3">
        <f>+IFERROR(IF(J2052="","",H2052*K2052),"")</f>
        <v/>
      </c>
    </row>
    <row r="2053">
      <c r="A2053" s="11" t="n"/>
      <c r="B2053" s="7" t="n"/>
      <c r="C2053" s="8" t="n"/>
      <c r="D2053" s="9" t="n"/>
      <c r="E2053" s="8" t="n"/>
      <c r="F2053" s="9" t="n"/>
      <c r="G2053" s="9" t="n"/>
      <c r="H2053" s="3">
        <f>IF(AND(D2053&lt;&gt;"",F2053&lt;&gt;""),F2053-D2053-G2053,"")</f>
        <v/>
      </c>
      <c r="I2053" s="14">
        <f>IF(E2053&lt;&gt;"", YEARFRAC(C2053, E2053) * 12, "")</f>
        <v/>
      </c>
      <c r="J2053" s="2">
        <f>IF(I2053="", "", IF(AND(A2053="MF (Equity)", I2053&gt;12), "Long Term", "Short Term"))</f>
        <v/>
      </c>
      <c r="K2053" s="5">
        <f>IF(J2053="", "", IF(J2053="Long Term", 12.5%, 20%))</f>
        <v/>
      </c>
      <c r="L2053" s="3">
        <f>+IFERROR(IF(J2053="","",H2053*K2053),"")</f>
        <v/>
      </c>
    </row>
    <row r="2054">
      <c r="A2054" s="11" t="n"/>
      <c r="B2054" s="7" t="n"/>
      <c r="C2054" s="8" t="n"/>
      <c r="D2054" s="9" t="n"/>
      <c r="E2054" s="8" t="n"/>
      <c r="F2054" s="9" t="n"/>
      <c r="G2054" s="9" t="n"/>
      <c r="H2054" s="3">
        <f>IF(AND(D2054&lt;&gt;"",F2054&lt;&gt;""),F2054-D2054-G2054,"")</f>
        <v/>
      </c>
      <c r="I2054" s="14">
        <f>IF(E2054&lt;&gt;"", YEARFRAC(C2054, E2054) * 12, "")</f>
        <v/>
      </c>
      <c r="J2054" s="2">
        <f>IF(I2054="", "", IF(AND(A2054="MF (Equity)", I2054&gt;12), "Long Term", "Short Term"))</f>
        <v/>
      </c>
      <c r="K2054" s="5">
        <f>IF(J2054="", "", IF(J2054="Long Term", 12.5%, 20%))</f>
        <v/>
      </c>
      <c r="L2054" s="3">
        <f>+IFERROR(IF(J2054="","",H2054*K2054),"")</f>
        <v/>
      </c>
    </row>
    <row r="2055">
      <c r="A2055" s="11" t="n"/>
      <c r="B2055" s="7" t="n"/>
      <c r="C2055" s="8" t="n"/>
      <c r="D2055" s="9" t="n"/>
      <c r="E2055" s="8" t="n"/>
      <c r="F2055" s="9" t="n"/>
      <c r="G2055" s="9" t="n"/>
      <c r="H2055" s="3">
        <f>IF(AND(D2055&lt;&gt;"",F2055&lt;&gt;""),F2055-D2055-G2055,"")</f>
        <v/>
      </c>
      <c r="I2055" s="14">
        <f>IF(E2055&lt;&gt;"", YEARFRAC(C2055, E2055) * 12, "")</f>
        <v/>
      </c>
      <c r="J2055" s="2">
        <f>IF(I2055="", "", IF(AND(A2055="MF (Equity)", I2055&gt;12), "Long Term", "Short Term"))</f>
        <v/>
      </c>
      <c r="K2055" s="5">
        <f>IF(J2055="", "", IF(J2055="Long Term", 12.5%, 20%))</f>
        <v/>
      </c>
      <c r="L2055" s="3">
        <f>+IFERROR(IF(J2055="","",H2055*K2055),"")</f>
        <v/>
      </c>
    </row>
    <row r="2056">
      <c r="A2056" s="11" t="n"/>
      <c r="B2056" s="7" t="n"/>
      <c r="C2056" s="8" t="n"/>
      <c r="D2056" s="9" t="n"/>
      <c r="E2056" s="8" t="n"/>
      <c r="F2056" s="9" t="n"/>
      <c r="G2056" s="9" t="n"/>
      <c r="H2056" s="3">
        <f>IF(AND(D2056&lt;&gt;"",F2056&lt;&gt;""),F2056-D2056-G2056,"")</f>
        <v/>
      </c>
      <c r="I2056" s="14">
        <f>IF(E2056&lt;&gt;"", YEARFRAC(C2056, E2056) * 12, "")</f>
        <v/>
      </c>
      <c r="J2056" s="2">
        <f>IF(I2056="", "", IF(AND(A2056="MF (Equity)", I2056&gt;12), "Long Term", "Short Term"))</f>
        <v/>
      </c>
      <c r="K2056" s="5">
        <f>IF(J2056="", "", IF(J2056="Long Term", 12.5%, 20%))</f>
        <v/>
      </c>
      <c r="L2056" s="3">
        <f>+IFERROR(IF(J2056="","",H2056*K2056),"")</f>
        <v/>
      </c>
    </row>
    <row r="2057">
      <c r="A2057" s="11" t="n"/>
      <c r="B2057" s="7" t="n"/>
      <c r="C2057" s="8" t="n"/>
      <c r="D2057" s="9" t="n"/>
      <c r="E2057" s="8" t="n"/>
      <c r="F2057" s="9" t="n"/>
      <c r="G2057" s="9" t="n"/>
      <c r="H2057" s="3">
        <f>IF(AND(D2057&lt;&gt;"",F2057&lt;&gt;""),F2057-D2057-G2057,"")</f>
        <v/>
      </c>
      <c r="I2057" s="14">
        <f>IF(E2057&lt;&gt;"", YEARFRAC(C2057, E2057) * 12, "")</f>
        <v/>
      </c>
      <c r="J2057" s="2">
        <f>IF(I2057="", "", IF(AND(A2057="MF (Equity)", I2057&gt;12), "Long Term", "Short Term"))</f>
        <v/>
      </c>
      <c r="K2057" s="5">
        <f>IF(J2057="", "", IF(J2057="Long Term", 12.5%, 20%))</f>
        <v/>
      </c>
      <c r="L2057" s="3">
        <f>+IFERROR(IF(J2057="","",H2057*K2057),"")</f>
        <v/>
      </c>
    </row>
    <row r="2058">
      <c r="A2058" s="11" t="n"/>
      <c r="B2058" s="7" t="n"/>
      <c r="C2058" s="8" t="n"/>
      <c r="D2058" s="9" t="n"/>
      <c r="E2058" s="8" t="n"/>
      <c r="F2058" s="9" t="n"/>
      <c r="G2058" s="9" t="n"/>
      <c r="H2058" s="3">
        <f>IF(AND(D2058&lt;&gt;"",F2058&lt;&gt;""),F2058-D2058-G2058,"")</f>
        <v/>
      </c>
      <c r="I2058" s="14">
        <f>IF(E2058&lt;&gt;"", YEARFRAC(C2058, E2058) * 12, "")</f>
        <v/>
      </c>
      <c r="J2058" s="2">
        <f>IF(I2058="", "", IF(AND(A2058="MF (Equity)", I2058&gt;12), "Long Term", "Short Term"))</f>
        <v/>
      </c>
      <c r="K2058" s="5">
        <f>IF(J2058="", "", IF(J2058="Long Term", 12.5%, 20%))</f>
        <v/>
      </c>
      <c r="L2058" s="3">
        <f>+IFERROR(IF(J2058="","",H2058*K2058),"")</f>
        <v/>
      </c>
    </row>
    <row r="2059">
      <c r="A2059" s="11" t="n"/>
      <c r="B2059" s="7" t="n"/>
      <c r="C2059" s="8" t="n"/>
      <c r="D2059" s="9" t="n"/>
      <c r="E2059" s="8" t="n"/>
      <c r="F2059" s="9" t="n"/>
      <c r="G2059" s="9" t="n"/>
      <c r="H2059" s="3">
        <f>IF(AND(D2059&lt;&gt;"",F2059&lt;&gt;""),F2059-D2059-G2059,"")</f>
        <v/>
      </c>
      <c r="I2059" s="14">
        <f>IF(E2059&lt;&gt;"", YEARFRAC(C2059, E2059) * 12, "")</f>
        <v/>
      </c>
      <c r="J2059" s="2">
        <f>IF(I2059="", "", IF(AND(A2059="MF (Equity)", I2059&gt;12), "Long Term", "Short Term"))</f>
        <v/>
      </c>
      <c r="K2059" s="5">
        <f>IF(J2059="", "", IF(J2059="Long Term", 12.5%, 20%))</f>
        <v/>
      </c>
      <c r="L2059" s="3">
        <f>+IFERROR(IF(J2059="","",H2059*K2059),"")</f>
        <v/>
      </c>
    </row>
    <row r="2060">
      <c r="A2060" s="11" t="n"/>
      <c r="B2060" s="7" t="n"/>
      <c r="C2060" s="8" t="n"/>
      <c r="D2060" s="9" t="n"/>
      <c r="E2060" s="8" t="n"/>
      <c r="F2060" s="9" t="n"/>
      <c r="G2060" s="9" t="n"/>
      <c r="H2060" s="3">
        <f>IF(AND(D2060&lt;&gt;"",F2060&lt;&gt;""),F2060-D2060-G2060,"")</f>
        <v/>
      </c>
      <c r="I2060" s="14">
        <f>IF(E2060&lt;&gt;"", YEARFRAC(C2060, E2060) * 12, "")</f>
        <v/>
      </c>
      <c r="J2060" s="2">
        <f>IF(I2060="", "", IF(AND(A2060="MF (Equity)", I2060&gt;12), "Long Term", "Short Term"))</f>
        <v/>
      </c>
      <c r="K2060" s="5">
        <f>IF(J2060="", "", IF(J2060="Long Term", 12.5%, 20%))</f>
        <v/>
      </c>
      <c r="L2060" s="3">
        <f>+IFERROR(IF(J2060="","",H2060*K2060),"")</f>
        <v/>
      </c>
    </row>
    <row r="2061">
      <c r="A2061" s="11" t="n"/>
      <c r="B2061" s="7" t="n"/>
      <c r="C2061" s="8" t="n"/>
      <c r="D2061" s="9" t="n"/>
      <c r="E2061" s="8" t="n"/>
      <c r="F2061" s="9" t="n"/>
      <c r="G2061" s="9" t="n"/>
      <c r="H2061" s="3">
        <f>IF(AND(D2061&lt;&gt;"",F2061&lt;&gt;""),F2061-D2061-G2061,"")</f>
        <v/>
      </c>
      <c r="I2061" s="14">
        <f>IF(E2061&lt;&gt;"", YEARFRAC(C2061, E2061) * 12, "")</f>
        <v/>
      </c>
      <c r="J2061" s="2">
        <f>IF(I2061="", "", IF(AND(A2061="MF (Equity)", I2061&gt;12), "Long Term", "Short Term"))</f>
        <v/>
      </c>
      <c r="K2061" s="5">
        <f>IF(J2061="", "", IF(J2061="Long Term", 12.5%, 20%))</f>
        <v/>
      </c>
      <c r="L2061" s="3">
        <f>+IFERROR(IF(J2061="","",H2061*K2061),"")</f>
        <v/>
      </c>
    </row>
    <row r="2062">
      <c r="A2062" s="11" t="n"/>
      <c r="B2062" s="7" t="n"/>
      <c r="C2062" s="8" t="n"/>
      <c r="D2062" s="9" t="n"/>
      <c r="E2062" s="8" t="n"/>
      <c r="F2062" s="9" t="n"/>
      <c r="G2062" s="9" t="n"/>
      <c r="H2062" s="3">
        <f>IF(AND(D2062&lt;&gt;"",F2062&lt;&gt;""),F2062-D2062-G2062,"")</f>
        <v/>
      </c>
      <c r="I2062" s="14">
        <f>IF(E2062&lt;&gt;"", YEARFRAC(C2062, E2062) * 12, "")</f>
        <v/>
      </c>
      <c r="J2062" s="2">
        <f>IF(I2062="", "", IF(AND(A2062="MF (Equity)", I2062&gt;12), "Long Term", "Short Term"))</f>
        <v/>
      </c>
      <c r="K2062" s="5">
        <f>IF(J2062="", "", IF(J2062="Long Term", 12.5%, 20%))</f>
        <v/>
      </c>
      <c r="L2062" s="3">
        <f>+IFERROR(IF(J2062="","",H2062*K2062),"")</f>
        <v/>
      </c>
    </row>
    <row r="2063">
      <c r="A2063" s="11" t="n"/>
      <c r="B2063" s="7" t="n"/>
      <c r="C2063" s="8" t="n"/>
      <c r="D2063" s="9" t="n"/>
      <c r="E2063" s="8" t="n"/>
      <c r="F2063" s="9" t="n"/>
      <c r="G2063" s="9" t="n"/>
      <c r="H2063" s="3">
        <f>IF(AND(D2063&lt;&gt;"",F2063&lt;&gt;""),F2063-D2063-G2063,"")</f>
        <v/>
      </c>
      <c r="I2063" s="14">
        <f>IF(E2063&lt;&gt;"", YEARFRAC(C2063, E2063) * 12, "")</f>
        <v/>
      </c>
      <c r="J2063" s="2">
        <f>IF(I2063="", "", IF(AND(A2063="MF (Equity)", I2063&gt;12), "Long Term", "Short Term"))</f>
        <v/>
      </c>
      <c r="K2063" s="5">
        <f>IF(J2063="", "", IF(J2063="Long Term", 12.5%, 20%))</f>
        <v/>
      </c>
      <c r="L2063" s="3">
        <f>+IFERROR(IF(J2063="","",H2063*K2063),"")</f>
        <v/>
      </c>
    </row>
    <row r="2064">
      <c r="A2064" s="11" t="n"/>
      <c r="B2064" s="7" t="n"/>
      <c r="C2064" s="8" t="n"/>
      <c r="D2064" s="9" t="n"/>
      <c r="E2064" s="8" t="n"/>
      <c r="F2064" s="9" t="n"/>
      <c r="G2064" s="9" t="n"/>
      <c r="H2064" s="3">
        <f>IF(AND(D2064&lt;&gt;"",F2064&lt;&gt;""),F2064-D2064-G2064,"")</f>
        <v/>
      </c>
      <c r="I2064" s="14">
        <f>IF(E2064&lt;&gt;"", YEARFRAC(C2064, E2064) * 12, "")</f>
        <v/>
      </c>
      <c r="J2064" s="2">
        <f>IF(I2064="", "", IF(AND(A2064="MF (Equity)", I2064&gt;12), "Long Term", "Short Term"))</f>
        <v/>
      </c>
      <c r="K2064" s="5">
        <f>IF(J2064="", "", IF(J2064="Long Term", 12.5%, 20%))</f>
        <v/>
      </c>
      <c r="L2064" s="3">
        <f>+IFERROR(IF(J2064="","",H2064*K2064),"")</f>
        <v/>
      </c>
    </row>
    <row r="2065">
      <c r="A2065" s="11" t="n"/>
      <c r="B2065" s="7" t="n"/>
      <c r="C2065" s="8" t="n"/>
      <c r="D2065" s="9" t="n"/>
      <c r="E2065" s="8" t="n"/>
      <c r="F2065" s="9" t="n"/>
      <c r="G2065" s="9" t="n"/>
      <c r="H2065" s="3">
        <f>IF(AND(D2065&lt;&gt;"",F2065&lt;&gt;""),F2065-D2065-G2065,"")</f>
        <v/>
      </c>
      <c r="I2065" s="14">
        <f>IF(E2065&lt;&gt;"", YEARFRAC(C2065, E2065) * 12, "")</f>
        <v/>
      </c>
      <c r="J2065" s="2">
        <f>IF(I2065="", "", IF(AND(A2065="MF (Equity)", I2065&gt;12), "Long Term", "Short Term"))</f>
        <v/>
      </c>
      <c r="K2065" s="5">
        <f>IF(J2065="", "", IF(J2065="Long Term", 12.5%, 20%))</f>
        <v/>
      </c>
      <c r="L2065" s="3">
        <f>+IFERROR(IF(J2065="","",H2065*K2065),"")</f>
        <v/>
      </c>
    </row>
    <row r="2066">
      <c r="A2066" s="11" t="n"/>
      <c r="B2066" s="7" t="n"/>
      <c r="C2066" s="8" t="n"/>
      <c r="D2066" s="9" t="n"/>
      <c r="E2066" s="8" t="n"/>
      <c r="F2066" s="9" t="n"/>
      <c r="G2066" s="9" t="n"/>
      <c r="H2066" s="3">
        <f>IF(AND(D2066&lt;&gt;"",F2066&lt;&gt;""),F2066-D2066-G2066,"")</f>
        <v/>
      </c>
      <c r="I2066" s="14">
        <f>IF(E2066&lt;&gt;"", YEARFRAC(C2066, E2066) * 12, "")</f>
        <v/>
      </c>
      <c r="J2066" s="2">
        <f>IF(I2066="", "", IF(AND(A2066="MF (Equity)", I2066&gt;12), "Long Term", "Short Term"))</f>
        <v/>
      </c>
      <c r="K2066" s="5">
        <f>IF(J2066="", "", IF(J2066="Long Term", 12.5%, 20%))</f>
        <v/>
      </c>
      <c r="L2066" s="3">
        <f>+IFERROR(IF(J2066="","",H2066*K2066),"")</f>
        <v/>
      </c>
    </row>
    <row r="2067">
      <c r="A2067" s="11" t="n"/>
      <c r="B2067" s="7" t="n"/>
      <c r="C2067" s="8" t="n"/>
      <c r="D2067" s="9" t="n"/>
      <c r="E2067" s="8" t="n"/>
      <c r="F2067" s="9" t="n"/>
      <c r="G2067" s="9" t="n"/>
      <c r="H2067" s="3">
        <f>IF(AND(D2067&lt;&gt;"",F2067&lt;&gt;""),F2067-D2067-G2067,"")</f>
        <v/>
      </c>
      <c r="I2067" s="14">
        <f>IF(E2067&lt;&gt;"", YEARFRAC(C2067, E2067) * 12, "")</f>
        <v/>
      </c>
      <c r="J2067" s="2">
        <f>IF(I2067="", "", IF(AND(A2067="MF (Equity)", I2067&gt;12), "Long Term", "Short Term"))</f>
        <v/>
      </c>
      <c r="K2067" s="5">
        <f>IF(J2067="", "", IF(J2067="Long Term", 12.5%, 20%))</f>
        <v/>
      </c>
      <c r="L2067" s="3">
        <f>+IFERROR(IF(J2067="","",H2067*K2067),"")</f>
        <v/>
      </c>
    </row>
    <row r="2068">
      <c r="A2068" s="11" t="n"/>
      <c r="B2068" s="7" t="n"/>
      <c r="C2068" s="8" t="n"/>
      <c r="D2068" s="9" t="n"/>
      <c r="E2068" s="8" t="n"/>
      <c r="F2068" s="9" t="n"/>
      <c r="G2068" s="9" t="n"/>
      <c r="H2068" s="3">
        <f>IF(AND(D2068&lt;&gt;"",F2068&lt;&gt;""),F2068-D2068-G2068,"")</f>
        <v/>
      </c>
      <c r="I2068" s="14">
        <f>IF(E2068&lt;&gt;"", YEARFRAC(C2068, E2068) * 12, "")</f>
        <v/>
      </c>
      <c r="J2068" s="2">
        <f>IF(I2068="", "", IF(AND(A2068="MF (Equity)", I2068&gt;12), "Long Term", "Short Term"))</f>
        <v/>
      </c>
      <c r="K2068" s="5">
        <f>IF(J2068="", "", IF(J2068="Long Term", 12.5%, 20%))</f>
        <v/>
      </c>
      <c r="L2068" s="3">
        <f>+IFERROR(IF(J2068="","",H2068*K2068),"")</f>
        <v/>
      </c>
    </row>
    <row r="2069">
      <c r="A2069" s="11" t="n"/>
      <c r="B2069" s="7" t="n"/>
      <c r="C2069" s="8" t="n"/>
      <c r="D2069" s="9" t="n"/>
      <c r="E2069" s="8" t="n"/>
      <c r="F2069" s="9" t="n"/>
      <c r="G2069" s="9" t="n"/>
      <c r="H2069" s="3">
        <f>IF(AND(D2069&lt;&gt;"",F2069&lt;&gt;""),F2069-D2069-G2069,"")</f>
        <v/>
      </c>
      <c r="I2069" s="14">
        <f>IF(E2069&lt;&gt;"", YEARFRAC(C2069, E2069) * 12, "")</f>
        <v/>
      </c>
      <c r="J2069" s="2">
        <f>IF(I2069="", "", IF(AND(A2069="MF (Equity)", I2069&gt;12), "Long Term", "Short Term"))</f>
        <v/>
      </c>
      <c r="K2069" s="5">
        <f>IF(J2069="", "", IF(J2069="Long Term", 12.5%, 20%))</f>
        <v/>
      </c>
      <c r="L2069" s="3">
        <f>+IFERROR(IF(J2069="","",H2069*K2069),"")</f>
        <v/>
      </c>
    </row>
    <row r="2070">
      <c r="A2070" s="11" t="n"/>
      <c r="B2070" s="7" t="n"/>
      <c r="C2070" s="8" t="n"/>
      <c r="D2070" s="9" t="n"/>
      <c r="E2070" s="8" t="n"/>
      <c r="F2070" s="9" t="n"/>
      <c r="G2070" s="9" t="n"/>
      <c r="H2070" s="3">
        <f>IF(AND(D2070&lt;&gt;"",F2070&lt;&gt;""),F2070-D2070-G2070,"")</f>
        <v/>
      </c>
      <c r="I2070" s="14">
        <f>IF(E2070&lt;&gt;"", YEARFRAC(C2070, E2070) * 12, "")</f>
        <v/>
      </c>
      <c r="J2070" s="2">
        <f>IF(I2070="", "", IF(AND(A2070="MF (Equity)", I2070&gt;12), "Long Term", "Short Term"))</f>
        <v/>
      </c>
      <c r="K2070" s="5">
        <f>IF(J2070="", "", IF(J2070="Long Term", 12.5%, 20%))</f>
        <v/>
      </c>
      <c r="L2070" s="3">
        <f>+IFERROR(IF(J2070="","",H2070*K2070),"")</f>
        <v/>
      </c>
    </row>
    <row r="2071">
      <c r="A2071" s="11" t="n"/>
      <c r="B2071" s="7" t="n"/>
      <c r="C2071" s="8" t="n"/>
      <c r="D2071" s="9" t="n"/>
      <c r="E2071" s="8" t="n"/>
      <c r="F2071" s="9" t="n"/>
      <c r="G2071" s="9" t="n"/>
      <c r="H2071" s="3">
        <f>IF(AND(D2071&lt;&gt;"",F2071&lt;&gt;""),F2071-D2071-G2071,"")</f>
        <v/>
      </c>
      <c r="I2071" s="14">
        <f>IF(E2071&lt;&gt;"", YEARFRAC(C2071, E2071) * 12, "")</f>
        <v/>
      </c>
      <c r="J2071" s="2">
        <f>IF(I2071="", "", IF(AND(A2071="MF (Equity)", I2071&gt;12), "Long Term", "Short Term"))</f>
        <v/>
      </c>
      <c r="K2071" s="5">
        <f>IF(J2071="", "", IF(J2071="Long Term", 12.5%, 20%))</f>
        <v/>
      </c>
      <c r="L2071" s="3">
        <f>+IFERROR(IF(J2071="","",H2071*K2071),"")</f>
        <v/>
      </c>
    </row>
    <row r="2072">
      <c r="A2072" s="11" t="n"/>
      <c r="B2072" s="7" t="n"/>
      <c r="C2072" s="8" t="n"/>
      <c r="D2072" s="9" t="n"/>
      <c r="E2072" s="8" t="n"/>
      <c r="F2072" s="9" t="n"/>
      <c r="G2072" s="9" t="n"/>
      <c r="H2072" s="3">
        <f>IF(AND(D2072&lt;&gt;"",F2072&lt;&gt;""),F2072-D2072-G2072,"")</f>
        <v/>
      </c>
      <c r="I2072" s="14">
        <f>IF(E2072&lt;&gt;"", YEARFRAC(C2072, E2072) * 12, "")</f>
        <v/>
      </c>
      <c r="J2072" s="2">
        <f>IF(I2072="", "", IF(AND(A2072="MF (Equity)", I2072&gt;12), "Long Term", "Short Term"))</f>
        <v/>
      </c>
      <c r="K2072" s="5">
        <f>IF(J2072="", "", IF(J2072="Long Term", 12.5%, 20%))</f>
        <v/>
      </c>
      <c r="L2072" s="3">
        <f>+IFERROR(IF(J2072="","",H2072*K2072),"")</f>
        <v/>
      </c>
    </row>
    <row r="2073">
      <c r="A2073" s="11" t="n"/>
      <c r="B2073" s="7" t="n"/>
      <c r="C2073" s="8" t="n"/>
      <c r="D2073" s="9" t="n"/>
      <c r="E2073" s="8" t="n"/>
      <c r="F2073" s="9" t="n"/>
      <c r="G2073" s="9" t="n"/>
      <c r="H2073" s="3">
        <f>IF(AND(D2073&lt;&gt;"",F2073&lt;&gt;""),F2073-D2073-G2073,"")</f>
        <v/>
      </c>
      <c r="I2073" s="14">
        <f>IF(E2073&lt;&gt;"", YEARFRAC(C2073, E2073) * 12, "")</f>
        <v/>
      </c>
      <c r="J2073" s="2">
        <f>IF(I2073="", "", IF(AND(A2073="MF (Equity)", I2073&gt;12), "Long Term", "Short Term"))</f>
        <v/>
      </c>
      <c r="K2073" s="5">
        <f>IF(J2073="", "", IF(J2073="Long Term", 12.5%, 20%))</f>
        <v/>
      </c>
      <c r="L2073" s="3">
        <f>+IFERROR(IF(J2073="","",H2073*K2073),"")</f>
        <v/>
      </c>
    </row>
    <row r="2074">
      <c r="A2074" s="11" t="n"/>
      <c r="B2074" s="7" t="n"/>
      <c r="C2074" s="8" t="n"/>
      <c r="D2074" s="9" t="n"/>
      <c r="E2074" s="8" t="n"/>
      <c r="F2074" s="9" t="n"/>
      <c r="G2074" s="9" t="n"/>
      <c r="H2074" s="3">
        <f>IF(AND(D2074&lt;&gt;"",F2074&lt;&gt;""),F2074-D2074-G2074,"")</f>
        <v/>
      </c>
      <c r="I2074" s="14">
        <f>IF(E2074&lt;&gt;"", YEARFRAC(C2074, E2074) * 12, "")</f>
        <v/>
      </c>
      <c r="J2074" s="2">
        <f>IF(I2074="", "", IF(AND(A2074="MF (Equity)", I2074&gt;12), "Long Term", "Short Term"))</f>
        <v/>
      </c>
      <c r="K2074" s="5">
        <f>IF(J2074="", "", IF(J2074="Long Term", 12.5%, 20%))</f>
        <v/>
      </c>
      <c r="L2074" s="3">
        <f>+IFERROR(IF(J2074="","",H2074*K2074),"")</f>
        <v/>
      </c>
    </row>
    <row r="2075">
      <c r="A2075" s="11" t="n"/>
      <c r="B2075" s="7" t="n"/>
      <c r="C2075" s="8" t="n"/>
      <c r="D2075" s="9" t="n"/>
      <c r="E2075" s="8" t="n"/>
      <c r="F2075" s="9" t="n"/>
      <c r="G2075" s="9" t="n"/>
      <c r="H2075" s="3">
        <f>IF(AND(D2075&lt;&gt;"",F2075&lt;&gt;""),F2075-D2075-G2075,"")</f>
        <v/>
      </c>
      <c r="I2075" s="14">
        <f>IF(E2075&lt;&gt;"", YEARFRAC(C2075, E2075) * 12, "")</f>
        <v/>
      </c>
      <c r="J2075" s="2">
        <f>IF(I2075="", "", IF(AND(A2075="MF (Equity)", I2075&gt;12), "Long Term", "Short Term"))</f>
        <v/>
      </c>
      <c r="K2075" s="5">
        <f>IF(J2075="", "", IF(J2075="Long Term", 12.5%, 20%))</f>
        <v/>
      </c>
      <c r="L2075" s="3">
        <f>+IFERROR(IF(J2075="","",H2075*K2075),"")</f>
        <v/>
      </c>
    </row>
    <row r="2076">
      <c r="A2076" s="11" t="n"/>
      <c r="B2076" s="7" t="n"/>
      <c r="C2076" s="8" t="n"/>
      <c r="D2076" s="9" t="n"/>
      <c r="E2076" s="8" t="n"/>
      <c r="F2076" s="9" t="n"/>
      <c r="G2076" s="9" t="n"/>
      <c r="H2076" s="3">
        <f>IF(AND(D2076&lt;&gt;"",F2076&lt;&gt;""),F2076-D2076-G2076,"")</f>
        <v/>
      </c>
      <c r="I2076" s="14">
        <f>IF(E2076&lt;&gt;"", YEARFRAC(C2076, E2076) * 12, "")</f>
        <v/>
      </c>
      <c r="J2076" s="2">
        <f>IF(I2076="", "", IF(AND(A2076="MF (Equity)", I2076&gt;12), "Long Term", "Short Term"))</f>
        <v/>
      </c>
      <c r="K2076" s="5">
        <f>IF(J2076="", "", IF(J2076="Long Term", 12.5%, 20%))</f>
        <v/>
      </c>
      <c r="L2076" s="3">
        <f>+IFERROR(IF(J2076="","",H2076*K2076),"")</f>
        <v/>
      </c>
    </row>
    <row r="2077">
      <c r="A2077" s="11" t="n"/>
      <c r="B2077" s="7" t="n"/>
      <c r="C2077" s="8" t="n"/>
      <c r="D2077" s="9" t="n"/>
      <c r="E2077" s="8" t="n"/>
      <c r="F2077" s="9" t="n"/>
      <c r="G2077" s="9" t="n"/>
      <c r="H2077" s="3">
        <f>IF(AND(D2077&lt;&gt;"",F2077&lt;&gt;""),F2077-D2077-G2077,"")</f>
        <v/>
      </c>
      <c r="I2077" s="14">
        <f>IF(E2077&lt;&gt;"", YEARFRAC(C2077, E2077) * 12, "")</f>
        <v/>
      </c>
      <c r="J2077" s="2">
        <f>IF(I2077="", "", IF(AND(A2077="MF (Equity)", I2077&gt;12), "Long Term", "Short Term"))</f>
        <v/>
      </c>
      <c r="K2077" s="5">
        <f>IF(J2077="", "", IF(J2077="Long Term", 12.5%, 20%))</f>
        <v/>
      </c>
      <c r="L2077" s="3">
        <f>+IFERROR(IF(J2077="","",H2077*K2077),"")</f>
        <v/>
      </c>
    </row>
    <row r="2078">
      <c r="A2078" s="11" t="n"/>
      <c r="B2078" s="7" t="n"/>
      <c r="C2078" s="8" t="n"/>
      <c r="D2078" s="9" t="n"/>
      <c r="E2078" s="8" t="n"/>
      <c r="F2078" s="9" t="n"/>
      <c r="G2078" s="9" t="n"/>
      <c r="H2078" s="3">
        <f>IF(AND(D2078&lt;&gt;"",F2078&lt;&gt;""),F2078-D2078-G2078,"")</f>
        <v/>
      </c>
      <c r="I2078" s="14">
        <f>IF(E2078&lt;&gt;"", YEARFRAC(C2078, E2078) * 12, "")</f>
        <v/>
      </c>
      <c r="J2078" s="2">
        <f>IF(I2078="", "", IF(AND(A2078="MF (Equity)", I2078&gt;12), "Long Term", "Short Term"))</f>
        <v/>
      </c>
      <c r="K2078" s="5">
        <f>IF(J2078="", "", IF(J2078="Long Term", 12.5%, 20%))</f>
        <v/>
      </c>
      <c r="L2078" s="3">
        <f>+IFERROR(IF(J2078="","",H2078*K2078),"")</f>
        <v/>
      </c>
    </row>
    <row r="2079">
      <c r="A2079" s="11" t="n"/>
      <c r="B2079" s="7" t="n"/>
      <c r="C2079" s="8" t="n"/>
      <c r="D2079" s="9" t="n"/>
      <c r="E2079" s="8" t="n"/>
      <c r="F2079" s="9" t="n"/>
      <c r="G2079" s="9" t="n"/>
      <c r="H2079" s="3">
        <f>IF(AND(D2079&lt;&gt;"",F2079&lt;&gt;""),F2079-D2079-G2079,"")</f>
        <v/>
      </c>
      <c r="I2079" s="14">
        <f>IF(E2079&lt;&gt;"", YEARFRAC(C2079, E2079) * 12, "")</f>
        <v/>
      </c>
      <c r="J2079" s="2">
        <f>IF(I2079="", "", IF(AND(A2079="MF (Equity)", I2079&gt;12), "Long Term", "Short Term"))</f>
        <v/>
      </c>
      <c r="K2079" s="5">
        <f>IF(J2079="", "", IF(J2079="Long Term", 12.5%, 20%))</f>
        <v/>
      </c>
      <c r="L2079" s="3">
        <f>+IFERROR(IF(J2079="","",H2079*K2079),"")</f>
        <v/>
      </c>
    </row>
    <row r="2080">
      <c r="A2080" s="11" t="n"/>
      <c r="B2080" s="7" t="n"/>
      <c r="C2080" s="8" t="n"/>
      <c r="D2080" s="9" t="n"/>
      <c r="E2080" s="8" t="n"/>
      <c r="F2080" s="9" t="n"/>
      <c r="G2080" s="9" t="n"/>
      <c r="H2080" s="3">
        <f>IF(AND(D2080&lt;&gt;"",F2080&lt;&gt;""),F2080-D2080-G2080,"")</f>
        <v/>
      </c>
      <c r="I2080" s="14">
        <f>IF(E2080&lt;&gt;"", YEARFRAC(C2080, E2080) * 12, "")</f>
        <v/>
      </c>
      <c r="J2080" s="2">
        <f>IF(I2080="", "", IF(AND(A2080="MF (Equity)", I2080&gt;12), "Long Term", "Short Term"))</f>
        <v/>
      </c>
      <c r="K2080" s="5">
        <f>IF(J2080="", "", IF(J2080="Long Term", 12.5%, 20%))</f>
        <v/>
      </c>
      <c r="L2080" s="3">
        <f>+IFERROR(IF(J2080="","",H2080*K2080),"")</f>
        <v/>
      </c>
    </row>
    <row r="2081">
      <c r="A2081" s="11" t="n"/>
      <c r="B2081" s="7" t="n"/>
      <c r="C2081" s="8" t="n"/>
      <c r="D2081" s="9" t="n"/>
      <c r="E2081" s="8" t="n"/>
      <c r="F2081" s="9" t="n"/>
      <c r="G2081" s="9" t="n"/>
      <c r="H2081" s="3">
        <f>IF(AND(D2081&lt;&gt;"",F2081&lt;&gt;""),F2081-D2081-G2081,"")</f>
        <v/>
      </c>
      <c r="I2081" s="14">
        <f>IF(E2081&lt;&gt;"", YEARFRAC(C2081, E2081) * 12, "")</f>
        <v/>
      </c>
      <c r="J2081" s="2">
        <f>IF(I2081="", "", IF(AND(A2081="MF (Equity)", I2081&gt;12), "Long Term", "Short Term"))</f>
        <v/>
      </c>
      <c r="K2081" s="5">
        <f>IF(J2081="", "", IF(J2081="Long Term", 12.5%, 20%))</f>
        <v/>
      </c>
      <c r="L2081" s="3">
        <f>+IFERROR(IF(J2081="","",H2081*K2081),"")</f>
        <v/>
      </c>
    </row>
    <row r="2082">
      <c r="A2082" s="11" t="n"/>
      <c r="B2082" s="7" t="n"/>
      <c r="C2082" s="8" t="n"/>
      <c r="D2082" s="9" t="n"/>
      <c r="E2082" s="8" t="n"/>
      <c r="F2082" s="9" t="n"/>
      <c r="G2082" s="9" t="n"/>
      <c r="H2082" s="3">
        <f>IF(AND(D2082&lt;&gt;"",F2082&lt;&gt;""),F2082-D2082-G2082,"")</f>
        <v/>
      </c>
      <c r="I2082" s="14">
        <f>IF(E2082&lt;&gt;"", YEARFRAC(C2082, E2082) * 12, "")</f>
        <v/>
      </c>
      <c r="J2082" s="2">
        <f>IF(I2082="", "", IF(AND(A2082="MF (Equity)", I2082&gt;12), "Long Term", "Short Term"))</f>
        <v/>
      </c>
      <c r="K2082" s="5">
        <f>IF(J2082="", "", IF(J2082="Long Term", 12.5%, 20%))</f>
        <v/>
      </c>
      <c r="L2082" s="3">
        <f>+IFERROR(IF(J2082="","",H2082*K2082),"")</f>
        <v/>
      </c>
    </row>
    <row r="2083">
      <c r="A2083" s="11" t="n"/>
      <c r="B2083" s="7" t="n"/>
      <c r="C2083" s="8" t="n"/>
      <c r="D2083" s="9" t="n"/>
      <c r="E2083" s="8" t="n"/>
      <c r="F2083" s="9" t="n"/>
      <c r="G2083" s="9" t="n"/>
      <c r="H2083" s="3">
        <f>IF(AND(D2083&lt;&gt;"",F2083&lt;&gt;""),F2083-D2083-G2083,"")</f>
        <v/>
      </c>
      <c r="I2083" s="14">
        <f>IF(E2083&lt;&gt;"", YEARFRAC(C2083, E2083) * 12, "")</f>
        <v/>
      </c>
      <c r="J2083" s="2">
        <f>IF(I2083="", "", IF(AND(A2083="MF (Equity)", I2083&gt;12), "Long Term", "Short Term"))</f>
        <v/>
      </c>
      <c r="K2083" s="5">
        <f>IF(J2083="", "", IF(J2083="Long Term", 12.5%, 20%))</f>
        <v/>
      </c>
      <c r="L2083" s="3">
        <f>+IFERROR(IF(J2083="","",H2083*K2083),"")</f>
        <v/>
      </c>
    </row>
    <row r="2084">
      <c r="A2084" s="11" t="n"/>
      <c r="B2084" s="7" t="n"/>
      <c r="C2084" s="8" t="n"/>
      <c r="D2084" s="9" t="n"/>
      <c r="E2084" s="8" t="n"/>
      <c r="F2084" s="9" t="n"/>
      <c r="G2084" s="9" t="n"/>
      <c r="H2084" s="3">
        <f>IF(AND(D2084&lt;&gt;"",F2084&lt;&gt;""),F2084-D2084-G2084,"")</f>
        <v/>
      </c>
      <c r="I2084" s="14">
        <f>IF(E2084&lt;&gt;"", YEARFRAC(C2084, E2084) * 12, "")</f>
        <v/>
      </c>
      <c r="J2084" s="2">
        <f>IF(I2084="", "", IF(AND(A2084="MF (Equity)", I2084&gt;12), "Long Term", "Short Term"))</f>
        <v/>
      </c>
      <c r="K2084" s="5">
        <f>IF(J2084="", "", IF(J2084="Long Term", 12.5%, 20%))</f>
        <v/>
      </c>
      <c r="L2084" s="3">
        <f>+IFERROR(IF(J2084="","",H2084*K2084),"")</f>
        <v/>
      </c>
    </row>
    <row r="2085">
      <c r="A2085" s="11" t="n"/>
      <c r="B2085" s="7" t="n"/>
      <c r="C2085" s="8" t="n"/>
      <c r="D2085" s="9" t="n"/>
      <c r="E2085" s="8" t="n"/>
      <c r="F2085" s="9" t="n"/>
      <c r="G2085" s="9" t="n"/>
      <c r="H2085" s="3">
        <f>IF(AND(D2085&lt;&gt;"",F2085&lt;&gt;""),F2085-D2085-G2085,"")</f>
        <v/>
      </c>
      <c r="I2085" s="14">
        <f>IF(E2085&lt;&gt;"", YEARFRAC(C2085, E2085) * 12, "")</f>
        <v/>
      </c>
      <c r="J2085" s="2">
        <f>IF(I2085="", "", IF(AND(A2085="MF (Equity)", I2085&gt;12), "Long Term", "Short Term"))</f>
        <v/>
      </c>
      <c r="K2085" s="5">
        <f>IF(J2085="", "", IF(J2085="Long Term", 12.5%, 20%))</f>
        <v/>
      </c>
      <c r="L2085" s="3">
        <f>+IFERROR(IF(J2085="","",H2085*K2085),"")</f>
        <v/>
      </c>
    </row>
    <row r="2086">
      <c r="A2086" s="11" t="n"/>
      <c r="B2086" s="7" t="n"/>
      <c r="C2086" s="8" t="n"/>
      <c r="D2086" s="9" t="n"/>
      <c r="E2086" s="8" t="n"/>
      <c r="F2086" s="9" t="n"/>
      <c r="G2086" s="9" t="n"/>
      <c r="H2086" s="3">
        <f>IF(AND(D2086&lt;&gt;"",F2086&lt;&gt;""),F2086-D2086-G2086,"")</f>
        <v/>
      </c>
      <c r="I2086" s="14">
        <f>IF(E2086&lt;&gt;"", YEARFRAC(C2086, E2086) * 12, "")</f>
        <v/>
      </c>
      <c r="J2086" s="2">
        <f>IF(I2086="", "", IF(AND(A2086="MF (Equity)", I2086&gt;12), "Long Term", "Short Term"))</f>
        <v/>
      </c>
      <c r="K2086" s="5">
        <f>IF(J2086="", "", IF(J2086="Long Term", 12.5%, 20%))</f>
        <v/>
      </c>
      <c r="L2086" s="3">
        <f>+IFERROR(IF(J2086="","",H2086*K2086),"")</f>
        <v/>
      </c>
    </row>
    <row r="2087">
      <c r="A2087" s="11" t="n"/>
      <c r="B2087" s="7" t="n"/>
      <c r="C2087" s="8" t="n"/>
      <c r="D2087" s="9" t="n"/>
      <c r="E2087" s="8" t="n"/>
      <c r="F2087" s="9" t="n"/>
      <c r="G2087" s="9" t="n"/>
      <c r="H2087" s="3">
        <f>IF(AND(D2087&lt;&gt;"",F2087&lt;&gt;""),F2087-D2087-G2087,"")</f>
        <v/>
      </c>
      <c r="I2087" s="14">
        <f>IF(E2087&lt;&gt;"", YEARFRAC(C2087, E2087) * 12, "")</f>
        <v/>
      </c>
      <c r="J2087" s="2">
        <f>IF(I2087="", "", IF(AND(A2087="MF (Equity)", I2087&gt;12), "Long Term", "Short Term"))</f>
        <v/>
      </c>
      <c r="K2087" s="5">
        <f>IF(J2087="", "", IF(J2087="Long Term", 12.5%, 20%))</f>
        <v/>
      </c>
      <c r="L2087" s="3">
        <f>+IFERROR(IF(J2087="","",H2087*K2087),"")</f>
        <v/>
      </c>
    </row>
    <row r="2088">
      <c r="A2088" s="11" t="n"/>
      <c r="B2088" s="7" t="n"/>
      <c r="C2088" s="8" t="n"/>
      <c r="D2088" s="9" t="n"/>
      <c r="E2088" s="8" t="n"/>
      <c r="F2088" s="9" t="n"/>
      <c r="G2088" s="9" t="n"/>
      <c r="H2088" s="3">
        <f>IF(AND(D2088&lt;&gt;"",F2088&lt;&gt;""),F2088-D2088-G2088,"")</f>
        <v/>
      </c>
      <c r="I2088" s="14">
        <f>IF(E2088&lt;&gt;"", YEARFRAC(C2088, E2088) * 12, "")</f>
        <v/>
      </c>
      <c r="J2088" s="2">
        <f>IF(I2088="", "", IF(AND(A2088="MF (Equity)", I2088&gt;12), "Long Term", "Short Term"))</f>
        <v/>
      </c>
      <c r="K2088" s="5">
        <f>IF(J2088="", "", IF(J2088="Long Term", 12.5%, 20%))</f>
        <v/>
      </c>
      <c r="L2088" s="3">
        <f>+IFERROR(IF(J2088="","",H2088*K2088),"")</f>
        <v/>
      </c>
    </row>
    <row r="2089">
      <c r="A2089" s="11" t="n"/>
      <c r="B2089" s="7" t="n"/>
      <c r="C2089" s="8" t="n"/>
      <c r="D2089" s="9" t="n"/>
      <c r="E2089" s="8" t="n"/>
      <c r="F2089" s="9" t="n"/>
      <c r="G2089" s="9" t="n"/>
      <c r="H2089" s="3">
        <f>IF(AND(D2089&lt;&gt;"",F2089&lt;&gt;""),F2089-D2089-G2089,"")</f>
        <v/>
      </c>
      <c r="I2089" s="14">
        <f>IF(E2089&lt;&gt;"", YEARFRAC(C2089, E2089) * 12, "")</f>
        <v/>
      </c>
      <c r="J2089" s="2">
        <f>IF(I2089="", "", IF(AND(A2089="MF (Equity)", I2089&gt;12), "Long Term", "Short Term"))</f>
        <v/>
      </c>
      <c r="K2089" s="5">
        <f>IF(J2089="", "", IF(J2089="Long Term", 12.5%, 20%))</f>
        <v/>
      </c>
      <c r="L2089" s="3">
        <f>+IFERROR(IF(J2089="","",H2089*K2089),"")</f>
        <v/>
      </c>
    </row>
    <row r="2090">
      <c r="A2090" s="11" t="n"/>
      <c r="B2090" s="7" t="n"/>
      <c r="C2090" s="8" t="n"/>
      <c r="D2090" s="9" t="n"/>
      <c r="E2090" s="8" t="n"/>
      <c r="F2090" s="9" t="n"/>
      <c r="G2090" s="9" t="n"/>
      <c r="H2090" s="3">
        <f>IF(AND(D2090&lt;&gt;"",F2090&lt;&gt;""),F2090-D2090-G2090,"")</f>
        <v/>
      </c>
      <c r="I2090" s="14">
        <f>IF(E2090&lt;&gt;"", YEARFRAC(C2090, E2090) * 12, "")</f>
        <v/>
      </c>
      <c r="J2090" s="2">
        <f>IF(I2090="", "", IF(AND(A2090="MF (Equity)", I2090&gt;12), "Long Term", "Short Term"))</f>
        <v/>
      </c>
      <c r="K2090" s="5">
        <f>IF(J2090="", "", IF(J2090="Long Term", 12.5%, 20%))</f>
        <v/>
      </c>
      <c r="L2090" s="3">
        <f>+IFERROR(IF(J2090="","",H2090*K2090),"")</f>
        <v/>
      </c>
    </row>
    <row r="2091">
      <c r="A2091" s="11" t="n"/>
      <c r="B2091" s="7" t="n"/>
      <c r="C2091" s="8" t="n"/>
      <c r="D2091" s="9" t="n"/>
      <c r="E2091" s="8" t="n"/>
      <c r="F2091" s="9" t="n"/>
      <c r="G2091" s="9" t="n"/>
      <c r="H2091" s="3">
        <f>IF(AND(D2091&lt;&gt;"",F2091&lt;&gt;""),F2091-D2091-G2091,"")</f>
        <v/>
      </c>
      <c r="I2091" s="14">
        <f>IF(E2091&lt;&gt;"", YEARFRAC(C2091, E2091) * 12, "")</f>
        <v/>
      </c>
      <c r="J2091" s="2">
        <f>IF(I2091="", "", IF(AND(A2091="MF (Equity)", I2091&gt;12), "Long Term", "Short Term"))</f>
        <v/>
      </c>
      <c r="K2091" s="5">
        <f>IF(J2091="", "", IF(J2091="Long Term", 12.5%, 20%))</f>
        <v/>
      </c>
      <c r="L2091" s="3">
        <f>+IFERROR(IF(J2091="","",H2091*K2091),"")</f>
        <v/>
      </c>
    </row>
    <row r="2092">
      <c r="A2092" s="11" t="n"/>
      <c r="B2092" s="7" t="n"/>
      <c r="C2092" s="8" t="n"/>
      <c r="D2092" s="9" t="n"/>
      <c r="E2092" s="8" t="n"/>
      <c r="F2092" s="9" t="n"/>
      <c r="G2092" s="9" t="n"/>
      <c r="H2092" s="3">
        <f>IF(AND(D2092&lt;&gt;"",F2092&lt;&gt;""),F2092-D2092-G2092,"")</f>
        <v/>
      </c>
      <c r="I2092" s="14">
        <f>IF(E2092&lt;&gt;"", YEARFRAC(C2092, E2092) * 12, "")</f>
        <v/>
      </c>
      <c r="J2092" s="2">
        <f>IF(I2092="", "", IF(AND(A2092="MF (Equity)", I2092&gt;12), "Long Term", "Short Term"))</f>
        <v/>
      </c>
      <c r="K2092" s="5">
        <f>IF(J2092="", "", IF(J2092="Long Term", 12.5%, 20%))</f>
        <v/>
      </c>
      <c r="L2092" s="3">
        <f>+IFERROR(IF(J2092="","",H2092*K2092),"")</f>
        <v/>
      </c>
    </row>
    <row r="2093">
      <c r="A2093" s="11" t="n"/>
      <c r="B2093" s="7" t="n"/>
      <c r="C2093" s="8" t="n"/>
      <c r="D2093" s="9" t="n"/>
      <c r="E2093" s="8" t="n"/>
      <c r="F2093" s="9" t="n"/>
      <c r="G2093" s="9" t="n"/>
      <c r="H2093" s="3">
        <f>IF(AND(D2093&lt;&gt;"",F2093&lt;&gt;""),F2093-D2093-G2093,"")</f>
        <v/>
      </c>
      <c r="I2093" s="14">
        <f>IF(E2093&lt;&gt;"", YEARFRAC(C2093, E2093) * 12, "")</f>
        <v/>
      </c>
      <c r="J2093" s="2">
        <f>IF(I2093="", "", IF(AND(A2093="MF (Equity)", I2093&gt;12), "Long Term", "Short Term"))</f>
        <v/>
      </c>
      <c r="K2093" s="5">
        <f>IF(J2093="", "", IF(J2093="Long Term", 12.5%, 20%))</f>
        <v/>
      </c>
      <c r="L2093" s="3">
        <f>+IFERROR(IF(J2093="","",H2093*K2093),"")</f>
        <v/>
      </c>
    </row>
    <row r="2094">
      <c r="A2094" s="11" t="n"/>
      <c r="B2094" s="7" t="n"/>
      <c r="C2094" s="8" t="n"/>
      <c r="D2094" s="9" t="n"/>
      <c r="E2094" s="8" t="n"/>
      <c r="F2094" s="9" t="n"/>
      <c r="G2094" s="9" t="n"/>
      <c r="H2094" s="3">
        <f>IF(AND(D2094&lt;&gt;"",F2094&lt;&gt;""),F2094-D2094-G2094,"")</f>
        <v/>
      </c>
      <c r="I2094" s="14">
        <f>IF(E2094&lt;&gt;"", YEARFRAC(C2094, E2094) * 12, "")</f>
        <v/>
      </c>
      <c r="J2094" s="2">
        <f>IF(I2094="", "", IF(AND(A2094="MF (Equity)", I2094&gt;12), "Long Term", "Short Term"))</f>
        <v/>
      </c>
      <c r="K2094" s="5">
        <f>IF(J2094="", "", IF(J2094="Long Term", 12.5%, 20%))</f>
        <v/>
      </c>
      <c r="L2094" s="3">
        <f>+IFERROR(IF(J2094="","",H2094*K2094),"")</f>
        <v/>
      </c>
    </row>
    <row r="2095">
      <c r="A2095" s="11" t="n"/>
      <c r="B2095" s="7" t="n"/>
      <c r="C2095" s="8" t="n"/>
      <c r="D2095" s="9" t="n"/>
      <c r="E2095" s="8" t="n"/>
      <c r="F2095" s="9" t="n"/>
      <c r="G2095" s="9" t="n"/>
      <c r="H2095" s="3">
        <f>IF(AND(D2095&lt;&gt;"",F2095&lt;&gt;""),F2095-D2095-G2095,"")</f>
        <v/>
      </c>
      <c r="I2095" s="14">
        <f>IF(E2095&lt;&gt;"", YEARFRAC(C2095, E2095) * 12, "")</f>
        <v/>
      </c>
      <c r="J2095" s="2">
        <f>IF(I2095="", "", IF(AND(A2095="MF (Equity)", I2095&gt;12), "Long Term", "Short Term"))</f>
        <v/>
      </c>
      <c r="K2095" s="5">
        <f>IF(J2095="", "", IF(J2095="Long Term", 12.5%, 20%))</f>
        <v/>
      </c>
      <c r="L2095" s="3">
        <f>+IFERROR(IF(J2095="","",H2095*K2095),"")</f>
        <v/>
      </c>
    </row>
    <row r="2096">
      <c r="A2096" s="11" t="n"/>
      <c r="B2096" s="7" t="n"/>
      <c r="C2096" s="8" t="n"/>
      <c r="D2096" s="9" t="n"/>
      <c r="E2096" s="8" t="n"/>
      <c r="F2096" s="9" t="n"/>
      <c r="G2096" s="9" t="n"/>
      <c r="H2096" s="3">
        <f>IF(AND(D2096&lt;&gt;"",F2096&lt;&gt;""),F2096-D2096-G2096,"")</f>
        <v/>
      </c>
      <c r="I2096" s="14">
        <f>IF(E2096&lt;&gt;"", YEARFRAC(C2096, E2096) * 12, "")</f>
        <v/>
      </c>
      <c r="J2096" s="2">
        <f>IF(I2096="", "", IF(AND(A2096="MF (Equity)", I2096&gt;12), "Long Term", "Short Term"))</f>
        <v/>
      </c>
      <c r="K2096" s="5">
        <f>IF(J2096="", "", IF(J2096="Long Term", 12.5%, 20%))</f>
        <v/>
      </c>
      <c r="L2096" s="3">
        <f>+IFERROR(IF(J2096="","",H2096*K2096),"")</f>
        <v/>
      </c>
    </row>
    <row r="2097">
      <c r="A2097" s="11" t="n"/>
      <c r="B2097" s="7" t="n"/>
      <c r="C2097" s="8" t="n"/>
      <c r="D2097" s="9" t="n"/>
      <c r="E2097" s="8" t="n"/>
      <c r="F2097" s="9" t="n"/>
      <c r="G2097" s="9" t="n"/>
      <c r="H2097" s="3">
        <f>IF(AND(D2097&lt;&gt;"",F2097&lt;&gt;""),F2097-D2097-G2097,"")</f>
        <v/>
      </c>
      <c r="I2097" s="14">
        <f>IF(E2097&lt;&gt;"", YEARFRAC(C2097, E2097) * 12, "")</f>
        <v/>
      </c>
      <c r="J2097" s="2">
        <f>IF(I2097="", "", IF(AND(A2097="MF (Equity)", I2097&gt;12), "Long Term", "Short Term"))</f>
        <v/>
      </c>
      <c r="K2097" s="5">
        <f>IF(J2097="", "", IF(J2097="Long Term", 12.5%, 20%))</f>
        <v/>
      </c>
      <c r="L2097" s="3">
        <f>+IFERROR(IF(J2097="","",H2097*K2097),"")</f>
        <v/>
      </c>
    </row>
    <row r="2098">
      <c r="A2098" s="11" t="n"/>
      <c r="B2098" s="7" t="n"/>
      <c r="C2098" s="8" t="n"/>
      <c r="D2098" s="9" t="n"/>
      <c r="E2098" s="8" t="n"/>
      <c r="F2098" s="9" t="n"/>
      <c r="G2098" s="9" t="n"/>
      <c r="H2098" s="3">
        <f>IF(AND(D2098&lt;&gt;"",F2098&lt;&gt;""),F2098-D2098-G2098,"")</f>
        <v/>
      </c>
      <c r="I2098" s="14">
        <f>IF(E2098&lt;&gt;"", YEARFRAC(C2098, E2098) * 12, "")</f>
        <v/>
      </c>
      <c r="J2098" s="2">
        <f>IF(I2098="", "", IF(AND(A2098="MF (Equity)", I2098&gt;12), "Long Term", "Short Term"))</f>
        <v/>
      </c>
      <c r="K2098" s="5">
        <f>IF(J2098="", "", IF(J2098="Long Term", 12.5%, 20%))</f>
        <v/>
      </c>
      <c r="L2098" s="3">
        <f>+IFERROR(IF(J2098="","",H2098*K2098),"")</f>
        <v/>
      </c>
    </row>
    <row r="2099">
      <c r="A2099" s="11" t="n"/>
      <c r="B2099" s="7" t="n"/>
      <c r="C2099" s="8" t="n"/>
      <c r="D2099" s="9" t="n"/>
      <c r="E2099" s="8" t="n"/>
      <c r="F2099" s="9" t="n"/>
      <c r="G2099" s="9" t="n"/>
      <c r="H2099" s="3">
        <f>IF(AND(D2099&lt;&gt;"",F2099&lt;&gt;""),F2099-D2099-G2099,"")</f>
        <v/>
      </c>
      <c r="I2099" s="14">
        <f>IF(E2099&lt;&gt;"", YEARFRAC(C2099, E2099) * 12, "")</f>
        <v/>
      </c>
      <c r="J2099" s="2">
        <f>IF(I2099="", "", IF(AND(A2099="MF (Equity)", I2099&gt;12), "Long Term", "Short Term"))</f>
        <v/>
      </c>
      <c r="K2099" s="5">
        <f>IF(J2099="", "", IF(J2099="Long Term", 12.5%, 20%))</f>
        <v/>
      </c>
      <c r="L2099" s="3">
        <f>+IFERROR(IF(J2099="","",H2099*K2099),"")</f>
        <v/>
      </c>
    </row>
    <row r="2100">
      <c r="A2100" s="11" t="n"/>
      <c r="B2100" s="7" t="n"/>
      <c r="C2100" s="8" t="n"/>
      <c r="D2100" s="9" t="n"/>
      <c r="E2100" s="8" t="n"/>
      <c r="F2100" s="9" t="n"/>
      <c r="G2100" s="9" t="n"/>
      <c r="H2100" s="3">
        <f>IF(AND(D2100&lt;&gt;"",F2100&lt;&gt;""),F2100-D2100-G2100,"")</f>
        <v/>
      </c>
      <c r="I2100" s="14">
        <f>IF(E2100&lt;&gt;"", YEARFRAC(C2100, E2100) * 12, "")</f>
        <v/>
      </c>
      <c r="J2100" s="2">
        <f>IF(I2100="", "", IF(AND(A2100="MF (Equity)", I2100&gt;12), "Long Term", "Short Term"))</f>
        <v/>
      </c>
      <c r="K2100" s="5">
        <f>IF(J2100="", "", IF(J2100="Long Term", 12.5%, 20%))</f>
        <v/>
      </c>
      <c r="L2100" s="3">
        <f>+IFERROR(IF(J2100="","",H2100*K2100),"")</f>
        <v/>
      </c>
    </row>
    <row r="2101">
      <c r="A2101" s="11" t="n"/>
      <c r="B2101" s="7" t="n"/>
      <c r="C2101" s="8" t="n"/>
      <c r="D2101" s="9" t="n"/>
      <c r="E2101" s="8" t="n"/>
      <c r="F2101" s="9" t="n"/>
      <c r="G2101" s="9" t="n"/>
      <c r="H2101" s="3">
        <f>IF(AND(D2101&lt;&gt;"",F2101&lt;&gt;""),F2101-D2101-G2101,"")</f>
        <v/>
      </c>
      <c r="I2101" s="14">
        <f>IF(E2101&lt;&gt;"", YEARFRAC(C2101, E2101) * 12, "")</f>
        <v/>
      </c>
      <c r="J2101" s="2">
        <f>IF(I2101="", "", IF(AND(A2101="MF (Equity)", I2101&gt;12), "Long Term", "Short Term"))</f>
        <v/>
      </c>
      <c r="K2101" s="5">
        <f>IF(J2101="", "", IF(J2101="Long Term", 12.5%, 20%))</f>
        <v/>
      </c>
      <c r="L2101" s="3">
        <f>+IFERROR(IF(J2101="","",H2101*K2101),"")</f>
        <v/>
      </c>
    </row>
    <row r="2102">
      <c r="A2102" s="11" t="n"/>
      <c r="B2102" s="7" t="n"/>
      <c r="C2102" s="8" t="n"/>
      <c r="D2102" s="9" t="n"/>
      <c r="E2102" s="8" t="n"/>
      <c r="F2102" s="9" t="n"/>
      <c r="G2102" s="9" t="n"/>
      <c r="H2102" s="3">
        <f>IF(AND(D2102&lt;&gt;"",F2102&lt;&gt;""),F2102-D2102-G2102,"")</f>
        <v/>
      </c>
      <c r="I2102" s="14">
        <f>IF(E2102&lt;&gt;"", YEARFRAC(C2102, E2102) * 12, "")</f>
        <v/>
      </c>
      <c r="J2102" s="2">
        <f>IF(I2102="", "", IF(AND(A2102="MF (Equity)", I2102&gt;12), "Long Term", "Short Term"))</f>
        <v/>
      </c>
      <c r="K2102" s="5">
        <f>IF(J2102="", "", IF(J2102="Long Term", 12.5%, 20%))</f>
        <v/>
      </c>
      <c r="L2102" s="3">
        <f>+IFERROR(IF(J2102="","",H2102*K2102),"")</f>
        <v/>
      </c>
    </row>
    <row r="2103">
      <c r="A2103" s="11" t="n"/>
      <c r="B2103" s="7" t="n"/>
      <c r="C2103" s="8" t="n"/>
      <c r="D2103" s="9" t="n"/>
      <c r="E2103" s="8" t="n"/>
      <c r="F2103" s="9" t="n"/>
      <c r="G2103" s="9" t="n"/>
      <c r="H2103" s="3">
        <f>IF(AND(D2103&lt;&gt;"",F2103&lt;&gt;""),F2103-D2103-G2103,"")</f>
        <v/>
      </c>
      <c r="I2103" s="14">
        <f>IF(E2103&lt;&gt;"", YEARFRAC(C2103, E2103) * 12, "")</f>
        <v/>
      </c>
      <c r="J2103" s="2">
        <f>IF(I2103="", "", IF(AND(A2103="MF (Equity)", I2103&gt;12), "Long Term", "Short Term"))</f>
        <v/>
      </c>
      <c r="K2103" s="5">
        <f>IF(J2103="", "", IF(J2103="Long Term", 12.5%, 20%))</f>
        <v/>
      </c>
      <c r="L2103" s="3">
        <f>+IFERROR(IF(J2103="","",H2103*K2103),"")</f>
        <v/>
      </c>
    </row>
    <row r="2104">
      <c r="A2104" s="11" t="n"/>
      <c r="B2104" s="7" t="n"/>
      <c r="C2104" s="8" t="n"/>
      <c r="D2104" s="9" t="n"/>
      <c r="E2104" s="8" t="n"/>
      <c r="F2104" s="9" t="n"/>
      <c r="G2104" s="9" t="n"/>
      <c r="H2104" s="3">
        <f>IF(AND(D2104&lt;&gt;"",F2104&lt;&gt;""),F2104-D2104-G2104,"")</f>
        <v/>
      </c>
      <c r="I2104" s="14">
        <f>IF(E2104&lt;&gt;"", YEARFRAC(C2104, E2104) * 12, "")</f>
        <v/>
      </c>
      <c r="J2104" s="2">
        <f>IF(I2104="", "", IF(AND(A2104="MF (Equity)", I2104&gt;12), "Long Term", "Short Term"))</f>
        <v/>
      </c>
      <c r="K2104" s="5">
        <f>IF(J2104="", "", IF(J2104="Long Term", 12.5%, 20%))</f>
        <v/>
      </c>
      <c r="L2104" s="3">
        <f>+IFERROR(IF(J2104="","",H2104*K2104),"")</f>
        <v/>
      </c>
    </row>
    <row r="2105">
      <c r="A2105" s="11" t="n"/>
      <c r="B2105" s="7" t="n"/>
      <c r="C2105" s="8" t="n"/>
      <c r="D2105" s="9" t="n"/>
      <c r="E2105" s="8" t="n"/>
      <c r="F2105" s="9" t="n"/>
      <c r="G2105" s="9" t="n"/>
      <c r="H2105" s="3">
        <f>IF(AND(D2105&lt;&gt;"",F2105&lt;&gt;""),F2105-D2105-G2105,"")</f>
        <v/>
      </c>
      <c r="I2105" s="14">
        <f>IF(E2105&lt;&gt;"", YEARFRAC(C2105, E2105) * 12, "")</f>
        <v/>
      </c>
      <c r="J2105" s="2">
        <f>IF(I2105="", "", IF(AND(A2105="MF (Equity)", I2105&gt;12), "Long Term", "Short Term"))</f>
        <v/>
      </c>
      <c r="K2105" s="5">
        <f>IF(J2105="", "", IF(J2105="Long Term", 12.5%, 20%))</f>
        <v/>
      </c>
      <c r="L2105" s="3">
        <f>+IFERROR(IF(J2105="","",H2105*K2105),"")</f>
        <v/>
      </c>
    </row>
    <row r="2106">
      <c r="A2106" s="11" t="n"/>
      <c r="B2106" s="7" t="n"/>
      <c r="C2106" s="8" t="n"/>
      <c r="D2106" s="9" t="n"/>
      <c r="E2106" s="8" t="n"/>
      <c r="F2106" s="9" t="n"/>
      <c r="G2106" s="9" t="n"/>
      <c r="H2106" s="3">
        <f>IF(AND(D2106&lt;&gt;"",F2106&lt;&gt;""),F2106-D2106-G2106,"")</f>
        <v/>
      </c>
      <c r="I2106" s="14">
        <f>IF(E2106&lt;&gt;"", YEARFRAC(C2106, E2106) * 12, "")</f>
        <v/>
      </c>
      <c r="J2106" s="2">
        <f>IF(I2106="", "", IF(AND(A2106="MF (Equity)", I2106&gt;12), "Long Term", "Short Term"))</f>
        <v/>
      </c>
      <c r="K2106" s="5">
        <f>IF(J2106="", "", IF(J2106="Long Term", 12.5%, 20%))</f>
        <v/>
      </c>
      <c r="L2106" s="3">
        <f>+IFERROR(IF(J2106="","",H2106*K2106),"")</f>
        <v/>
      </c>
    </row>
    <row r="2107">
      <c r="A2107" s="11" t="n"/>
      <c r="B2107" s="7" t="n"/>
      <c r="C2107" s="8" t="n"/>
      <c r="D2107" s="9" t="n"/>
      <c r="E2107" s="8" t="n"/>
      <c r="F2107" s="9" t="n"/>
      <c r="G2107" s="9" t="n"/>
      <c r="H2107" s="3">
        <f>IF(AND(D2107&lt;&gt;"",F2107&lt;&gt;""),F2107-D2107-G2107,"")</f>
        <v/>
      </c>
      <c r="I2107" s="14">
        <f>IF(E2107&lt;&gt;"", YEARFRAC(C2107, E2107) * 12, "")</f>
        <v/>
      </c>
      <c r="J2107" s="2">
        <f>IF(I2107="", "", IF(AND(A2107="MF (Equity)", I2107&gt;12), "Long Term", "Short Term"))</f>
        <v/>
      </c>
      <c r="K2107" s="5">
        <f>IF(J2107="", "", IF(J2107="Long Term", 12.5%, 20%))</f>
        <v/>
      </c>
      <c r="L2107" s="3">
        <f>+IFERROR(IF(J2107="","",H2107*K2107),"")</f>
        <v/>
      </c>
    </row>
    <row r="2108">
      <c r="A2108" s="11" t="n"/>
      <c r="B2108" s="7" t="n"/>
      <c r="C2108" s="8" t="n"/>
      <c r="D2108" s="9" t="n"/>
      <c r="E2108" s="8" t="n"/>
      <c r="F2108" s="9" t="n"/>
      <c r="G2108" s="9" t="n"/>
      <c r="H2108" s="3">
        <f>IF(AND(D2108&lt;&gt;"",F2108&lt;&gt;""),F2108-D2108-G2108,"")</f>
        <v/>
      </c>
      <c r="I2108" s="14">
        <f>IF(E2108&lt;&gt;"", YEARFRAC(C2108, E2108) * 12, "")</f>
        <v/>
      </c>
      <c r="J2108" s="2">
        <f>IF(I2108="", "", IF(AND(A2108="MF (Equity)", I2108&gt;12), "Long Term", "Short Term"))</f>
        <v/>
      </c>
      <c r="K2108" s="5">
        <f>IF(J2108="", "", IF(J2108="Long Term", 12.5%, 20%))</f>
        <v/>
      </c>
      <c r="L2108" s="3">
        <f>+IFERROR(IF(J2108="","",H2108*K2108),"")</f>
        <v/>
      </c>
    </row>
    <row r="2109">
      <c r="A2109" s="11" t="n"/>
      <c r="B2109" s="7" t="n"/>
      <c r="C2109" s="8" t="n"/>
      <c r="D2109" s="9" t="n"/>
      <c r="E2109" s="8" t="n"/>
      <c r="F2109" s="9" t="n"/>
      <c r="G2109" s="9" t="n"/>
      <c r="H2109" s="3">
        <f>IF(AND(D2109&lt;&gt;"",F2109&lt;&gt;""),F2109-D2109-G2109,"")</f>
        <v/>
      </c>
      <c r="I2109" s="14">
        <f>IF(E2109&lt;&gt;"", YEARFRAC(C2109, E2109) * 12, "")</f>
        <v/>
      </c>
      <c r="J2109" s="2">
        <f>IF(I2109="", "", IF(AND(A2109="MF (Equity)", I2109&gt;12), "Long Term", "Short Term"))</f>
        <v/>
      </c>
      <c r="K2109" s="5">
        <f>IF(J2109="", "", IF(J2109="Long Term", 12.5%, 20%))</f>
        <v/>
      </c>
      <c r="L2109" s="3">
        <f>+IFERROR(IF(J2109="","",H2109*K2109),"")</f>
        <v/>
      </c>
    </row>
    <row r="2110">
      <c r="A2110" s="11" t="n"/>
      <c r="B2110" s="7" t="n"/>
      <c r="C2110" s="8" t="n"/>
      <c r="D2110" s="9" t="n"/>
      <c r="E2110" s="8" t="n"/>
      <c r="F2110" s="9" t="n"/>
      <c r="G2110" s="9" t="n"/>
      <c r="H2110" s="3">
        <f>IF(AND(D2110&lt;&gt;"",F2110&lt;&gt;""),F2110-D2110-G2110,"")</f>
        <v/>
      </c>
      <c r="I2110" s="14">
        <f>IF(E2110&lt;&gt;"", YEARFRAC(C2110, E2110) * 12, "")</f>
        <v/>
      </c>
      <c r="J2110" s="2">
        <f>IF(I2110="", "", IF(AND(A2110="MF (Equity)", I2110&gt;12), "Long Term", "Short Term"))</f>
        <v/>
      </c>
      <c r="K2110" s="5">
        <f>IF(J2110="", "", IF(J2110="Long Term", 12.5%, 20%))</f>
        <v/>
      </c>
      <c r="L2110" s="3">
        <f>+IFERROR(IF(J2110="","",H2110*K2110),"")</f>
        <v/>
      </c>
    </row>
    <row r="2111">
      <c r="A2111" s="11" t="n"/>
      <c r="B2111" s="7" t="n"/>
      <c r="C2111" s="8" t="n"/>
      <c r="D2111" s="9" t="n"/>
      <c r="E2111" s="8" t="n"/>
      <c r="F2111" s="9" t="n"/>
      <c r="G2111" s="9" t="n"/>
      <c r="H2111" s="3">
        <f>IF(AND(D2111&lt;&gt;"",F2111&lt;&gt;""),F2111-D2111-G2111,"")</f>
        <v/>
      </c>
      <c r="I2111" s="14">
        <f>IF(E2111&lt;&gt;"", YEARFRAC(C2111, E2111) * 12, "")</f>
        <v/>
      </c>
      <c r="J2111" s="2">
        <f>IF(I2111="", "", IF(AND(A2111="MF (Equity)", I2111&gt;12), "Long Term", "Short Term"))</f>
        <v/>
      </c>
      <c r="K2111" s="5">
        <f>IF(J2111="", "", IF(J2111="Long Term", 12.5%, 20%))</f>
        <v/>
      </c>
      <c r="L2111" s="3">
        <f>+IFERROR(IF(J2111="","",H2111*K2111),"")</f>
        <v/>
      </c>
    </row>
    <row r="2112">
      <c r="A2112" s="11" t="n"/>
      <c r="B2112" s="7" t="n"/>
      <c r="C2112" s="8" t="n"/>
      <c r="D2112" s="9" t="n"/>
      <c r="E2112" s="8" t="n"/>
      <c r="F2112" s="9" t="n"/>
      <c r="G2112" s="9" t="n"/>
      <c r="H2112" s="3">
        <f>IF(AND(D2112&lt;&gt;"",F2112&lt;&gt;""),F2112-D2112-G2112,"")</f>
        <v/>
      </c>
      <c r="I2112" s="14">
        <f>IF(E2112&lt;&gt;"", YEARFRAC(C2112, E2112) * 12, "")</f>
        <v/>
      </c>
      <c r="J2112" s="2">
        <f>IF(I2112="", "", IF(AND(A2112="MF (Equity)", I2112&gt;12), "Long Term", "Short Term"))</f>
        <v/>
      </c>
      <c r="K2112" s="5">
        <f>IF(J2112="", "", IF(J2112="Long Term", 12.5%, 20%))</f>
        <v/>
      </c>
      <c r="L2112" s="3">
        <f>+IFERROR(IF(J2112="","",H2112*K2112),"")</f>
        <v/>
      </c>
    </row>
    <row r="2113">
      <c r="A2113" s="11" t="n"/>
      <c r="B2113" s="7" t="n"/>
      <c r="C2113" s="8" t="n"/>
      <c r="D2113" s="9" t="n"/>
      <c r="E2113" s="8" t="n"/>
      <c r="F2113" s="9" t="n"/>
      <c r="G2113" s="9" t="n"/>
      <c r="H2113" s="3">
        <f>IF(AND(D2113&lt;&gt;"",F2113&lt;&gt;""),F2113-D2113-G2113,"")</f>
        <v/>
      </c>
      <c r="I2113" s="14">
        <f>IF(E2113&lt;&gt;"", YEARFRAC(C2113, E2113) * 12, "")</f>
        <v/>
      </c>
      <c r="J2113" s="2">
        <f>IF(I2113="", "", IF(AND(A2113="MF (Equity)", I2113&gt;12), "Long Term", "Short Term"))</f>
        <v/>
      </c>
      <c r="K2113" s="5">
        <f>IF(J2113="", "", IF(J2113="Long Term", 12.5%, 20%))</f>
        <v/>
      </c>
      <c r="L2113" s="3">
        <f>+IFERROR(IF(J2113="","",H2113*K2113),"")</f>
        <v/>
      </c>
    </row>
    <row r="2114">
      <c r="A2114" s="11" t="n"/>
      <c r="B2114" s="7" t="n"/>
      <c r="C2114" s="8" t="n"/>
      <c r="D2114" s="9" t="n"/>
      <c r="E2114" s="8" t="n"/>
      <c r="F2114" s="9" t="n"/>
      <c r="G2114" s="9" t="n"/>
      <c r="H2114" s="3">
        <f>IF(AND(D2114&lt;&gt;"",F2114&lt;&gt;""),F2114-D2114-G2114,"")</f>
        <v/>
      </c>
      <c r="I2114" s="14">
        <f>IF(E2114&lt;&gt;"", YEARFRAC(C2114, E2114) * 12, "")</f>
        <v/>
      </c>
      <c r="J2114" s="2">
        <f>IF(I2114="", "", IF(AND(A2114="MF (Equity)", I2114&gt;12), "Long Term", "Short Term"))</f>
        <v/>
      </c>
      <c r="K2114" s="5">
        <f>IF(J2114="", "", IF(J2114="Long Term", 12.5%, 20%))</f>
        <v/>
      </c>
      <c r="L2114" s="3">
        <f>+IFERROR(IF(J2114="","",H2114*K2114),"")</f>
        <v/>
      </c>
    </row>
    <row r="2115">
      <c r="A2115" s="11" t="n"/>
      <c r="B2115" s="7" t="n"/>
      <c r="C2115" s="8" t="n"/>
      <c r="D2115" s="9" t="n"/>
      <c r="E2115" s="8" t="n"/>
      <c r="F2115" s="9" t="n"/>
      <c r="G2115" s="9" t="n"/>
      <c r="H2115" s="3">
        <f>IF(AND(D2115&lt;&gt;"",F2115&lt;&gt;""),F2115-D2115-G2115,"")</f>
        <v/>
      </c>
      <c r="I2115" s="14">
        <f>IF(E2115&lt;&gt;"", YEARFRAC(C2115, E2115) * 12, "")</f>
        <v/>
      </c>
      <c r="J2115" s="2">
        <f>IF(I2115="", "", IF(AND(A2115="MF (Equity)", I2115&gt;12), "Long Term", "Short Term"))</f>
        <v/>
      </c>
      <c r="K2115" s="5">
        <f>IF(J2115="", "", IF(J2115="Long Term", 12.5%, 20%))</f>
        <v/>
      </c>
      <c r="L2115" s="3">
        <f>+IFERROR(IF(J2115="","",H2115*K2115),"")</f>
        <v/>
      </c>
    </row>
    <row r="2116">
      <c r="A2116" s="11" t="n"/>
      <c r="B2116" s="7" t="n"/>
      <c r="C2116" s="8" t="n"/>
      <c r="D2116" s="9" t="n"/>
      <c r="E2116" s="8" t="n"/>
      <c r="F2116" s="9" t="n"/>
      <c r="G2116" s="9" t="n"/>
      <c r="H2116" s="3">
        <f>IF(AND(D2116&lt;&gt;"",F2116&lt;&gt;""),F2116-D2116-G2116,"")</f>
        <v/>
      </c>
      <c r="I2116" s="14">
        <f>IF(E2116&lt;&gt;"", YEARFRAC(C2116, E2116) * 12, "")</f>
        <v/>
      </c>
      <c r="J2116" s="2">
        <f>IF(I2116="", "", IF(AND(A2116="MF (Equity)", I2116&gt;12), "Long Term", "Short Term"))</f>
        <v/>
      </c>
      <c r="K2116" s="5">
        <f>IF(J2116="", "", IF(J2116="Long Term", 12.5%, 20%))</f>
        <v/>
      </c>
      <c r="L2116" s="3">
        <f>+IFERROR(IF(J2116="","",H2116*K2116),"")</f>
        <v/>
      </c>
    </row>
    <row r="2117">
      <c r="A2117" s="11" t="n"/>
      <c r="B2117" s="7" t="n"/>
      <c r="C2117" s="8" t="n"/>
      <c r="D2117" s="9" t="n"/>
      <c r="E2117" s="8" t="n"/>
      <c r="F2117" s="9" t="n"/>
      <c r="G2117" s="9" t="n"/>
      <c r="H2117" s="3">
        <f>IF(AND(D2117&lt;&gt;"",F2117&lt;&gt;""),F2117-D2117-G2117,"")</f>
        <v/>
      </c>
      <c r="I2117" s="14">
        <f>IF(E2117&lt;&gt;"", YEARFRAC(C2117, E2117) * 12, "")</f>
        <v/>
      </c>
      <c r="J2117" s="2">
        <f>IF(I2117="", "", IF(AND(A2117="MF (Equity)", I2117&gt;12), "Long Term", "Short Term"))</f>
        <v/>
      </c>
      <c r="K2117" s="5">
        <f>IF(J2117="", "", IF(J2117="Long Term", 12.5%, 20%))</f>
        <v/>
      </c>
      <c r="L2117" s="3">
        <f>+IFERROR(IF(J2117="","",H2117*K2117),"")</f>
        <v/>
      </c>
    </row>
    <row r="2118">
      <c r="A2118" s="11" t="n"/>
      <c r="B2118" s="7" t="n"/>
      <c r="C2118" s="8" t="n"/>
      <c r="D2118" s="9" t="n"/>
      <c r="E2118" s="8" t="n"/>
      <c r="F2118" s="9" t="n"/>
      <c r="G2118" s="9" t="n"/>
      <c r="H2118" s="3">
        <f>IF(AND(D2118&lt;&gt;"",F2118&lt;&gt;""),F2118-D2118-G2118,"")</f>
        <v/>
      </c>
      <c r="I2118" s="14">
        <f>IF(E2118&lt;&gt;"", YEARFRAC(C2118, E2118) * 12, "")</f>
        <v/>
      </c>
      <c r="J2118" s="2">
        <f>IF(I2118="", "", IF(AND(A2118="MF (Equity)", I2118&gt;12), "Long Term", "Short Term"))</f>
        <v/>
      </c>
      <c r="K2118" s="5">
        <f>IF(J2118="", "", IF(J2118="Long Term", 12.5%, 20%))</f>
        <v/>
      </c>
      <c r="L2118" s="3">
        <f>+IFERROR(IF(J2118="","",H2118*K2118),"")</f>
        <v/>
      </c>
    </row>
    <row r="2119">
      <c r="A2119" s="11" t="n"/>
      <c r="B2119" s="7" t="n"/>
      <c r="C2119" s="8" t="n"/>
      <c r="D2119" s="9" t="n"/>
      <c r="E2119" s="8" t="n"/>
      <c r="F2119" s="9" t="n"/>
      <c r="G2119" s="9" t="n"/>
      <c r="H2119" s="3">
        <f>IF(AND(D2119&lt;&gt;"",F2119&lt;&gt;""),F2119-D2119-G2119,"")</f>
        <v/>
      </c>
      <c r="I2119" s="14">
        <f>IF(E2119&lt;&gt;"", YEARFRAC(C2119, E2119) * 12, "")</f>
        <v/>
      </c>
      <c r="J2119" s="2">
        <f>IF(I2119="", "", IF(AND(A2119="MF (Equity)", I2119&gt;12), "Long Term", "Short Term"))</f>
        <v/>
      </c>
      <c r="K2119" s="5">
        <f>IF(J2119="", "", IF(J2119="Long Term", 12.5%, 20%))</f>
        <v/>
      </c>
      <c r="L2119" s="3">
        <f>+IFERROR(IF(J2119="","",H2119*K2119),"")</f>
        <v/>
      </c>
    </row>
    <row r="2120">
      <c r="A2120" s="11" t="n"/>
      <c r="B2120" s="7" t="n"/>
      <c r="C2120" s="8" t="n"/>
      <c r="D2120" s="9" t="n"/>
      <c r="E2120" s="8" t="n"/>
      <c r="F2120" s="9" t="n"/>
      <c r="G2120" s="9" t="n"/>
      <c r="H2120" s="3">
        <f>IF(AND(D2120&lt;&gt;"",F2120&lt;&gt;""),F2120-D2120-G2120,"")</f>
        <v/>
      </c>
      <c r="I2120" s="14">
        <f>IF(E2120&lt;&gt;"", YEARFRAC(C2120, E2120) * 12, "")</f>
        <v/>
      </c>
      <c r="J2120" s="2">
        <f>IF(I2120="", "", IF(AND(A2120="MF (Equity)", I2120&gt;12), "Long Term", "Short Term"))</f>
        <v/>
      </c>
      <c r="K2120" s="5">
        <f>IF(J2120="", "", IF(J2120="Long Term", 12.5%, 20%))</f>
        <v/>
      </c>
      <c r="L2120" s="3">
        <f>+IFERROR(IF(J2120="","",H2120*K2120),"")</f>
        <v/>
      </c>
    </row>
    <row r="2121">
      <c r="A2121" s="11" t="n"/>
      <c r="B2121" s="7" t="n"/>
      <c r="C2121" s="8" t="n"/>
      <c r="D2121" s="9" t="n"/>
      <c r="E2121" s="8" t="n"/>
      <c r="F2121" s="9" t="n"/>
      <c r="G2121" s="9" t="n"/>
      <c r="H2121" s="3">
        <f>IF(AND(D2121&lt;&gt;"",F2121&lt;&gt;""),F2121-D2121-G2121,"")</f>
        <v/>
      </c>
      <c r="I2121" s="14">
        <f>IF(E2121&lt;&gt;"", YEARFRAC(C2121, E2121) * 12, "")</f>
        <v/>
      </c>
      <c r="J2121" s="2">
        <f>IF(I2121="", "", IF(AND(A2121="MF (Equity)", I2121&gt;12), "Long Term", "Short Term"))</f>
        <v/>
      </c>
      <c r="K2121" s="5">
        <f>IF(J2121="", "", IF(J2121="Long Term", 12.5%, 20%))</f>
        <v/>
      </c>
      <c r="L2121" s="3">
        <f>+IFERROR(IF(J2121="","",H2121*K2121),"")</f>
        <v/>
      </c>
    </row>
    <row r="2122">
      <c r="A2122" s="11" t="n"/>
      <c r="B2122" s="7" t="n"/>
      <c r="C2122" s="8" t="n"/>
      <c r="D2122" s="9" t="n"/>
      <c r="E2122" s="8" t="n"/>
      <c r="F2122" s="9" t="n"/>
      <c r="G2122" s="9" t="n"/>
      <c r="H2122" s="3">
        <f>IF(AND(D2122&lt;&gt;"",F2122&lt;&gt;""),F2122-D2122-G2122,"")</f>
        <v/>
      </c>
      <c r="I2122" s="14">
        <f>IF(E2122&lt;&gt;"", YEARFRAC(C2122, E2122) * 12, "")</f>
        <v/>
      </c>
      <c r="J2122" s="2">
        <f>IF(I2122="", "", IF(AND(A2122="MF (Equity)", I2122&gt;12), "Long Term", "Short Term"))</f>
        <v/>
      </c>
      <c r="K2122" s="5">
        <f>IF(J2122="", "", IF(J2122="Long Term", 12.5%, 20%))</f>
        <v/>
      </c>
      <c r="L2122" s="3">
        <f>+IFERROR(IF(J2122="","",H2122*K2122),"")</f>
        <v/>
      </c>
    </row>
    <row r="2123">
      <c r="A2123" s="11" t="n"/>
      <c r="B2123" s="7" t="n"/>
      <c r="C2123" s="8" t="n"/>
      <c r="D2123" s="9" t="n"/>
      <c r="E2123" s="8" t="n"/>
      <c r="F2123" s="9" t="n"/>
      <c r="G2123" s="9" t="n"/>
      <c r="H2123" s="3">
        <f>IF(AND(D2123&lt;&gt;"",F2123&lt;&gt;""),F2123-D2123-G2123,"")</f>
        <v/>
      </c>
      <c r="I2123" s="14">
        <f>IF(E2123&lt;&gt;"", YEARFRAC(C2123, E2123) * 12, "")</f>
        <v/>
      </c>
      <c r="J2123" s="2">
        <f>IF(I2123="", "", IF(AND(A2123="MF (Equity)", I2123&gt;12), "Long Term", "Short Term"))</f>
        <v/>
      </c>
      <c r="K2123" s="5">
        <f>IF(J2123="", "", IF(J2123="Long Term", 12.5%, 20%))</f>
        <v/>
      </c>
      <c r="L2123" s="3">
        <f>+IFERROR(IF(J2123="","",H2123*K2123),"")</f>
        <v/>
      </c>
    </row>
    <row r="2124">
      <c r="A2124" s="11" t="n"/>
      <c r="B2124" s="7" t="n"/>
      <c r="C2124" s="8" t="n"/>
      <c r="D2124" s="9" t="n"/>
      <c r="E2124" s="8" t="n"/>
      <c r="F2124" s="9" t="n"/>
      <c r="G2124" s="9" t="n"/>
      <c r="H2124" s="3">
        <f>IF(AND(D2124&lt;&gt;"",F2124&lt;&gt;""),F2124-D2124-G2124,"")</f>
        <v/>
      </c>
      <c r="I2124" s="14">
        <f>IF(E2124&lt;&gt;"", YEARFRAC(C2124, E2124) * 12, "")</f>
        <v/>
      </c>
      <c r="J2124" s="2">
        <f>IF(I2124="", "", IF(AND(A2124="MF (Equity)", I2124&gt;12), "Long Term", "Short Term"))</f>
        <v/>
      </c>
      <c r="K2124" s="5">
        <f>IF(J2124="", "", IF(J2124="Long Term", 12.5%, 20%))</f>
        <v/>
      </c>
      <c r="L2124" s="3">
        <f>+IFERROR(IF(J2124="","",H2124*K2124),"")</f>
        <v/>
      </c>
    </row>
    <row r="2125">
      <c r="A2125" s="11" t="n"/>
      <c r="B2125" s="7" t="n"/>
      <c r="C2125" s="8" t="n"/>
      <c r="D2125" s="9" t="n"/>
      <c r="E2125" s="8" t="n"/>
      <c r="F2125" s="9" t="n"/>
      <c r="G2125" s="9" t="n"/>
      <c r="H2125" s="3">
        <f>IF(AND(D2125&lt;&gt;"",F2125&lt;&gt;""),F2125-D2125-G2125,"")</f>
        <v/>
      </c>
      <c r="I2125" s="14">
        <f>IF(E2125&lt;&gt;"", YEARFRAC(C2125, E2125) * 12, "")</f>
        <v/>
      </c>
      <c r="J2125" s="2">
        <f>IF(I2125="", "", IF(AND(A2125="MF (Equity)", I2125&gt;12), "Long Term", "Short Term"))</f>
        <v/>
      </c>
      <c r="K2125" s="5">
        <f>IF(J2125="", "", IF(J2125="Long Term", 12.5%, 20%))</f>
        <v/>
      </c>
      <c r="L2125" s="3">
        <f>+IFERROR(IF(J2125="","",H2125*K2125),"")</f>
        <v/>
      </c>
    </row>
    <row r="2126">
      <c r="A2126" s="11" t="n"/>
      <c r="B2126" s="7" t="n"/>
      <c r="C2126" s="8" t="n"/>
      <c r="D2126" s="9" t="n"/>
      <c r="E2126" s="8" t="n"/>
      <c r="F2126" s="9" t="n"/>
      <c r="G2126" s="9" t="n"/>
      <c r="H2126" s="3">
        <f>IF(AND(D2126&lt;&gt;"",F2126&lt;&gt;""),F2126-D2126-G2126,"")</f>
        <v/>
      </c>
      <c r="I2126" s="14">
        <f>IF(E2126&lt;&gt;"", YEARFRAC(C2126, E2126) * 12, "")</f>
        <v/>
      </c>
      <c r="J2126" s="2">
        <f>IF(I2126="", "", IF(AND(A2126="MF (Equity)", I2126&gt;12), "Long Term", "Short Term"))</f>
        <v/>
      </c>
      <c r="K2126" s="5">
        <f>IF(J2126="", "", IF(J2126="Long Term", 12.5%, 20%))</f>
        <v/>
      </c>
      <c r="L2126" s="3">
        <f>+IFERROR(IF(J2126="","",H2126*K2126),"")</f>
        <v/>
      </c>
    </row>
    <row r="2127">
      <c r="A2127" s="11" t="n"/>
      <c r="B2127" s="7" t="n"/>
      <c r="C2127" s="8" t="n"/>
      <c r="D2127" s="9" t="n"/>
      <c r="E2127" s="8" t="n"/>
      <c r="F2127" s="9" t="n"/>
      <c r="G2127" s="9" t="n"/>
      <c r="H2127" s="3">
        <f>IF(AND(D2127&lt;&gt;"",F2127&lt;&gt;""),F2127-D2127-G2127,"")</f>
        <v/>
      </c>
      <c r="I2127" s="14">
        <f>IF(E2127&lt;&gt;"", YEARFRAC(C2127, E2127) * 12, "")</f>
        <v/>
      </c>
      <c r="J2127" s="2">
        <f>IF(I2127="", "", IF(AND(A2127="MF (Equity)", I2127&gt;12), "Long Term", "Short Term"))</f>
        <v/>
      </c>
      <c r="K2127" s="5">
        <f>IF(J2127="", "", IF(J2127="Long Term", 12.5%, 20%))</f>
        <v/>
      </c>
      <c r="L2127" s="3">
        <f>+IFERROR(IF(J2127="","",H2127*K2127),"")</f>
        <v/>
      </c>
    </row>
    <row r="2128">
      <c r="A2128" s="11" t="n"/>
      <c r="B2128" s="7" t="n"/>
      <c r="C2128" s="8" t="n"/>
      <c r="D2128" s="9" t="n"/>
      <c r="E2128" s="8" t="n"/>
      <c r="F2128" s="9" t="n"/>
      <c r="G2128" s="9" t="n"/>
      <c r="H2128" s="3">
        <f>IF(AND(D2128&lt;&gt;"",F2128&lt;&gt;""),F2128-D2128-G2128,"")</f>
        <v/>
      </c>
      <c r="I2128" s="14">
        <f>IF(E2128&lt;&gt;"", YEARFRAC(C2128, E2128) * 12, "")</f>
        <v/>
      </c>
      <c r="J2128" s="2">
        <f>IF(I2128="", "", IF(AND(A2128="MF (Equity)", I2128&gt;12), "Long Term", "Short Term"))</f>
        <v/>
      </c>
      <c r="K2128" s="5">
        <f>IF(J2128="", "", IF(J2128="Long Term", 12.5%, 20%))</f>
        <v/>
      </c>
      <c r="L2128" s="3">
        <f>+IFERROR(IF(J2128="","",H2128*K2128),"")</f>
        <v/>
      </c>
    </row>
    <row r="2129">
      <c r="A2129" s="11" t="n"/>
      <c r="B2129" s="7" t="n"/>
      <c r="C2129" s="8" t="n"/>
      <c r="D2129" s="9" t="n"/>
      <c r="E2129" s="8" t="n"/>
      <c r="F2129" s="9" t="n"/>
      <c r="G2129" s="9" t="n"/>
      <c r="H2129" s="3">
        <f>IF(AND(D2129&lt;&gt;"",F2129&lt;&gt;""),F2129-D2129-G2129,"")</f>
        <v/>
      </c>
      <c r="I2129" s="14">
        <f>IF(E2129&lt;&gt;"", YEARFRAC(C2129, E2129) * 12, "")</f>
        <v/>
      </c>
      <c r="J2129" s="2">
        <f>IF(I2129="", "", IF(AND(A2129="MF (Equity)", I2129&gt;12), "Long Term", "Short Term"))</f>
        <v/>
      </c>
      <c r="K2129" s="5">
        <f>IF(J2129="", "", IF(J2129="Long Term", 12.5%, 20%))</f>
        <v/>
      </c>
      <c r="L2129" s="3">
        <f>+IFERROR(IF(J2129="","",H2129*K2129),"")</f>
        <v/>
      </c>
    </row>
    <row r="2130">
      <c r="A2130" s="11" t="n"/>
      <c r="B2130" s="7" t="n"/>
      <c r="C2130" s="8" t="n"/>
      <c r="D2130" s="9" t="n"/>
      <c r="E2130" s="8" t="n"/>
      <c r="F2130" s="9" t="n"/>
      <c r="G2130" s="9" t="n"/>
      <c r="H2130" s="3">
        <f>IF(AND(D2130&lt;&gt;"",F2130&lt;&gt;""),F2130-D2130-G2130,"")</f>
        <v/>
      </c>
      <c r="I2130" s="14">
        <f>IF(E2130&lt;&gt;"", YEARFRAC(C2130, E2130) * 12, "")</f>
        <v/>
      </c>
      <c r="J2130" s="2">
        <f>IF(I2130="", "", IF(AND(A2130="MF (Equity)", I2130&gt;12), "Long Term", "Short Term"))</f>
        <v/>
      </c>
      <c r="K2130" s="5">
        <f>IF(J2130="", "", IF(J2130="Long Term", 12.5%, 20%))</f>
        <v/>
      </c>
      <c r="L2130" s="3">
        <f>+IFERROR(IF(J2130="","",H2130*K2130),"")</f>
        <v/>
      </c>
    </row>
    <row r="2131">
      <c r="A2131" s="11" t="n"/>
      <c r="B2131" s="7" t="n"/>
      <c r="C2131" s="8" t="n"/>
      <c r="D2131" s="9" t="n"/>
      <c r="E2131" s="8" t="n"/>
      <c r="F2131" s="9" t="n"/>
      <c r="G2131" s="9" t="n"/>
      <c r="H2131" s="3">
        <f>IF(AND(D2131&lt;&gt;"",F2131&lt;&gt;""),F2131-D2131-G2131,"")</f>
        <v/>
      </c>
      <c r="I2131" s="14">
        <f>IF(E2131&lt;&gt;"", YEARFRAC(C2131, E2131) * 12, "")</f>
        <v/>
      </c>
      <c r="J2131" s="2">
        <f>IF(I2131="", "", IF(AND(A2131="MF (Equity)", I2131&gt;12), "Long Term", "Short Term"))</f>
        <v/>
      </c>
      <c r="K2131" s="5">
        <f>IF(J2131="", "", IF(J2131="Long Term", 12.5%, 20%))</f>
        <v/>
      </c>
      <c r="L2131" s="3">
        <f>+IFERROR(IF(J2131="","",H2131*K2131),"")</f>
        <v/>
      </c>
    </row>
    <row r="2132">
      <c r="A2132" s="11" t="n"/>
      <c r="B2132" s="7" t="n"/>
      <c r="C2132" s="8" t="n"/>
      <c r="D2132" s="9" t="n"/>
      <c r="E2132" s="8" t="n"/>
      <c r="F2132" s="9" t="n"/>
      <c r="G2132" s="9" t="n"/>
      <c r="H2132" s="3">
        <f>IF(AND(D2132&lt;&gt;"",F2132&lt;&gt;""),F2132-D2132-G2132,"")</f>
        <v/>
      </c>
      <c r="I2132" s="14">
        <f>IF(E2132&lt;&gt;"", YEARFRAC(C2132, E2132) * 12, "")</f>
        <v/>
      </c>
      <c r="J2132" s="2">
        <f>IF(I2132="", "", IF(AND(A2132="MF (Equity)", I2132&gt;12), "Long Term", "Short Term"))</f>
        <v/>
      </c>
      <c r="K2132" s="5">
        <f>IF(J2132="", "", IF(J2132="Long Term", 12.5%, 20%))</f>
        <v/>
      </c>
      <c r="L2132" s="3">
        <f>+IFERROR(IF(J2132="","",H2132*K2132),"")</f>
        <v/>
      </c>
    </row>
    <row r="2133">
      <c r="A2133" s="11" t="n"/>
      <c r="B2133" s="7" t="n"/>
      <c r="C2133" s="8" t="n"/>
      <c r="D2133" s="9" t="n"/>
      <c r="E2133" s="8" t="n"/>
      <c r="F2133" s="9" t="n"/>
      <c r="G2133" s="9" t="n"/>
      <c r="H2133" s="3">
        <f>IF(AND(D2133&lt;&gt;"",F2133&lt;&gt;""),F2133-D2133-G2133,"")</f>
        <v/>
      </c>
      <c r="I2133" s="14">
        <f>IF(E2133&lt;&gt;"", YEARFRAC(C2133, E2133) * 12, "")</f>
        <v/>
      </c>
      <c r="J2133" s="2">
        <f>IF(I2133="", "", IF(AND(A2133="MF (Equity)", I2133&gt;12), "Long Term", "Short Term"))</f>
        <v/>
      </c>
      <c r="K2133" s="5">
        <f>IF(J2133="", "", IF(J2133="Long Term", 12.5%, 20%))</f>
        <v/>
      </c>
      <c r="L2133" s="3">
        <f>+IFERROR(IF(J2133="","",H2133*K2133),"")</f>
        <v/>
      </c>
    </row>
    <row r="2134">
      <c r="A2134" s="11" t="n"/>
      <c r="B2134" s="7" t="n"/>
      <c r="C2134" s="8" t="n"/>
      <c r="D2134" s="9" t="n"/>
      <c r="E2134" s="8" t="n"/>
      <c r="F2134" s="9" t="n"/>
      <c r="G2134" s="9" t="n"/>
      <c r="H2134" s="3">
        <f>IF(AND(D2134&lt;&gt;"",F2134&lt;&gt;""),F2134-D2134-G2134,"")</f>
        <v/>
      </c>
      <c r="I2134" s="14">
        <f>IF(E2134&lt;&gt;"", YEARFRAC(C2134, E2134) * 12, "")</f>
        <v/>
      </c>
      <c r="J2134" s="2">
        <f>IF(I2134="", "", IF(AND(A2134="MF (Equity)", I2134&gt;12), "Long Term", "Short Term"))</f>
        <v/>
      </c>
      <c r="K2134" s="5">
        <f>IF(J2134="", "", IF(J2134="Long Term", 12.5%, 20%))</f>
        <v/>
      </c>
      <c r="L2134" s="3">
        <f>+IFERROR(IF(J2134="","",H2134*K2134),"")</f>
        <v/>
      </c>
    </row>
    <row r="2135">
      <c r="A2135" s="11" t="n"/>
      <c r="B2135" s="7" t="n"/>
      <c r="C2135" s="8" t="n"/>
      <c r="D2135" s="9" t="n"/>
      <c r="E2135" s="8" t="n"/>
      <c r="F2135" s="9" t="n"/>
      <c r="G2135" s="9" t="n"/>
      <c r="H2135" s="3">
        <f>IF(AND(D2135&lt;&gt;"",F2135&lt;&gt;""),F2135-D2135-G2135,"")</f>
        <v/>
      </c>
      <c r="I2135" s="14">
        <f>IF(E2135&lt;&gt;"", YEARFRAC(C2135, E2135) * 12, "")</f>
        <v/>
      </c>
      <c r="J2135" s="2">
        <f>IF(I2135="", "", IF(AND(A2135="MF (Equity)", I2135&gt;12), "Long Term", "Short Term"))</f>
        <v/>
      </c>
      <c r="K2135" s="5">
        <f>IF(J2135="", "", IF(J2135="Long Term", 12.5%, 20%))</f>
        <v/>
      </c>
      <c r="L2135" s="3">
        <f>+IFERROR(IF(J2135="","",H2135*K2135),"")</f>
        <v/>
      </c>
    </row>
    <row r="2136">
      <c r="A2136" s="11" t="n"/>
      <c r="B2136" s="7" t="n"/>
      <c r="C2136" s="8" t="n"/>
      <c r="D2136" s="9" t="n"/>
      <c r="E2136" s="8" t="n"/>
      <c r="F2136" s="9" t="n"/>
      <c r="G2136" s="9" t="n"/>
      <c r="H2136" s="3">
        <f>IF(AND(D2136&lt;&gt;"",F2136&lt;&gt;""),F2136-D2136-G2136,"")</f>
        <v/>
      </c>
      <c r="I2136" s="14">
        <f>IF(E2136&lt;&gt;"", YEARFRAC(C2136, E2136) * 12, "")</f>
        <v/>
      </c>
      <c r="J2136" s="2">
        <f>IF(I2136="", "", IF(AND(A2136="MF (Equity)", I2136&gt;12), "Long Term", "Short Term"))</f>
        <v/>
      </c>
      <c r="K2136" s="5">
        <f>IF(J2136="", "", IF(J2136="Long Term", 12.5%, 20%))</f>
        <v/>
      </c>
      <c r="L2136" s="3">
        <f>+IFERROR(IF(J2136="","",H2136*K2136),"")</f>
        <v/>
      </c>
    </row>
    <row r="2137">
      <c r="A2137" s="11" t="n"/>
      <c r="B2137" s="7" t="n"/>
      <c r="C2137" s="8" t="n"/>
      <c r="D2137" s="9" t="n"/>
      <c r="E2137" s="8" t="n"/>
      <c r="F2137" s="9" t="n"/>
      <c r="G2137" s="9" t="n"/>
      <c r="H2137" s="3">
        <f>IF(AND(D2137&lt;&gt;"",F2137&lt;&gt;""),F2137-D2137-G2137,"")</f>
        <v/>
      </c>
      <c r="I2137" s="14">
        <f>IF(E2137&lt;&gt;"", YEARFRAC(C2137, E2137) * 12, "")</f>
        <v/>
      </c>
      <c r="J2137" s="2">
        <f>IF(I2137="", "", IF(AND(A2137="MF (Equity)", I2137&gt;12), "Long Term", "Short Term"))</f>
        <v/>
      </c>
      <c r="K2137" s="5">
        <f>IF(J2137="", "", IF(J2137="Long Term", 12.5%, 20%))</f>
        <v/>
      </c>
      <c r="L2137" s="3">
        <f>+IFERROR(IF(J2137="","",H2137*K2137),"")</f>
        <v/>
      </c>
    </row>
    <row r="2138">
      <c r="A2138" s="11" t="n"/>
      <c r="B2138" s="7" t="n"/>
      <c r="C2138" s="8" t="n"/>
      <c r="D2138" s="9" t="n"/>
      <c r="E2138" s="8" t="n"/>
      <c r="F2138" s="9" t="n"/>
      <c r="G2138" s="9" t="n"/>
      <c r="H2138" s="3">
        <f>IF(AND(D2138&lt;&gt;"",F2138&lt;&gt;""),F2138-D2138-G2138,"")</f>
        <v/>
      </c>
      <c r="I2138" s="14">
        <f>IF(E2138&lt;&gt;"", YEARFRAC(C2138, E2138) * 12, "")</f>
        <v/>
      </c>
      <c r="J2138" s="2">
        <f>IF(I2138="", "", IF(AND(A2138="MF (Equity)", I2138&gt;12), "Long Term", "Short Term"))</f>
        <v/>
      </c>
      <c r="K2138" s="5">
        <f>IF(J2138="", "", IF(J2138="Long Term", 12.5%, 20%))</f>
        <v/>
      </c>
      <c r="L2138" s="3">
        <f>+IFERROR(IF(J2138="","",H2138*K2138),"")</f>
        <v/>
      </c>
    </row>
    <row r="2139">
      <c r="A2139" s="11" t="n"/>
      <c r="B2139" s="7" t="n"/>
      <c r="C2139" s="8" t="n"/>
      <c r="D2139" s="9" t="n"/>
      <c r="E2139" s="8" t="n"/>
      <c r="F2139" s="9" t="n"/>
      <c r="G2139" s="9" t="n"/>
      <c r="H2139" s="3">
        <f>IF(AND(D2139&lt;&gt;"",F2139&lt;&gt;""),F2139-D2139-G2139,"")</f>
        <v/>
      </c>
      <c r="I2139" s="14">
        <f>IF(E2139&lt;&gt;"", YEARFRAC(C2139, E2139) * 12, "")</f>
        <v/>
      </c>
      <c r="J2139" s="2">
        <f>IF(I2139="", "", IF(AND(A2139="MF (Equity)", I2139&gt;12), "Long Term", "Short Term"))</f>
        <v/>
      </c>
      <c r="K2139" s="5">
        <f>IF(J2139="", "", IF(J2139="Long Term", 12.5%, 20%))</f>
        <v/>
      </c>
      <c r="L2139" s="3">
        <f>+IFERROR(IF(J2139="","",H2139*K2139),"")</f>
        <v/>
      </c>
    </row>
    <row r="2140">
      <c r="A2140" s="11" t="n"/>
      <c r="B2140" s="7" t="n"/>
      <c r="C2140" s="8" t="n"/>
      <c r="D2140" s="9" t="n"/>
      <c r="E2140" s="8" t="n"/>
      <c r="F2140" s="9" t="n"/>
      <c r="G2140" s="9" t="n"/>
      <c r="H2140" s="3">
        <f>IF(AND(D2140&lt;&gt;"",F2140&lt;&gt;""),F2140-D2140-G2140,"")</f>
        <v/>
      </c>
      <c r="I2140" s="14">
        <f>IF(E2140&lt;&gt;"", YEARFRAC(C2140, E2140) * 12, "")</f>
        <v/>
      </c>
      <c r="J2140" s="2">
        <f>IF(I2140="", "", IF(AND(A2140="MF (Equity)", I2140&gt;12), "Long Term", "Short Term"))</f>
        <v/>
      </c>
      <c r="K2140" s="5">
        <f>IF(J2140="", "", IF(J2140="Long Term", 12.5%, 20%))</f>
        <v/>
      </c>
      <c r="L2140" s="3">
        <f>+IFERROR(IF(J2140="","",H2140*K2140),"")</f>
        <v/>
      </c>
    </row>
    <row r="2141">
      <c r="A2141" s="11" t="n"/>
      <c r="B2141" s="7" t="n"/>
      <c r="C2141" s="8" t="n"/>
      <c r="D2141" s="9" t="n"/>
      <c r="E2141" s="8" t="n"/>
      <c r="F2141" s="9" t="n"/>
      <c r="G2141" s="9" t="n"/>
      <c r="H2141" s="3">
        <f>IF(AND(D2141&lt;&gt;"",F2141&lt;&gt;""),F2141-D2141-G2141,"")</f>
        <v/>
      </c>
      <c r="I2141" s="14">
        <f>IF(E2141&lt;&gt;"", YEARFRAC(C2141, E2141) * 12, "")</f>
        <v/>
      </c>
      <c r="J2141" s="2">
        <f>IF(I2141="", "", IF(AND(A2141="MF (Equity)", I2141&gt;12), "Long Term", "Short Term"))</f>
        <v/>
      </c>
      <c r="K2141" s="5">
        <f>IF(J2141="", "", IF(J2141="Long Term", 12.5%, 20%))</f>
        <v/>
      </c>
      <c r="L2141" s="3">
        <f>+IFERROR(IF(J2141="","",H2141*K2141),"")</f>
        <v/>
      </c>
    </row>
    <row r="2142">
      <c r="A2142" s="11" t="n"/>
      <c r="B2142" s="7" t="n"/>
      <c r="C2142" s="8" t="n"/>
      <c r="D2142" s="9" t="n"/>
      <c r="E2142" s="8" t="n"/>
      <c r="F2142" s="9" t="n"/>
      <c r="G2142" s="9" t="n"/>
      <c r="H2142" s="3">
        <f>IF(AND(D2142&lt;&gt;"",F2142&lt;&gt;""),F2142-D2142-G2142,"")</f>
        <v/>
      </c>
      <c r="I2142" s="14">
        <f>IF(E2142&lt;&gt;"", YEARFRAC(C2142, E2142) * 12, "")</f>
        <v/>
      </c>
      <c r="J2142" s="2">
        <f>IF(I2142="", "", IF(AND(A2142="MF (Equity)", I2142&gt;12), "Long Term", "Short Term"))</f>
        <v/>
      </c>
      <c r="K2142" s="5">
        <f>IF(J2142="", "", IF(J2142="Long Term", 12.5%, 20%))</f>
        <v/>
      </c>
      <c r="L2142" s="3">
        <f>+IFERROR(IF(J2142="","",H2142*K2142),"")</f>
        <v/>
      </c>
    </row>
    <row r="2143">
      <c r="A2143" s="11" t="n"/>
      <c r="B2143" s="7" t="n"/>
      <c r="C2143" s="8" t="n"/>
      <c r="D2143" s="9" t="n"/>
      <c r="E2143" s="8" t="n"/>
      <c r="F2143" s="9" t="n"/>
      <c r="G2143" s="9" t="n"/>
      <c r="H2143" s="3">
        <f>IF(AND(D2143&lt;&gt;"",F2143&lt;&gt;""),F2143-D2143-G2143,"")</f>
        <v/>
      </c>
      <c r="I2143" s="14">
        <f>IF(E2143&lt;&gt;"", YEARFRAC(C2143, E2143) * 12, "")</f>
        <v/>
      </c>
      <c r="J2143" s="2">
        <f>IF(I2143="", "", IF(AND(A2143="MF (Equity)", I2143&gt;12), "Long Term", "Short Term"))</f>
        <v/>
      </c>
      <c r="K2143" s="5">
        <f>IF(J2143="", "", IF(J2143="Long Term", 12.5%, 20%))</f>
        <v/>
      </c>
      <c r="L2143" s="3">
        <f>+IFERROR(IF(J2143="","",H2143*K2143),"")</f>
        <v/>
      </c>
    </row>
    <row r="2144">
      <c r="A2144" s="11" t="n"/>
      <c r="B2144" s="7" t="n"/>
      <c r="C2144" s="8" t="n"/>
      <c r="D2144" s="9" t="n"/>
      <c r="E2144" s="8" t="n"/>
      <c r="F2144" s="9" t="n"/>
      <c r="G2144" s="9" t="n"/>
      <c r="H2144" s="3">
        <f>IF(AND(D2144&lt;&gt;"",F2144&lt;&gt;""),F2144-D2144-G2144,"")</f>
        <v/>
      </c>
      <c r="I2144" s="14">
        <f>IF(E2144&lt;&gt;"", YEARFRAC(C2144, E2144) * 12, "")</f>
        <v/>
      </c>
      <c r="J2144" s="2">
        <f>IF(I2144="", "", IF(AND(A2144="MF (Equity)", I2144&gt;12), "Long Term", "Short Term"))</f>
        <v/>
      </c>
      <c r="K2144" s="5">
        <f>IF(J2144="", "", IF(J2144="Long Term", 12.5%, 20%))</f>
        <v/>
      </c>
      <c r="L2144" s="3">
        <f>+IFERROR(IF(J2144="","",H2144*K2144),"")</f>
        <v/>
      </c>
    </row>
    <row r="2145">
      <c r="A2145" s="11" t="n"/>
      <c r="B2145" s="7" t="n"/>
      <c r="C2145" s="8" t="n"/>
      <c r="D2145" s="9" t="n"/>
      <c r="E2145" s="8" t="n"/>
      <c r="F2145" s="9" t="n"/>
      <c r="G2145" s="9" t="n"/>
      <c r="H2145" s="3">
        <f>IF(AND(D2145&lt;&gt;"",F2145&lt;&gt;""),F2145-D2145-G2145,"")</f>
        <v/>
      </c>
      <c r="I2145" s="14">
        <f>IF(E2145&lt;&gt;"", YEARFRAC(C2145, E2145) * 12, "")</f>
        <v/>
      </c>
      <c r="J2145" s="2">
        <f>IF(I2145="", "", IF(AND(A2145="MF (Equity)", I2145&gt;12), "Long Term", "Short Term"))</f>
        <v/>
      </c>
      <c r="K2145" s="5">
        <f>IF(J2145="", "", IF(J2145="Long Term", 12.5%, 20%))</f>
        <v/>
      </c>
      <c r="L2145" s="3">
        <f>+IFERROR(IF(J2145="","",H2145*K2145),"")</f>
        <v/>
      </c>
    </row>
    <row r="2146">
      <c r="A2146" s="11" t="n"/>
      <c r="B2146" s="7" t="n"/>
      <c r="C2146" s="8" t="n"/>
      <c r="D2146" s="9" t="n"/>
      <c r="E2146" s="8" t="n"/>
      <c r="F2146" s="9" t="n"/>
      <c r="G2146" s="9" t="n"/>
      <c r="H2146" s="3">
        <f>IF(AND(D2146&lt;&gt;"",F2146&lt;&gt;""),F2146-D2146-G2146,"")</f>
        <v/>
      </c>
      <c r="I2146" s="14">
        <f>IF(E2146&lt;&gt;"", YEARFRAC(C2146, E2146) * 12, "")</f>
        <v/>
      </c>
      <c r="J2146" s="2">
        <f>IF(I2146="", "", IF(AND(A2146="MF (Equity)", I2146&gt;12), "Long Term", "Short Term"))</f>
        <v/>
      </c>
      <c r="K2146" s="5">
        <f>IF(J2146="", "", IF(J2146="Long Term", 12.5%, 20%))</f>
        <v/>
      </c>
      <c r="L2146" s="3">
        <f>+IFERROR(IF(J2146="","",H2146*K2146),"")</f>
        <v/>
      </c>
    </row>
    <row r="2147">
      <c r="A2147" s="11" t="n"/>
      <c r="B2147" s="7" t="n"/>
      <c r="C2147" s="8" t="n"/>
      <c r="D2147" s="9" t="n"/>
      <c r="E2147" s="8" t="n"/>
      <c r="F2147" s="9" t="n"/>
      <c r="G2147" s="9" t="n"/>
      <c r="H2147" s="3">
        <f>IF(AND(D2147&lt;&gt;"",F2147&lt;&gt;""),F2147-D2147-G2147,"")</f>
        <v/>
      </c>
      <c r="I2147" s="14">
        <f>IF(E2147&lt;&gt;"", YEARFRAC(C2147, E2147) * 12, "")</f>
        <v/>
      </c>
      <c r="J2147" s="2">
        <f>IF(I2147="", "", IF(AND(A2147="MF (Equity)", I2147&gt;12), "Long Term", "Short Term"))</f>
        <v/>
      </c>
      <c r="K2147" s="5">
        <f>IF(J2147="", "", IF(J2147="Long Term", 12.5%, 20%))</f>
        <v/>
      </c>
      <c r="L2147" s="3">
        <f>+IFERROR(IF(J2147="","",H2147*K2147),"")</f>
        <v/>
      </c>
    </row>
    <row r="2148">
      <c r="A2148" s="11" t="n"/>
      <c r="B2148" s="7" t="n"/>
      <c r="C2148" s="8" t="n"/>
      <c r="D2148" s="9" t="n"/>
      <c r="E2148" s="8" t="n"/>
      <c r="F2148" s="9" t="n"/>
      <c r="G2148" s="9" t="n"/>
      <c r="H2148" s="3">
        <f>IF(AND(D2148&lt;&gt;"",F2148&lt;&gt;""),F2148-D2148-G2148,"")</f>
        <v/>
      </c>
      <c r="I2148" s="14">
        <f>IF(E2148&lt;&gt;"", YEARFRAC(C2148, E2148) * 12, "")</f>
        <v/>
      </c>
      <c r="J2148" s="2">
        <f>IF(I2148="", "", IF(AND(A2148="MF (Equity)", I2148&gt;12), "Long Term", "Short Term"))</f>
        <v/>
      </c>
      <c r="K2148" s="5">
        <f>IF(J2148="", "", IF(J2148="Long Term", 12.5%, 20%))</f>
        <v/>
      </c>
      <c r="L2148" s="3">
        <f>+IFERROR(IF(J2148="","",H2148*K2148),"")</f>
        <v/>
      </c>
    </row>
    <row r="2149">
      <c r="A2149" s="11" t="n"/>
      <c r="B2149" s="7" t="n"/>
      <c r="C2149" s="8" t="n"/>
      <c r="D2149" s="9" t="n"/>
      <c r="E2149" s="8" t="n"/>
      <c r="F2149" s="9" t="n"/>
      <c r="G2149" s="9" t="n"/>
      <c r="H2149" s="3">
        <f>IF(AND(D2149&lt;&gt;"",F2149&lt;&gt;""),F2149-D2149-G2149,"")</f>
        <v/>
      </c>
      <c r="I2149" s="14">
        <f>IF(E2149&lt;&gt;"", YEARFRAC(C2149, E2149) * 12, "")</f>
        <v/>
      </c>
      <c r="J2149" s="2">
        <f>IF(I2149="", "", IF(AND(A2149="MF (Equity)", I2149&gt;12), "Long Term", "Short Term"))</f>
        <v/>
      </c>
      <c r="K2149" s="5">
        <f>IF(J2149="", "", IF(J2149="Long Term", 12.5%, 20%))</f>
        <v/>
      </c>
      <c r="L2149" s="3">
        <f>+IFERROR(IF(J2149="","",H2149*K2149),"")</f>
        <v/>
      </c>
    </row>
    <row r="2150">
      <c r="A2150" s="11" t="n"/>
      <c r="B2150" s="7" t="n"/>
      <c r="C2150" s="8" t="n"/>
      <c r="D2150" s="9" t="n"/>
      <c r="E2150" s="8" t="n"/>
      <c r="F2150" s="9" t="n"/>
      <c r="G2150" s="9" t="n"/>
      <c r="H2150" s="3">
        <f>IF(AND(D2150&lt;&gt;"",F2150&lt;&gt;""),F2150-D2150-G2150,"")</f>
        <v/>
      </c>
      <c r="I2150" s="14">
        <f>IF(E2150&lt;&gt;"", YEARFRAC(C2150, E2150) * 12, "")</f>
        <v/>
      </c>
      <c r="J2150" s="2">
        <f>IF(I2150="", "", IF(AND(A2150="MF (Equity)", I2150&gt;12), "Long Term", "Short Term"))</f>
        <v/>
      </c>
      <c r="K2150" s="5">
        <f>IF(J2150="", "", IF(J2150="Long Term", 12.5%, 20%))</f>
        <v/>
      </c>
      <c r="L2150" s="3">
        <f>+IFERROR(IF(J2150="","",H2150*K2150),"")</f>
        <v/>
      </c>
    </row>
    <row r="2151">
      <c r="A2151" s="11" t="n"/>
      <c r="B2151" s="7" t="n"/>
      <c r="C2151" s="8" t="n"/>
      <c r="D2151" s="9" t="n"/>
      <c r="E2151" s="8" t="n"/>
      <c r="F2151" s="9" t="n"/>
      <c r="G2151" s="9" t="n"/>
      <c r="H2151" s="3">
        <f>IF(AND(D2151&lt;&gt;"",F2151&lt;&gt;""),F2151-D2151-G2151,"")</f>
        <v/>
      </c>
      <c r="I2151" s="14">
        <f>IF(E2151&lt;&gt;"", YEARFRAC(C2151, E2151) * 12, "")</f>
        <v/>
      </c>
      <c r="J2151" s="2">
        <f>IF(I2151="", "", IF(AND(A2151="MF (Equity)", I2151&gt;12), "Long Term", "Short Term"))</f>
        <v/>
      </c>
      <c r="K2151" s="5">
        <f>IF(J2151="", "", IF(J2151="Long Term", 12.5%, 20%))</f>
        <v/>
      </c>
      <c r="L2151" s="3">
        <f>+IFERROR(IF(J2151="","",H2151*K2151),"")</f>
        <v/>
      </c>
    </row>
    <row r="2152">
      <c r="A2152" s="11" t="n"/>
      <c r="B2152" s="7" t="n"/>
      <c r="C2152" s="8" t="n"/>
      <c r="D2152" s="9" t="n"/>
      <c r="E2152" s="8" t="n"/>
      <c r="F2152" s="9" t="n"/>
      <c r="G2152" s="9" t="n"/>
      <c r="H2152" s="3">
        <f>IF(AND(D2152&lt;&gt;"",F2152&lt;&gt;""),F2152-D2152-G2152,"")</f>
        <v/>
      </c>
      <c r="I2152" s="14">
        <f>IF(E2152&lt;&gt;"", YEARFRAC(C2152, E2152) * 12, "")</f>
        <v/>
      </c>
      <c r="J2152" s="2">
        <f>IF(I2152="", "", IF(AND(A2152="MF (Equity)", I2152&gt;12), "Long Term", "Short Term"))</f>
        <v/>
      </c>
      <c r="K2152" s="5">
        <f>IF(J2152="", "", IF(J2152="Long Term", 12.5%, 20%))</f>
        <v/>
      </c>
      <c r="L2152" s="3">
        <f>+IFERROR(IF(J2152="","",H2152*K2152),"")</f>
        <v/>
      </c>
    </row>
    <row r="2153">
      <c r="A2153" s="11" t="n"/>
      <c r="B2153" s="7" t="n"/>
      <c r="C2153" s="8" t="n"/>
      <c r="D2153" s="9" t="n"/>
      <c r="E2153" s="8" t="n"/>
      <c r="F2153" s="9" t="n"/>
      <c r="G2153" s="9" t="n"/>
      <c r="H2153" s="3">
        <f>IF(AND(D2153&lt;&gt;"",F2153&lt;&gt;""),F2153-D2153-G2153,"")</f>
        <v/>
      </c>
      <c r="I2153" s="14">
        <f>IF(E2153&lt;&gt;"", YEARFRAC(C2153, E2153) * 12, "")</f>
        <v/>
      </c>
      <c r="J2153" s="2">
        <f>IF(I2153="", "", IF(AND(A2153="MF (Equity)", I2153&gt;12), "Long Term", "Short Term"))</f>
        <v/>
      </c>
      <c r="K2153" s="5">
        <f>IF(J2153="", "", IF(J2153="Long Term", 12.5%, 20%))</f>
        <v/>
      </c>
      <c r="L2153" s="3">
        <f>+IFERROR(IF(J2153="","",H2153*K2153),"")</f>
        <v/>
      </c>
    </row>
    <row r="2154">
      <c r="A2154" s="11" t="n"/>
      <c r="B2154" s="7" t="n"/>
      <c r="C2154" s="8" t="n"/>
      <c r="D2154" s="9" t="n"/>
      <c r="E2154" s="8" t="n"/>
      <c r="F2154" s="9" t="n"/>
      <c r="G2154" s="9" t="n"/>
      <c r="H2154" s="3">
        <f>IF(AND(D2154&lt;&gt;"",F2154&lt;&gt;""),F2154-D2154-G2154,"")</f>
        <v/>
      </c>
      <c r="I2154" s="14">
        <f>IF(E2154&lt;&gt;"", YEARFRAC(C2154, E2154) * 12, "")</f>
        <v/>
      </c>
      <c r="J2154" s="2">
        <f>IF(I2154="", "", IF(AND(A2154="MF (Equity)", I2154&gt;12), "Long Term", "Short Term"))</f>
        <v/>
      </c>
      <c r="K2154" s="5">
        <f>IF(J2154="", "", IF(J2154="Long Term", 12.5%, 20%))</f>
        <v/>
      </c>
      <c r="L2154" s="3">
        <f>+IFERROR(IF(J2154="","",H2154*K2154),"")</f>
        <v/>
      </c>
    </row>
    <row r="2155">
      <c r="A2155" s="11" t="n"/>
      <c r="B2155" s="7" t="n"/>
      <c r="C2155" s="8" t="n"/>
      <c r="D2155" s="9" t="n"/>
      <c r="E2155" s="8" t="n"/>
      <c r="F2155" s="9" t="n"/>
      <c r="G2155" s="9" t="n"/>
      <c r="H2155" s="3">
        <f>IF(AND(D2155&lt;&gt;"",F2155&lt;&gt;""),F2155-D2155-G2155,"")</f>
        <v/>
      </c>
      <c r="I2155" s="14">
        <f>IF(E2155&lt;&gt;"", YEARFRAC(C2155, E2155) * 12, "")</f>
        <v/>
      </c>
      <c r="J2155" s="2">
        <f>IF(I2155="", "", IF(AND(A2155="MF (Equity)", I2155&gt;12), "Long Term", "Short Term"))</f>
        <v/>
      </c>
      <c r="K2155" s="5">
        <f>IF(J2155="", "", IF(J2155="Long Term", 12.5%, 20%))</f>
        <v/>
      </c>
      <c r="L2155" s="3">
        <f>+IFERROR(IF(J2155="","",H2155*K2155),"")</f>
        <v/>
      </c>
    </row>
    <row r="2156">
      <c r="A2156" s="11" t="n"/>
      <c r="B2156" s="7" t="n"/>
      <c r="C2156" s="8" t="n"/>
      <c r="D2156" s="9" t="n"/>
      <c r="E2156" s="8" t="n"/>
      <c r="F2156" s="9" t="n"/>
      <c r="G2156" s="9" t="n"/>
      <c r="H2156" s="3">
        <f>IF(AND(D2156&lt;&gt;"",F2156&lt;&gt;""),F2156-D2156-G2156,"")</f>
        <v/>
      </c>
      <c r="I2156" s="14">
        <f>IF(E2156&lt;&gt;"", YEARFRAC(C2156, E2156) * 12, "")</f>
        <v/>
      </c>
      <c r="J2156" s="2">
        <f>IF(I2156="", "", IF(AND(A2156="MF (Equity)", I2156&gt;12), "Long Term", "Short Term"))</f>
        <v/>
      </c>
      <c r="K2156" s="5">
        <f>IF(J2156="", "", IF(J2156="Long Term", 12.5%, 20%))</f>
        <v/>
      </c>
      <c r="L2156" s="3">
        <f>+IFERROR(IF(J2156="","",H2156*K2156),"")</f>
        <v/>
      </c>
    </row>
    <row r="2157">
      <c r="A2157" s="11" t="n"/>
      <c r="B2157" s="7" t="n"/>
      <c r="C2157" s="8" t="n"/>
      <c r="D2157" s="9" t="n"/>
      <c r="E2157" s="8" t="n"/>
      <c r="F2157" s="9" t="n"/>
      <c r="G2157" s="9" t="n"/>
      <c r="H2157" s="3">
        <f>IF(AND(D2157&lt;&gt;"",F2157&lt;&gt;""),F2157-D2157-G2157,"")</f>
        <v/>
      </c>
      <c r="I2157" s="14">
        <f>IF(E2157&lt;&gt;"", YEARFRAC(C2157, E2157) * 12, "")</f>
        <v/>
      </c>
      <c r="J2157" s="2">
        <f>IF(I2157="", "", IF(AND(A2157="MF (Equity)", I2157&gt;12), "Long Term", "Short Term"))</f>
        <v/>
      </c>
      <c r="K2157" s="5">
        <f>IF(J2157="", "", IF(J2157="Long Term", 12.5%, 20%))</f>
        <v/>
      </c>
      <c r="L2157" s="3">
        <f>+IFERROR(IF(J2157="","",H2157*K2157),"")</f>
        <v/>
      </c>
    </row>
    <row r="2158">
      <c r="A2158" s="11" t="n"/>
      <c r="B2158" s="7" t="n"/>
      <c r="C2158" s="8" t="n"/>
      <c r="D2158" s="9" t="n"/>
      <c r="E2158" s="8" t="n"/>
      <c r="F2158" s="9" t="n"/>
      <c r="G2158" s="9" t="n"/>
      <c r="H2158" s="3">
        <f>IF(AND(D2158&lt;&gt;"",F2158&lt;&gt;""),F2158-D2158-G2158,"")</f>
        <v/>
      </c>
      <c r="I2158" s="14">
        <f>IF(E2158&lt;&gt;"", YEARFRAC(C2158, E2158) * 12, "")</f>
        <v/>
      </c>
      <c r="J2158" s="2">
        <f>IF(I2158="", "", IF(AND(A2158="MF (Equity)", I2158&gt;12), "Long Term", "Short Term"))</f>
        <v/>
      </c>
      <c r="K2158" s="5">
        <f>IF(J2158="", "", IF(J2158="Long Term", 12.5%, 20%))</f>
        <v/>
      </c>
      <c r="L2158" s="3">
        <f>+IFERROR(IF(J2158="","",H2158*K2158),"")</f>
        <v/>
      </c>
    </row>
    <row r="2159">
      <c r="A2159" s="11" t="n"/>
      <c r="B2159" s="7" t="n"/>
      <c r="C2159" s="8" t="n"/>
      <c r="D2159" s="9" t="n"/>
      <c r="E2159" s="8" t="n"/>
      <c r="F2159" s="9" t="n"/>
      <c r="G2159" s="9" t="n"/>
      <c r="H2159" s="3">
        <f>IF(AND(D2159&lt;&gt;"",F2159&lt;&gt;""),F2159-D2159-G2159,"")</f>
        <v/>
      </c>
      <c r="I2159" s="14">
        <f>IF(E2159&lt;&gt;"", YEARFRAC(C2159, E2159) * 12, "")</f>
        <v/>
      </c>
      <c r="J2159" s="2">
        <f>IF(I2159="", "", IF(AND(A2159="MF (Equity)", I2159&gt;12), "Long Term", "Short Term"))</f>
        <v/>
      </c>
      <c r="K2159" s="5">
        <f>IF(J2159="", "", IF(J2159="Long Term", 12.5%, 20%))</f>
        <v/>
      </c>
      <c r="L2159" s="3">
        <f>+IFERROR(IF(J2159="","",H2159*K2159),"")</f>
        <v/>
      </c>
    </row>
    <row r="2160">
      <c r="A2160" s="11" t="n"/>
      <c r="B2160" s="7" t="n"/>
      <c r="C2160" s="8" t="n"/>
      <c r="D2160" s="9" t="n"/>
      <c r="E2160" s="8" t="n"/>
      <c r="F2160" s="9" t="n"/>
      <c r="G2160" s="9" t="n"/>
      <c r="H2160" s="3">
        <f>IF(AND(D2160&lt;&gt;"",F2160&lt;&gt;""),F2160-D2160-G2160,"")</f>
        <v/>
      </c>
      <c r="I2160" s="14">
        <f>IF(E2160&lt;&gt;"", YEARFRAC(C2160, E2160) * 12, "")</f>
        <v/>
      </c>
      <c r="J2160" s="2">
        <f>IF(I2160="", "", IF(AND(A2160="MF (Equity)", I2160&gt;12), "Long Term", "Short Term"))</f>
        <v/>
      </c>
      <c r="K2160" s="5">
        <f>IF(J2160="", "", IF(J2160="Long Term", 12.5%, 20%))</f>
        <v/>
      </c>
      <c r="L2160" s="3">
        <f>+IFERROR(IF(J2160="","",H2160*K2160),"")</f>
        <v/>
      </c>
    </row>
    <row r="2161">
      <c r="A2161" s="11" t="n"/>
      <c r="B2161" s="7" t="n"/>
      <c r="C2161" s="8" t="n"/>
      <c r="D2161" s="9" t="n"/>
      <c r="E2161" s="8" t="n"/>
      <c r="F2161" s="9" t="n"/>
      <c r="G2161" s="9" t="n"/>
      <c r="H2161" s="3">
        <f>IF(AND(D2161&lt;&gt;"",F2161&lt;&gt;""),F2161-D2161-G2161,"")</f>
        <v/>
      </c>
      <c r="I2161" s="14">
        <f>IF(E2161&lt;&gt;"", YEARFRAC(C2161, E2161) * 12, "")</f>
        <v/>
      </c>
      <c r="J2161" s="2">
        <f>IF(I2161="", "", IF(AND(A2161="MF (Equity)", I2161&gt;12), "Long Term", "Short Term"))</f>
        <v/>
      </c>
      <c r="K2161" s="5">
        <f>IF(J2161="", "", IF(J2161="Long Term", 12.5%, 20%))</f>
        <v/>
      </c>
      <c r="L2161" s="3">
        <f>+IFERROR(IF(J2161="","",H2161*K2161),"")</f>
        <v/>
      </c>
    </row>
    <row r="2162">
      <c r="A2162" s="11" t="n"/>
      <c r="B2162" s="7" t="n"/>
      <c r="C2162" s="8" t="n"/>
      <c r="D2162" s="9" t="n"/>
      <c r="E2162" s="8" t="n"/>
      <c r="F2162" s="9" t="n"/>
      <c r="G2162" s="9" t="n"/>
      <c r="H2162" s="3">
        <f>IF(AND(D2162&lt;&gt;"",F2162&lt;&gt;""),F2162-D2162-G2162,"")</f>
        <v/>
      </c>
      <c r="I2162" s="14">
        <f>IF(E2162&lt;&gt;"", YEARFRAC(C2162, E2162) * 12, "")</f>
        <v/>
      </c>
      <c r="J2162" s="2">
        <f>IF(I2162="", "", IF(AND(A2162="MF (Equity)", I2162&gt;12), "Long Term", "Short Term"))</f>
        <v/>
      </c>
      <c r="K2162" s="5">
        <f>IF(J2162="", "", IF(J2162="Long Term", 12.5%, 20%))</f>
        <v/>
      </c>
      <c r="L2162" s="3">
        <f>+IFERROR(IF(J2162="","",H2162*K2162),"")</f>
        <v/>
      </c>
    </row>
    <row r="2163">
      <c r="A2163" s="11" t="n"/>
      <c r="B2163" s="7" t="n"/>
      <c r="C2163" s="8" t="n"/>
      <c r="D2163" s="9" t="n"/>
      <c r="E2163" s="8" t="n"/>
      <c r="F2163" s="9" t="n"/>
      <c r="G2163" s="9" t="n"/>
      <c r="H2163" s="3">
        <f>IF(AND(D2163&lt;&gt;"",F2163&lt;&gt;""),F2163-D2163-G2163,"")</f>
        <v/>
      </c>
      <c r="I2163" s="14">
        <f>IF(E2163&lt;&gt;"", YEARFRAC(C2163, E2163) * 12, "")</f>
        <v/>
      </c>
      <c r="J2163" s="2">
        <f>IF(I2163="", "", IF(AND(A2163="MF (Equity)", I2163&gt;12), "Long Term", "Short Term"))</f>
        <v/>
      </c>
      <c r="K2163" s="5">
        <f>IF(J2163="", "", IF(J2163="Long Term", 12.5%, 20%))</f>
        <v/>
      </c>
      <c r="L2163" s="3">
        <f>+IFERROR(IF(J2163="","",H2163*K2163),"")</f>
        <v/>
      </c>
    </row>
    <row r="2164">
      <c r="A2164" s="11" t="n"/>
      <c r="B2164" s="7" t="n"/>
      <c r="C2164" s="8" t="n"/>
      <c r="D2164" s="9" t="n"/>
      <c r="E2164" s="8" t="n"/>
      <c r="F2164" s="9" t="n"/>
      <c r="G2164" s="9" t="n"/>
      <c r="H2164" s="3">
        <f>IF(AND(D2164&lt;&gt;"",F2164&lt;&gt;""),F2164-D2164-G2164,"")</f>
        <v/>
      </c>
      <c r="I2164" s="14">
        <f>IF(E2164&lt;&gt;"", YEARFRAC(C2164, E2164) * 12, "")</f>
        <v/>
      </c>
      <c r="J2164" s="2">
        <f>IF(I2164="", "", IF(AND(A2164="MF (Equity)", I2164&gt;12), "Long Term", "Short Term"))</f>
        <v/>
      </c>
      <c r="K2164" s="5">
        <f>IF(J2164="", "", IF(J2164="Long Term", 12.5%, 20%))</f>
        <v/>
      </c>
      <c r="L2164" s="3">
        <f>+IFERROR(IF(J2164="","",H2164*K2164),"")</f>
        <v/>
      </c>
    </row>
    <row r="2165">
      <c r="A2165" s="11" t="n"/>
      <c r="B2165" s="7" t="n"/>
      <c r="C2165" s="8" t="n"/>
      <c r="D2165" s="9" t="n"/>
      <c r="E2165" s="8" t="n"/>
      <c r="F2165" s="9" t="n"/>
      <c r="G2165" s="9" t="n"/>
      <c r="H2165" s="3">
        <f>IF(AND(D2165&lt;&gt;"",F2165&lt;&gt;""),F2165-D2165-G2165,"")</f>
        <v/>
      </c>
      <c r="I2165" s="14">
        <f>IF(E2165&lt;&gt;"", YEARFRAC(C2165, E2165) * 12, "")</f>
        <v/>
      </c>
      <c r="J2165" s="2">
        <f>IF(I2165="", "", IF(AND(A2165="MF (Equity)", I2165&gt;12), "Long Term", "Short Term"))</f>
        <v/>
      </c>
      <c r="K2165" s="5">
        <f>IF(J2165="", "", IF(J2165="Long Term", 12.5%, 20%))</f>
        <v/>
      </c>
      <c r="L2165" s="3">
        <f>+IFERROR(IF(J2165="","",H2165*K2165),"")</f>
        <v/>
      </c>
    </row>
    <row r="2166">
      <c r="A2166" s="11" t="n"/>
      <c r="B2166" s="7" t="n"/>
      <c r="C2166" s="8" t="n"/>
      <c r="D2166" s="9" t="n"/>
      <c r="E2166" s="8" t="n"/>
      <c r="F2166" s="9" t="n"/>
      <c r="G2166" s="9" t="n"/>
      <c r="H2166" s="3">
        <f>IF(AND(D2166&lt;&gt;"",F2166&lt;&gt;""),F2166-D2166-G2166,"")</f>
        <v/>
      </c>
      <c r="I2166" s="14">
        <f>IF(E2166&lt;&gt;"", YEARFRAC(C2166, E2166) * 12, "")</f>
        <v/>
      </c>
      <c r="J2166" s="2">
        <f>IF(I2166="", "", IF(AND(A2166="MF (Equity)", I2166&gt;12), "Long Term", "Short Term"))</f>
        <v/>
      </c>
      <c r="K2166" s="5">
        <f>IF(J2166="", "", IF(J2166="Long Term", 12.5%, 20%))</f>
        <v/>
      </c>
      <c r="L2166" s="3">
        <f>+IFERROR(IF(J2166="","",H2166*K2166),"")</f>
        <v/>
      </c>
    </row>
    <row r="2167">
      <c r="A2167" s="11" t="n"/>
      <c r="B2167" s="7" t="n"/>
      <c r="C2167" s="8" t="n"/>
      <c r="D2167" s="9" t="n"/>
      <c r="E2167" s="8" t="n"/>
      <c r="F2167" s="9" t="n"/>
      <c r="G2167" s="9" t="n"/>
      <c r="H2167" s="3">
        <f>IF(AND(D2167&lt;&gt;"",F2167&lt;&gt;""),F2167-D2167-G2167,"")</f>
        <v/>
      </c>
      <c r="I2167" s="14">
        <f>IF(E2167&lt;&gt;"", YEARFRAC(C2167, E2167) * 12, "")</f>
        <v/>
      </c>
      <c r="J2167" s="2">
        <f>IF(I2167="", "", IF(AND(A2167="MF (Equity)", I2167&gt;12), "Long Term", "Short Term"))</f>
        <v/>
      </c>
      <c r="K2167" s="5">
        <f>IF(J2167="", "", IF(J2167="Long Term", 12.5%, 20%))</f>
        <v/>
      </c>
      <c r="L2167" s="3">
        <f>+IFERROR(IF(J2167="","",H2167*K2167),"")</f>
        <v/>
      </c>
    </row>
    <row r="2168">
      <c r="A2168" s="11" t="n"/>
      <c r="B2168" s="7" t="n"/>
      <c r="C2168" s="8" t="n"/>
      <c r="D2168" s="9" t="n"/>
      <c r="E2168" s="8" t="n"/>
      <c r="F2168" s="9" t="n"/>
      <c r="G2168" s="9" t="n"/>
      <c r="H2168" s="3">
        <f>IF(AND(D2168&lt;&gt;"",F2168&lt;&gt;""),F2168-D2168-G2168,"")</f>
        <v/>
      </c>
      <c r="I2168" s="14">
        <f>IF(E2168&lt;&gt;"", YEARFRAC(C2168, E2168) * 12, "")</f>
        <v/>
      </c>
      <c r="J2168" s="2">
        <f>IF(I2168="", "", IF(AND(A2168="MF (Equity)", I2168&gt;12), "Long Term", "Short Term"))</f>
        <v/>
      </c>
      <c r="K2168" s="5">
        <f>IF(J2168="", "", IF(J2168="Long Term", 12.5%, 20%))</f>
        <v/>
      </c>
      <c r="L2168" s="3">
        <f>+IFERROR(IF(J2168="","",H2168*K2168),"")</f>
        <v/>
      </c>
    </row>
    <row r="2169">
      <c r="A2169" s="11" t="n"/>
      <c r="B2169" s="7" t="n"/>
      <c r="C2169" s="8" t="n"/>
      <c r="D2169" s="9" t="n"/>
      <c r="E2169" s="8" t="n"/>
      <c r="F2169" s="9" t="n"/>
      <c r="G2169" s="9" t="n"/>
      <c r="H2169" s="3">
        <f>IF(AND(D2169&lt;&gt;"",F2169&lt;&gt;""),F2169-D2169-G2169,"")</f>
        <v/>
      </c>
      <c r="I2169" s="14">
        <f>IF(E2169&lt;&gt;"", YEARFRAC(C2169, E2169) * 12, "")</f>
        <v/>
      </c>
      <c r="J2169" s="2">
        <f>IF(I2169="", "", IF(AND(A2169="MF (Equity)", I2169&gt;12), "Long Term", "Short Term"))</f>
        <v/>
      </c>
      <c r="K2169" s="5">
        <f>IF(J2169="", "", IF(J2169="Long Term", 12.5%, 20%))</f>
        <v/>
      </c>
      <c r="L2169" s="3">
        <f>+IFERROR(IF(J2169="","",H2169*K2169),"")</f>
        <v/>
      </c>
    </row>
    <row r="2170">
      <c r="A2170" s="11" t="n"/>
      <c r="B2170" s="7" t="n"/>
      <c r="C2170" s="8" t="n"/>
      <c r="D2170" s="9" t="n"/>
      <c r="E2170" s="8" t="n"/>
      <c r="F2170" s="9" t="n"/>
      <c r="G2170" s="9" t="n"/>
      <c r="H2170" s="3">
        <f>IF(AND(D2170&lt;&gt;"",F2170&lt;&gt;""),F2170-D2170-G2170,"")</f>
        <v/>
      </c>
      <c r="I2170" s="14">
        <f>IF(E2170&lt;&gt;"", YEARFRAC(C2170, E2170) * 12, "")</f>
        <v/>
      </c>
      <c r="J2170" s="2">
        <f>IF(I2170="", "", IF(AND(A2170="MF (Equity)", I2170&gt;12), "Long Term", "Short Term"))</f>
        <v/>
      </c>
      <c r="K2170" s="5">
        <f>IF(J2170="", "", IF(J2170="Long Term", 12.5%, 20%))</f>
        <v/>
      </c>
      <c r="L2170" s="3">
        <f>+IFERROR(IF(J2170="","",H2170*K2170),"")</f>
        <v/>
      </c>
    </row>
    <row r="2171">
      <c r="A2171" s="11" t="n"/>
      <c r="B2171" s="7" t="n"/>
      <c r="C2171" s="8" t="n"/>
      <c r="D2171" s="9" t="n"/>
      <c r="E2171" s="8" t="n"/>
      <c r="F2171" s="9" t="n"/>
      <c r="G2171" s="9" t="n"/>
      <c r="H2171" s="3">
        <f>IF(AND(D2171&lt;&gt;"",F2171&lt;&gt;""),F2171-D2171-G2171,"")</f>
        <v/>
      </c>
      <c r="I2171" s="14">
        <f>IF(E2171&lt;&gt;"", YEARFRAC(C2171, E2171) * 12, "")</f>
        <v/>
      </c>
      <c r="J2171" s="2">
        <f>IF(I2171="", "", IF(AND(A2171="MF (Equity)", I2171&gt;12), "Long Term", "Short Term"))</f>
        <v/>
      </c>
      <c r="K2171" s="5">
        <f>IF(J2171="", "", IF(J2171="Long Term", 12.5%, 20%))</f>
        <v/>
      </c>
      <c r="L2171" s="3">
        <f>+IFERROR(IF(J2171="","",H2171*K2171),"")</f>
        <v/>
      </c>
    </row>
    <row r="2172">
      <c r="A2172" s="11" t="n"/>
      <c r="B2172" s="7" t="n"/>
      <c r="C2172" s="8" t="n"/>
      <c r="D2172" s="9" t="n"/>
      <c r="E2172" s="8" t="n"/>
      <c r="F2172" s="9" t="n"/>
      <c r="G2172" s="9" t="n"/>
      <c r="H2172" s="3">
        <f>IF(AND(D2172&lt;&gt;"",F2172&lt;&gt;""),F2172-D2172-G2172,"")</f>
        <v/>
      </c>
      <c r="I2172" s="14">
        <f>IF(E2172&lt;&gt;"", YEARFRAC(C2172, E2172) * 12, "")</f>
        <v/>
      </c>
      <c r="J2172" s="2">
        <f>IF(I2172="", "", IF(AND(A2172="MF (Equity)", I2172&gt;12), "Long Term", "Short Term"))</f>
        <v/>
      </c>
      <c r="K2172" s="5">
        <f>IF(J2172="", "", IF(J2172="Long Term", 12.5%, 20%))</f>
        <v/>
      </c>
      <c r="L2172" s="3">
        <f>+IFERROR(IF(J2172="","",H2172*K2172),"")</f>
        <v/>
      </c>
    </row>
    <row r="2173">
      <c r="A2173" s="11" t="n"/>
      <c r="B2173" s="7" t="n"/>
      <c r="C2173" s="8" t="n"/>
      <c r="D2173" s="9" t="n"/>
      <c r="E2173" s="8" t="n"/>
      <c r="F2173" s="9" t="n"/>
      <c r="G2173" s="9" t="n"/>
      <c r="H2173" s="3">
        <f>IF(AND(D2173&lt;&gt;"",F2173&lt;&gt;""),F2173-D2173-G2173,"")</f>
        <v/>
      </c>
      <c r="I2173" s="14">
        <f>IF(E2173&lt;&gt;"", YEARFRAC(C2173, E2173) * 12, "")</f>
        <v/>
      </c>
      <c r="J2173" s="2">
        <f>IF(I2173="", "", IF(AND(A2173="MF (Equity)", I2173&gt;12), "Long Term", "Short Term"))</f>
        <v/>
      </c>
      <c r="K2173" s="5">
        <f>IF(J2173="", "", IF(J2173="Long Term", 12.5%, 20%))</f>
        <v/>
      </c>
      <c r="L2173" s="3">
        <f>+IFERROR(IF(J2173="","",H2173*K2173),"")</f>
        <v/>
      </c>
    </row>
    <row r="2174">
      <c r="A2174" s="11" t="n"/>
      <c r="B2174" s="7" t="n"/>
      <c r="C2174" s="8" t="n"/>
      <c r="D2174" s="9" t="n"/>
      <c r="E2174" s="8" t="n"/>
      <c r="F2174" s="9" t="n"/>
      <c r="G2174" s="9" t="n"/>
      <c r="H2174" s="3">
        <f>IF(AND(D2174&lt;&gt;"",F2174&lt;&gt;""),F2174-D2174-G2174,"")</f>
        <v/>
      </c>
      <c r="I2174" s="14">
        <f>IF(E2174&lt;&gt;"", YEARFRAC(C2174, E2174) * 12, "")</f>
        <v/>
      </c>
      <c r="J2174" s="2">
        <f>IF(I2174="", "", IF(AND(A2174="MF (Equity)", I2174&gt;12), "Long Term", "Short Term"))</f>
        <v/>
      </c>
      <c r="K2174" s="5">
        <f>IF(J2174="", "", IF(J2174="Long Term", 12.5%, 20%))</f>
        <v/>
      </c>
      <c r="L2174" s="3">
        <f>+IFERROR(IF(J2174="","",H2174*K2174),"")</f>
        <v/>
      </c>
    </row>
    <row r="2175">
      <c r="A2175" s="11" t="n"/>
      <c r="B2175" s="7" t="n"/>
      <c r="C2175" s="8" t="n"/>
      <c r="D2175" s="9" t="n"/>
      <c r="E2175" s="8" t="n"/>
      <c r="F2175" s="9" t="n"/>
      <c r="G2175" s="9" t="n"/>
      <c r="H2175" s="3">
        <f>IF(AND(D2175&lt;&gt;"",F2175&lt;&gt;""),F2175-D2175-G2175,"")</f>
        <v/>
      </c>
      <c r="I2175" s="14">
        <f>IF(E2175&lt;&gt;"", YEARFRAC(C2175, E2175) * 12, "")</f>
        <v/>
      </c>
      <c r="J2175" s="2">
        <f>IF(I2175="", "", IF(AND(A2175="MF (Equity)", I2175&gt;12), "Long Term", "Short Term"))</f>
        <v/>
      </c>
      <c r="K2175" s="5">
        <f>IF(J2175="", "", IF(J2175="Long Term", 12.5%, 20%))</f>
        <v/>
      </c>
      <c r="L2175" s="3">
        <f>+IFERROR(IF(J2175="","",H2175*K2175),"")</f>
        <v/>
      </c>
    </row>
    <row r="2176">
      <c r="A2176" s="11" t="n"/>
      <c r="B2176" s="7" t="n"/>
      <c r="C2176" s="8" t="n"/>
      <c r="D2176" s="9" t="n"/>
      <c r="E2176" s="8" t="n"/>
      <c r="F2176" s="9" t="n"/>
      <c r="G2176" s="9" t="n"/>
      <c r="H2176" s="3">
        <f>IF(AND(D2176&lt;&gt;"",F2176&lt;&gt;""),F2176-D2176-G2176,"")</f>
        <v/>
      </c>
      <c r="I2176" s="14">
        <f>IF(E2176&lt;&gt;"", YEARFRAC(C2176, E2176) * 12, "")</f>
        <v/>
      </c>
      <c r="J2176" s="2">
        <f>IF(I2176="", "", IF(AND(A2176="MF (Equity)", I2176&gt;12), "Long Term", "Short Term"))</f>
        <v/>
      </c>
      <c r="K2176" s="5">
        <f>IF(J2176="", "", IF(J2176="Long Term", 12.5%, 20%))</f>
        <v/>
      </c>
      <c r="L2176" s="3">
        <f>+IFERROR(IF(J2176="","",H2176*K2176),"")</f>
        <v/>
      </c>
    </row>
    <row r="2177">
      <c r="A2177" s="11" t="n"/>
      <c r="B2177" s="7" t="n"/>
      <c r="C2177" s="8" t="n"/>
      <c r="D2177" s="9" t="n"/>
      <c r="E2177" s="8" t="n"/>
      <c r="F2177" s="9" t="n"/>
      <c r="G2177" s="9" t="n"/>
      <c r="H2177" s="3">
        <f>IF(AND(D2177&lt;&gt;"",F2177&lt;&gt;""),F2177-D2177-G2177,"")</f>
        <v/>
      </c>
      <c r="I2177" s="14">
        <f>IF(E2177&lt;&gt;"", YEARFRAC(C2177, E2177) * 12, "")</f>
        <v/>
      </c>
      <c r="J2177" s="2">
        <f>IF(I2177="", "", IF(AND(A2177="MF (Equity)", I2177&gt;12), "Long Term", "Short Term"))</f>
        <v/>
      </c>
      <c r="K2177" s="5">
        <f>IF(J2177="", "", IF(J2177="Long Term", 12.5%, 20%))</f>
        <v/>
      </c>
      <c r="L2177" s="3">
        <f>+IFERROR(IF(J2177="","",H2177*K2177),"")</f>
        <v/>
      </c>
    </row>
    <row r="2178">
      <c r="A2178" s="11" t="n"/>
      <c r="B2178" s="7" t="n"/>
      <c r="C2178" s="8" t="n"/>
      <c r="D2178" s="9" t="n"/>
      <c r="E2178" s="8" t="n"/>
      <c r="F2178" s="9" t="n"/>
      <c r="G2178" s="9" t="n"/>
      <c r="H2178" s="3">
        <f>IF(AND(D2178&lt;&gt;"",F2178&lt;&gt;""),F2178-D2178-G2178,"")</f>
        <v/>
      </c>
      <c r="I2178" s="14">
        <f>IF(E2178&lt;&gt;"", YEARFRAC(C2178, E2178) * 12, "")</f>
        <v/>
      </c>
      <c r="J2178" s="2">
        <f>IF(I2178="", "", IF(AND(A2178="MF (Equity)", I2178&gt;12), "Long Term", "Short Term"))</f>
        <v/>
      </c>
      <c r="K2178" s="5">
        <f>IF(J2178="", "", IF(J2178="Long Term", 12.5%, 20%))</f>
        <v/>
      </c>
      <c r="L2178" s="3">
        <f>+IFERROR(IF(J2178="","",H2178*K2178),"")</f>
        <v/>
      </c>
    </row>
    <row r="2179">
      <c r="A2179" s="11" t="n"/>
      <c r="B2179" s="7" t="n"/>
      <c r="C2179" s="8" t="n"/>
      <c r="D2179" s="9" t="n"/>
      <c r="E2179" s="8" t="n"/>
      <c r="F2179" s="9" t="n"/>
      <c r="G2179" s="9" t="n"/>
      <c r="H2179" s="3">
        <f>IF(AND(D2179&lt;&gt;"",F2179&lt;&gt;""),F2179-D2179-G2179,"")</f>
        <v/>
      </c>
      <c r="I2179" s="14">
        <f>IF(E2179&lt;&gt;"", YEARFRAC(C2179, E2179) * 12, "")</f>
        <v/>
      </c>
      <c r="J2179" s="2">
        <f>IF(I2179="", "", IF(AND(A2179="MF (Equity)", I2179&gt;12), "Long Term", "Short Term"))</f>
        <v/>
      </c>
      <c r="K2179" s="5">
        <f>IF(J2179="", "", IF(J2179="Long Term", 12.5%, 20%))</f>
        <v/>
      </c>
      <c r="L2179" s="3">
        <f>+IFERROR(IF(J2179="","",H2179*K2179),"")</f>
        <v/>
      </c>
    </row>
    <row r="2180">
      <c r="A2180" s="11" t="n"/>
      <c r="B2180" s="7" t="n"/>
      <c r="C2180" s="8" t="n"/>
      <c r="D2180" s="9" t="n"/>
      <c r="E2180" s="8" t="n"/>
      <c r="F2180" s="9" t="n"/>
      <c r="G2180" s="9" t="n"/>
      <c r="H2180" s="3">
        <f>IF(AND(D2180&lt;&gt;"",F2180&lt;&gt;""),F2180-D2180-G2180,"")</f>
        <v/>
      </c>
      <c r="I2180" s="14">
        <f>IF(E2180&lt;&gt;"", YEARFRAC(C2180, E2180) * 12, "")</f>
        <v/>
      </c>
      <c r="J2180" s="2">
        <f>IF(I2180="", "", IF(AND(A2180="MF (Equity)", I2180&gt;12), "Long Term", "Short Term"))</f>
        <v/>
      </c>
      <c r="K2180" s="5">
        <f>IF(J2180="", "", IF(J2180="Long Term", 12.5%, 20%))</f>
        <v/>
      </c>
      <c r="L2180" s="3">
        <f>+IFERROR(IF(J2180="","",H2180*K2180),"")</f>
        <v/>
      </c>
    </row>
    <row r="2181">
      <c r="A2181" s="11" t="n"/>
      <c r="B2181" s="7" t="n"/>
      <c r="C2181" s="8" t="n"/>
      <c r="D2181" s="9" t="n"/>
      <c r="E2181" s="8" t="n"/>
      <c r="F2181" s="9" t="n"/>
      <c r="G2181" s="9" t="n"/>
      <c r="H2181" s="3">
        <f>IF(AND(D2181&lt;&gt;"",F2181&lt;&gt;""),F2181-D2181-G2181,"")</f>
        <v/>
      </c>
      <c r="I2181" s="14">
        <f>IF(E2181&lt;&gt;"", YEARFRAC(C2181, E2181) * 12, "")</f>
        <v/>
      </c>
      <c r="J2181" s="2">
        <f>IF(I2181="", "", IF(AND(A2181="MF (Equity)", I2181&gt;12), "Long Term", "Short Term"))</f>
        <v/>
      </c>
      <c r="K2181" s="5">
        <f>IF(J2181="", "", IF(J2181="Long Term", 12.5%, 20%))</f>
        <v/>
      </c>
      <c r="L2181" s="3">
        <f>+IFERROR(IF(J2181="","",H2181*K2181),"")</f>
        <v/>
      </c>
    </row>
    <row r="2182">
      <c r="A2182" s="11" t="n"/>
      <c r="B2182" s="7" t="n"/>
      <c r="C2182" s="8" t="n"/>
      <c r="D2182" s="9" t="n"/>
      <c r="E2182" s="8" t="n"/>
      <c r="F2182" s="9" t="n"/>
      <c r="G2182" s="9" t="n"/>
      <c r="H2182" s="3">
        <f>IF(AND(D2182&lt;&gt;"",F2182&lt;&gt;""),F2182-D2182-G2182,"")</f>
        <v/>
      </c>
      <c r="I2182" s="14">
        <f>IF(E2182&lt;&gt;"", YEARFRAC(C2182, E2182) * 12, "")</f>
        <v/>
      </c>
      <c r="J2182" s="2">
        <f>IF(I2182="", "", IF(AND(A2182="MF (Equity)", I2182&gt;12), "Long Term", "Short Term"))</f>
        <v/>
      </c>
      <c r="K2182" s="5">
        <f>IF(J2182="", "", IF(J2182="Long Term", 12.5%, 20%))</f>
        <v/>
      </c>
      <c r="L2182" s="3">
        <f>+IFERROR(IF(J2182="","",H2182*K2182),"")</f>
        <v/>
      </c>
    </row>
    <row r="2183">
      <c r="A2183" s="11" t="n"/>
      <c r="B2183" s="7" t="n"/>
      <c r="C2183" s="8" t="n"/>
      <c r="D2183" s="9" t="n"/>
      <c r="E2183" s="8" t="n"/>
      <c r="F2183" s="9" t="n"/>
      <c r="G2183" s="9" t="n"/>
      <c r="H2183" s="3">
        <f>IF(AND(D2183&lt;&gt;"",F2183&lt;&gt;""),F2183-D2183-G2183,"")</f>
        <v/>
      </c>
      <c r="I2183" s="14">
        <f>IF(E2183&lt;&gt;"", YEARFRAC(C2183, E2183) * 12, "")</f>
        <v/>
      </c>
      <c r="J2183" s="2">
        <f>IF(I2183="", "", IF(AND(A2183="MF (Equity)", I2183&gt;12), "Long Term", "Short Term"))</f>
        <v/>
      </c>
      <c r="K2183" s="5">
        <f>IF(J2183="", "", IF(J2183="Long Term", 12.5%, 20%))</f>
        <v/>
      </c>
      <c r="L2183" s="3">
        <f>+IFERROR(IF(J2183="","",H2183*K2183),"")</f>
        <v/>
      </c>
    </row>
    <row r="2184">
      <c r="A2184" s="11" t="n"/>
      <c r="B2184" s="7" t="n"/>
      <c r="C2184" s="8" t="n"/>
      <c r="D2184" s="9" t="n"/>
      <c r="E2184" s="8" t="n"/>
      <c r="F2184" s="9" t="n"/>
      <c r="G2184" s="9" t="n"/>
      <c r="H2184" s="3">
        <f>IF(AND(D2184&lt;&gt;"",F2184&lt;&gt;""),F2184-D2184-G2184,"")</f>
        <v/>
      </c>
      <c r="I2184" s="14">
        <f>IF(E2184&lt;&gt;"", YEARFRAC(C2184, E2184) * 12, "")</f>
        <v/>
      </c>
      <c r="J2184" s="2">
        <f>IF(I2184="", "", IF(AND(A2184="MF (Equity)", I2184&gt;12), "Long Term", "Short Term"))</f>
        <v/>
      </c>
      <c r="K2184" s="5">
        <f>IF(J2184="", "", IF(J2184="Long Term", 12.5%, 20%))</f>
        <v/>
      </c>
      <c r="L2184" s="3">
        <f>+IFERROR(IF(J2184="","",H2184*K2184),"")</f>
        <v/>
      </c>
    </row>
    <row r="2185">
      <c r="A2185" s="11" t="n"/>
      <c r="B2185" s="7" t="n"/>
      <c r="C2185" s="8" t="n"/>
      <c r="D2185" s="9" t="n"/>
      <c r="E2185" s="8" t="n"/>
      <c r="F2185" s="9" t="n"/>
      <c r="G2185" s="9" t="n"/>
      <c r="H2185" s="3">
        <f>IF(AND(D2185&lt;&gt;"",F2185&lt;&gt;""),F2185-D2185-G2185,"")</f>
        <v/>
      </c>
      <c r="I2185" s="14">
        <f>IF(E2185&lt;&gt;"", YEARFRAC(C2185, E2185) * 12, "")</f>
        <v/>
      </c>
      <c r="J2185" s="2">
        <f>IF(I2185="", "", IF(AND(A2185="MF (Equity)", I2185&gt;12), "Long Term", "Short Term"))</f>
        <v/>
      </c>
      <c r="K2185" s="5">
        <f>IF(J2185="", "", IF(J2185="Long Term", 12.5%, 20%))</f>
        <v/>
      </c>
      <c r="L2185" s="3">
        <f>+IFERROR(IF(J2185="","",H2185*K2185),"")</f>
        <v/>
      </c>
    </row>
    <row r="2186">
      <c r="A2186" s="11" t="n"/>
      <c r="B2186" s="7" t="n"/>
      <c r="C2186" s="8" t="n"/>
      <c r="D2186" s="9" t="n"/>
      <c r="E2186" s="8" t="n"/>
      <c r="F2186" s="9" t="n"/>
      <c r="G2186" s="9" t="n"/>
      <c r="H2186" s="3">
        <f>IF(AND(D2186&lt;&gt;"",F2186&lt;&gt;""),F2186-D2186-G2186,"")</f>
        <v/>
      </c>
      <c r="I2186" s="14">
        <f>IF(E2186&lt;&gt;"", YEARFRAC(C2186, E2186) * 12, "")</f>
        <v/>
      </c>
      <c r="J2186" s="2">
        <f>IF(I2186="", "", IF(AND(A2186="MF (Equity)", I2186&gt;12), "Long Term", "Short Term"))</f>
        <v/>
      </c>
      <c r="K2186" s="5">
        <f>IF(J2186="", "", IF(J2186="Long Term", 12.5%, 20%))</f>
        <v/>
      </c>
      <c r="L2186" s="3">
        <f>+IFERROR(IF(J2186="","",H2186*K2186),"")</f>
        <v/>
      </c>
    </row>
    <row r="2187">
      <c r="A2187" s="11" t="n"/>
      <c r="B2187" s="7" t="n"/>
      <c r="C2187" s="8" t="n"/>
      <c r="D2187" s="9" t="n"/>
      <c r="E2187" s="8" t="n"/>
      <c r="F2187" s="9" t="n"/>
      <c r="G2187" s="9" t="n"/>
      <c r="H2187" s="3">
        <f>IF(AND(D2187&lt;&gt;"",F2187&lt;&gt;""),F2187-D2187-G2187,"")</f>
        <v/>
      </c>
      <c r="I2187" s="14">
        <f>IF(E2187&lt;&gt;"", YEARFRAC(C2187, E2187) * 12, "")</f>
        <v/>
      </c>
      <c r="J2187" s="2">
        <f>IF(I2187="", "", IF(AND(A2187="MF (Equity)", I2187&gt;12), "Long Term", "Short Term"))</f>
        <v/>
      </c>
      <c r="K2187" s="5">
        <f>IF(J2187="", "", IF(J2187="Long Term", 12.5%, 20%))</f>
        <v/>
      </c>
      <c r="L2187" s="3">
        <f>+IFERROR(IF(J2187="","",H2187*K2187),"")</f>
        <v/>
      </c>
    </row>
    <row r="2188">
      <c r="A2188" s="11" t="n"/>
      <c r="B2188" s="7" t="n"/>
      <c r="C2188" s="8" t="n"/>
      <c r="D2188" s="9" t="n"/>
      <c r="E2188" s="8" t="n"/>
      <c r="F2188" s="9" t="n"/>
      <c r="G2188" s="9" t="n"/>
      <c r="H2188" s="3">
        <f>IF(AND(D2188&lt;&gt;"",F2188&lt;&gt;""),F2188-D2188-G2188,"")</f>
        <v/>
      </c>
      <c r="I2188" s="14">
        <f>IF(E2188&lt;&gt;"", YEARFRAC(C2188, E2188) * 12, "")</f>
        <v/>
      </c>
      <c r="J2188" s="2">
        <f>IF(I2188="", "", IF(AND(A2188="MF (Equity)", I2188&gt;12), "Long Term", "Short Term"))</f>
        <v/>
      </c>
      <c r="K2188" s="5">
        <f>IF(J2188="", "", IF(J2188="Long Term", 12.5%, 20%))</f>
        <v/>
      </c>
      <c r="L2188" s="3">
        <f>+IFERROR(IF(J2188="","",H2188*K2188),"")</f>
        <v/>
      </c>
    </row>
    <row r="2189">
      <c r="A2189" s="11" t="n"/>
      <c r="B2189" s="7" t="n"/>
      <c r="C2189" s="8" t="n"/>
      <c r="D2189" s="9" t="n"/>
      <c r="E2189" s="8" t="n"/>
      <c r="F2189" s="9" t="n"/>
      <c r="G2189" s="9" t="n"/>
      <c r="H2189" s="3">
        <f>IF(AND(D2189&lt;&gt;"",F2189&lt;&gt;""),F2189-D2189-G2189,"")</f>
        <v/>
      </c>
      <c r="I2189" s="14">
        <f>IF(E2189&lt;&gt;"", YEARFRAC(C2189, E2189) * 12, "")</f>
        <v/>
      </c>
      <c r="J2189" s="2">
        <f>IF(I2189="", "", IF(AND(A2189="MF (Equity)", I2189&gt;12), "Long Term", "Short Term"))</f>
        <v/>
      </c>
      <c r="K2189" s="5">
        <f>IF(J2189="", "", IF(J2189="Long Term", 12.5%, 20%))</f>
        <v/>
      </c>
      <c r="L2189" s="3">
        <f>+IFERROR(IF(J2189="","",H2189*K2189),"")</f>
        <v/>
      </c>
    </row>
    <row r="2190">
      <c r="A2190" s="11" t="n"/>
      <c r="B2190" s="7" t="n"/>
      <c r="C2190" s="8" t="n"/>
      <c r="D2190" s="9" t="n"/>
      <c r="E2190" s="8" t="n"/>
      <c r="F2190" s="9" t="n"/>
      <c r="G2190" s="9" t="n"/>
      <c r="H2190" s="3">
        <f>IF(AND(D2190&lt;&gt;"",F2190&lt;&gt;""),F2190-D2190-G2190,"")</f>
        <v/>
      </c>
      <c r="I2190" s="14">
        <f>IF(E2190&lt;&gt;"", YEARFRAC(C2190, E2190) * 12, "")</f>
        <v/>
      </c>
      <c r="J2190" s="2">
        <f>IF(I2190="", "", IF(AND(A2190="MF (Equity)", I2190&gt;12), "Long Term", "Short Term"))</f>
        <v/>
      </c>
      <c r="K2190" s="5">
        <f>IF(J2190="", "", IF(J2190="Long Term", 12.5%, 20%))</f>
        <v/>
      </c>
      <c r="L2190" s="3">
        <f>+IFERROR(IF(J2190="","",H2190*K2190),"")</f>
        <v/>
      </c>
    </row>
    <row r="2191">
      <c r="A2191" s="11" t="n"/>
      <c r="B2191" s="7" t="n"/>
      <c r="C2191" s="8" t="n"/>
      <c r="D2191" s="9" t="n"/>
      <c r="E2191" s="8" t="n"/>
      <c r="F2191" s="9" t="n"/>
      <c r="G2191" s="9" t="n"/>
      <c r="H2191" s="3">
        <f>IF(AND(D2191&lt;&gt;"",F2191&lt;&gt;""),F2191-D2191-G2191,"")</f>
        <v/>
      </c>
      <c r="I2191" s="14">
        <f>IF(E2191&lt;&gt;"", YEARFRAC(C2191, E2191) * 12, "")</f>
        <v/>
      </c>
      <c r="J2191" s="2">
        <f>IF(I2191="", "", IF(AND(A2191="MF (Equity)", I2191&gt;12), "Long Term", "Short Term"))</f>
        <v/>
      </c>
      <c r="K2191" s="5">
        <f>IF(J2191="", "", IF(J2191="Long Term", 12.5%, 20%))</f>
        <v/>
      </c>
      <c r="L2191" s="3">
        <f>+IFERROR(IF(J2191="","",H2191*K2191),"")</f>
        <v/>
      </c>
    </row>
    <row r="2192">
      <c r="A2192" s="11" t="n"/>
      <c r="B2192" s="7" t="n"/>
      <c r="C2192" s="8" t="n"/>
      <c r="D2192" s="9" t="n"/>
      <c r="E2192" s="8" t="n"/>
      <c r="F2192" s="9" t="n"/>
      <c r="G2192" s="9" t="n"/>
      <c r="H2192" s="3">
        <f>IF(AND(D2192&lt;&gt;"",F2192&lt;&gt;""),F2192-D2192-G2192,"")</f>
        <v/>
      </c>
      <c r="I2192" s="14">
        <f>IF(E2192&lt;&gt;"", YEARFRAC(C2192, E2192) * 12, "")</f>
        <v/>
      </c>
      <c r="J2192" s="2">
        <f>IF(I2192="", "", IF(AND(A2192="MF (Equity)", I2192&gt;12), "Long Term", "Short Term"))</f>
        <v/>
      </c>
      <c r="K2192" s="5">
        <f>IF(J2192="", "", IF(J2192="Long Term", 12.5%, 20%))</f>
        <v/>
      </c>
      <c r="L2192" s="3">
        <f>+IFERROR(IF(J2192="","",H2192*K2192),"")</f>
        <v/>
      </c>
    </row>
    <row r="2193">
      <c r="A2193" s="11" t="n"/>
      <c r="B2193" s="7" t="n"/>
      <c r="C2193" s="8" t="n"/>
      <c r="D2193" s="9" t="n"/>
      <c r="E2193" s="8" t="n"/>
      <c r="F2193" s="9" t="n"/>
      <c r="G2193" s="9" t="n"/>
      <c r="H2193" s="3">
        <f>IF(AND(D2193&lt;&gt;"",F2193&lt;&gt;""),F2193-D2193-G2193,"")</f>
        <v/>
      </c>
      <c r="I2193" s="14">
        <f>IF(E2193&lt;&gt;"", YEARFRAC(C2193, E2193) * 12, "")</f>
        <v/>
      </c>
      <c r="J2193" s="2">
        <f>IF(I2193="", "", IF(AND(A2193="MF (Equity)", I2193&gt;12), "Long Term", "Short Term"))</f>
        <v/>
      </c>
      <c r="K2193" s="5">
        <f>IF(J2193="", "", IF(J2193="Long Term", 12.5%, 20%))</f>
        <v/>
      </c>
      <c r="L2193" s="3">
        <f>+IFERROR(IF(J2193="","",H2193*K2193),"")</f>
        <v/>
      </c>
    </row>
    <row r="2194">
      <c r="A2194" s="11" t="n"/>
      <c r="B2194" s="7" t="n"/>
      <c r="C2194" s="8" t="n"/>
      <c r="D2194" s="9" t="n"/>
      <c r="E2194" s="8" t="n"/>
      <c r="F2194" s="9" t="n"/>
      <c r="G2194" s="9" t="n"/>
      <c r="H2194" s="3">
        <f>IF(AND(D2194&lt;&gt;"",F2194&lt;&gt;""),F2194-D2194-G2194,"")</f>
        <v/>
      </c>
      <c r="I2194" s="14">
        <f>IF(E2194&lt;&gt;"", YEARFRAC(C2194, E2194) * 12, "")</f>
        <v/>
      </c>
      <c r="J2194" s="2">
        <f>IF(I2194="", "", IF(AND(A2194="MF (Equity)", I2194&gt;12), "Long Term", "Short Term"))</f>
        <v/>
      </c>
      <c r="K2194" s="5">
        <f>IF(J2194="", "", IF(J2194="Long Term", 12.5%, 20%))</f>
        <v/>
      </c>
      <c r="L2194" s="3">
        <f>+IFERROR(IF(J2194="","",H2194*K2194),"")</f>
        <v/>
      </c>
    </row>
    <row r="2195">
      <c r="A2195" s="11" t="n"/>
      <c r="B2195" s="7" t="n"/>
      <c r="C2195" s="8" t="n"/>
      <c r="D2195" s="9" t="n"/>
      <c r="E2195" s="8" t="n"/>
      <c r="F2195" s="9" t="n"/>
      <c r="G2195" s="9" t="n"/>
      <c r="H2195" s="3">
        <f>IF(AND(D2195&lt;&gt;"",F2195&lt;&gt;""),F2195-D2195-G2195,"")</f>
        <v/>
      </c>
      <c r="I2195" s="14">
        <f>IF(E2195&lt;&gt;"", YEARFRAC(C2195, E2195) * 12, "")</f>
        <v/>
      </c>
      <c r="J2195" s="2">
        <f>IF(I2195="", "", IF(AND(A2195="MF (Equity)", I2195&gt;12), "Long Term", "Short Term"))</f>
        <v/>
      </c>
      <c r="K2195" s="5">
        <f>IF(J2195="", "", IF(J2195="Long Term", 12.5%, 20%))</f>
        <v/>
      </c>
      <c r="L2195" s="3">
        <f>+IFERROR(IF(J2195="","",H2195*K2195),"")</f>
        <v/>
      </c>
    </row>
    <row r="2196">
      <c r="A2196" s="11" t="n"/>
      <c r="B2196" s="7" t="n"/>
      <c r="C2196" s="8" t="n"/>
      <c r="D2196" s="9" t="n"/>
      <c r="E2196" s="8" t="n"/>
      <c r="F2196" s="9" t="n"/>
      <c r="G2196" s="9" t="n"/>
      <c r="H2196" s="3">
        <f>IF(AND(D2196&lt;&gt;"",F2196&lt;&gt;""),F2196-D2196-G2196,"")</f>
        <v/>
      </c>
      <c r="I2196" s="14">
        <f>IF(E2196&lt;&gt;"", YEARFRAC(C2196, E2196) * 12, "")</f>
        <v/>
      </c>
      <c r="J2196" s="2">
        <f>IF(I2196="", "", IF(AND(A2196="MF (Equity)", I2196&gt;12), "Long Term", "Short Term"))</f>
        <v/>
      </c>
      <c r="K2196" s="5">
        <f>IF(J2196="", "", IF(J2196="Long Term", 12.5%, 20%))</f>
        <v/>
      </c>
      <c r="L2196" s="3">
        <f>+IFERROR(IF(J2196="","",H2196*K2196),"")</f>
        <v/>
      </c>
    </row>
    <row r="2197">
      <c r="A2197" s="11" t="n"/>
      <c r="B2197" s="7" t="n"/>
      <c r="C2197" s="8" t="n"/>
      <c r="D2197" s="9" t="n"/>
      <c r="E2197" s="8" t="n"/>
      <c r="F2197" s="9" t="n"/>
      <c r="G2197" s="9" t="n"/>
      <c r="H2197" s="3">
        <f>IF(AND(D2197&lt;&gt;"",F2197&lt;&gt;""),F2197-D2197-G2197,"")</f>
        <v/>
      </c>
      <c r="I2197" s="14">
        <f>IF(E2197&lt;&gt;"", YEARFRAC(C2197, E2197) * 12, "")</f>
        <v/>
      </c>
      <c r="J2197" s="2">
        <f>IF(I2197="", "", IF(AND(A2197="MF (Equity)", I2197&gt;12), "Long Term", "Short Term"))</f>
        <v/>
      </c>
      <c r="K2197" s="5">
        <f>IF(J2197="", "", IF(J2197="Long Term", 12.5%, 20%))</f>
        <v/>
      </c>
      <c r="L2197" s="3">
        <f>+IFERROR(IF(J2197="","",H2197*K2197),"")</f>
        <v/>
      </c>
    </row>
    <row r="2198">
      <c r="A2198" s="11" t="n"/>
      <c r="B2198" s="7" t="n"/>
      <c r="C2198" s="8" t="n"/>
      <c r="D2198" s="9" t="n"/>
      <c r="E2198" s="8" t="n"/>
      <c r="F2198" s="9" t="n"/>
      <c r="G2198" s="9" t="n"/>
      <c r="H2198" s="3">
        <f>IF(AND(D2198&lt;&gt;"",F2198&lt;&gt;""),F2198-D2198-G2198,"")</f>
        <v/>
      </c>
      <c r="I2198" s="14">
        <f>IF(E2198&lt;&gt;"", YEARFRAC(C2198, E2198) * 12, "")</f>
        <v/>
      </c>
      <c r="J2198" s="2">
        <f>IF(I2198="", "", IF(AND(A2198="MF (Equity)", I2198&gt;12), "Long Term", "Short Term"))</f>
        <v/>
      </c>
      <c r="K2198" s="5">
        <f>IF(J2198="", "", IF(J2198="Long Term", 12.5%, 20%))</f>
        <v/>
      </c>
      <c r="L2198" s="3">
        <f>+IFERROR(IF(J2198="","",H2198*K2198),"")</f>
        <v/>
      </c>
    </row>
    <row r="2199">
      <c r="A2199" s="11" t="n"/>
      <c r="B2199" s="7" t="n"/>
      <c r="C2199" s="8" t="n"/>
      <c r="D2199" s="9" t="n"/>
      <c r="E2199" s="8" t="n"/>
      <c r="F2199" s="9" t="n"/>
      <c r="G2199" s="9" t="n"/>
      <c r="H2199" s="3">
        <f>IF(AND(D2199&lt;&gt;"",F2199&lt;&gt;""),F2199-D2199-G2199,"")</f>
        <v/>
      </c>
      <c r="I2199" s="14">
        <f>IF(E2199&lt;&gt;"", YEARFRAC(C2199, E2199) * 12, "")</f>
        <v/>
      </c>
      <c r="J2199" s="2">
        <f>IF(I2199="", "", IF(AND(A2199="MF (Equity)", I2199&gt;12), "Long Term", "Short Term"))</f>
        <v/>
      </c>
      <c r="K2199" s="5">
        <f>IF(J2199="", "", IF(J2199="Long Term", 12.5%, 20%))</f>
        <v/>
      </c>
      <c r="L2199" s="3">
        <f>+IFERROR(IF(J2199="","",H2199*K2199),"")</f>
        <v/>
      </c>
    </row>
    <row r="2200">
      <c r="A2200" s="11" t="n"/>
      <c r="B2200" s="7" t="n"/>
      <c r="C2200" s="8" t="n"/>
      <c r="D2200" s="9" t="n"/>
      <c r="E2200" s="8" t="n"/>
      <c r="F2200" s="9" t="n"/>
      <c r="G2200" s="9" t="n"/>
      <c r="H2200" s="3">
        <f>IF(AND(D2200&lt;&gt;"",F2200&lt;&gt;""),F2200-D2200-G2200,"")</f>
        <v/>
      </c>
      <c r="I2200" s="14">
        <f>IF(E2200&lt;&gt;"", YEARFRAC(C2200, E2200) * 12, "")</f>
        <v/>
      </c>
      <c r="J2200" s="2">
        <f>IF(I2200="", "", IF(AND(A2200="MF (Equity)", I2200&gt;12), "Long Term", "Short Term"))</f>
        <v/>
      </c>
      <c r="K2200" s="5">
        <f>IF(J2200="", "", IF(J2200="Long Term", 12.5%, 20%))</f>
        <v/>
      </c>
      <c r="L2200" s="3">
        <f>+IFERROR(IF(J2200="","",H2200*K2200),"")</f>
        <v/>
      </c>
    </row>
    <row r="2201">
      <c r="A2201" s="11" t="n"/>
      <c r="B2201" s="7" t="n"/>
      <c r="C2201" s="8" t="n"/>
      <c r="D2201" s="9" t="n"/>
      <c r="E2201" s="8" t="n"/>
      <c r="F2201" s="9" t="n"/>
      <c r="G2201" s="9" t="n"/>
      <c r="H2201" s="3">
        <f>IF(AND(D2201&lt;&gt;"",F2201&lt;&gt;""),F2201-D2201-G2201,"")</f>
        <v/>
      </c>
      <c r="I2201" s="14">
        <f>IF(E2201&lt;&gt;"", YEARFRAC(C2201, E2201) * 12, "")</f>
        <v/>
      </c>
      <c r="J2201" s="2">
        <f>IF(I2201="", "", IF(AND(A2201="MF (Equity)", I2201&gt;12), "Long Term", "Short Term"))</f>
        <v/>
      </c>
      <c r="K2201" s="5">
        <f>IF(J2201="", "", IF(J2201="Long Term", 12.5%, 20%))</f>
        <v/>
      </c>
      <c r="L2201" s="3">
        <f>+IFERROR(IF(J2201="","",H2201*K2201),"")</f>
        <v/>
      </c>
    </row>
    <row r="2202">
      <c r="A2202" s="11" t="n"/>
      <c r="B2202" s="7" t="n"/>
      <c r="C2202" s="8" t="n"/>
      <c r="D2202" s="9" t="n"/>
      <c r="E2202" s="8" t="n"/>
      <c r="F2202" s="9" t="n"/>
      <c r="G2202" s="9" t="n"/>
      <c r="H2202" s="3">
        <f>IF(AND(D2202&lt;&gt;"",F2202&lt;&gt;""),F2202-D2202-G2202,"")</f>
        <v/>
      </c>
      <c r="I2202" s="14">
        <f>IF(E2202&lt;&gt;"", YEARFRAC(C2202, E2202) * 12, "")</f>
        <v/>
      </c>
      <c r="J2202" s="2">
        <f>IF(I2202="", "", IF(AND(A2202="MF (Equity)", I2202&gt;12), "Long Term", "Short Term"))</f>
        <v/>
      </c>
      <c r="K2202" s="5">
        <f>IF(J2202="", "", IF(J2202="Long Term", 12.5%, 20%))</f>
        <v/>
      </c>
      <c r="L2202" s="3">
        <f>+IFERROR(IF(J2202="","",H2202*K2202),"")</f>
        <v/>
      </c>
    </row>
    <row r="2203">
      <c r="A2203" s="11" t="n"/>
      <c r="B2203" s="7" t="n"/>
      <c r="C2203" s="8" t="n"/>
      <c r="D2203" s="9" t="n"/>
      <c r="E2203" s="8" t="n"/>
      <c r="F2203" s="9" t="n"/>
      <c r="G2203" s="9" t="n"/>
      <c r="H2203" s="3">
        <f>IF(AND(D2203&lt;&gt;"",F2203&lt;&gt;""),F2203-D2203-G2203,"")</f>
        <v/>
      </c>
      <c r="I2203" s="14">
        <f>IF(E2203&lt;&gt;"", YEARFRAC(C2203, E2203) * 12, "")</f>
        <v/>
      </c>
      <c r="J2203" s="2">
        <f>IF(I2203="", "", IF(AND(A2203="MF (Equity)", I2203&gt;12), "Long Term", "Short Term"))</f>
        <v/>
      </c>
      <c r="K2203" s="5">
        <f>IF(J2203="", "", IF(J2203="Long Term", 12.5%, 20%))</f>
        <v/>
      </c>
      <c r="L2203" s="3">
        <f>+IFERROR(IF(J2203="","",H2203*K2203),"")</f>
        <v/>
      </c>
    </row>
    <row r="2204">
      <c r="A2204" s="11" t="n"/>
      <c r="B2204" s="7" t="n"/>
      <c r="C2204" s="8" t="n"/>
      <c r="D2204" s="9" t="n"/>
      <c r="E2204" s="8" t="n"/>
      <c r="F2204" s="9" t="n"/>
      <c r="G2204" s="9" t="n"/>
      <c r="H2204" s="3">
        <f>IF(AND(D2204&lt;&gt;"",F2204&lt;&gt;""),F2204-D2204-G2204,"")</f>
        <v/>
      </c>
      <c r="I2204" s="14">
        <f>IF(E2204&lt;&gt;"", YEARFRAC(C2204, E2204) * 12, "")</f>
        <v/>
      </c>
      <c r="J2204" s="2">
        <f>IF(I2204="", "", IF(AND(A2204="MF (Equity)", I2204&gt;12), "Long Term", "Short Term"))</f>
        <v/>
      </c>
      <c r="K2204" s="5">
        <f>IF(J2204="", "", IF(J2204="Long Term", 12.5%, 20%))</f>
        <v/>
      </c>
      <c r="L2204" s="3">
        <f>+IFERROR(IF(J2204="","",H2204*K2204),"")</f>
        <v/>
      </c>
    </row>
    <row r="2205">
      <c r="A2205" s="11" t="n"/>
      <c r="B2205" s="7" t="n"/>
      <c r="C2205" s="8" t="n"/>
      <c r="D2205" s="9" t="n"/>
      <c r="E2205" s="8" t="n"/>
      <c r="F2205" s="9" t="n"/>
      <c r="G2205" s="9" t="n"/>
      <c r="H2205" s="3">
        <f>IF(AND(D2205&lt;&gt;"",F2205&lt;&gt;""),F2205-D2205-G2205,"")</f>
        <v/>
      </c>
      <c r="I2205" s="14">
        <f>IF(E2205&lt;&gt;"", YEARFRAC(C2205, E2205) * 12, "")</f>
        <v/>
      </c>
      <c r="J2205" s="2">
        <f>IF(I2205="", "", IF(AND(A2205="MF (Equity)", I2205&gt;12), "Long Term", "Short Term"))</f>
        <v/>
      </c>
      <c r="K2205" s="5">
        <f>IF(J2205="", "", IF(J2205="Long Term", 12.5%, 20%))</f>
        <v/>
      </c>
      <c r="L2205" s="3">
        <f>+IFERROR(IF(J2205="","",H2205*K2205),"")</f>
        <v/>
      </c>
    </row>
    <row r="2206">
      <c r="A2206" s="11" t="n"/>
      <c r="B2206" s="7" t="n"/>
      <c r="C2206" s="8" t="n"/>
      <c r="D2206" s="9" t="n"/>
      <c r="E2206" s="8" t="n"/>
      <c r="F2206" s="9" t="n"/>
      <c r="G2206" s="9" t="n"/>
      <c r="H2206" s="3">
        <f>IF(AND(D2206&lt;&gt;"",F2206&lt;&gt;""),F2206-D2206-G2206,"")</f>
        <v/>
      </c>
      <c r="I2206" s="14">
        <f>IF(E2206&lt;&gt;"", YEARFRAC(C2206, E2206) * 12, "")</f>
        <v/>
      </c>
      <c r="J2206" s="2">
        <f>IF(I2206="", "", IF(AND(A2206="MF (Equity)", I2206&gt;12), "Long Term", "Short Term"))</f>
        <v/>
      </c>
      <c r="K2206" s="5">
        <f>IF(J2206="", "", IF(J2206="Long Term", 12.5%, 20%))</f>
        <v/>
      </c>
      <c r="L2206" s="3">
        <f>+IFERROR(IF(J2206="","",H2206*K2206),"")</f>
        <v/>
      </c>
    </row>
    <row r="2207">
      <c r="A2207" s="11" t="n"/>
      <c r="B2207" s="7" t="n"/>
      <c r="C2207" s="8" t="n"/>
      <c r="D2207" s="9" t="n"/>
      <c r="E2207" s="8" t="n"/>
      <c r="F2207" s="9" t="n"/>
      <c r="G2207" s="9" t="n"/>
      <c r="H2207" s="3">
        <f>IF(AND(D2207&lt;&gt;"",F2207&lt;&gt;""),F2207-D2207-G2207,"")</f>
        <v/>
      </c>
      <c r="I2207" s="14">
        <f>IF(E2207&lt;&gt;"", YEARFRAC(C2207, E2207) * 12, "")</f>
        <v/>
      </c>
      <c r="J2207" s="2">
        <f>IF(I2207="", "", IF(AND(A2207="MF (Equity)", I2207&gt;12), "Long Term", "Short Term"))</f>
        <v/>
      </c>
      <c r="K2207" s="5">
        <f>IF(J2207="", "", IF(J2207="Long Term", 12.5%, 20%))</f>
        <v/>
      </c>
      <c r="L2207" s="3">
        <f>+IFERROR(IF(J2207="","",H2207*K2207),"")</f>
        <v/>
      </c>
    </row>
    <row r="2208">
      <c r="A2208" s="11" t="n"/>
      <c r="B2208" s="7" t="n"/>
      <c r="C2208" s="8" t="n"/>
      <c r="D2208" s="9" t="n"/>
      <c r="E2208" s="8" t="n"/>
      <c r="F2208" s="9" t="n"/>
      <c r="G2208" s="9" t="n"/>
      <c r="H2208" s="3">
        <f>IF(AND(D2208&lt;&gt;"",F2208&lt;&gt;""),F2208-D2208-G2208,"")</f>
        <v/>
      </c>
      <c r="I2208" s="14">
        <f>IF(E2208&lt;&gt;"", YEARFRAC(C2208, E2208) * 12, "")</f>
        <v/>
      </c>
      <c r="J2208" s="2">
        <f>IF(I2208="", "", IF(AND(A2208="MF (Equity)", I2208&gt;12), "Long Term", "Short Term"))</f>
        <v/>
      </c>
      <c r="K2208" s="5">
        <f>IF(J2208="", "", IF(J2208="Long Term", 12.5%, 20%))</f>
        <v/>
      </c>
      <c r="L2208" s="3">
        <f>+IFERROR(IF(J2208="","",H2208*K2208),"")</f>
        <v/>
      </c>
    </row>
    <row r="2209">
      <c r="A2209" s="11" t="n"/>
      <c r="B2209" s="7" t="n"/>
      <c r="C2209" s="8" t="n"/>
      <c r="D2209" s="9" t="n"/>
      <c r="E2209" s="8" t="n"/>
      <c r="F2209" s="9" t="n"/>
      <c r="G2209" s="9" t="n"/>
      <c r="H2209" s="3">
        <f>IF(AND(D2209&lt;&gt;"",F2209&lt;&gt;""),F2209-D2209-G2209,"")</f>
        <v/>
      </c>
      <c r="I2209" s="14">
        <f>IF(E2209&lt;&gt;"", YEARFRAC(C2209, E2209) * 12, "")</f>
        <v/>
      </c>
      <c r="J2209" s="2">
        <f>IF(I2209="", "", IF(AND(A2209="MF (Equity)", I2209&gt;12), "Long Term", "Short Term"))</f>
        <v/>
      </c>
      <c r="K2209" s="5">
        <f>IF(J2209="", "", IF(J2209="Long Term", 12.5%, 20%))</f>
        <v/>
      </c>
      <c r="L2209" s="3">
        <f>+IFERROR(IF(J2209="","",H2209*K2209),"")</f>
        <v/>
      </c>
    </row>
    <row r="2210">
      <c r="A2210" s="11" t="n"/>
      <c r="B2210" s="7" t="n"/>
      <c r="C2210" s="8" t="n"/>
      <c r="D2210" s="9" t="n"/>
      <c r="E2210" s="8" t="n"/>
      <c r="F2210" s="9" t="n"/>
      <c r="G2210" s="9" t="n"/>
      <c r="H2210" s="3">
        <f>IF(AND(D2210&lt;&gt;"",F2210&lt;&gt;""),F2210-D2210-G2210,"")</f>
        <v/>
      </c>
      <c r="I2210" s="14">
        <f>IF(E2210&lt;&gt;"", YEARFRAC(C2210, E2210) * 12, "")</f>
        <v/>
      </c>
      <c r="J2210" s="2">
        <f>IF(I2210="", "", IF(AND(A2210="MF (Equity)", I2210&gt;12), "Long Term", "Short Term"))</f>
        <v/>
      </c>
      <c r="K2210" s="5">
        <f>IF(J2210="", "", IF(J2210="Long Term", 12.5%, 20%))</f>
        <v/>
      </c>
      <c r="L2210" s="3">
        <f>+IFERROR(IF(J2210="","",H2210*K2210),"")</f>
        <v/>
      </c>
    </row>
    <row r="2211">
      <c r="A2211" s="11" t="n"/>
      <c r="B2211" s="7" t="n"/>
      <c r="C2211" s="8" t="n"/>
      <c r="D2211" s="9" t="n"/>
      <c r="E2211" s="8" t="n"/>
      <c r="F2211" s="9" t="n"/>
      <c r="G2211" s="9" t="n"/>
      <c r="H2211" s="3">
        <f>IF(AND(D2211&lt;&gt;"",F2211&lt;&gt;""),F2211-D2211-G2211,"")</f>
        <v/>
      </c>
      <c r="I2211" s="14">
        <f>IF(E2211&lt;&gt;"", YEARFRAC(C2211, E2211) * 12, "")</f>
        <v/>
      </c>
      <c r="J2211" s="2">
        <f>IF(I2211="", "", IF(AND(A2211="MF (Equity)", I2211&gt;12), "Long Term", "Short Term"))</f>
        <v/>
      </c>
      <c r="K2211" s="5">
        <f>IF(J2211="", "", IF(J2211="Long Term", 12.5%, 20%))</f>
        <v/>
      </c>
      <c r="L2211" s="3">
        <f>+IFERROR(IF(J2211="","",H2211*K2211),"")</f>
        <v/>
      </c>
    </row>
    <row r="2212">
      <c r="A2212" s="11" t="n"/>
      <c r="B2212" s="7" t="n"/>
      <c r="C2212" s="8" t="n"/>
      <c r="D2212" s="9" t="n"/>
      <c r="E2212" s="8" t="n"/>
      <c r="F2212" s="9" t="n"/>
      <c r="G2212" s="9" t="n"/>
      <c r="H2212" s="3">
        <f>IF(AND(D2212&lt;&gt;"",F2212&lt;&gt;""),F2212-D2212-G2212,"")</f>
        <v/>
      </c>
      <c r="I2212" s="14">
        <f>IF(E2212&lt;&gt;"", YEARFRAC(C2212, E2212) * 12, "")</f>
        <v/>
      </c>
      <c r="J2212" s="2">
        <f>IF(I2212="", "", IF(AND(A2212="MF (Equity)", I2212&gt;12), "Long Term", "Short Term"))</f>
        <v/>
      </c>
      <c r="K2212" s="5">
        <f>IF(J2212="", "", IF(J2212="Long Term", 12.5%, 20%))</f>
        <v/>
      </c>
      <c r="L2212" s="3">
        <f>+IFERROR(IF(J2212="","",H2212*K2212),"")</f>
        <v/>
      </c>
    </row>
    <row r="2213">
      <c r="A2213" s="11" t="n"/>
      <c r="B2213" s="7" t="n"/>
      <c r="C2213" s="8" t="n"/>
      <c r="D2213" s="9" t="n"/>
      <c r="E2213" s="8" t="n"/>
      <c r="F2213" s="9" t="n"/>
      <c r="G2213" s="9" t="n"/>
      <c r="H2213" s="3">
        <f>IF(AND(D2213&lt;&gt;"",F2213&lt;&gt;""),F2213-D2213-G2213,"")</f>
        <v/>
      </c>
      <c r="I2213" s="14">
        <f>IF(E2213&lt;&gt;"", YEARFRAC(C2213, E2213) * 12, "")</f>
        <v/>
      </c>
      <c r="J2213" s="2">
        <f>IF(I2213="", "", IF(AND(A2213="MF (Equity)", I2213&gt;12), "Long Term", "Short Term"))</f>
        <v/>
      </c>
      <c r="K2213" s="5">
        <f>IF(J2213="", "", IF(J2213="Long Term", 12.5%, 20%))</f>
        <v/>
      </c>
      <c r="L2213" s="3">
        <f>+IFERROR(IF(J2213="","",H2213*K2213),"")</f>
        <v/>
      </c>
    </row>
    <row r="2214">
      <c r="A2214" s="11" t="n"/>
      <c r="B2214" s="7" t="n"/>
      <c r="C2214" s="8" t="n"/>
      <c r="D2214" s="9" t="n"/>
      <c r="E2214" s="8" t="n"/>
      <c r="F2214" s="9" t="n"/>
      <c r="G2214" s="9" t="n"/>
      <c r="H2214" s="3">
        <f>IF(AND(D2214&lt;&gt;"",F2214&lt;&gt;""),F2214-D2214-G2214,"")</f>
        <v/>
      </c>
      <c r="I2214" s="14">
        <f>IF(E2214&lt;&gt;"", YEARFRAC(C2214, E2214) * 12, "")</f>
        <v/>
      </c>
      <c r="J2214" s="2">
        <f>IF(I2214="", "", IF(AND(A2214="MF (Equity)", I2214&gt;12), "Long Term", "Short Term"))</f>
        <v/>
      </c>
      <c r="K2214" s="5">
        <f>IF(J2214="", "", IF(J2214="Long Term", 12.5%, 20%))</f>
        <v/>
      </c>
      <c r="L2214" s="3">
        <f>+IFERROR(IF(J2214="","",H2214*K2214),"")</f>
        <v/>
      </c>
    </row>
    <row r="2215">
      <c r="A2215" s="11" t="n"/>
      <c r="B2215" s="7" t="n"/>
      <c r="C2215" s="8" t="n"/>
      <c r="D2215" s="9" t="n"/>
      <c r="E2215" s="8" t="n"/>
      <c r="F2215" s="9" t="n"/>
      <c r="G2215" s="9" t="n"/>
      <c r="H2215" s="3">
        <f>IF(AND(D2215&lt;&gt;"",F2215&lt;&gt;""),F2215-D2215-G2215,"")</f>
        <v/>
      </c>
      <c r="I2215" s="14">
        <f>IF(E2215&lt;&gt;"", YEARFRAC(C2215, E2215) * 12, "")</f>
        <v/>
      </c>
      <c r="J2215" s="2">
        <f>IF(I2215="", "", IF(AND(A2215="MF (Equity)", I2215&gt;12), "Long Term", "Short Term"))</f>
        <v/>
      </c>
      <c r="K2215" s="5">
        <f>IF(J2215="", "", IF(J2215="Long Term", 12.5%, 20%))</f>
        <v/>
      </c>
      <c r="L2215" s="3">
        <f>+IFERROR(IF(J2215="","",H2215*K2215),"")</f>
        <v/>
      </c>
    </row>
    <row r="2216">
      <c r="A2216" s="11" t="n"/>
      <c r="B2216" s="7" t="n"/>
      <c r="C2216" s="8" t="n"/>
      <c r="D2216" s="9" t="n"/>
      <c r="E2216" s="8" t="n"/>
      <c r="F2216" s="9" t="n"/>
      <c r="G2216" s="9" t="n"/>
      <c r="H2216" s="3">
        <f>IF(AND(D2216&lt;&gt;"",F2216&lt;&gt;""),F2216-D2216-G2216,"")</f>
        <v/>
      </c>
      <c r="I2216" s="14">
        <f>IF(E2216&lt;&gt;"", YEARFRAC(C2216, E2216) * 12, "")</f>
        <v/>
      </c>
      <c r="J2216" s="2">
        <f>IF(I2216="", "", IF(AND(A2216="MF (Equity)", I2216&gt;12), "Long Term", "Short Term"))</f>
        <v/>
      </c>
      <c r="K2216" s="5">
        <f>IF(J2216="", "", IF(J2216="Long Term", 12.5%, 20%))</f>
        <v/>
      </c>
      <c r="L2216" s="3">
        <f>+IFERROR(IF(J2216="","",H2216*K2216),"")</f>
        <v/>
      </c>
    </row>
    <row r="2217">
      <c r="A2217" s="11" t="n"/>
      <c r="B2217" s="7" t="n"/>
      <c r="C2217" s="8" t="n"/>
      <c r="D2217" s="9" t="n"/>
      <c r="E2217" s="8" t="n"/>
      <c r="F2217" s="9" t="n"/>
      <c r="G2217" s="9" t="n"/>
      <c r="H2217" s="3">
        <f>IF(AND(D2217&lt;&gt;"",F2217&lt;&gt;""),F2217-D2217-G2217,"")</f>
        <v/>
      </c>
      <c r="I2217" s="14">
        <f>IF(E2217&lt;&gt;"", YEARFRAC(C2217, E2217) * 12, "")</f>
        <v/>
      </c>
      <c r="J2217" s="2">
        <f>IF(I2217="", "", IF(AND(A2217="MF (Equity)", I2217&gt;12), "Long Term", "Short Term"))</f>
        <v/>
      </c>
      <c r="K2217" s="5">
        <f>IF(J2217="", "", IF(J2217="Long Term", 12.5%, 20%))</f>
        <v/>
      </c>
      <c r="L2217" s="3">
        <f>+IFERROR(IF(J2217="","",H2217*K2217),"")</f>
        <v/>
      </c>
    </row>
    <row r="2218">
      <c r="A2218" s="11" t="n"/>
      <c r="B2218" s="7" t="n"/>
      <c r="C2218" s="8" t="n"/>
      <c r="D2218" s="9" t="n"/>
      <c r="E2218" s="8" t="n"/>
      <c r="F2218" s="9" t="n"/>
      <c r="G2218" s="9" t="n"/>
      <c r="H2218" s="3">
        <f>IF(AND(D2218&lt;&gt;"",F2218&lt;&gt;""),F2218-D2218-G2218,"")</f>
        <v/>
      </c>
      <c r="I2218" s="14">
        <f>IF(E2218&lt;&gt;"", YEARFRAC(C2218, E2218) * 12, "")</f>
        <v/>
      </c>
      <c r="J2218" s="2">
        <f>IF(I2218="", "", IF(AND(A2218="MF (Equity)", I2218&gt;12), "Long Term", "Short Term"))</f>
        <v/>
      </c>
      <c r="K2218" s="5">
        <f>IF(J2218="", "", IF(J2218="Long Term", 12.5%, 20%))</f>
        <v/>
      </c>
      <c r="L2218" s="3">
        <f>+IFERROR(IF(J2218="","",H2218*K2218),"")</f>
        <v/>
      </c>
    </row>
    <row r="2219">
      <c r="A2219" s="11" t="n"/>
      <c r="B2219" s="7" t="n"/>
      <c r="C2219" s="8" t="n"/>
      <c r="D2219" s="9" t="n"/>
      <c r="E2219" s="8" t="n"/>
      <c r="F2219" s="9" t="n"/>
      <c r="G2219" s="9" t="n"/>
      <c r="H2219" s="3">
        <f>IF(AND(D2219&lt;&gt;"",F2219&lt;&gt;""),F2219-D2219-G2219,"")</f>
        <v/>
      </c>
      <c r="I2219" s="14">
        <f>IF(E2219&lt;&gt;"", YEARFRAC(C2219, E2219) * 12, "")</f>
        <v/>
      </c>
      <c r="J2219" s="2">
        <f>IF(I2219="", "", IF(AND(A2219="MF (Equity)", I2219&gt;12), "Long Term", "Short Term"))</f>
        <v/>
      </c>
      <c r="K2219" s="5">
        <f>IF(J2219="", "", IF(J2219="Long Term", 12.5%, 20%))</f>
        <v/>
      </c>
      <c r="L2219" s="3">
        <f>+IFERROR(IF(J2219="","",H2219*K2219),"")</f>
        <v/>
      </c>
    </row>
    <row r="2220">
      <c r="A2220" s="11" t="n"/>
      <c r="B2220" s="7" t="n"/>
      <c r="C2220" s="8" t="n"/>
      <c r="D2220" s="9" t="n"/>
      <c r="E2220" s="8" t="n"/>
      <c r="F2220" s="9" t="n"/>
      <c r="G2220" s="9" t="n"/>
      <c r="H2220" s="3">
        <f>IF(AND(D2220&lt;&gt;"",F2220&lt;&gt;""),F2220-D2220-G2220,"")</f>
        <v/>
      </c>
      <c r="I2220" s="14">
        <f>IF(E2220&lt;&gt;"", YEARFRAC(C2220, E2220) * 12, "")</f>
        <v/>
      </c>
      <c r="J2220" s="2">
        <f>IF(I2220="", "", IF(AND(A2220="MF (Equity)", I2220&gt;12), "Long Term", "Short Term"))</f>
        <v/>
      </c>
      <c r="K2220" s="5">
        <f>IF(J2220="", "", IF(J2220="Long Term", 12.5%, 20%))</f>
        <v/>
      </c>
      <c r="L2220" s="3">
        <f>+IFERROR(IF(J2220="","",H2220*K2220),"")</f>
        <v/>
      </c>
    </row>
    <row r="2221">
      <c r="A2221" s="11" t="n"/>
      <c r="B2221" s="7" t="n"/>
      <c r="C2221" s="8" t="n"/>
      <c r="D2221" s="9" t="n"/>
      <c r="E2221" s="8" t="n"/>
      <c r="F2221" s="9" t="n"/>
      <c r="G2221" s="9" t="n"/>
      <c r="H2221" s="3">
        <f>IF(AND(D2221&lt;&gt;"",F2221&lt;&gt;""),F2221-D2221-G2221,"")</f>
        <v/>
      </c>
      <c r="I2221" s="14">
        <f>IF(E2221&lt;&gt;"", YEARFRAC(C2221, E2221) * 12, "")</f>
        <v/>
      </c>
      <c r="J2221" s="2">
        <f>IF(I2221="", "", IF(AND(A2221="MF (Equity)", I2221&gt;12), "Long Term", "Short Term"))</f>
        <v/>
      </c>
      <c r="K2221" s="5">
        <f>IF(J2221="", "", IF(J2221="Long Term", 12.5%, 20%))</f>
        <v/>
      </c>
      <c r="L2221" s="3">
        <f>+IFERROR(IF(J2221="","",H2221*K2221),"")</f>
        <v/>
      </c>
    </row>
    <row r="2222">
      <c r="A2222" s="11" t="n"/>
      <c r="B2222" s="7" t="n"/>
      <c r="C2222" s="8" t="n"/>
      <c r="D2222" s="9" t="n"/>
      <c r="E2222" s="8" t="n"/>
      <c r="F2222" s="9" t="n"/>
      <c r="G2222" s="9" t="n"/>
      <c r="H2222" s="3">
        <f>IF(AND(D2222&lt;&gt;"",F2222&lt;&gt;""),F2222-D2222-G2222,"")</f>
        <v/>
      </c>
      <c r="I2222" s="14">
        <f>IF(E2222&lt;&gt;"", YEARFRAC(C2222, E2222) * 12, "")</f>
        <v/>
      </c>
      <c r="J2222" s="2">
        <f>IF(I2222="", "", IF(AND(A2222="MF (Equity)", I2222&gt;12), "Long Term", "Short Term"))</f>
        <v/>
      </c>
      <c r="K2222" s="5">
        <f>IF(J2222="", "", IF(J2222="Long Term", 12.5%, 20%))</f>
        <v/>
      </c>
      <c r="L2222" s="3">
        <f>+IFERROR(IF(J2222="","",H2222*K2222),"")</f>
        <v/>
      </c>
    </row>
    <row r="2223">
      <c r="A2223" s="11" t="n"/>
      <c r="B2223" s="7" t="n"/>
      <c r="C2223" s="8" t="n"/>
      <c r="D2223" s="9" t="n"/>
      <c r="E2223" s="8" t="n"/>
      <c r="F2223" s="9" t="n"/>
      <c r="G2223" s="9" t="n"/>
      <c r="H2223" s="3">
        <f>IF(AND(D2223&lt;&gt;"",F2223&lt;&gt;""),F2223-D2223-G2223,"")</f>
        <v/>
      </c>
      <c r="I2223" s="14">
        <f>IF(E2223&lt;&gt;"", YEARFRAC(C2223, E2223) * 12, "")</f>
        <v/>
      </c>
      <c r="J2223" s="2">
        <f>IF(I2223="", "", IF(AND(A2223="MF (Equity)", I2223&gt;12), "Long Term", "Short Term"))</f>
        <v/>
      </c>
      <c r="K2223" s="5">
        <f>IF(J2223="", "", IF(J2223="Long Term", 12.5%, 20%))</f>
        <v/>
      </c>
      <c r="L2223" s="3">
        <f>+IFERROR(IF(J2223="","",H2223*K2223),"")</f>
        <v/>
      </c>
    </row>
    <row r="2224">
      <c r="A2224" s="11" t="n"/>
      <c r="B2224" s="7" t="n"/>
      <c r="C2224" s="8" t="n"/>
      <c r="D2224" s="9" t="n"/>
      <c r="E2224" s="8" t="n"/>
      <c r="F2224" s="9" t="n"/>
      <c r="G2224" s="9" t="n"/>
      <c r="H2224" s="3">
        <f>IF(AND(D2224&lt;&gt;"",F2224&lt;&gt;""),F2224-D2224-G2224,"")</f>
        <v/>
      </c>
      <c r="I2224" s="14">
        <f>IF(E2224&lt;&gt;"", YEARFRAC(C2224, E2224) * 12, "")</f>
        <v/>
      </c>
      <c r="J2224" s="2">
        <f>IF(I2224="", "", IF(AND(A2224="MF (Equity)", I2224&gt;12), "Long Term", "Short Term"))</f>
        <v/>
      </c>
      <c r="K2224" s="5">
        <f>IF(J2224="", "", IF(J2224="Long Term", 12.5%, 20%))</f>
        <v/>
      </c>
      <c r="L2224" s="3">
        <f>+IFERROR(IF(J2224="","",H2224*K2224),"")</f>
        <v/>
      </c>
    </row>
    <row r="2225">
      <c r="A2225" s="11" t="n"/>
      <c r="B2225" s="7" t="n"/>
      <c r="C2225" s="8" t="n"/>
      <c r="D2225" s="9" t="n"/>
      <c r="E2225" s="8" t="n"/>
      <c r="F2225" s="9" t="n"/>
      <c r="G2225" s="9" t="n"/>
      <c r="H2225" s="3">
        <f>IF(AND(D2225&lt;&gt;"",F2225&lt;&gt;""),F2225-D2225-G2225,"")</f>
        <v/>
      </c>
      <c r="I2225" s="14">
        <f>IF(E2225&lt;&gt;"", YEARFRAC(C2225, E2225) * 12, "")</f>
        <v/>
      </c>
      <c r="J2225" s="2">
        <f>IF(I2225="", "", IF(AND(A2225="MF (Equity)", I2225&gt;12), "Long Term", "Short Term"))</f>
        <v/>
      </c>
      <c r="K2225" s="5">
        <f>IF(J2225="", "", IF(J2225="Long Term", 12.5%, 20%))</f>
        <v/>
      </c>
      <c r="L2225" s="3">
        <f>+IFERROR(IF(J2225="","",H2225*K2225),"")</f>
        <v/>
      </c>
    </row>
    <row r="2226">
      <c r="A2226" s="11" t="n"/>
      <c r="B2226" s="7" t="n"/>
      <c r="C2226" s="8" t="n"/>
      <c r="D2226" s="9" t="n"/>
      <c r="E2226" s="8" t="n"/>
      <c r="F2226" s="9" t="n"/>
      <c r="G2226" s="9" t="n"/>
      <c r="H2226" s="3">
        <f>IF(AND(D2226&lt;&gt;"",F2226&lt;&gt;""),F2226-D2226-G2226,"")</f>
        <v/>
      </c>
      <c r="I2226" s="14">
        <f>IF(E2226&lt;&gt;"", YEARFRAC(C2226, E2226) * 12, "")</f>
        <v/>
      </c>
      <c r="J2226" s="2">
        <f>IF(I2226="", "", IF(AND(A2226="MF (Equity)", I2226&gt;12), "Long Term", "Short Term"))</f>
        <v/>
      </c>
      <c r="K2226" s="5">
        <f>IF(J2226="", "", IF(J2226="Long Term", 12.5%, 20%))</f>
        <v/>
      </c>
      <c r="L2226" s="3">
        <f>+IFERROR(IF(J2226="","",H2226*K2226),"")</f>
        <v/>
      </c>
    </row>
    <row r="2227">
      <c r="A2227" s="11" t="n"/>
      <c r="B2227" s="7" t="n"/>
      <c r="C2227" s="8" t="n"/>
      <c r="D2227" s="9" t="n"/>
      <c r="E2227" s="8" t="n"/>
      <c r="F2227" s="9" t="n"/>
      <c r="G2227" s="9" t="n"/>
      <c r="H2227" s="3">
        <f>IF(AND(D2227&lt;&gt;"",F2227&lt;&gt;""),F2227-D2227-G2227,"")</f>
        <v/>
      </c>
      <c r="I2227" s="14">
        <f>IF(E2227&lt;&gt;"", YEARFRAC(C2227, E2227) * 12, "")</f>
        <v/>
      </c>
      <c r="J2227" s="2">
        <f>IF(I2227="", "", IF(AND(A2227="MF (Equity)", I2227&gt;12), "Long Term", "Short Term"))</f>
        <v/>
      </c>
      <c r="K2227" s="5">
        <f>IF(J2227="", "", IF(J2227="Long Term", 12.5%, 20%))</f>
        <v/>
      </c>
      <c r="L2227" s="3">
        <f>+IFERROR(IF(J2227="","",H2227*K2227),"")</f>
        <v/>
      </c>
    </row>
    <row r="2228">
      <c r="A2228" s="11" t="n"/>
      <c r="B2228" s="7" t="n"/>
      <c r="C2228" s="8" t="n"/>
      <c r="D2228" s="9" t="n"/>
      <c r="E2228" s="8" t="n"/>
      <c r="F2228" s="9" t="n"/>
      <c r="G2228" s="9" t="n"/>
      <c r="H2228" s="3">
        <f>IF(AND(D2228&lt;&gt;"",F2228&lt;&gt;""),F2228-D2228-G2228,"")</f>
        <v/>
      </c>
      <c r="I2228" s="14">
        <f>IF(E2228&lt;&gt;"", YEARFRAC(C2228, E2228) * 12, "")</f>
        <v/>
      </c>
      <c r="J2228" s="2">
        <f>IF(I2228="", "", IF(AND(A2228="MF (Equity)", I2228&gt;12), "Long Term", "Short Term"))</f>
        <v/>
      </c>
      <c r="K2228" s="5">
        <f>IF(J2228="", "", IF(J2228="Long Term", 12.5%, 20%))</f>
        <v/>
      </c>
      <c r="L2228" s="3">
        <f>+IFERROR(IF(J2228="","",H2228*K2228),"")</f>
        <v/>
      </c>
    </row>
    <row r="2229">
      <c r="A2229" s="11" t="n"/>
      <c r="B2229" s="7" t="n"/>
      <c r="C2229" s="8" t="n"/>
      <c r="D2229" s="9" t="n"/>
      <c r="E2229" s="8" t="n"/>
      <c r="F2229" s="9" t="n"/>
      <c r="G2229" s="9" t="n"/>
      <c r="H2229" s="3">
        <f>IF(AND(D2229&lt;&gt;"",F2229&lt;&gt;""),F2229-D2229-G2229,"")</f>
        <v/>
      </c>
      <c r="I2229" s="14">
        <f>IF(E2229&lt;&gt;"", YEARFRAC(C2229, E2229) * 12, "")</f>
        <v/>
      </c>
      <c r="J2229" s="2">
        <f>IF(I2229="", "", IF(AND(A2229="MF (Equity)", I2229&gt;12), "Long Term", "Short Term"))</f>
        <v/>
      </c>
      <c r="K2229" s="5">
        <f>IF(J2229="", "", IF(J2229="Long Term", 12.5%, 20%))</f>
        <v/>
      </c>
      <c r="L2229" s="3">
        <f>+IFERROR(IF(J2229="","",H2229*K2229),"")</f>
        <v/>
      </c>
    </row>
    <row r="2230">
      <c r="A2230" s="11" t="n"/>
      <c r="B2230" s="7" t="n"/>
      <c r="C2230" s="8" t="n"/>
      <c r="D2230" s="9" t="n"/>
      <c r="E2230" s="8" t="n"/>
      <c r="F2230" s="9" t="n"/>
      <c r="G2230" s="9" t="n"/>
      <c r="H2230" s="3">
        <f>IF(AND(D2230&lt;&gt;"",F2230&lt;&gt;""),F2230-D2230-G2230,"")</f>
        <v/>
      </c>
      <c r="I2230" s="14">
        <f>IF(E2230&lt;&gt;"", YEARFRAC(C2230, E2230) * 12, "")</f>
        <v/>
      </c>
      <c r="J2230" s="2">
        <f>IF(I2230="", "", IF(AND(A2230="MF (Equity)", I2230&gt;12), "Long Term", "Short Term"))</f>
        <v/>
      </c>
      <c r="K2230" s="5">
        <f>IF(J2230="", "", IF(J2230="Long Term", 12.5%, 20%))</f>
        <v/>
      </c>
      <c r="L2230" s="3">
        <f>+IFERROR(IF(J2230="","",H2230*K2230),"")</f>
        <v/>
      </c>
    </row>
    <row r="2231">
      <c r="A2231" s="11" t="n"/>
      <c r="B2231" s="7" t="n"/>
      <c r="C2231" s="8" t="n"/>
      <c r="D2231" s="9" t="n"/>
      <c r="E2231" s="8" t="n"/>
      <c r="F2231" s="9" t="n"/>
      <c r="G2231" s="9" t="n"/>
      <c r="H2231" s="3">
        <f>IF(AND(D2231&lt;&gt;"",F2231&lt;&gt;""),F2231-D2231-G2231,"")</f>
        <v/>
      </c>
      <c r="I2231" s="14">
        <f>IF(E2231&lt;&gt;"", YEARFRAC(C2231, E2231) * 12, "")</f>
        <v/>
      </c>
      <c r="J2231" s="2">
        <f>IF(I2231="", "", IF(AND(A2231="MF (Equity)", I2231&gt;12), "Long Term", "Short Term"))</f>
        <v/>
      </c>
      <c r="K2231" s="5">
        <f>IF(J2231="", "", IF(J2231="Long Term", 12.5%, 20%))</f>
        <v/>
      </c>
      <c r="L2231" s="3">
        <f>+IFERROR(IF(J2231="","",H2231*K2231),"")</f>
        <v/>
      </c>
    </row>
    <row r="2232">
      <c r="A2232" s="11" t="n"/>
      <c r="B2232" s="7" t="n"/>
      <c r="C2232" s="8" t="n"/>
      <c r="D2232" s="9" t="n"/>
      <c r="E2232" s="8" t="n"/>
      <c r="F2232" s="9" t="n"/>
      <c r="G2232" s="9" t="n"/>
      <c r="H2232" s="3">
        <f>IF(AND(D2232&lt;&gt;"",F2232&lt;&gt;""),F2232-D2232-G2232,"")</f>
        <v/>
      </c>
      <c r="I2232" s="14">
        <f>IF(E2232&lt;&gt;"", YEARFRAC(C2232, E2232) * 12, "")</f>
        <v/>
      </c>
      <c r="J2232" s="2">
        <f>IF(I2232="", "", IF(AND(A2232="MF (Equity)", I2232&gt;12), "Long Term", "Short Term"))</f>
        <v/>
      </c>
      <c r="K2232" s="5">
        <f>IF(J2232="", "", IF(J2232="Long Term", 12.5%, 20%))</f>
        <v/>
      </c>
      <c r="L2232" s="3">
        <f>+IFERROR(IF(J2232="","",H2232*K2232),"")</f>
        <v/>
      </c>
    </row>
    <row r="2233">
      <c r="A2233" s="11" t="n"/>
      <c r="B2233" s="7" t="n"/>
      <c r="C2233" s="8" t="n"/>
      <c r="D2233" s="9" t="n"/>
      <c r="E2233" s="8" t="n"/>
      <c r="F2233" s="9" t="n"/>
      <c r="G2233" s="9" t="n"/>
      <c r="H2233" s="3">
        <f>IF(AND(D2233&lt;&gt;"",F2233&lt;&gt;""),F2233-D2233-G2233,"")</f>
        <v/>
      </c>
      <c r="I2233" s="14">
        <f>IF(E2233&lt;&gt;"", YEARFRAC(C2233, E2233) * 12, "")</f>
        <v/>
      </c>
      <c r="J2233" s="2">
        <f>IF(I2233="", "", IF(AND(A2233="MF (Equity)", I2233&gt;12), "Long Term", "Short Term"))</f>
        <v/>
      </c>
      <c r="K2233" s="5">
        <f>IF(J2233="", "", IF(J2233="Long Term", 12.5%, 20%))</f>
        <v/>
      </c>
      <c r="L2233" s="3">
        <f>+IFERROR(IF(J2233="","",H2233*K2233),"")</f>
        <v/>
      </c>
    </row>
    <row r="2234">
      <c r="A2234" s="11" t="n"/>
      <c r="B2234" s="7" t="n"/>
      <c r="C2234" s="8" t="n"/>
      <c r="D2234" s="9" t="n"/>
      <c r="E2234" s="8" t="n"/>
      <c r="F2234" s="9" t="n"/>
      <c r="G2234" s="9" t="n"/>
      <c r="H2234" s="3">
        <f>IF(AND(D2234&lt;&gt;"",F2234&lt;&gt;""),F2234-D2234-G2234,"")</f>
        <v/>
      </c>
      <c r="I2234" s="14">
        <f>IF(E2234&lt;&gt;"", YEARFRAC(C2234, E2234) * 12, "")</f>
        <v/>
      </c>
      <c r="J2234" s="2">
        <f>IF(I2234="", "", IF(AND(A2234="MF (Equity)", I2234&gt;12), "Long Term", "Short Term"))</f>
        <v/>
      </c>
      <c r="K2234" s="5">
        <f>IF(J2234="", "", IF(J2234="Long Term", 12.5%, 20%))</f>
        <v/>
      </c>
      <c r="L2234" s="3">
        <f>+IFERROR(IF(J2234="","",H2234*K2234),"")</f>
        <v/>
      </c>
    </row>
    <row r="2235">
      <c r="A2235" s="11" t="n"/>
      <c r="B2235" s="7" t="n"/>
      <c r="C2235" s="8" t="n"/>
      <c r="D2235" s="9" t="n"/>
      <c r="E2235" s="8" t="n"/>
      <c r="F2235" s="9" t="n"/>
      <c r="G2235" s="9" t="n"/>
      <c r="H2235" s="3">
        <f>IF(AND(D2235&lt;&gt;"",F2235&lt;&gt;""),F2235-D2235-G2235,"")</f>
        <v/>
      </c>
      <c r="I2235" s="14">
        <f>IF(E2235&lt;&gt;"", YEARFRAC(C2235, E2235) * 12, "")</f>
        <v/>
      </c>
      <c r="J2235" s="2">
        <f>IF(I2235="", "", IF(AND(A2235="MF (Equity)", I2235&gt;12), "Long Term", "Short Term"))</f>
        <v/>
      </c>
      <c r="K2235" s="5">
        <f>IF(J2235="", "", IF(J2235="Long Term", 12.5%, 20%))</f>
        <v/>
      </c>
      <c r="L2235" s="3">
        <f>+IFERROR(IF(J2235="","",H2235*K2235),"")</f>
        <v/>
      </c>
    </row>
    <row r="2236">
      <c r="A2236" s="11" t="n"/>
      <c r="B2236" s="7" t="n"/>
      <c r="C2236" s="8" t="n"/>
      <c r="D2236" s="9" t="n"/>
      <c r="E2236" s="8" t="n"/>
      <c r="F2236" s="9" t="n"/>
      <c r="G2236" s="9" t="n"/>
      <c r="H2236" s="3">
        <f>IF(AND(D2236&lt;&gt;"",F2236&lt;&gt;""),F2236-D2236-G2236,"")</f>
        <v/>
      </c>
      <c r="I2236" s="14">
        <f>IF(E2236&lt;&gt;"", YEARFRAC(C2236, E2236) * 12, "")</f>
        <v/>
      </c>
      <c r="J2236" s="2">
        <f>IF(I2236="", "", IF(AND(A2236="MF (Equity)", I2236&gt;12), "Long Term", "Short Term"))</f>
        <v/>
      </c>
      <c r="K2236" s="5">
        <f>IF(J2236="", "", IF(J2236="Long Term", 12.5%, 20%))</f>
        <v/>
      </c>
      <c r="L2236" s="3">
        <f>+IFERROR(IF(J2236="","",H2236*K2236),"")</f>
        <v/>
      </c>
    </row>
    <row r="2237">
      <c r="A2237" s="11" t="n"/>
      <c r="B2237" s="7" t="n"/>
      <c r="C2237" s="8" t="n"/>
      <c r="D2237" s="9" t="n"/>
      <c r="E2237" s="8" t="n"/>
      <c r="F2237" s="9" t="n"/>
      <c r="G2237" s="9" t="n"/>
      <c r="H2237" s="3">
        <f>IF(AND(D2237&lt;&gt;"",F2237&lt;&gt;""),F2237-D2237-G2237,"")</f>
        <v/>
      </c>
      <c r="I2237" s="14">
        <f>IF(E2237&lt;&gt;"", YEARFRAC(C2237, E2237) * 12, "")</f>
        <v/>
      </c>
      <c r="J2237" s="2">
        <f>IF(I2237="", "", IF(AND(A2237="MF (Equity)", I2237&gt;12), "Long Term", "Short Term"))</f>
        <v/>
      </c>
      <c r="K2237" s="5">
        <f>IF(J2237="", "", IF(J2237="Long Term", 12.5%, 20%))</f>
        <v/>
      </c>
      <c r="L2237" s="3">
        <f>+IFERROR(IF(J2237="","",H2237*K2237),"")</f>
        <v/>
      </c>
    </row>
    <row r="2238">
      <c r="A2238" s="11" t="n"/>
      <c r="B2238" s="7" t="n"/>
      <c r="C2238" s="8" t="n"/>
      <c r="D2238" s="9" t="n"/>
      <c r="E2238" s="8" t="n"/>
      <c r="F2238" s="9" t="n"/>
      <c r="G2238" s="9" t="n"/>
      <c r="H2238" s="3">
        <f>IF(AND(D2238&lt;&gt;"",F2238&lt;&gt;""),F2238-D2238-G2238,"")</f>
        <v/>
      </c>
      <c r="I2238" s="14">
        <f>IF(E2238&lt;&gt;"", YEARFRAC(C2238, E2238) * 12, "")</f>
        <v/>
      </c>
      <c r="J2238" s="2">
        <f>IF(I2238="", "", IF(AND(A2238="MF (Equity)", I2238&gt;12), "Long Term", "Short Term"))</f>
        <v/>
      </c>
      <c r="K2238" s="5">
        <f>IF(J2238="", "", IF(J2238="Long Term", 12.5%, 20%))</f>
        <v/>
      </c>
      <c r="L2238" s="3">
        <f>+IFERROR(IF(J2238="","",H2238*K2238),"")</f>
        <v/>
      </c>
    </row>
    <row r="2239">
      <c r="A2239" s="11" t="n"/>
      <c r="B2239" s="7" t="n"/>
      <c r="C2239" s="8" t="n"/>
      <c r="D2239" s="9" t="n"/>
      <c r="E2239" s="8" t="n"/>
      <c r="F2239" s="9" t="n"/>
      <c r="G2239" s="9" t="n"/>
      <c r="H2239" s="3">
        <f>IF(AND(D2239&lt;&gt;"",F2239&lt;&gt;""),F2239-D2239-G2239,"")</f>
        <v/>
      </c>
      <c r="I2239" s="14">
        <f>IF(E2239&lt;&gt;"", YEARFRAC(C2239, E2239) * 12, "")</f>
        <v/>
      </c>
      <c r="J2239" s="2">
        <f>IF(I2239="", "", IF(AND(A2239="MF (Equity)", I2239&gt;12), "Long Term", "Short Term"))</f>
        <v/>
      </c>
      <c r="K2239" s="5">
        <f>IF(J2239="", "", IF(J2239="Long Term", 12.5%, 20%))</f>
        <v/>
      </c>
      <c r="L2239" s="3">
        <f>+IFERROR(IF(J2239="","",H2239*K2239),"")</f>
        <v/>
      </c>
    </row>
    <row r="2240">
      <c r="A2240" s="11" t="n"/>
      <c r="B2240" s="7" t="n"/>
      <c r="C2240" s="8" t="n"/>
      <c r="D2240" s="9" t="n"/>
      <c r="E2240" s="8" t="n"/>
      <c r="F2240" s="9" t="n"/>
      <c r="G2240" s="9" t="n"/>
      <c r="H2240" s="3">
        <f>IF(AND(D2240&lt;&gt;"",F2240&lt;&gt;""),F2240-D2240-G2240,"")</f>
        <v/>
      </c>
      <c r="I2240" s="14">
        <f>IF(E2240&lt;&gt;"", YEARFRAC(C2240, E2240) * 12, "")</f>
        <v/>
      </c>
      <c r="J2240" s="2">
        <f>IF(I2240="", "", IF(AND(A2240="MF (Equity)", I2240&gt;12), "Long Term", "Short Term"))</f>
        <v/>
      </c>
      <c r="K2240" s="5">
        <f>IF(J2240="", "", IF(J2240="Long Term", 12.5%, 20%))</f>
        <v/>
      </c>
      <c r="L2240" s="3">
        <f>+IFERROR(IF(J2240="","",H2240*K2240),"")</f>
        <v/>
      </c>
    </row>
    <row r="2241">
      <c r="A2241" s="11" t="n"/>
      <c r="B2241" s="7" t="n"/>
      <c r="C2241" s="8" t="n"/>
      <c r="D2241" s="9" t="n"/>
      <c r="E2241" s="8" t="n"/>
      <c r="F2241" s="9" t="n"/>
      <c r="G2241" s="9" t="n"/>
      <c r="H2241" s="3">
        <f>IF(AND(D2241&lt;&gt;"",F2241&lt;&gt;""),F2241-D2241-G2241,"")</f>
        <v/>
      </c>
      <c r="I2241" s="14">
        <f>IF(E2241&lt;&gt;"", YEARFRAC(C2241, E2241) * 12, "")</f>
        <v/>
      </c>
      <c r="J2241" s="2">
        <f>IF(I2241="", "", IF(AND(A2241="MF (Equity)", I2241&gt;12), "Long Term", "Short Term"))</f>
        <v/>
      </c>
      <c r="K2241" s="5">
        <f>IF(J2241="", "", IF(J2241="Long Term", 12.5%, 20%))</f>
        <v/>
      </c>
      <c r="L2241" s="3">
        <f>+IFERROR(IF(J2241="","",H2241*K2241),"")</f>
        <v/>
      </c>
    </row>
    <row r="2242">
      <c r="A2242" s="11" t="n"/>
      <c r="B2242" s="7" t="n"/>
      <c r="C2242" s="8" t="n"/>
      <c r="D2242" s="9" t="n"/>
      <c r="E2242" s="8" t="n"/>
      <c r="F2242" s="9" t="n"/>
      <c r="G2242" s="9" t="n"/>
      <c r="H2242" s="3">
        <f>IF(AND(D2242&lt;&gt;"",F2242&lt;&gt;""),F2242-D2242-G2242,"")</f>
        <v/>
      </c>
      <c r="I2242" s="14">
        <f>IF(E2242&lt;&gt;"", YEARFRAC(C2242, E2242) * 12, "")</f>
        <v/>
      </c>
      <c r="J2242" s="2">
        <f>IF(I2242="", "", IF(AND(A2242="MF (Equity)", I2242&gt;12), "Long Term", "Short Term"))</f>
        <v/>
      </c>
      <c r="K2242" s="5">
        <f>IF(J2242="", "", IF(J2242="Long Term", 12.5%, 20%))</f>
        <v/>
      </c>
      <c r="L2242" s="3">
        <f>+IFERROR(IF(J2242="","",H2242*K2242),"")</f>
        <v/>
      </c>
    </row>
    <row r="2243">
      <c r="A2243" s="11" t="n"/>
      <c r="B2243" s="7" t="n"/>
      <c r="C2243" s="8" t="n"/>
      <c r="D2243" s="9" t="n"/>
      <c r="E2243" s="8" t="n"/>
      <c r="F2243" s="9" t="n"/>
      <c r="G2243" s="9" t="n"/>
      <c r="H2243" s="3">
        <f>IF(AND(D2243&lt;&gt;"",F2243&lt;&gt;""),F2243-D2243-G2243,"")</f>
        <v/>
      </c>
      <c r="I2243" s="14">
        <f>IF(E2243&lt;&gt;"", YEARFRAC(C2243, E2243) * 12, "")</f>
        <v/>
      </c>
      <c r="J2243" s="2">
        <f>IF(I2243="", "", IF(AND(A2243="MF (Equity)", I2243&gt;12), "Long Term", "Short Term"))</f>
        <v/>
      </c>
      <c r="K2243" s="5">
        <f>IF(J2243="", "", IF(J2243="Long Term", 12.5%, 20%))</f>
        <v/>
      </c>
      <c r="L2243" s="3">
        <f>+IFERROR(IF(J2243="","",H2243*K2243),"")</f>
        <v/>
      </c>
    </row>
    <row r="2244">
      <c r="A2244" s="11" t="n"/>
      <c r="B2244" s="7" t="n"/>
      <c r="C2244" s="8" t="n"/>
      <c r="D2244" s="9" t="n"/>
      <c r="E2244" s="8" t="n"/>
      <c r="F2244" s="9" t="n"/>
      <c r="G2244" s="9" t="n"/>
      <c r="H2244" s="3">
        <f>IF(AND(D2244&lt;&gt;"",F2244&lt;&gt;""),F2244-D2244-G2244,"")</f>
        <v/>
      </c>
      <c r="I2244" s="14">
        <f>IF(E2244&lt;&gt;"", YEARFRAC(C2244, E2244) * 12, "")</f>
        <v/>
      </c>
      <c r="J2244" s="2">
        <f>IF(I2244="", "", IF(AND(A2244="MF (Equity)", I2244&gt;12), "Long Term", "Short Term"))</f>
        <v/>
      </c>
      <c r="K2244" s="5">
        <f>IF(J2244="", "", IF(J2244="Long Term", 12.5%, 20%))</f>
        <v/>
      </c>
      <c r="L2244" s="3">
        <f>+IFERROR(IF(J2244="","",H2244*K2244),"")</f>
        <v/>
      </c>
    </row>
    <row r="2245">
      <c r="A2245" s="11" t="n"/>
      <c r="B2245" s="7" t="n"/>
      <c r="C2245" s="8" t="n"/>
      <c r="D2245" s="9" t="n"/>
      <c r="E2245" s="8" t="n"/>
      <c r="F2245" s="9" t="n"/>
      <c r="G2245" s="9" t="n"/>
      <c r="H2245" s="3">
        <f>IF(AND(D2245&lt;&gt;"",F2245&lt;&gt;""),F2245-D2245-G2245,"")</f>
        <v/>
      </c>
      <c r="I2245" s="14">
        <f>IF(E2245&lt;&gt;"", YEARFRAC(C2245, E2245) * 12, "")</f>
        <v/>
      </c>
      <c r="J2245" s="2">
        <f>IF(I2245="", "", IF(AND(A2245="MF (Equity)", I2245&gt;12), "Long Term", "Short Term"))</f>
        <v/>
      </c>
      <c r="K2245" s="5">
        <f>IF(J2245="", "", IF(J2245="Long Term", 12.5%, 20%))</f>
        <v/>
      </c>
      <c r="L2245" s="3">
        <f>+IFERROR(IF(J2245="","",H2245*K2245),"")</f>
        <v/>
      </c>
    </row>
    <row r="2246">
      <c r="A2246" s="11" t="n"/>
      <c r="B2246" s="7" t="n"/>
      <c r="C2246" s="8" t="n"/>
      <c r="D2246" s="9" t="n"/>
      <c r="E2246" s="8" t="n"/>
      <c r="F2246" s="9" t="n"/>
      <c r="G2246" s="9" t="n"/>
      <c r="H2246" s="3">
        <f>IF(AND(D2246&lt;&gt;"",F2246&lt;&gt;""),F2246-D2246-G2246,"")</f>
        <v/>
      </c>
      <c r="I2246" s="14">
        <f>IF(E2246&lt;&gt;"", YEARFRAC(C2246, E2246) * 12, "")</f>
        <v/>
      </c>
      <c r="J2246" s="2">
        <f>IF(I2246="", "", IF(AND(A2246="MF (Equity)", I2246&gt;12), "Long Term", "Short Term"))</f>
        <v/>
      </c>
      <c r="K2246" s="5">
        <f>IF(J2246="", "", IF(J2246="Long Term", 12.5%, 20%))</f>
        <v/>
      </c>
      <c r="L2246" s="3">
        <f>+IFERROR(IF(J2246="","",H2246*K2246),"")</f>
        <v/>
      </c>
    </row>
    <row r="2247">
      <c r="A2247" s="11" t="n"/>
      <c r="B2247" s="7" t="n"/>
      <c r="C2247" s="8" t="n"/>
      <c r="D2247" s="9" t="n"/>
      <c r="E2247" s="8" t="n"/>
      <c r="F2247" s="9" t="n"/>
      <c r="G2247" s="9" t="n"/>
      <c r="H2247" s="3">
        <f>IF(AND(D2247&lt;&gt;"",F2247&lt;&gt;""),F2247-D2247-G2247,"")</f>
        <v/>
      </c>
      <c r="I2247" s="14">
        <f>IF(E2247&lt;&gt;"", YEARFRAC(C2247, E2247) * 12, "")</f>
        <v/>
      </c>
      <c r="J2247" s="2">
        <f>IF(I2247="", "", IF(AND(A2247="MF (Equity)", I2247&gt;12), "Long Term", "Short Term"))</f>
        <v/>
      </c>
      <c r="K2247" s="5">
        <f>IF(J2247="", "", IF(J2247="Long Term", 12.5%, 20%))</f>
        <v/>
      </c>
      <c r="L2247" s="3">
        <f>+IFERROR(IF(J2247="","",H2247*K2247),"")</f>
        <v/>
      </c>
    </row>
    <row r="2248">
      <c r="A2248" s="11" t="n"/>
      <c r="B2248" s="7" t="n"/>
      <c r="C2248" s="8" t="n"/>
      <c r="D2248" s="9" t="n"/>
      <c r="E2248" s="8" t="n"/>
      <c r="F2248" s="9" t="n"/>
      <c r="G2248" s="9" t="n"/>
      <c r="H2248" s="3">
        <f>IF(AND(D2248&lt;&gt;"",F2248&lt;&gt;""),F2248-D2248-G2248,"")</f>
        <v/>
      </c>
      <c r="I2248" s="14">
        <f>IF(E2248&lt;&gt;"", YEARFRAC(C2248, E2248) * 12, "")</f>
        <v/>
      </c>
      <c r="J2248" s="2">
        <f>IF(I2248="", "", IF(AND(A2248="MF (Equity)", I2248&gt;12), "Long Term", "Short Term"))</f>
        <v/>
      </c>
      <c r="K2248" s="5">
        <f>IF(J2248="", "", IF(J2248="Long Term", 12.5%, 20%))</f>
        <v/>
      </c>
      <c r="L2248" s="3">
        <f>+IFERROR(IF(J2248="","",H2248*K2248),"")</f>
        <v/>
      </c>
    </row>
    <row r="2249">
      <c r="A2249" s="11" t="n"/>
      <c r="B2249" s="7" t="n"/>
      <c r="C2249" s="8" t="n"/>
      <c r="D2249" s="9" t="n"/>
      <c r="E2249" s="8" t="n"/>
      <c r="F2249" s="9" t="n"/>
      <c r="G2249" s="9" t="n"/>
      <c r="H2249" s="3">
        <f>IF(AND(D2249&lt;&gt;"",F2249&lt;&gt;""),F2249-D2249-G2249,"")</f>
        <v/>
      </c>
      <c r="I2249" s="14">
        <f>IF(E2249&lt;&gt;"", YEARFRAC(C2249, E2249) * 12, "")</f>
        <v/>
      </c>
      <c r="J2249" s="2">
        <f>IF(I2249="", "", IF(AND(A2249="MF (Equity)", I2249&gt;12), "Long Term", "Short Term"))</f>
        <v/>
      </c>
      <c r="K2249" s="5">
        <f>IF(J2249="", "", IF(J2249="Long Term", 12.5%, 20%))</f>
        <v/>
      </c>
      <c r="L2249" s="3">
        <f>+IFERROR(IF(J2249="","",H2249*K2249),"")</f>
        <v/>
      </c>
    </row>
    <row r="2250">
      <c r="A2250" s="11" t="n"/>
      <c r="B2250" s="7" t="n"/>
      <c r="C2250" s="8" t="n"/>
      <c r="D2250" s="9" t="n"/>
      <c r="E2250" s="8" t="n"/>
      <c r="F2250" s="9" t="n"/>
      <c r="G2250" s="9" t="n"/>
      <c r="H2250" s="3">
        <f>IF(AND(D2250&lt;&gt;"",F2250&lt;&gt;""),F2250-D2250-G2250,"")</f>
        <v/>
      </c>
      <c r="I2250" s="14">
        <f>IF(E2250&lt;&gt;"", YEARFRAC(C2250, E2250) * 12, "")</f>
        <v/>
      </c>
      <c r="J2250" s="2">
        <f>IF(I2250="", "", IF(AND(A2250="MF (Equity)", I2250&gt;12), "Long Term", "Short Term"))</f>
        <v/>
      </c>
      <c r="K2250" s="5">
        <f>IF(J2250="", "", IF(J2250="Long Term", 12.5%, 20%))</f>
        <v/>
      </c>
      <c r="L2250" s="3">
        <f>+IFERROR(IF(J2250="","",H2250*K2250),"")</f>
        <v/>
      </c>
    </row>
    <row r="2251">
      <c r="A2251" s="11" t="n"/>
      <c r="B2251" s="7" t="n"/>
      <c r="C2251" s="8" t="n"/>
      <c r="D2251" s="9" t="n"/>
      <c r="E2251" s="8" t="n"/>
      <c r="F2251" s="9" t="n"/>
      <c r="G2251" s="9" t="n"/>
      <c r="H2251" s="3">
        <f>IF(AND(D2251&lt;&gt;"",F2251&lt;&gt;""),F2251-D2251-G2251,"")</f>
        <v/>
      </c>
      <c r="I2251" s="14">
        <f>IF(E2251&lt;&gt;"", YEARFRAC(C2251, E2251) * 12, "")</f>
        <v/>
      </c>
      <c r="J2251" s="2">
        <f>IF(I2251="", "", IF(AND(A2251="MF (Equity)", I2251&gt;12), "Long Term", "Short Term"))</f>
        <v/>
      </c>
      <c r="K2251" s="5">
        <f>IF(J2251="", "", IF(J2251="Long Term", 12.5%, 20%))</f>
        <v/>
      </c>
      <c r="L2251" s="3">
        <f>+IFERROR(IF(J2251="","",H2251*K2251),"")</f>
        <v/>
      </c>
    </row>
    <row r="2252">
      <c r="A2252" s="11" t="n"/>
      <c r="B2252" s="7" t="n"/>
      <c r="C2252" s="8" t="n"/>
      <c r="D2252" s="9" t="n"/>
      <c r="E2252" s="8" t="n"/>
      <c r="F2252" s="9" t="n"/>
      <c r="G2252" s="9" t="n"/>
      <c r="H2252" s="3">
        <f>IF(AND(D2252&lt;&gt;"",F2252&lt;&gt;""),F2252-D2252-G2252,"")</f>
        <v/>
      </c>
      <c r="I2252" s="14">
        <f>IF(E2252&lt;&gt;"", YEARFRAC(C2252, E2252) * 12, "")</f>
        <v/>
      </c>
      <c r="J2252" s="2">
        <f>IF(I2252="", "", IF(AND(A2252="MF (Equity)", I2252&gt;12), "Long Term", "Short Term"))</f>
        <v/>
      </c>
      <c r="K2252" s="5">
        <f>IF(J2252="", "", IF(J2252="Long Term", 12.5%, 20%))</f>
        <v/>
      </c>
      <c r="L2252" s="3">
        <f>+IFERROR(IF(J2252="","",H2252*K2252),"")</f>
        <v/>
      </c>
    </row>
    <row r="2253">
      <c r="A2253" s="11" t="n"/>
      <c r="B2253" s="7" t="n"/>
      <c r="C2253" s="8" t="n"/>
      <c r="D2253" s="9" t="n"/>
      <c r="E2253" s="8" t="n"/>
      <c r="F2253" s="9" t="n"/>
      <c r="G2253" s="9" t="n"/>
      <c r="H2253" s="3">
        <f>IF(AND(D2253&lt;&gt;"",F2253&lt;&gt;""),F2253-D2253-G2253,"")</f>
        <v/>
      </c>
      <c r="I2253" s="14">
        <f>IF(E2253&lt;&gt;"", YEARFRAC(C2253, E2253) * 12, "")</f>
        <v/>
      </c>
      <c r="J2253" s="2">
        <f>IF(I2253="", "", IF(AND(A2253="MF (Equity)", I2253&gt;12), "Long Term", "Short Term"))</f>
        <v/>
      </c>
      <c r="K2253" s="5">
        <f>IF(J2253="", "", IF(J2253="Long Term", 12.5%, 20%))</f>
        <v/>
      </c>
      <c r="L2253" s="3">
        <f>+IFERROR(IF(J2253="","",H2253*K2253),"")</f>
        <v/>
      </c>
    </row>
    <row r="2254">
      <c r="A2254" s="11" t="n"/>
      <c r="B2254" s="7" t="n"/>
      <c r="C2254" s="8" t="n"/>
      <c r="D2254" s="9" t="n"/>
      <c r="E2254" s="8" t="n"/>
      <c r="F2254" s="9" t="n"/>
      <c r="G2254" s="9" t="n"/>
      <c r="H2254" s="3">
        <f>IF(AND(D2254&lt;&gt;"",F2254&lt;&gt;""),F2254-D2254-G2254,"")</f>
        <v/>
      </c>
      <c r="I2254" s="14">
        <f>IF(E2254&lt;&gt;"", YEARFRAC(C2254, E2254) * 12, "")</f>
        <v/>
      </c>
      <c r="J2254" s="2">
        <f>IF(I2254="", "", IF(AND(A2254="MF (Equity)", I2254&gt;12), "Long Term", "Short Term"))</f>
        <v/>
      </c>
      <c r="K2254" s="5">
        <f>IF(J2254="", "", IF(J2254="Long Term", 12.5%, 20%))</f>
        <v/>
      </c>
      <c r="L2254" s="3">
        <f>+IFERROR(IF(J2254="","",H2254*K2254),"")</f>
        <v/>
      </c>
    </row>
    <row r="2255">
      <c r="A2255" s="11" t="n"/>
      <c r="B2255" s="7" t="n"/>
      <c r="C2255" s="8" t="n"/>
      <c r="D2255" s="9" t="n"/>
      <c r="E2255" s="8" t="n"/>
      <c r="F2255" s="9" t="n"/>
      <c r="G2255" s="9" t="n"/>
      <c r="H2255" s="3">
        <f>IF(AND(D2255&lt;&gt;"",F2255&lt;&gt;""),F2255-D2255-G2255,"")</f>
        <v/>
      </c>
      <c r="I2255" s="14">
        <f>IF(E2255&lt;&gt;"", YEARFRAC(C2255, E2255) * 12, "")</f>
        <v/>
      </c>
      <c r="J2255" s="2">
        <f>IF(I2255="", "", IF(AND(A2255="MF (Equity)", I2255&gt;12), "Long Term", "Short Term"))</f>
        <v/>
      </c>
      <c r="K2255" s="5">
        <f>IF(J2255="", "", IF(J2255="Long Term", 12.5%, 20%))</f>
        <v/>
      </c>
      <c r="L2255" s="3">
        <f>+IFERROR(IF(J2255="","",H2255*K2255),"")</f>
        <v/>
      </c>
    </row>
    <row r="2256">
      <c r="A2256" s="11" t="n"/>
      <c r="B2256" s="7" t="n"/>
      <c r="C2256" s="8" t="n"/>
      <c r="D2256" s="9" t="n"/>
      <c r="E2256" s="8" t="n"/>
      <c r="F2256" s="9" t="n"/>
      <c r="G2256" s="9" t="n"/>
      <c r="H2256" s="3">
        <f>IF(AND(D2256&lt;&gt;"",F2256&lt;&gt;""),F2256-D2256-G2256,"")</f>
        <v/>
      </c>
      <c r="I2256" s="14">
        <f>IF(E2256&lt;&gt;"", YEARFRAC(C2256, E2256) * 12, "")</f>
        <v/>
      </c>
      <c r="J2256" s="2">
        <f>IF(I2256="", "", IF(AND(A2256="MF (Equity)", I2256&gt;12), "Long Term", "Short Term"))</f>
        <v/>
      </c>
      <c r="K2256" s="5">
        <f>IF(J2256="", "", IF(J2256="Long Term", 12.5%, 20%))</f>
        <v/>
      </c>
      <c r="L2256" s="3">
        <f>+IFERROR(IF(J2256="","",H2256*K2256),"")</f>
        <v/>
      </c>
    </row>
    <row r="2257">
      <c r="A2257" s="11" t="n"/>
      <c r="B2257" s="7" t="n"/>
      <c r="C2257" s="8" t="n"/>
      <c r="D2257" s="9" t="n"/>
      <c r="E2257" s="8" t="n"/>
      <c r="F2257" s="9" t="n"/>
      <c r="G2257" s="9" t="n"/>
      <c r="H2257" s="3">
        <f>IF(AND(D2257&lt;&gt;"",F2257&lt;&gt;""),F2257-D2257-G2257,"")</f>
        <v/>
      </c>
      <c r="I2257" s="14">
        <f>IF(E2257&lt;&gt;"", YEARFRAC(C2257, E2257) * 12, "")</f>
        <v/>
      </c>
      <c r="J2257" s="2">
        <f>IF(I2257="", "", IF(AND(A2257="MF (Equity)", I2257&gt;12), "Long Term", "Short Term"))</f>
        <v/>
      </c>
      <c r="K2257" s="5">
        <f>IF(J2257="", "", IF(J2257="Long Term", 12.5%, 20%))</f>
        <v/>
      </c>
      <c r="L2257" s="3">
        <f>+IFERROR(IF(J2257="","",H2257*K2257),"")</f>
        <v/>
      </c>
    </row>
    <row r="2258">
      <c r="A2258" s="11" t="n"/>
      <c r="B2258" s="7" t="n"/>
      <c r="C2258" s="8" t="n"/>
      <c r="D2258" s="9" t="n"/>
      <c r="E2258" s="8" t="n"/>
      <c r="F2258" s="9" t="n"/>
      <c r="G2258" s="9" t="n"/>
      <c r="H2258" s="3">
        <f>IF(AND(D2258&lt;&gt;"",F2258&lt;&gt;""),F2258-D2258-G2258,"")</f>
        <v/>
      </c>
      <c r="I2258" s="14">
        <f>IF(E2258&lt;&gt;"", YEARFRAC(C2258, E2258) * 12, "")</f>
        <v/>
      </c>
      <c r="J2258" s="2">
        <f>IF(I2258="", "", IF(AND(A2258="MF (Equity)", I2258&gt;12), "Long Term", "Short Term"))</f>
        <v/>
      </c>
      <c r="K2258" s="5">
        <f>IF(J2258="", "", IF(J2258="Long Term", 12.5%, 20%))</f>
        <v/>
      </c>
      <c r="L2258" s="3">
        <f>+IFERROR(IF(J2258="","",H2258*K2258),"")</f>
        <v/>
      </c>
    </row>
    <row r="2259">
      <c r="A2259" s="11" t="n"/>
      <c r="B2259" s="7" t="n"/>
      <c r="C2259" s="8" t="n"/>
      <c r="D2259" s="9" t="n"/>
      <c r="E2259" s="8" t="n"/>
      <c r="F2259" s="9" t="n"/>
      <c r="G2259" s="9" t="n"/>
      <c r="H2259" s="3">
        <f>IF(AND(D2259&lt;&gt;"",F2259&lt;&gt;""),F2259-D2259-G2259,"")</f>
        <v/>
      </c>
      <c r="I2259" s="14">
        <f>IF(E2259&lt;&gt;"", YEARFRAC(C2259, E2259) * 12, "")</f>
        <v/>
      </c>
      <c r="J2259" s="2">
        <f>IF(I2259="", "", IF(AND(A2259="MF (Equity)", I2259&gt;12), "Long Term", "Short Term"))</f>
        <v/>
      </c>
      <c r="K2259" s="5">
        <f>IF(J2259="", "", IF(J2259="Long Term", 12.5%, 20%))</f>
        <v/>
      </c>
      <c r="L2259" s="3">
        <f>+IFERROR(IF(J2259="","",H2259*K2259),"")</f>
        <v/>
      </c>
    </row>
    <row r="2260">
      <c r="A2260" s="11" t="n"/>
      <c r="B2260" s="7" t="n"/>
      <c r="C2260" s="8" t="n"/>
      <c r="D2260" s="9" t="n"/>
      <c r="E2260" s="8" t="n"/>
      <c r="F2260" s="9" t="n"/>
      <c r="G2260" s="9" t="n"/>
      <c r="H2260" s="3">
        <f>IF(AND(D2260&lt;&gt;"",F2260&lt;&gt;""),F2260-D2260-G2260,"")</f>
        <v/>
      </c>
      <c r="I2260" s="14">
        <f>IF(E2260&lt;&gt;"", YEARFRAC(C2260, E2260) * 12, "")</f>
        <v/>
      </c>
      <c r="J2260" s="2">
        <f>IF(I2260="", "", IF(AND(A2260="MF (Equity)", I2260&gt;12), "Long Term", "Short Term"))</f>
        <v/>
      </c>
      <c r="K2260" s="5">
        <f>IF(J2260="", "", IF(J2260="Long Term", 12.5%, 20%))</f>
        <v/>
      </c>
      <c r="L2260" s="3">
        <f>+IFERROR(IF(J2260="","",H2260*K2260),"")</f>
        <v/>
      </c>
    </row>
    <row r="2261">
      <c r="A2261" s="11" t="n"/>
      <c r="B2261" s="7" t="n"/>
      <c r="C2261" s="8" t="n"/>
      <c r="D2261" s="9" t="n"/>
      <c r="E2261" s="8" t="n"/>
      <c r="F2261" s="9" t="n"/>
      <c r="G2261" s="9" t="n"/>
      <c r="H2261" s="3">
        <f>IF(AND(D2261&lt;&gt;"",F2261&lt;&gt;""),F2261-D2261-G2261,"")</f>
        <v/>
      </c>
      <c r="I2261" s="14">
        <f>IF(E2261&lt;&gt;"", YEARFRAC(C2261, E2261) * 12, "")</f>
        <v/>
      </c>
      <c r="J2261" s="2">
        <f>IF(I2261="", "", IF(AND(A2261="MF (Equity)", I2261&gt;12), "Long Term", "Short Term"))</f>
        <v/>
      </c>
      <c r="K2261" s="5">
        <f>IF(J2261="", "", IF(J2261="Long Term", 12.5%, 20%))</f>
        <v/>
      </c>
      <c r="L2261" s="3">
        <f>+IFERROR(IF(J2261="","",H2261*K2261),"")</f>
        <v/>
      </c>
    </row>
    <row r="2262">
      <c r="A2262" s="11" t="n"/>
      <c r="B2262" s="7" t="n"/>
      <c r="C2262" s="8" t="n"/>
      <c r="D2262" s="9" t="n"/>
      <c r="E2262" s="8" t="n"/>
      <c r="F2262" s="9" t="n"/>
      <c r="G2262" s="9" t="n"/>
      <c r="H2262" s="3">
        <f>IF(AND(D2262&lt;&gt;"",F2262&lt;&gt;""),F2262-D2262-G2262,"")</f>
        <v/>
      </c>
      <c r="I2262" s="14">
        <f>IF(E2262&lt;&gt;"", YEARFRAC(C2262, E2262) * 12, "")</f>
        <v/>
      </c>
      <c r="J2262" s="2">
        <f>IF(I2262="", "", IF(AND(A2262="MF (Equity)", I2262&gt;12), "Long Term", "Short Term"))</f>
        <v/>
      </c>
      <c r="K2262" s="5">
        <f>IF(J2262="", "", IF(J2262="Long Term", 12.5%, 20%))</f>
        <v/>
      </c>
      <c r="L2262" s="3">
        <f>+IFERROR(IF(J2262="","",H2262*K2262),"")</f>
        <v/>
      </c>
    </row>
    <row r="2263">
      <c r="A2263" s="11" t="n"/>
      <c r="B2263" s="7" t="n"/>
      <c r="C2263" s="8" t="n"/>
      <c r="D2263" s="9" t="n"/>
      <c r="E2263" s="8" t="n"/>
      <c r="F2263" s="9" t="n"/>
      <c r="G2263" s="9" t="n"/>
      <c r="H2263" s="3">
        <f>IF(AND(D2263&lt;&gt;"",F2263&lt;&gt;""),F2263-D2263-G2263,"")</f>
        <v/>
      </c>
      <c r="I2263" s="14">
        <f>IF(E2263&lt;&gt;"", YEARFRAC(C2263, E2263) * 12, "")</f>
        <v/>
      </c>
      <c r="J2263" s="2">
        <f>IF(I2263="", "", IF(AND(A2263="MF (Equity)", I2263&gt;12), "Long Term", "Short Term"))</f>
        <v/>
      </c>
      <c r="K2263" s="5">
        <f>IF(J2263="", "", IF(J2263="Long Term", 12.5%, 20%))</f>
        <v/>
      </c>
      <c r="L2263" s="3">
        <f>+IFERROR(IF(J2263="","",H2263*K2263),"")</f>
        <v/>
      </c>
    </row>
    <row r="2264">
      <c r="A2264" s="11" t="n"/>
      <c r="B2264" s="7" t="n"/>
      <c r="C2264" s="8" t="n"/>
      <c r="D2264" s="9" t="n"/>
      <c r="E2264" s="8" t="n"/>
      <c r="F2264" s="9" t="n"/>
      <c r="G2264" s="9" t="n"/>
      <c r="H2264" s="3">
        <f>IF(AND(D2264&lt;&gt;"",F2264&lt;&gt;""),F2264-D2264-G2264,"")</f>
        <v/>
      </c>
      <c r="I2264" s="14">
        <f>IF(E2264&lt;&gt;"", YEARFRAC(C2264, E2264) * 12, "")</f>
        <v/>
      </c>
      <c r="J2264" s="2">
        <f>IF(I2264="", "", IF(AND(A2264="MF (Equity)", I2264&gt;12), "Long Term", "Short Term"))</f>
        <v/>
      </c>
      <c r="K2264" s="5">
        <f>IF(J2264="", "", IF(J2264="Long Term", 12.5%, 20%))</f>
        <v/>
      </c>
      <c r="L2264" s="3">
        <f>+IFERROR(IF(J2264="","",H2264*K2264),"")</f>
        <v/>
      </c>
    </row>
    <row r="2265">
      <c r="A2265" s="11" t="n"/>
      <c r="B2265" s="7" t="n"/>
      <c r="C2265" s="8" t="n"/>
      <c r="D2265" s="9" t="n"/>
      <c r="E2265" s="8" t="n"/>
      <c r="F2265" s="9" t="n"/>
      <c r="G2265" s="9" t="n"/>
      <c r="H2265" s="3">
        <f>IF(AND(D2265&lt;&gt;"",F2265&lt;&gt;""),F2265-D2265-G2265,"")</f>
        <v/>
      </c>
      <c r="I2265" s="14">
        <f>IF(E2265&lt;&gt;"", YEARFRAC(C2265, E2265) * 12, "")</f>
        <v/>
      </c>
      <c r="J2265" s="2">
        <f>IF(I2265="", "", IF(AND(A2265="MF (Equity)", I2265&gt;12), "Long Term", "Short Term"))</f>
        <v/>
      </c>
      <c r="K2265" s="5">
        <f>IF(J2265="", "", IF(J2265="Long Term", 12.5%, 20%))</f>
        <v/>
      </c>
      <c r="L2265" s="3">
        <f>+IFERROR(IF(J2265="","",H2265*K2265),"")</f>
        <v/>
      </c>
    </row>
    <row r="2266">
      <c r="A2266" s="11" t="n"/>
      <c r="B2266" s="7" t="n"/>
      <c r="C2266" s="8" t="n"/>
      <c r="D2266" s="9" t="n"/>
      <c r="E2266" s="8" t="n"/>
      <c r="F2266" s="9" t="n"/>
      <c r="G2266" s="9" t="n"/>
      <c r="H2266" s="3">
        <f>IF(AND(D2266&lt;&gt;"",F2266&lt;&gt;""),F2266-D2266-G2266,"")</f>
        <v/>
      </c>
      <c r="I2266" s="14">
        <f>IF(E2266&lt;&gt;"", YEARFRAC(C2266, E2266) * 12, "")</f>
        <v/>
      </c>
      <c r="J2266" s="2">
        <f>IF(I2266="", "", IF(AND(A2266="MF (Equity)", I2266&gt;12), "Long Term", "Short Term"))</f>
        <v/>
      </c>
      <c r="K2266" s="5">
        <f>IF(J2266="", "", IF(J2266="Long Term", 12.5%, 20%))</f>
        <v/>
      </c>
      <c r="L2266" s="3">
        <f>+IFERROR(IF(J2266="","",H2266*K2266),"")</f>
        <v/>
      </c>
    </row>
    <row r="2267">
      <c r="A2267" s="11" t="n"/>
      <c r="B2267" s="7" t="n"/>
      <c r="C2267" s="8" t="n"/>
      <c r="D2267" s="9" t="n"/>
      <c r="E2267" s="8" t="n"/>
      <c r="F2267" s="9" t="n"/>
      <c r="G2267" s="9" t="n"/>
      <c r="H2267" s="3">
        <f>IF(AND(D2267&lt;&gt;"",F2267&lt;&gt;""),F2267-D2267-G2267,"")</f>
        <v/>
      </c>
      <c r="I2267" s="14">
        <f>IF(E2267&lt;&gt;"", YEARFRAC(C2267, E2267) * 12, "")</f>
        <v/>
      </c>
      <c r="J2267" s="2">
        <f>IF(I2267="", "", IF(AND(A2267="MF (Equity)", I2267&gt;12), "Long Term", "Short Term"))</f>
        <v/>
      </c>
      <c r="K2267" s="5">
        <f>IF(J2267="", "", IF(J2267="Long Term", 12.5%, 20%))</f>
        <v/>
      </c>
      <c r="L2267" s="3">
        <f>+IFERROR(IF(J2267="","",H2267*K2267),"")</f>
        <v/>
      </c>
    </row>
    <row r="2268">
      <c r="A2268" s="11" t="n"/>
      <c r="B2268" s="7" t="n"/>
      <c r="C2268" s="8" t="n"/>
      <c r="D2268" s="9" t="n"/>
      <c r="E2268" s="8" t="n"/>
      <c r="F2268" s="9" t="n"/>
      <c r="G2268" s="9" t="n"/>
      <c r="H2268" s="3">
        <f>IF(AND(D2268&lt;&gt;"",F2268&lt;&gt;""),F2268-D2268-G2268,"")</f>
        <v/>
      </c>
      <c r="I2268" s="14">
        <f>IF(E2268&lt;&gt;"", YEARFRAC(C2268, E2268) * 12, "")</f>
        <v/>
      </c>
      <c r="J2268" s="2">
        <f>IF(I2268="", "", IF(AND(A2268="MF (Equity)", I2268&gt;12), "Long Term", "Short Term"))</f>
        <v/>
      </c>
      <c r="K2268" s="5">
        <f>IF(J2268="", "", IF(J2268="Long Term", 12.5%, 20%))</f>
        <v/>
      </c>
      <c r="L2268" s="3">
        <f>+IFERROR(IF(J2268="","",H2268*K2268),"")</f>
        <v/>
      </c>
    </row>
    <row r="2269">
      <c r="A2269" s="11" t="n"/>
      <c r="B2269" s="7" t="n"/>
      <c r="C2269" s="8" t="n"/>
      <c r="D2269" s="9" t="n"/>
      <c r="E2269" s="8" t="n"/>
      <c r="F2269" s="9" t="n"/>
      <c r="G2269" s="9" t="n"/>
      <c r="H2269" s="3">
        <f>IF(AND(D2269&lt;&gt;"",F2269&lt;&gt;""),F2269-D2269-G2269,"")</f>
        <v/>
      </c>
      <c r="I2269" s="14">
        <f>IF(E2269&lt;&gt;"", YEARFRAC(C2269, E2269) * 12, "")</f>
        <v/>
      </c>
      <c r="J2269" s="2">
        <f>IF(I2269="", "", IF(AND(A2269="MF (Equity)", I2269&gt;12), "Long Term", "Short Term"))</f>
        <v/>
      </c>
      <c r="K2269" s="5">
        <f>IF(J2269="", "", IF(J2269="Long Term", 12.5%, 20%))</f>
        <v/>
      </c>
      <c r="L2269" s="3">
        <f>+IFERROR(IF(J2269="","",H2269*K2269),"")</f>
        <v/>
      </c>
    </row>
    <row r="2270">
      <c r="A2270" s="11" t="n"/>
      <c r="B2270" s="7" t="n"/>
      <c r="C2270" s="8" t="n"/>
      <c r="D2270" s="9" t="n"/>
      <c r="E2270" s="8" t="n"/>
      <c r="F2270" s="9" t="n"/>
      <c r="G2270" s="9" t="n"/>
      <c r="H2270" s="3">
        <f>IF(AND(D2270&lt;&gt;"",F2270&lt;&gt;""),F2270-D2270-G2270,"")</f>
        <v/>
      </c>
      <c r="I2270" s="14">
        <f>IF(E2270&lt;&gt;"", YEARFRAC(C2270, E2270) * 12, "")</f>
        <v/>
      </c>
      <c r="J2270" s="2">
        <f>IF(I2270="", "", IF(AND(A2270="MF (Equity)", I2270&gt;12), "Long Term", "Short Term"))</f>
        <v/>
      </c>
      <c r="K2270" s="5">
        <f>IF(J2270="", "", IF(J2270="Long Term", 12.5%, 20%))</f>
        <v/>
      </c>
      <c r="L2270" s="3">
        <f>+IFERROR(IF(J2270="","",H2270*K2270),"")</f>
        <v/>
      </c>
    </row>
    <row r="2271">
      <c r="A2271" s="11" t="n"/>
      <c r="B2271" s="7" t="n"/>
      <c r="C2271" s="8" t="n"/>
      <c r="D2271" s="9" t="n"/>
      <c r="E2271" s="8" t="n"/>
      <c r="F2271" s="9" t="n"/>
      <c r="G2271" s="9" t="n"/>
      <c r="H2271" s="3">
        <f>IF(AND(D2271&lt;&gt;"",F2271&lt;&gt;""),F2271-D2271-G2271,"")</f>
        <v/>
      </c>
      <c r="I2271" s="14">
        <f>IF(E2271&lt;&gt;"", YEARFRAC(C2271, E2271) * 12, "")</f>
        <v/>
      </c>
      <c r="J2271" s="2">
        <f>IF(I2271="", "", IF(AND(A2271="MF (Equity)", I2271&gt;12), "Long Term", "Short Term"))</f>
        <v/>
      </c>
      <c r="K2271" s="5">
        <f>IF(J2271="", "", IF(J2271="Long Term", 12.5%, 20%))</f>
        <v/>
      </c>
      <c r="L2271" s="3">
        <f>+IFERROR(IF(J2271="","",H2271*K2271),"")</f>
        <v/>
      </c>
    </row>
    <row r="2272">
      <c r="A2272" s="11" t="n"/>
      <c r="B2272" s="7" t="n"/>
      <c r="C2272" s="8" t="n"/>
      <c r="D2272" s="9" t="n"/>
      <c r="E2272" s="8" t="n"/>
      <c r="F2272" s="9" t="n"/>
      <c r="G2272" s="9" t="n"/>
      <c r="H2272" s="3">
        <f>IF(AND(D2272&lt;&gt;"",F2272&lt;&gt;""),F2272-D2272-G2272,"")</f>
        <v/>
      </c>
      <c r="I2272" s="14">
        <f>IF(E2272&lt;&gt;"", YEARFRAC(C2272, E2272) * 12, "")</f>
        <v/>
      </c>
      <c r="J2272" s="2">
        <f>IF(I2272="", "", IF(AND(A2272="MF (Equity)", I2272&gt;12), "Long Term", "Short Term"))</f>
        <v/>
      </c>
      <c r="K2272" s="5">
        <f>IF(J2272="", "", IF(J2272="Long Term", 12.5%, 20%))</f>
        <v/>
      </c>
      <c r="L2272" s="3">
        <f>+IFERROR(IF(J2272="","",H2272*K2272),"")</f>
        <v/>
      </c>
    </row>
    <row r="2273">
      <c r="A2273" s="11" t="n"/>
      <c r="B2273" s="7" t="n"/>
      <c r="C2273" s="8" t="n"/>
      <c r="D2273" s="9" t="n"/>
      <c r="E2273" s="8" t="n"/>
      <c r="F2273" s="9" t="n"/>
      <c r="G2273" s="9" t="n"/>
      <c r="H2273" s="3">
        <f>IF(AND(D2273&lt;&gt;"",F2273&lt;&gt;""),F2273-D2273-G2273,"")</f>
        <v/>
      </c>
      <c r="I2273" s="14">
        <f>IF(E2273&lt;&gt;"", YEARFRAC(C2273, E2273) * 12, "")</f>
        <v/>
      </c>
      <c r="J2273" s="2">
        <f>IF(I2273="", "", IF(AND(A2273="MF (Equity)", I2273&gt;12), "Long Term", "Short Term"))</f>
        <v/>
      </c>
      <c r="K2273" s="5">
        <f>IF(J2273="", "", IF(J2273="Long Term", 12.5%, 20%))</f>
        <v/>
      </c>
      <c r="L2273" s="3">
        <f>+IFERROR(IF(J2273="","",H2273*K2273),"")</f>
        <v/>
      </c>
    </row>
    <row r="2274">
      <c r="A2274" s="11" t="n"/>
      <c r="B2274" s="7" t="n"/>
      <c r="C2274" s="8" t="n"/>
      <c r="D2274" s="9" t="n"/>
      <c r="E2274" s="8" t="n"/>
      <c r="F2274" s="9" t="n"/>
      <c r="G2274" s="9" t="n"/>
      <c r="H2274" s="3">
        <f>IF(AND(D2274&lt;&gt;"",F2274&lt;&gt;""),F2274-D2274-G2274,"")</f>
        <v/>
      </c>
      <c r="I2274" s="14">
        <f>IF(E2274&lt;&gt;"", YEARFRAC(C2274, E2274) * 12, "")</f>
        <v/>
      </c>
      <c r="J2274" s="2">
        <f>IF(I2274="", "", IF(AND(A2274="MF (Equity)", I2274&gt;12), "Long Term", "Short Term"))</f>
        <v/>
      </c>
      <c r="K2274" s="5">
        <f>IF(J2274="", "", IF(J2274="Long Term", 12.5%, 20%))</f>
        <v/>
      </c>
      <c r="L2274" s="3">
        <f>+IFERROR(IF(J2274="","",H2274*K2274),"")</f>
        <v/>
      </c>
    </row>
    <row r="2275">
      <c r="A2275" s="11" t="n"/>
      <c r="B2275" s="7" t="n"/>
      <c r="C2275" s="8" t="n"/>
      <c r="D2275" s="9" t="n"/>
      <c r="E2275" s="8" t="n"/>
      <c r="F2275" s="9" t="n"/>
      <c r="G2275" s="9" t="n"/>
      <c r="H2275" s="3">
        <f>IF(AND(D2275&lt;&gt;"",F2275&lt;&gt;""),F2275-D2275-G2275,"")</f>
        <v/>
      </c>
      <c r="I2275" s="14">
        <f>IF(E2275&lt;&gt;"", YEARFRAC(C2275, E2275) * 12, "")</f>
        <v/>
      </c>
      <c r="J2275" s="2">
        <f>IF(I2275="", "", IF(AND(A2275="MF (Equity)", I2275&gt;12), "Long Term", "Short Term"))</f>
        <v/>
      </c>
      <c r="K2275" s="5">
        <f>IF(J2275="", "", IF(J2275="Long Term", 12.5%, 20%))</f>
        <v/>
      </c>
      <c r="L2275" s="3">
        <f>+IFERROR(IF(J2275="","",H2275*K2275),"")</f>
        <v/>
      </c>
    </row>
    <row r="2276">
      <c r="A2276" s="11" t="n"/>
      <c r="B2276" s="7" t="n"/>
      <c r="C2276" s="8" t="n"/>
      <c r="D2276" s="9" t="n"/>
      <c r="E2276" s="8" t="n"/>
      <c r="F2276" s="9" t="n"/>
      <c r="G2276" s="9" t="n"/>
      <c r="H2276" s="3">
        <f>IF(AND(D2276&lt;&gt;"",F2276&lt;&gt;""),F2276-D2276-G2276,"")</f>
        <v/>
      </c>
      <c r="I2276" s="14">
        <f>IF(E2276&lt;&gt;"", YEARFRAC(C2276, E2276) * 12, "")</f>
        <v/>
      </c>
      <c r="J2276" s="2">
        <f>IF(I2276="", "", IF(AND(A2276="MF (Equity)", I2276&gt;12), "Long Term", "Short Term"))</f>
        <v/>
      </c>
      <c r="K2276" s="5">
        <f>IF(J2276="", "", IF(J2276="Long Term", 12.5%, 20%))</f>
        <v/>
      </c>
      <c r="L2276" s="3">
        <f>+IFERROR(IF(J2276="","",H2276*K2276),"")</f>
        <v/>
      </c>
    </row>
    <row r="2277">
      <c r="A2277" s="11" t="n"/>
      <c r="B2277" s="7" t="n"/>
      <c r="C2277" s="8" t="n"/>
      <c r="D2277" s="9" t="n"/>
      <c r="E2277" s="8" t="n"/>
      <c r="F2277" s="9" t="n"/>
      <c r="G2277" s="9" t="n"/>
      <c r="H2277" s="3">
        <f>IF(AND(D2277&lt;&gt;"",F2277&lt;&gt;""),F2277-D2277-G2277,"")</f>
        <v/>
      </c>
      <c r="I2277" s="14">
        <f>IF(E2277&lt;&gt;"", YEARFRAC(C2277, E2277) * 12, "")</f>
        <v/>
      </c>
      <c r="J2277" s="2">
        <f>IF(I2277="", "", IF(AND(A2277="MF (Equity)", I2277&gt;12), "Long Term", "Short Term"))</f>
        <v/>
      </c>
      <c r="K2277" s="5">
        <f>IF(J2277="", "", IF(J2277="Long Term", 12.5%, 20%))</f>
        <v/>
      </c>
      <c r="L2277" s="3">
        <f>+IFERROR(IF(J2277="","",H2277*K2277),"")</f>
        <v/>
      </c>
    </row>
    <row r="2278">
      <c r="A2278" s="11" t="n"/>
      <c r="B2278" s="7" t="n"/>
      <c r="C2278" s="8" t="n"/>
      <c r="D2278" s="9" t="n"/>
      <c r="E2278" s="8" t="n"/>
      <c r="F2278" s="9" t="n"/>
      <c r="G2278" s="9" t="n"/>
      <c r="H2278" s="3">
        <f>IF(AND(D2278&lt;&gt;"",F2278&lt;&gt;""),F2278-D2278-G2278,"")</f>
        <v/>
      </c>
      <c r="I2278" s="14">
        <f>IF(E2278&lt;&gt;"", YEARFRAC(C2278, E2278) * 12, "")</f>
        <v/>
      </c>
      <c r="J2278" s="2">
        <f>IF(I2278="", "", IF(AND(A2278="MF (Equity)", I2278&gt;12), "Long Term", "Short Term"))</f>
        <v/>
      </c>
      <c r="K2278" s="5">
        <f>IF(J2278="", "", IF(J2278="Long Term", 12.5%, 20%))</f>
        <v/>
      </c>
      <c r="L2278" s="3">
        <f>+IFERROR(IF(J2278="","",H2278*K2278),"")</f>
        <v/>
      </c>
    </row>
    <row r="2279">
      <c r="A2279" s="11" t="n"/>
      <c r="B2279" s="7" t="n"/>
      <c r="C2279" s="8" t="n"/>
      <c r="D2279" s="9" t="n"/>
      <c r="E2279" s="8" t="n"/>
      <c r="F2279" s="9" t="n"/>
      <c r="G2279" s="9" t="n"/>
      <c r="H2279" s="3">
        <f>IF(AND(D2279&lt;&gt;"",F2279&lt;&gt;""),F2279-D2279-G2279,"")</f>
        <v/>
      </c>
      <c r="I2279" s="14">
        <f>IF(E2279&lt;&gt;"", YEARFRAC(C2279, E2279) * 12, "")</f>
        <v/>
      </c>
      <c r="J2279" s="2">
        <f>IF(I2279="", "", IF(AND(A2279="MF (Equity)", I2279&gt;12), "Long Term", "Short Term"))</f>
        <v/>
      </c>
      <c r="K2279" s="5">
        <f>IF(J2279="", "", IF(J2279="Long Term", 12.5%, 20%))</f>
        <v/>
      </c>
      <c r="L2279" s="3">
        <f>+IFERROR(IF(J2279="","",H2279*K2279),"")</f>
        <v/>
      </c>
    </row>
    <row r="2280">
      <c r="A2280" s="11" t="n"/>
      <c r="B2280" s="7" t="n"/>
      <c r="C2280" s="8" t="n"/>
      <c r="D2280" s="9" t="n"/>
      <c r="E2280" s="8" t="n"/>
      <c r="F2280" s="9" t="n"/>
      <c r="G2280" s="9" t="n"/>
      <c r="H2280" s="3">
        <f>IF(AND(D2280&lt;&gt;"",F2280&lt;&gt;""),F2280-D2280-G2280,"")</f>
        <v/>
      </c>
      <c r="I2280" s="14">
        <f>IF(E2280&lt;&gt;"", YEARFRAC(C2280, E2280) * 12, "")</f>
        <v/>
      </c>
      <c r="J2280" s="2">
        <f>IF(I2280="", "", IF(AND(A2280="MF (Equity)", I2280&gt;12), "Long Term", "Short Term"))</f>
        <v/>
      </c>
      <c r="K2280" s="5">
        <f>IF(J2280="", "", IF(J2280="Long Term", 12.5%, 20%))</f>
        <v/>
      </c>
      <c r="L2280" s="3">
        <f>+IFERROR(IF(J2280="","",H2280*K2280),"")</f>
        <v/>
      </c>
    </row>
    <row r="2281">
      <c r="A2281" s="11" t="n"/>
      <c r="B2281" s="7" t="n"/>
      <c r="C2281" s="8" t="n"/>
      <c r="D2281" s="9" t="n"/>
      <c r="E2281" s="8" t="n"/>
      <c r="F2281" s="9" t="n"/>
      <c r="G2281" s="9" t="n"/>
      <c r="H2281" s="3">
        <f>IF(AND(D2281&lt;&gt;"",F2281&lt;&gt;""),F2281-D2281-G2281,"")</f>
        <v/>
      </c>
      <c r="I2281" s="14">
        <f>IF(E2281&lt;&gt;"", YEARFRAC(C2281, E2281) * 12, "")</f>
        <v/>
      </c>
      <c r="J2281" s="2">
        <f>IF(I2281="", "", IF(AND(A2281="MF (Equity)", I2281&gt;12), "Long Term", "Short Term"))</f>
        <v/>
      </c>
      <c r="K2281" s="5">
        <f>IF(J2281="", "", IF(J2281="Long Term", 12.5%, 20%))</f>
        <v/>
      </c>
      <c r="L2281" s="3">
        <f>+IFERROR(IF(J2281="","",H2281*K2281),"")</f>
        <v/>
      </c>
    </row>
    <row r="2282">
      <c r="A2282" s="11" t="n"/>
      <c r="B2282" s="7" t="n"/>
      <c r="C2282" s="8" t="n"/>
      <c r="D2282" s="9" t="n"/>
      <c r="E2282" s="8" t="n"/>
      <c r="F2282" s="9" t="n"/>
      <c r="G2282" s="9" t="n"/>
      <c r="H2282" s="3">
        <f>IF(AND(D2282&lt;&gt;"",F2282&lt;&gt;""),F2282-D2282-G2282,"")</f>
        <v/>
      </c>
      <c r="I2282" s="14">
        <f>IF(E2282&lt;&gt;"", YEARFRAC(C2282, E2282) * 12, "")</f>
        <v/>
      </c>
      <c r="J2282" s="2">
        <f>IF(I2282="", "", IF(AND(A2282="MF (Equity)", I2282&gt;12), "Long Term", "Short Term"))</f>
        <v/>
      </c>
      <c r="K2282" s="5">
        <f>IF(J2282="", "", IF(J2282="Long Term", 12.5%, 20%))</f>
        <v/>
      </c>
      <c r="L2282" s="3">
        <f>+IFERROR(IF(J2282="","",H2282*K2282),"")</f>
        <v/>
      </c>
    </row>
    <row r="2283">
      <c r="A2283" s="11" t="n"/>
      <c r="B2283" s="7" t="n"/>
      <c r="C2283" s="8" t="n"/>
      <c r="D2283" s="9" t="n"/>
      <c r="E2283" s="8" t="n"/>
      <c r="F2283" s="9" t="n"/>
      <c r="G2283" s="9" t="n"/>
      <c r="H2283" s="3">
        <f>IF(AND(D2283&lt;&gt;"",F2283&lt;&gt;""),F2283-D2283-G2283,"")</f>
        <v/>
      </c>
      <c r="I2283" s="14">
        <f>IF(E2283&lt;&gt;"", YEARFRAC(C2283, E2283) * 12, "")</f>
        <v/>
      </c>
      <c r="J2283" s="2">
        <f>IF(I2283="", "", IF(AND(A2283="MF (Equity)", I2283&gt;12), "Long Term", "Short Term"))</f>
        <v/>
      </c>
      <c r="K2283" s="5">
        <f>IF(J2283="", "", IF(J2283="Long Term", 12.5%, 20%))</f>
        <v/>
      </c>
      <c r="L2283" s="3">
        <f>+IFERROR(IF(J2283="","",H2283*K2283),"")</f>
        <v/>
      </c>
    </row>
    <row r="2284">
      <c r="A2284" s="11" t="n"/>
      <c r="B2284" s="7" t="n"/>
      <c r="C2284" s="8" t="n"/>
      <c r="D2284" s="9" t="n"/>
      <c r="E2284" s="8" t="n"/>
      <c r="F2284" s="9" t="n"/>
      <c r="G2284" s="9" t="n"/>
      <c r="H2284" s="3">
        <f>IF(AND(D2284&lt;&gt;"",F2284&lt;&gt;""),F2284-D2284-G2284,"")</f>
        <v/>
      </c>
      <c r="I2284" s="14">
        <f>IF(E2284&lt;&gt;"", YEARFRAC(C2284, E2284) * 12, "")</f>
        <v/>
      </c>
      <c r="J2284" s="2">
        <f>IF(I2284="", "", IF(AND(A2284="MF (Equity)", I2284&gt;12), "Long Term", "Short Term"))</f>
        <v/>
      </c>
      <c r="K2284" s="5">
        <f>IF(J2284="", "", IF(J2284="Long Term", 12.5%, 20%))</f>
        <v/>
      </c>
      <c r="L2284" s="3">
        <f>+IFERROR(IF(J2284="","",H2284*K2284),"")</f>
        <v/>
      </c>
    </row>
    <row r="2285">
      <c r="A2285" s="11" t="n"/>
      <c r="B2285" s="7" t="n"/>
      <c r="C2285" s="8" t="n"/>
      <c r="D2285" s="9" t="n"/>
      <c r="E2285" s="8" t="n"/>
      <c r="F2285" s="9" t="n"/>
      <c r="G2285" s="9" t="n"/>
      <c r="H2285" s="3">
        <f>IF(AND(D2285&lt;&gt;"",F2285&lt;&gt;""),F2285-D2285-G2285,"")</f>
        <v/>
      </c>
      <c r="I2285" s="14">
        <f>IF(E2285&lt;&gt;"", YEARFRAC(C2285, E2285) * 12, "")</f>
        <v/>
      </c>
      <c r="J2285" s="2">
        <f>IF(I2285="", "", IF(AND(A2285="MF (Equity)", I2285&gt;12), "Long Term", "Short Term"))</f>
        <v/>
      </c>
      <c r="K2285" s="5">
        <f>IF(J2285="", "", IF(J2285="Long Term", 12.5%, 20%))</f>
        <v/>
      </c>
      <c r="L2285" s="3">
        <f>+IFERROR(IF(J2285="","",H2285*K2285),"")</f>
        <v/>
      </c>
    </row>
    <row r="2286">
      <c r="A2286" s="11" t="n"/>
      <c r="B2286" s="7" t="n"/>
      <c r="C2286" s="8" t="n"/>
      <c r="D2286" s="9" t="n"/>
      <c r="E2286" s="8" t="n"/>
      <c r="F2286" s="9" t="n"/>
      <c r="G2286" s="9" t="n"/>
      <c r="H2286" s="3">
        <f>IF(AND(D2286&lt;&gt;"",F2286&lt;&gt;""),F2286-D2286-G2286,"")</f>
        <v/>
      </c>
      <c r="I2286" s="14">
        <f>IF(E2286&lt;&gt;"", YEARFRAC(C2286, E2286) * 12, "")</f>
        <v/>
      </c>
      <c r="J2286" s="2">
        <f>IF(I2286="", "", IF(AND(A2286="MF (Equity)", I2286&gt;12), "Long Term", "Short Term"))</f>
        <v/>
      </c>
      <c r="K2286" s="5">
        <f>IF(J2286="", "", IF(J2286="Long Term", 12.5%, 20%))</f>
        <v/>
      </c>
      <c r="L2286" s="3">
        <f>+IFERROR(IF(J2286="","",H2286*K2286),"")</f>
        <v/>
      </c>
    </row>
    <row r="2287">
      <c r="A2287" s="11" t="n"/>
      <c r="B2287" s="7" t="n"/>
      <c r="C2287" s="8" t="n"/>
      <c r="D2287" s="9" t="n"/>
      <c r="E2287" s="8" t="n"/>
      <c r="F2287" s="9" t="n"/>
      <c r="G2287" s="9" t="n"/>
      <c r="H2287" s="3">
        <f>IF(AND(D2287&lt;&gt;"",F2287&lt;&gt;""),F2287-D2287-G2287,"")</f>
        <v/>
      </c>
      <c r="I2287" s="14">
        <f>IF(E2287&lt;&gt;"", YEARFRAC(C2287, E2287) * 12, "")</f>
        <v/>
      </c>
      <c r="J2287" s="2">
        <f>IF(I2287="", "", IF(AND(A2287="MF (Equity)", I2287&gt;12), "Long Term", "Short Term"))</f>
        <v/>
      </c>
      <c r="K2287" s="5">
        <f>IF(J2287="", "", IF(J2287="Long Term", 12.5%, 20%))</f>
        <v/>
      </c>
      <c r="L2287" s="3">
        <f>+IFERROR(IF(J2287="","",H2287*K2287),"")</f>
        <v/>
      </c>
    </row>
    <row r="2288">
      <c r="A2288" s="11" t="n"/>
      <c r="B2288" s="7" t="n"/>
      <c r="C2288" s="8" t="n"/>
      <c r="D2288" s="9" t="n"/>
      <c r="E2288" s="8" t="n"/>
      <c r="F2288" s="9" t="n"/>
      <c r="G2288" s="9" t="n"/>
      <c r="H2288" s="3">
        <f>IF(AND(D2288&lt;&gt;"",F2288&lt;&gt;""),F2288-D2288-G2288,"")</f>
        <v/>
      </c>
      <c r="I2288" s="14">
        <f>IF(E2288&lt;&gt;"", YEARFRAC(C2288, E2288) * 12, "")</f>
        <v/>
      </c>
      <c r="J2288" s="2">
        <f>IF(I2288="", "", IF(AND(A2288="MF (Equity)", I2288&gt;12), "Long Term", "Short Term"))</f>
        <v/>
      </c>
      <c r="K2288" s="5">
        <f>IF(J2288="", "", IF(J2288="Long Term", 12.5%, 20%))</f>
        <v/>
      </c>
      <c r="L2288" s="3">
        <f>+IFERROR(IF(J2288="","",H2288*K2288),"")</f>
        <v/>
      </c>
    </row>
    <row r="2289">
      <c r="A2289" s="11" t="n"/>
      <c r="B2289" s="7" t="n"/>
      <c r="C2289" s="8" t="n"/>
      <c r="D2289" s="9" t="n"/>
      <c r="E2289" s="8" t="n"/>
      <c r="F2289" s="9" t="n"/>
      <c r="G2289" s="9" t="n"/>
      <c r="H2289" s="3">
        <f>IF(AND(D2289&lt;&gt;"",F2289&lt;&gt;""),F2289-D2289-G2289,"")</f>
        <v/>
      </c>
      <c r="I2289" s="14">
        <f>IF(E2289&lt;&gt;"", YEARFRAC(C2289, E2289) * 12, "")</f>
        <v/>
      </c>
      <c r="J2289" s="2">
        <f>IF(I2289="", "", IF(AND(A2289="MF (Equity)", I2289&gt;12), "Long Term", "Short Term"))</f>
        <v/>
      </c>
      <c r="K2289" s="5">
        <f>IF(J2289="", "", IF(J2289="Long Term", 12.5%, 20%))</f>
        <v/>
      </c>
      <c r="L2289" s="3">
        <f>+IFERROR(IF(J2289="","",H2289*K2289),"")</f>
        <v/>
      </c>
    </row>
    <row r="2290">
      <c r="A2290" s="11" t="n"/>
      <c r="B2290" s="7" t="n"/>
      <c r="C2290" s="8" t="n"/>
      <c r="D2290" s="9" t="n"/>
      <c r="E2290" s="8" t="n"/>
      <c r="F2290" s="9" t="n"/>
      <c r="G2290" s="9" t="n"/>
      <c r="H2290" s="3">
        <f>IF(AND(D2290&lt;&gt;"",F2290&lt;&gt;""),F2290-D2290-G2290,"")</f>
        <v/>
      </c>
      <c r="I2290" s="14">
        <f>IF(E2290&lt;&gt;"", YEARFRAC(C2290, E2290) * 12, "")</f>
        <v/>
      </c>
      <c r="J2290" s="2">
        <f>IF(I2290="", "", IF(AND(A2290="MF (Equity)", I2290&gt;12), "Long Term", "Short Term"))</f>
        <v/>
      </c>
      <c r="K2290" s="5">
        <f>IF(J2290="", "", IF(J2290="Long Term", 12.5%, 20%))</f>
        <v/>
      </c>
      <c r="L2290" s="3">
        <f>+IFERROR(IF(J2290="","",H2290*K2290),"")</f>
        <v/>
      </c>
    </row>
    <row r="2291">
      <c r="A2291" s="11" t="n"/>
      <c r="B2291" s="7" t="n"/>
      <c r="C2291" s="8" t="n"/>
      <c r="D2291" s="9" t="n"/>
      <c r="E2291" s="8" t="n"/>
      <c r="F2291" s="9" t="n"/>
      <c r="G2291" s="9" t="n"/>
      <c r="H2291" s="3">
        <f>IF(AND(D2291&lt;&gt;"",F2291&lt;&gt;""),F2291-D2291-G2291,"")</f>
        <v/>
      </c>
      <c r="I2291" s="14">
        <f>IF(E2291&lt;&gt;"", YEARFRAC(C2291, E2291) * 12, "")</f>
        <v/>
      </c>
      <c r="J2291" s="2">
        <f>IF(I2291="", "", IF(AND(A2291="MF (Equity)", I2291&gt;12), "Long Term", "Short Term"))</f>
        <v/>
      </c>
      <c r="K2291" s="5">
        <f>IF(J2291="", "", IF(J2291="Long Term", 12.5%, 20%))</f>
        <v/>
      </c>
      <c r="L2291" s="3">
        <f>+IFERROR(IF(J2291="","",H2291*K2291),"")</f>
        <v/>
      </c>
    </row>
    <row r="2292">
      <c r="A2292" s="11" t="n"/>
      <c r="B2292" s="7" t="n"/>
      <c r="C2292" s="8" t="n"/>
      <c r="D2292" s="9" t="n"/>
      <c r="E2292" s="8" t="n"/>
      <c r="F2292" s="9" t="n"/>
      <c r="G2292" s="9" t="n"/>
      <c r="H2292" s="3">
        <f>IF(AND(D2292&lt;&gt;"",F2292&lt;&gt;""),F2292-D2292-G2292,"")</f>
        <v/>
      </c>
      <c r="I2292" s="14">
        <f>IF(E2292&lt;&gt;"", YEARFRAC(C2292, E2292) * 12, "")</f>
        <v/>
      </c>
      <c r="J2292" s="2">
        <f>IF(I2292="", "", IF(AND(A2292="MF (Equity)", I2292&gt;12), "Long Term", "Short Term"))</f>
        <v/>
      </c>
      <c r="K2292" s="5">
        <f>IF(J2292="", "", IF(J2292="Long Term", 12.5%, 20%))</f>
        <v/>
      </c>
      <c r="L2292" s="3">
        <f>+IFERROR(IF(J2292="","",H2292*K2292),"")</f>
        <v/>
      </c>
    </row>
    <row r="2293">
      <c r="A2293" s="11" t="n"/>
      <c r="B2293" s="7" t="n"/>
      <c r="C2293" s="8" t="n"/>
      <c r="D2293" s="9" t="n"/>
      <c r="E2293" s="8" t="n"/>
      <c r="F2293" s="9" t="n"/>
      <c r="G2293" s="9" t="n"/>
      <c r="H2293" s="3">
        <f>IF(AND(D2293&lt;&gt;"",F2293&lt;&gt;""),F2293-D2293-G2293,"")</f>
        <v/>
      </c>
      <c r="I2293" s="14">
        <f>IF(E2293&lt;&gt;"", YEARFRAC(C2293, E2293) * 12, "")</f>
        <v/>
      </c>
      <c r="J2293" s="2">
        <f>IF(I2293="", "", IF(AND(A2293="MF (Equity)", I2293&gt;12), "Long Term", "Short Term"))</f>
        <v/>
      </c>
      <c r="K2293" s="5">
        <f>IF(J2293="", "", IF(J2293="Long Term", 12.5%, 20%))</f>
        <v/>
      </c>
      <c r="L2293" s="3">
        <f>+IFERROR(IF(J2293="","",H2293*K2293),"")</f>
        <v/>
      </c>
    </row>
    <row r="2294">
      <c r="A2294" s="11" t="n"/>
      <c r="B2294" s="7" t="n"/>
      <c r="C2294" s="8" t="n"/>
      <c r="D2294" s="9" t="n"/>
      <c r="E2294" s="8" t="n"/>
      <c r="F2294" s="9" t="n"/>
      <c r="G2294" s="9" t="n"/>
      <c r="H2294" s="3">
        <f>IF(AND(D2294&lt;&gt;"",F2294&lt;&gt;""),F2294-D2294-G2294,"")</f>
        <v/>
      </c>
      <c r="I2294" s="14">
        <f>IF(E2294&lt;&gt;"", YEARFRAC(C2294, E2294) * 12, "")</f>
        <v/>
      </c>
      <c r="J2294" s="2">
        <f>IF(I2294="", "", IF(AND(A2294="MF (Equity)", I2294&gt;12), "Long Term", "Short Term"))</f>
        <v/>
      </c>
      <c r="K2294" s="5">
        <f>IF(J2294="", "", IF(J2294="Long Term", 12.5%, 20%))</f>
        <v/>
      </c>
      <c r="L2294" s="3">
        <f>+IFERROR(IF(J2294="","",H2294*K2294),"")</f>
        <v/>
      </c>
    </row>
    <row r="2295">
      <c r="A2295" s="11" t="n"/>
      <c r="B2295" s="7" t="n"/>
      <c r="C2295" s="8" t="n"/>
      <c r="D2295" s="9" t="n"/>
      <c r="E2295" s="8" t="n"/>
      <c r="F2295" s="9" t="n"/>
      <c r="G2295" s="9" t="n"/>
      <c r="H2295" s="3">
        <f>IF(AND(D2295&lt;&gt;"",F2295&lt;&gt;""),F2295-D2295-G2295,"")</f>
        <v/>
      </c>
      <c r="I2295" s="14">
        <f>IF(E2295&lt;&gt;"", YEARFRAC(C2295, E2295) * 12, "")</f>
        <v/>
      </c>
      <c r="J2295" s="2">
        <f>IF(I2295="", "", IF(AND(A2295="MF (Equity)", I2295&gt;12), "Long Term", "Short Term"))</f>
        <v/>
      </c>
      <c r="K2295" s="5">
        <f>IF(J2295="", "", IF(J2295="Long Term", 12.5%, 20%))</f>
        <v/>
      </c>
      <c r="L2295" s="3">
        <f>+IFERROR(IF(J2295="","",H2295*K2295),"")</f>
        <v/>
      </c>
    </row>
    <row r="2296">
      <c r="A2296" s="11" t="n"/>
      <c r="B2296" s="7" t="n"/>
      <c r="C2296" s="8" t="n"/>
      <c r="D2296" s="9" t="n"/>
      <c r="E2296" s="8" t="n"/>
      <c r="F2296" s="9" t="n"/>
      <c r="G2296" s="9" t="n"/>
      <c r="H2296" s="3">
        <f>IF(AND(D2296&lt;&gt;"",F2296&lt;&gt;""),F2296-D2296-G2296,"")</f>
        <v/>
      </c>
      <c r="I2296" s="14">
        <f>IF(E2296&lt;&gt;"", YEARFRAC(C2296, E2296) * 12, "")</f>
        <v/>
      </c>
      <c r="J2296" s="2">
        <f>IF(I2296="", "", IF(AND(A2296="MF (Equity)", I2296&gt;12), "Long Term", "Short Term"))</f>
        <v/>
      </c>
      <c r="K2296" s="5">
        <f>IF(J2296="", "", IF(J2296="Long Term", 12.5%, 20%))</f>
        <v/>
      </c>
      <c r="L2296" s="3">
        <f>+IFERROR(IF(J2296="","",H2296*K2296),"")</f>
        <v/>
      </c>
    </row>
    <row r="2297">
      <c r="A2297" s="11" t="n"/>
      <c r="B2297" s="7" t="n"/>
      <c r="C2297" s="8" t="n"/>
      <c r="D2297" s="9" t="n"/>
      <c r="E2297" s="8" t="n"/>
      <c r="F2297" s="9" t="n"/>
      <c r="G2297" s="9" t="n"/>
      <c r="H2297" s="3">
        <f>IF(AND(D2297&lt;&gt;"",F2297&lt;&gt;""),F2297-D2297-G2297,"")</f>
        <v/>
      </c>
      <c r="I2297" s="14">
        <f>IF(E2297&lt;&gt;"", YEARFRAC(C2297, E2297) * 12, "")</f>
        <v/>
      </c>
      <c r="J2297" s="2">
        <f>IF(I2297="", "", IF(AND(A2297="MF (Equity)", I2297&gt;12), "Long Term", "Short Term"))</f>
        <v/>
      </c>
      <c r="K2297" s="5">
        <f>IF(J2297="", "", IF(J2297="Long Term", 12.5%, 20%))</f>
        <v/>
      </c>
      <c r="L2297" s="3">
        <f>+IFERROR(IF(J2297="","",H2297*K2297),"")</f>
        <v/>
      </c>
    </row>
    <row r="2298">
      <c r="A2298" s="11" t="n"/>
      <c r="B2298" s="7" t="n"/>
      <c r="C2298" s="8" t="n"/>
      <c r="D2298" s="9" t="n"/>
      <c r="E2298" s="8" t="n"/>
      <c r="F2298" s="9" t="n"/>
      <c r="G2298" s="9" t="n"/>
      <c r="H2298" s="3">
        <f>IF(AND(D2298&lt;&gt;"",F2298&lt;&gt;""),F2298-D2298-G2298,"")</f>
        <v/>
      </c>
      <c r="I2298" s="14">
        <f>IF(E2298&lt;&gt;"", YEARFRAC(C2298, E2298) * 12, "")</f>
        <v/>
      </c>
      <c r="J2298" s="2">
        <f>IF(I2298="", "", IF(AND(A2298="MF (Equity)", I2298&gt;12), "Long Term", "Short Term"))</f>
        <v/>
      </c>
      <c r="K2298" s="5">
        <f>IF(J2298="", "", IF(J2298="Long Term", 12.5%, 20%))</f>
        <v/>
      </c>
      <c r="L2298" s="3">
        <f>+IFERROR(IF(J2298="","",H2298*K2298),"")</f>
        <v/>
      </c>
    </row>
    <row r="2299">
      <c r="A2299" s="11" t="n"/>
      <c r="B2299" s="7" t="n"/>
      <c r="C2299" s="8" t="n"/>
      <c r="D2299" s="9" t="n"/>
      <c r="E2299" s="8" t="n"/>
      <c r="F2299" s="9" t="n"/>
      <c r="G2299" s="9" t="n"/>
      <c r="H2299" s="3">
        <f>IF(AND(D2299&lt;&gt;"",F2299&lt;&gt;""),F2299-D2299-G2299,"")</f>
        <v/>
      </c>
      <c r="I2299" s="14">
        <f>IF(E2299&lt;&gt;"", YEARFRAC(C2299, E2299) * 12, "")</f>
        <v/>
      </c>
      <c r="J2299" s="2">
        <f>IF(I2299="", "", IF(AND(A2299="MF (Equity)", I2299&gt;12), "Long Term", "Short Term"))</f>
        <v/>
      </c>
      <c r="K2299" s="5">
        <f>IF(J2299="", "", IF(J2299="Long Term", 12.5%, 20%))</f>
        <v/>
      </c>
      <c r="L2299" s="3">
        <f>+IFERROR(IF(J2299="","",H2299*K2299),"")</f>
        <v/>
      </c>
    </row>
    <row r="2300">
      <c r="A2300" s="11" t="n"/>
      <c r="B2300" s="7" t="n"/>
      <c r="C2300" s="8" t="n"/>
      <c r="D2300" s="9" t="n"/>
      <c r="E2300" s="8" t="n"/>
      <c r="F2300" s="9" t="n"/>
      <c r="G2300" s="9" t="n"/>
      <c r="H2300" s="3">
        <f>IF(AND(D2300&lt;&gt;"",F2300&lt;&gt;""),F2300-D2300-G2300,"")</f>
        <v/>
      </c>
      <c r="I2300" s="14">
        <f>IF(E2300&lt;&gt;"", YEARFRAC(C2300, E2300) * 12, "")</f>
        <v/>
      </c>
      <c r="J2300" s="2">
        <f>IF(I2300="", "", IF(AND(A2300="MF (Equity)", I2300&gt;12), "Long Term", "Short Term"))</f>
        <v/>
      </c>
      <c r="K2300" s="5">
        <f>IF(J2300="", "", IF(J2300="Long Term", 12.5%, 20%))</f>
        <v/>
      </c>
      <c r="L2300" s="3">
        <f>+IFERROR(IF(J2300="","",H2300*K2300),"")</f>
        <v/>
      </c>
    </row>
    <row r="2301">
      <c r="A2301" s="11" t="n"/>
      <c r="B2301" s="7" t="n"/>
      <c r="C2301" s="8" t="n"/>
      <c r="D2301" s="9" t="n"/>
      <c r="E2301" s="8" t="n"/>
      <c r="F2301" s="9" t="n"/>
      <c r="G2301" s="9" t="n"/>
      <c r="H2301" s="3">
        <f>IF(AND(D2301&lt;&gt;"",F2301&lt;&gt;""),F2301-D2301-G2301,"")</f>
        <v/>
      </c>
      <c r="I2301" s="14">
        <f>IF(E2301&lt;&gt;"", YEARFRAC(C2301, E2301) * 12, "")</f>
        <v/>
      </c>
      <c r="J2301" s="2">
        <f>IF(I2301="", "", IF(AND(A2301="MF (Equity)", I2301&gt;12), "Long Term", "Short Term"))</f>
        <v/>
      </c>
      <c r="K2301" s="5">
        <f>IF(J2301="", "", IF(J2301="Long Term", 12.5%, 20%))</f>
        <v/>
      </c>
      <c r="L2301" s="3">
        <f>+IFERROR(IF(J2301="","",H2301*K2301),"")</f>
        <v/>
      </c>
    </row>
    <row r="2302">
      <c r="A2302" s="11" t="n"/>
      <c r="B2302" s="7" t="n"/>
      <c r="C2302" s="8" t="n"/>
      <c r="D2302" s="9" t="n"/>
      <c r="E2302" s="8" t="n"/>
      <c r="F2302" s="9" t="n"/>
      <c r="G2302" s="9" t="n"/>
      <c r="H2302" s="3">
        <f>IF(AND(D2302&lt;&gt;"",F2302&lt;&gt;""),F2302-D2302-G2302,"")</f>
        <v/>
      </c>
      <c r="I2302" s="14">
        <f>IF(E2302&lt;&gt;"", YEARFRAC(C2302, E2302) * 12, "")</f>
        <v/>
      </c>
      <c r="J2302" s="2">
        <f>IF(I2302="", "", IF(AND(A2302="MF (Equity)", I2302&gt;12), "Long Term", "Short Term"))</f>
        <v/>
      </c>
      <c r="K2302" s="5">
        <f>IF(J2302="", "", IF(J2302="Long Term", 12.5%, 20%))</f>
        <v/>
      </c>
      <c r="L2302" s="3">
        <f>+IFERROR(IF(J2302="","",H2302*K2302),"")</f>
        <v/>
      </c>
    </row>
    <row r="2303">
      <c r="A2303" s="11" t="n"/>
      <c r="B2303" s="7" t="n"/>
      <c r="C2303" s="8" t="n"/>
      <c r="D2303" s="9" t="n"/>
      <c r="E2303" s="8" t="n"/>
      <c r="F2303" s="9" t="n"/>
      <c r="G2303" s="9" t="n"/>
      <c r="H2303" s="3">
        <f>IF(AND(D2303&lt;&gt;"",F2303&lt;&gt;""),F2303-D2303-G2303,"")</f>
        <v/>
      </c>
      <c r="I2303" s="14">
        <f>IF(E2303&lt;&gt;"", YEARFRAC(C2303, E2303) * 12, "")</f>
        <v/>
      </c>
      <c r="J2303" s="2">
        <f>IF(I2303="", "", IF(AND(A2303="MF (Equity)", I2303&gt;12), "Long Term", "Short Term"))</f>
        <v/>
      </c>
      <c r="K2303" s="5">
        <f>IF(J2303="", "", IF(J2303="Long Term", 12.5%, 20%))</f>
        <v/>
      </c>
      <c r="L2303" s="3">
        <f>+IFERROR(IF(J2303="","",H2303*K2303),"")</f>
        <v/>
      </c>
    </row>
    <row r="2304">
      <c r="A2304" s="11" t="n"/>
      <c r="B2304" s="7" t="n"/>
      <c r="C2304" s="8" t="n"/>
      <c r="D2304" s="9" t="n"/>
      <c r="E2304" s="8" t="n"/>
      <c r="F2304" s="9" t="n"/>
      <c r="G2304" s="9" t="n"/>
      <c r="H2304" s="3">
        <f>IF(AND(D2304&lt;&gt;"",F2304&lt;&gt;""),F2304-D2304-G2304,"")</f>
        <v/>
      </c>
      <c r="I2304" s="14">
        <f>IF(E2304&lt;&gt;"", YEARFRAC(C2304, E2304) * 12, "")</f>
        <v/>
      </c>
      <c r="J2304" s="2">
        <f>IF(I2304="", "", IF(AND(A2304="MF (Equity)", I2304&gt;12), "Long Term", "Short Term"))</f>
        <v/>
      </c>
      <c r="K2304" s="5">
        <f>IF(J2304="", "", IF(J2304="Long Term", 12.5%, 20%))</f>
        <v/>
      </c>
      <c r="L2304" s="3">
        <f>+IFERROR(IF(J2304="","",H2304*K2304),"")</f>
        <v/>
      </c>
    </row>
    <row r="2305">
      <c r="A2305" s="11" t="n"/>
      <c r="B2305" s="7" t="n"/>
      <c r="C2305" s="8" t="n"/>
      <c r="D2305" s="9" t="n"/>
      <c r="E2305" s="8" t="n"/>
      <c r="F2305" s="9" t="n"/>
      <c r="G2305" s="9" t="n"/>
      <c r="H2305" s="3">
        <f>IF(AND(D2305&lt;&gt;"",F2305&lt;&gt;""),F2305-D2305-G2305,"")</f>
        <v/>
      </c>
      <c r="I2305" s="14">
        <f>IF(E2305&lt;&gt;"", YEARFRAC(C2305, E2305) * 12, "")</f>
        <v/>
      </c>
      <c r="J2305" s="2">
        <f>IF(I2305="", "", IF(AND(A2305="MF (Equity)", I2305&gt;12), "Long Term", "Short Term"))</f>
        <v/>
      </c>
      <c r="K2305" s="5">
        <f>IF(J2305="", "", IF(J2305="Long Term", 12.5%, 20%))</f>
        <v/>
      </c>
      <c r="L2305" s="3">
        <f>+IFERROR(IF(J2305="","",H2305*K2305),"")</f>
        <v/>
      </c>
    </row>
    <row r="2306">
      <c r="A2306" s="11" t="n"/>
      <c r="B2306" s="7" t="n"/>
      <c r="C2306" s="8" t="n"/>
      <c r="D2306" s="9" t="n"/>
      <c r="E2306" s="8" t="n"/>
      <c r="F2306" s="9" t="n"/>
      <c r="G2306" s="9" t="n"/>
      <c r="H2306" s="3">
        <f>IF(AND(D2306&lt;&gt;"",F2306&lt;&gt;""),F2306-D2306-G2306,"")</f>
        <v/>
      </c>
      <c r="I2306" s="14">
        <f>IF(E2306&lt;&gt;"", YEARFRAC(C2306, E2306) * 12, "")</f>
        <v/>
      </c>
      <c r="J2306" s="2">
        <f>IF(I2306="", "", IF(AND(A2306="MF (Equity)", I2306&gt;12), "Long Term", "Short Term"))</f>
        <v/>
      </c>
      <c r="K2306" s="5">
        <f>IF(J2306="", "", IF(J2306="Long Term", 12.5%, 20%))</f>
        <v/>
      </c>
      <c r="L2306" s="3">
        <f>+IFERROR(IF(J2306="","",H2306*K2306),"")</f>
        <v/>
      </c>
    </row>
    <row r="2307">
      <c r="A2307" s="11" t="n"/>
      <c r="B2307" s="7" t="n"/>
      <c r="C2307" s="8" t="n"/>
      <c r="D2307" s="9" t="n"/>
      <c r="E2307" s="8" t="n"/>
      <c r="F2307" s="9" t="n"/>
      <c r="G2307" s="9" t="n"/>
      <c r="H2307" s="3">
        <f>IF(AND(D2307&lt;&gt;"",F2307&lt;&gt;""),F2307-D2307-G2307,"")</f>
        <v/>
      </c>
      <c r="I2307" s="14">
        <f>IF(E2307&lt;&gt;"", YEARFRAC(C2307, E2307) * 12, "")</f>
        <v/>
      </c>
      <c r="J2307" s="2">
        <f>IF(I2307="", "", IF(AND(A2307="MF (Equity)", I2307&gt;12), "Long Term", "Short Term"))</f>
        <v/>
      </c>
      <c r="K2307" s="5">
        <f>IF(J2307="", "", IF(J2307="Long Term", 12.5%, 20%))</f>
        <v/>
      </c>
      <c r="L2307" s="3">
        <f>+IFERROR(IF(J2307="","",H2307*K2307),"")</f>
        <v/>
      </c>
    </row>
    <row r="2308">
      <c r="A2308" s="11" t="n"/>
      <c r="B2308" s="7" t="n"/>
      <c r="C2308" s="8" t="n"/>
      <c r="D2308" s="9" t="n"/>
      <c r="E2308" s="8" t="n"/>
      <c r="F2308" s="9" t="n"/>
      <c r="G2308" s="9" t="n"/>
      <c r="H2308" s="3">
        <f>IF(AND(D2308&lt;&gt;"",F2308&lt;&gt;""),F2308-D2308-G2308,"")</f>
        <v/>
      </c>
      <c r="I2308" s="14">
        <f>IF(E2308&lt;&gt;"", YEARFRAC(C2308, E2308) * 12, "")</f>
        <v/>
      </c>
      <c r="J2308" s="2">
        <f>IF(I2308="", "", IF(AND(A2308="MF (Equity)", I2308&gt;12), "Long Term", "Short Term"))</f>
        <v/>
      </c>
      <c r="K2308" s="5">
        <f>IF(J2308="", "", IF(J2308="Long Term", 12.5%, 20%))</f>
        <v/>
      </c>
      <c r="L2308" s="3">
        <f>+IFERROR(IF(J2308="","",H2308*K2308),"")</f>
        <v/>
      </c>
    </row>
    <row r="2309">
      <c r="A2309" s="11" t="n"/>
      <c r="B2309" s="7" t="n"/>
      <c r="C2309" s="8" t="n"/>
      <c r="D2309" s="9" t="n"/>
      <c r="E2309" s="8" t="n"/>
      <c r="F2309" s="9" t="n"/>
      <c r="G2309" s="9" t="n"/>
      <c r="H2309" s="3">
        <f>IF(AND(D2309&lt;&gt;"",F2309&lt;&gt;""),F2309-D2309-G2309,"")</f>
        <v/>
      </c>
      <c r="I2309" s="14">
        <f>IF(E2309&lt;&gt;"", YEARFRAC(C2309, E2309) * 12, "")</f>
        <v/>
      </c>
      <c r="J2309" s="2">
        <f>IF(I2309="", "", IF(AND(A2309="MF (Equity)", I2309&gt;12), "Long Term", "Short Term"))</f>
        <v/>
      </c>
      <c r="K2309" s="5">
        <f>IF(J2309="", "", IF(J2309="Long Term", 12.5%, 20%))</f>
        <v/>
      </c>
      <c r="L2309" s="3">
        <f>+IFERROR(IF(J2309="","",H2309*K2309),"")</f>
        <v/>
      </c>
    </row>
    <row r="2310">
      <c r="A2310" s="11" t="n"/>
      <c r="B2310" s="7" t="n"/>
      <c r="C2310" s="8" t="n"/>
      <c r="D2310" s="9" t="n"/>
      <c r="E2310" s="8" t="n"/>
      <c r="F2310" s="9" t="n"/>
      <c r="G2310" s="9" t="n"/>
      <c r="H2310" s="3">
        <f>IF(AND(D2310&lt;&gt;"",F2310&lt;&gt;""),F2310-D2310-G2310,"")</f>
        <v/>
      </c>
      <c r="I2310" s="14">
        <f>IF(E2310&lt;&gt;"", YEARFRAC(C2310, E2310) * 12, "")</f>
        <v/>
      </c>
      <c r="J2310" s="2">
        <f>IF(I2310="", "", IF(AND(A2310="MF (Equity)", I2310&gt;12), "Long Term", "Short Term"))</f>
        <v/>
      </c>
      <c r="K2310" s="5">
        <f>IF(J2310="", "", IF(J2310="Long Term", 12.5%, 20%))</f>
        <v/>
      </c>
      <c r="L2310" s="3">
        <f>+IFERROR(IF(J2310="","",H2310*K2310),"")</f>
        <v/>
      </c>
    </row>
    <row r="2311">
      <c r="A2311" s="11" t="n"/>
      <c r="B2311" s="7" t="n"/>
      <c r="C2311" s="8" t="n"/>
      <c r="D2311" s="9" t="n"/>
      <c r="E2311" s="8" t="n"/>
      <c r="F2311" s="9" t="n"/>
      <c r="G2311" s="9" t="n"/>
      <c r="H2311" s="3">
        <f>IF(AND(D2311&lt;&gt;"",F2311&lt;&gt;""),F2311-D2311-G2311,"")</f>
        <v/>
      </c>
      <c r="I2311" s="14">
        <f>IF(E2311&lt;&gt;"", YEARFRAC(C2311, E2311) * 12, "")</f>
        <v/>
      </c>
      <c r="J2311" s="2">
        <f>IF(I2311="", "", IF(AND(A2311="MF (Equity)", I2311&gt;12), "Long Term", "Short Term"))</f>
        <v/>
      </c>
      <c r="K2311" s="5">
        <f>IF(J2311="", "", IF(J2311="Long Term", 12.5%, 20%))</f>
        <v/>
      </c>
      <c r="L2311" s="3">
        <f>+IFERROR(IF(J2311="","",H2311*K2311),"")</f>
        <v/>
      </c>
    </row>
    <row r="2312">
      <c r="A2312" s="11" t="n"/>
      <c r="B2312" s="7" t="n"/>
      <c r="C2312" s="8" t="n"/>
      <c r="D2312" s="9" t="n"/>
      <c r="E2312" s="8" t="n"/>
      <c r="F2312" s="9" t="n"/>
      <c r="G2312" s="9" t="n"/>
      <c r="H2312" s="3">
        <f>IF(AND(D2312&lt;&gt;"",F2312&lt;&gt;""),F2312-D2312-G2312,"")</f>
        <v/>
      </c>
      <c r="I2312" s="14">
        <f>IF(E2312&lt;&gt;"", YEARFRAC(C2312, E2312) * 12, "")</f>
        <v/>
      </c>
      <c r="J2312" s="2">
        <f>IF(I2312="", "", IF(AND(A2312="MF (Equity)", I2312&gt;12), "Long Term", "Short Term"))</f>
        <v/>
      </c>
      <c r="K2312" s="5">
        <f>IF(J2312="", "", IF(J2312="Long Term", 12.5%, 20%))</f>
        <v/>
      </c>
      <c r="L2312" s="3">
        <f>+IFERROR(IF(J2312="","",H2312*K2312),"")</f>
        <v/>
      </c>
    </row>
    <row r="2313">
      <c r="A2313" s="11" t="n"/>
      <c r="B2313" s="7" t="n"/>
      <c r="C2313" s="8" t="n"/>
      <c r="D2313" s="9" t="n"/>
      <c r="E2313" s="8" t="n"/>
      <c r="F2313" s="9" t="n"/>
      <c r="G2313" s="9" t="n"/>
      <c r="H2313" s="3">
        <f>IF(AND(D2313&lt;&gt;"",F2313&lt;&gt;""),F2313-D2313-G2313,"")</f>
        <v/>
      </c>
      <c r="I2313" s="14">
        <f>IF(E2313&lt;&gt;"", YEARFRAC(C2313, E2313) * 12, "")</f>
        <v/>
      </c>
      <c r="J2313" s="2">
        <f>IF(I2313="", "", IF(AND(A2313="MF (Equity)", I2313&gt;12), "Long Term", "Short Term"))</f>
        <v/>
      </c>
      <c r="K2313" s="5">
        <f>IF(J2313="", "", IF(J2313="Long Term", 12.5%, 20%))</f>
        <v/>
      </c>
      <c r="L2313" s="3">
        <f>+IFERROR(IF(J2313="","",H2313*K2313),"")</f>
        <v/>
      </c>
    </row>
    <row r="2314">
      <c r="A2314" s="11" t="n"/>
      <c r="B2314" s="7" t="n"/>
      <c r="C2314" s="8" t="n"/>
      <c r="D2314" s="9" t="n"/>
      <c r="E2314" s="8" t="n"/>
      <c r="F2314" s="9" t="n"/>
      <c r="G2314" s="9" t="n"/>
      <c r="H2314" s="3">
        <f>IF(AND(D2314&lt;&gt;"",F2314&lt;&gt;""),F2314-D2314-G2314,"")</f>
        <v/>
      </c>
      <c r="I2314" s="14">
        <f>IF(E2314&lt;&gt;"", YEARFRAC(C2314, E2314) * 12, "")</f>
        <v/>
      </c>
      <c r="J2314" s="2">
        <f>IF(I2314="", "", IF(AND(A2314="MF (Equity)", I2314&gt;12), "Long Term", "Short Term"))</f>
        <v/>
      </c>
      <c r="K2314" s="5">
        <f>IF(J2314="", "", IF(J2314="Long Term", 12.5%, 20%))</f>
        <v/>
      </c>
      <c r="L2314" s="3">
        <f>+IFERROR(IF(J2314="","",H2314*K2314),"")</f>
        <v/>
      </c>
    </row>
    <row r="2315">
      <c r="A2315" s="11" t="n"/>
      <c r="B2315" s="7" t="n"/>
      <c r="C2315" s="8" t="n"/>
      <c r="D2315" s="9" t="n"/>
      <c r="E2315" s="8" t="n"/>
      <c r="F2315" s="9" t="n"/>
      <c r="G2315" s="9" t="n"/>
      <c r="H2315" s="3">
        <f>IF(AND(D2315&lt;&gt;"",F2315&lt;&gt;""),F2315-D2315-G2315,"")</f>
        <v/>
      </c>
      <c r="I2315" s="14">
        <f>IF(E2315&lt;&gt;"", YEARFRAC(C2315, E2315) * 12, "")</f>
        <v/>
      </c>
      <c r="J2315" s="2">
        <f>IF(I2315="", "", IF(AND(A2315="MF (Equity)", I2315&gt;12), "Long Term", "Short Term"))</f>
        <v/>
      </c>
      <c r="K2315" s="5">
        <f>IF(J2315="", "", IF(J2315="Long Term", 12.5%, 20%))</f>
        <v/>
      </c>
      <c r="L2315" s="3">
        <f>+IFERROR(IF(J2315="","",H2315*K2315),"")</f>
        <v/>
      </c>
    </row>
    <row r="2316">
      <c r="A2316" s="11" t="n"/>
      <c r="B2316" s="7" t="n"/>
      <c r="C2316" s="8" t="n"/>
      <c r="D2316" s="9" t="n"/>
      <c r="E2316" s="8" t="n"/>
      <c r="F2316" s="9" t="n"/>
      <c r="G2316" s="9" t="n"/>
      <c r="H2316" s="3">
        <f>IF(AND(D2316&lt;&gt;"",F2316&lt;&gt;""),F2316-D2316-G2316,"")</f>
        <v/>
      </c>
      <c r="I2316" s="14">
        <f>IF(E2316&lt;&gt;"", YEARFRAC(C2316, E2316) * 12, "")</f>
        <v/>
      </c>
      <c r="J2316" s="2">
        <f>IF(I2316="", "", IF(AND(A2316="MF (Equity)", I2316&gt;12), "Long Term", "Short Term"))</f>
        <v/>
      </c>
      <c r="K2316" s="5">
        <f>IF(J2316="", "", IF(J2316="Long Term", 12.5%, 20%))</f>
        <v/>
      </c>
      <c r="L2316" s="3">
        <f>+IFERROR(IF(J2316="","",H2316*K2316),"")</f>
        <v/>
      </c>
    </row>
    <row r="2317">
      <c r="A2317" s="11" t="n"/>
      <c r="B2317" s="7" t="n"/>
      <c r="C2317" s="8" t="n"/>
      <c r="D2317" s="9" t="n"/>
      <c r="E2317" s="8" t="n"/>
      <c r="F2317" s="9" t="n"/>
      <c r="G2317" s="9" t="n"/>
      <c r="H2317" s="3">
        <f>IF(AND(D2317&lt;&gt;"",F2317&lt;&gt;""),F2317-D2317-G2317,"")</f>
        <v/>
      </c>
      <c r="I2317" s="14">
        <f>IF(E2317&lt;&gt;"", YEARFRAC(C2317, E2317) * 12, "")</f>
        <v/>
      </c>
      <c r="J2317" s="2">
        <f>IF(I2317="", "", IF(AND(A2317="MF (Equity)", I2317&gt;12), "Long Term", "Short Term"))</f>
        <v/>
      </c>
      <c r="K2317" s="5">
        <f>IF(J2317="", "", IF(J2317="Long Term", 12.5%, 20%))</f>
        <v/>
      </c>
      <c r="L2317" s="3">
        <f>+IFERROR(IF(J2317="","",H2317*K2317),"")</f>
        <v/>
      </c>
    </row>
    <row r="2318">
      <c r="A2318" s="11" t="n"/>
      <c r="B2318" s="7" t="n"/>
      <c r="C2318" s="8" t="n"/>
      <c r="D2318" s="9" t="n"/>
      <c r="E2318" s="8" t="n"/>
      <c r="F2318" s="9" t="n"/>
      <c r="G2318" s="9" t="n"/>
      <c r="H2318" s="3">
        <f>IF(AND(D2318&lt;&gt;"",F2318&lt;&gt;""),F2318-D2318-G2318,"")</f>
        <v/>
      </c>
      <c r="I2318" s="14">
        <f>IF(E2318&lt;&gt;"", YEARFRAC(C2318, E2318) * 12, "")</f>
        <v/>
      </c>
      <c r="J2318" s="2">
        <f>IF(I2318="", "", IF(AND(A2318="MF (Equity)", I2318&gt;12), "Long Term", "Short Term"))</f>
        <v/>
      </c>
      <c r="K2318" s="5">
        <f>IF(J2318="", "", IF(J2318="Long Term", 12.5%, 20%))</f>
        <v/>
      </c>
      <c r="L2318" s="3">
        <f>+IFERROR(IF(J2318="","",H2318*K2318),"")</f>
        <v/>
      </c>
    </row>
    <row r="2319">
      <c r="A2319" s="11" t="n"/>
      <c r="B2319" s="7" t="n"/>
      <c r="C2319" s="8" t="n"/>
      <c r="D2319" s="9" t="n"/>
      <c r="E2319" s="8" t="n"/>
      <c r="F2319" s="9" t="n"/>
      <c r="G2319" s="9" t="n"/>
      <c r="H2319" s="3">
        <f>IF(AND(D2319&lt;&gt;"",F2319&lt;&gt;""),F2319-D2319-G2319,"")</f>
        <v/>
      </c>
      <c r="I2319" s="14">
        <f>IF(E2319&lt;&gt;"", YEARFRAC(C2319, E2319) * 12, "")</f>
        <v/>
      </c>
      <c r="J2319" s="2">
        <f>IF(I2319="", "", IF(AND(A2319="MF (Equity)", I2319&gt;12), "Long Term", "Short Term"))</f>
        <v/>
      </c>
      <c r="K2319" s="5">
        <f>IF(J2319="", "", IF(J2319="Long Term", 12.5%, 20%))</f>
        <v/>
      </c>
      <c r="L2319" s="3">
        <f>+IFERROR(IF(J2319="","",H2319*K2319),"")</f>
        <v/>
      </c>
    </row>
    <row r="2320">
      <c r="A2320" s="11" t="n"/>
      <c r="B2320" s="7" t="n"/>
      <c r="C2320" s="8" t="n"/>
      <c r="D2320" s="9" t="n"/>
      <c r="E2320" s="8" t="n"/>
      <c r="F2320" s="9" t="n"/>
      <c r="G2320" s="9" t="n"/>
      <c r="H2320" s="3">
        <f>IF(AND(D2320&lt;&gt;"",F2320&lt;&gt;""),F2320-D2320-G2320,"")</f>
        <v/>
      </c>
      <c r="I2320" s="14">
        <f>IF(E2320&lt;&gt;"", YEARFRAC(C2320, E2320) * 12, "")</f>
        <v/>
      </c>
      <c r="J2320" s="2">
        <f>IF(I2320="", "", IF(AND(A2320="MF (Equity)", I2320&gt;12), "Long Term", "Short Term"))</f>
        <v/>
      </c>
      <c r="K2320" s="5">
        <f>IF(J2320="", "", IF(J2320="Long Term", 12.5%, 20%))</f>
        <v/>
      </c>
      <c r="L2320" s="3">
        <f>+IFERROR(IF(J2320="","",H2320*K2320),"")</f>
        <v/>
      </c>
    </row>
    <row r="2321">
      <c r="A2321" s="11" t="n"/>
      <c r="B2321" s="7" t="n"/>
      <c r="C2321" s="8" t="n"/>
      <c r="D2321" s="9" t="n"/>
      <c r="E2321" s="8" t="n"/>
      <c r="F2321" s="9" t="n"/>
      <c r="G2321" s="9" t="n"/>
      <c r="H2321" s="3">
        <f>IF(AND(D2321&lt;&gt;"",F2321&lt;&gt;""),F2321-D2321-G2321,"")</f>
        <v/>
      </c>
      <c r="I2321" s="14">
        <f>IF(E2321&lt;&gt;"", YEARFRAC(C2321, E2321) * 12, "")</f>
        <v/>
      </c>
      <c r="J2321" s="2">
        <f>IF(I2321="", "", IF(AND(A2321="MF (Equity)", I2321&gt;12), "Long Term", "Short Term"))</f>
        <v/>
      </c>
      <c r="K2321" s="5">
        <f>IF(J2321="", "", IF(J2321="Long Term", 12.5%, 20%))</f>
        <v/>
      </c>
      <c r="L2321" s="3">
        <f>+IFERROR(IF(J2321="","",H2321*K2321),"")</f>
        <v/>
      </c>
    </row>
    <row r="2322">
      <c r="A2322" s="11" t="n"/>
      <c r="B2322" s="7" t="n"/>
      <c r="C2322" s="8" t="n"/>
      <c r="D2322" s="9" t="n"/>
      <c r="E2322" s="8" t="n"/>
      <c r="F2322" s="9" t="n"/>
      <c r="G2322" s="9" t="n"/>
      <c r="H2322" s="3">
        <f>IF(AND(D2322&lt;&gt;"",F2322&lt;&gt;""),F2322-D2322-G2322,"")</f>
        <v/>
      </c>
      <c r="I2322" s="14">
        <f>IF(E2322&lt;&gt;"", YEARFRAC(C2322, E2322) * 12, "")</f>
        <v/>
      </c>
      <c r="J2322" s="2">
        <f>IF(I2322="", "", IF(AND(A2322="MF (Equity)", I2322&gt;12), "Long Term", "Short Term"))</f>
        <v/>
      </c>
      <c r="K2322" s="5">
        <f>IF(J2322="", "", IF(J2322="Long Term", 12.5%, 20%))</f>
        <v/>
      </c>
      <c r="L2322" s="3">
        <f>+IFERROR(IF(J2322="","",H2322*K2322),"")</f>
        <v/>
      </c>
    </row>
    <row r="2323">
      <c r="A2323" s="11" t="n"/>
      <c r="B2323" s="7" t="n"/>
      <c r="C2323" s="8" t="n"/>
      <c r="D2323" s="9" t="n"/>
      <c r="E2323" s="8" t="n"/>
      <c r="F2323" s="9" t="n"/>
      <c r="G2323" s="9" t="n"/>
      <c r="H2323" s="3">
        <f>IF(AND(D2323&lt;&gt;"",F2323&lt;&gt;""),F2323-D2323-G2323,"")</f>
        <v/>
      </c>
      <c r="I2323" s="14">
        <f>IF(E2323&lt;&gt;"", YEARFRAC(C2323, E2323) * 12, "")</f>
        <v/>
      </c>
      <c r="J2323" s="2">
        <f>IF(I2323="", "", IF(AND(A2323="MF (Equity)", I2323&gt;12), "Long Term", "Short Term"))</f>
        <v/>
      </c>
      <c r="K2323" s="5">
        <f>IF(J2323="", "", IF(J2323="Long Term", 12.5%, 20%))</f>
        <v/>
      </c>
      <c r="L2323" s="3">
        <f>+IFERROR(IF(J2323="","",H2323*K2323),"")</f>
        <v/>
      </c>
    </row>
    <row r="2324">
      <c r="A2324" s="11" t="n"/>
      <c r="B2324" s="7" t="n"/>
      <c r="C2324" s="8" t="n"/>
      <c r="D2324" s="9" t="n"/>
      <c r="E2324" s="8" t="n"/>
      <c r="F2324" s="9" t="n"/>
      <c r="G2324" s="9" t="n"/>
      <c r="H2324" s="3">
        <f>IF(AND(D2324&lt;&gt;"",F2324&lt;&gt;""),F2324-D2324-G2324,"")</f>
        <v/>
      </c>
      <c r="I2324" s="14">
        <f>IF(E2324&lt;&gt;"", YEARFRAC(C2324, E2324) * 12, "")</f>
        <v/>
      </c>
      <c r="J2324" s="2">
        <f>IF(I2324="", "", IF(AND(A2324="MF (Equity)", I2324&gt;12), "Long Term", "Short Term"))</f>
        <v/>
      </c>
      <c r="K2324" s="5">
        <f>IF(J2324="", "", IF(J2324="Long Term", 12.5%, 20%))</f>
        <v/>
      </c>
      <c r="L2324" s="3">
        <f>+IFERROR(IF(J2324="","",H2324*K2324),"")</f>
        <v/>
      </c>
    </row>
    <row r="2325">
      <c r="A2325" s="11" t="n"/>
      <c r="B2325" s="7" t="n"/>
      <c r="C2325" s="8" t="n"/>
      <c r="D2325" s="9" t="n"/>
      <c r="E2325" s="8" t="n"/>
      <c r="F2325" s="9" t="n"/>
      <c r="G2325" s="9" t="n"/>
      <c r="H2325" s="3">
        <f>IF(AND(D2325&lt;&gt;"",F2325&lt;&gt;""),F2325-D2325-G2325,"")</f>
        <v/>
      </c>
      <c r="I2325" s="14">
        <f>IF(E2325&lt;&gt;"", YEARFRAC(C2325, E2325) * 12, "")</f>
        <v/>
      </c>
      <c r="J2325" s="2">
        <f>IF(I2325="", "", IF(AND(A2325="MF (Equity)", I2325&gt;12), "Long Term", "Short Term"))</f>
        <v/>
      </c>
      <c r="K2325" s="5">
        <f>IF(J2325="", "", IF(J2325="Long Term", 12.5%, 20%))</f>
        <v/>
      </c>
      <c r="L2325" s="3">
        <f>+IFERROR(IF(J2325="","",H2325*K2325),"")</f>
        <v/>
      </c>
    </row>
    <row r="2326">
      <c r="A2326" s="11" t="n"/>
      <c r="B2326" s="7" t="n"/>
      <c r="C2326" s="8" t="n"/>
      <c r="D2326" s="9" t="n"/>
      <c r="E2326" s="8" t="n"/>
      <c r="F2326" s="9" t="n"/>
      <c r="G2326" s="9" t="n"/>
      <c r="H2326" s="3">
        <f>IF(AND(D2326&lt;&gt;"",F2326&lt;&gt;""),F2326-D2326-G2326,"")</f>
        <v/>
      </c>
      <c r="I2326" s="14">
        <f>IF(E2326&lt;&gt;"", YEARFRAC(C2326, E2326) * 12, "")</f>
        <v/>
      </c>
      <c r="J2326" s="2">
        <f>IF(I2326="", "", IF(AND(A2326="MF (Equity)", I2326&gt;12), "Long Term", "Short Term"))</f>
        <v/>
      </c>
      <c r="K2326" s="5">
        <f>IF(J2326="", "", IF(J2326="Long Term", 12.5%, 20%))</f>
        <v/>
      </c>
      <c r="L2326" s="3">
        <f>+IFERROR(IF(J2326="","",H2326*K2326),"")</f>
        <v/>
      </c>
    </row>
    <row r="2327">
      <c r="A2327" s="11" t="n"/>
      <c r="B2327" s="7" t="n"/>
      <c r="C2327" s="8" t="n"/>
      <c r="D2327" s="9" t="n"/>
      <c r="E2327" s="8" t="n"/>
      <c r="F2327" s="9" t="n"/>
      <c r="G2327" s="9" t="n"/>
      <c r="H2327" s="3">
        <f>IF(AND(D2327&lt;&gt;"",F2327&lt;&gt;""),F2327-D2327-G2327,"")</f>
        <v/>
      </c>
      <c r="I2327" s="14">
        <f>IF(E2327&lt;&gt;"", YEARFRAC(C2327, E2327) * 12, "")</f>
        <v/>
      </c>
      <c r="J2327" s="2">
        <f>IF(I2327="", "", IF(AND(A2327="MF (Equity)", I2327&gt;12), "Long Term", "Short Term"))</f>
        <v/>
      </c>
      <c r="K2327" s="5">
        <f>IF(J2327="", "", IF(J2327="Long Term", 12.5%, 20%))</f>
        <v/>
      </c>
      <c r="L2327" s="3">
        <f>+IFERROR(IF(J2327="","",H2327*K2327),"")</f>
        <v/>
      </c>
    </row>
    <row r="2328">
      <c r="A2328" s="11" t="n"/>
      <c r="B2328" s="7" t="n"/>
      <c r="C2328" s="8" t="n"/>
      <c r="D2328" s="9" t="n"/>
      <c r="E2328" s="8" t="n"/>
      <c r="F2328" s="9" t="n"/>
      <c r="G2328" s="9" t="n"/>
      <c r="H2328" s="3">
        <f>IF(AND(D2328&lt;&gt;"",F2328&lt;&gt;""),F2328-D2328-G2328,"")</f>
        <v/>
      </c>
      <c r="I2328" s="14">
        <f>IF(E2328&lt;&gt;"", YEARFRAC(C2328, E2328) * 12, "")</f>
        <v/>
      </c>
      <c r="J2328" s="2">
        <f>IF(I2328="", "", IF(AND(A2328="MF (Equity)", I2328&gt;12), "Long Term", "Short Term"))</f>
        <v/>
      </c>
      <c r="K2328" s="5">
        <f>IF(J2328="", "", IF(J2328="Long Term", 12.5%, 20%))</f>
        <v/>
      </c>
      <c r="L2328" s="3">
        <f>+IFERROR(IF(J2328="","",H2328*K2328),"")</f>
        <v/>
      </c>
    </row>
    <row r="2329">
      <c r="A2329" s="11" t="n"/>
      <c r="B2329" s="7" t="n"/>
      <c r="C2329" s="8" t="n"/>
      <c r="D2329" s="9" t="n"/>
      <c r="E2329" s="8" t="n"/>
      <c r="F2329" s="9" t="n"/>
      <c r="G2329" s="9" t="n"/>
      <c r="H2329" s="3">
        <f>IF(AND(D2329&lt;&gt;"",F2329&lt;&gt;""),F2329-D2329-G2329,"")</f>
        <v/>
      </c>
      <c r="I2329" s="14">
        <f>IF(E2329&lt;&gt;"", YEARFRAC(C2329, E2329) * 12, "")</f>
        <v/>
      </c>
      <c r="J2329" s="2">
        <f>IF(I2329="", "", IF(AND(A2329="MF (Equity)", I2329&gt;12), "Long Term", "Short Term"))</f>
        <v/>
      </c>
      <c r="K2329" s="5">
        <f>IF(J2329="", "", IF(J2329="Long Term", 12.5%, 20%))</f>
        <v/>
      </c>
      <c r="L2329" s="3">
        <f>+IFERROR(IF(J2329="","",H2329*K2329),"")</f>
        <v/>
      </c>
    </row>
    <row r="2330">
      <c r="A2330" s="11" t="n"/>
      <c r="B2330" s="7" t="n"/>
      <c r="C2330" s="8" t="n"/>
      <c r="D2330" s="9" t="n"/>
      <c r="E2330" s="8" t="n"/>
      <c r="F2330" s="9" t="n"/>
      <c r="G2330" s="9" t="n"/>
      <c r="H2330" s="3">
        <f>IF(AND(D2330&lt;&gt;"",F2330&lt;&gt;""),F2330-D2330-G2330,"")</f>
        <v/>
      </c>
      <c r="I2330" s="14">
        <f>IF(E2330&lt;&gt;"", YEARFRAC(C2330, E2330) * 12, "")</f>
        <v/>
      </c>
      <c r="J2330" s="2">
        <f>IF(I2330="", "", IF(AND(A2330="MF (Equity)", I2330&gt;12), "Long Term", "Short Term"))</f>
        <v/>
      </c>
      <c r="K2330" s="5">
        <f>IF(J2330="", "", IF(J2330="Long Term", 12.5%, 20%))</f>
        <v/>
      </c>
      <c r="L2330" s="3">
        <f>+IFERROR(IF(J2330="","",H2330*K2330),"")</f>
        <v/>
      </c>
    </row>
    <row r="2331">
      <c r="A2331" s="11" t="n"/>
      <c r="B2331" s="7" t="n"/>
      <c r="C2331" s="8" t="n"/>
      <c r="D2331" s="9" t="n"/>
      <c r="E2331" s="8" t="n"/>
      <c r="F2331" s="9" t="n"/>
      <c r="G2331" s="9" t="n"/>
      <c r="H2331" s="3">
        <f>IF(AND(D2331&lt;&gt;"",F2331&lt;&gt;""),F2331-D2331-G2331,"")</f>
        <v/>
      </c>
      <c r="I2331" s="14">
        <f>IF(E2331&lt;&gt;"", YEARFRAC(C2331, E2331) * 12, "")</f>
        <v/>
      </c>
      <c r="J2331" s="2">
        <f>IF(I2331="", "", IF(AND(A2331="MF (Equity)", I2331&gt;12), "Long Term", "Short Term"))</f>
        <v/>
      </c>
      <c r="K2331" s="5">
        <f>IF(J2331="", "", IF(J2331="Long Term", 12.5%, 20%))</f>
        <v/>
      </c>
      <c r="L2331" s="3">
        <f>+IFERROR(IF(J2331="","",H2331*K2331),"")</f>
        <v/>
      </c>
    </row>
    <row r="2332">
      <c r="A2332" s="11" t="n"/>
      <c r="B2332" s="7" t="n"/>
      <c r="C2332" s="8" t="n"/>
      <c r="D2332" s="9" t="n"/>
      <c r="E2332" s="8" t="n"/>
      <c r="F2332" s="9" t="n"/>
      <c r="G2332" s="9" t="n"/>
      <c r="H2332" s="3">
        <f>IF(AND(D2332&lt;&gt;"",F2332&lt;&gt;""),F2332-D2332-G2332,"")</f>
        <v/>
      </c>
      <c r="I2332" s="14">
        <f>IF(E2332&lt;&gt;"", YEARFRAC(C2332, E2332) * 12, "")</f>
        <v/>
      </c>
      <c r="J2332" s="2">
        <f>IF(I2332="", "", IF(AND(A2332="MF (Equity)", I2332&gt;12), "Long Term", "Short Term"))</f>
        <v/>
      </c>
      <c r="K2332" s="5">
        <f>IF(J2332="", "", IF(J2332="Long Term", 12.5%, 20%))</f>
        <v/>
      </c>
      <c r="L2332" s="3">
        <f>+IFERROR(IF(J2332="","",H2332*K2332),"")</f>
        <v/>
      </c>
    </row>
    <row r="2333">
      <c r="A2333" s="11" t="n"/>
      <c r="B2333" s="7" t="n"/>
      <c r="C2333" s="8" t="n"/>
      <c r="D2333" s="9" t="n"/>
      <c r="E2333" s="8" t="n"/>
      <c r="F2333" s="9" t="n"/>
      <c r="G2333" s="9" t="n"/>
      <c r="H2333" s="3">
        <f>IF(AND(D2333&lt;&gt;"",F2333&lt;&gt;""),F2333-D2333-G2333,"")</f>
        <v/>
      </c>
      <c r="I2333" s="14">
        <f>IF(E2333&lt;&gt;"", YEARFRAC(C2333, E2333) * 12, "")</f>
        <v/>
      </c>
      <c r="J2333" s="2">
        <f>IF(I2333="", "", IF(AND(A2333="MF (Equity)", I2333&gt;12), "Long Term", "Short Term"))</f>
        <v/>
      </c>
      <c r="K2333" s="5">
        <f>IF(J2333="", "", IF(J2333="Long Term", 12.5%, 20%))</f>
        <v/>
      </c>
      <c r="L2333" s="3">
        <f>+IFERROR(IF(J2333="","",H2333*K2333),"")</f>
        <v/>
      </c>
    </row>
    <row r="2334">
      <c r="A2334" s="11" t="n"/>
      <c r="B2334" s="7" t="n"/>
      <c r="C2334" s="8" t="n"/>
      <c r="D2334" s="9" t="n"/>
      <c r="E2334" s="8" t="n"/>
      <c r="F2334" s="9" t="n"/>
      <c r="G2334" s="9" t="n"/>
      <c r="H2334" s="3">
        <f>IF(AND(D2334&lt;&gt;"",F2334&lt;&gt;""),F2334-D2334-G2334,"")</f>
        <v/>
      </c>
      <c r="I2334" s="14">
        <f>IF(E2334&lt;&gt;"", YEARFRAC(C2334, E2334) * 12, "")</f>
        <v/>
      </c>
      <c r="J2334" s="2">
        <f>IF(I2334="", "", IF(AND(A2334="MF (Equity)", I2334&gt;12), "Long Term", "Short Term"))</f>
        <v/>
      </c>
      <c r="K2334" s="5">
        <f>IF(J2334="", "", IF(J2334="Long Term", 12.5%, 20%))</f>
        <v/>
      </c>
      <c r="L2334" s="3">
        <f>+IFERROR(IF(J2334="","",H2334*K2334),"")</f>
        <v/>
      </c>
    </row>
    <row r="2335">
      <c r="A2335" s="11" t="n"/>
      <c r="B2335" s="7" t="n"/>
      <c r="C2335" s="8" t="n"/>
      <c r="D2335" s="9" t="n"/>
      <c r="E2335" s="8" t="n"/>
      <c r="F2335" s="9" t="n"/>
      <c r="G2335" s="9" t="n"/>
      <c r="H2335" s="3">
        <f>IF(AND(D2335&lt;&gt;"",F2335&lt;&gt;""),F2335-D2335-G2335,"")</f>
        <v/>
      </c>
      <c r="I2335" s="14">
        <f>IF(E2335&lt;&gt;"", YEARFRAC(C2335, E2335) * 12, "")</f>
        <v/>
      </c>
      <c r="J2335" s="2">
        <f>IF(I2335="", "", IF(AND(A2335="MF (Equity)", I2335&gt;12), "Long Term", "Short Term"))</f>
        <v/>
      </c>
      <c r="K2335" s="5">
        <f>IF(J2335="", "", IF(J2335="Long Term", 12.5%, 20%))</f>
        <v/>
      </c>
      <c r="L2335" s="3">
        <f>+IFERROR(IF(J2335="","",H2335*K2335),"")</f>
        <v/>
      </c>
    </row>
    <row r="2336">
      <c r="A2336" s="11" t="n"/>
      <c r="B2336" s="7" t="n"/>
      <c r="C2336" s="8" t="n"/>
      <c r="D2336" s="9" t="n"/>
      <c r="E2336" s="8" t="n"/>
      <c r="F2336" s="9" t="n"/>
      <c r="G2336" s="9" t="n"/>
      <c r="H2336" s="3">
        <f>IF(AND(D2336&lt;&gt;"",F2336&lt;&gt;""),F2336-D2336-G2336,"")</f>
        <v/>
      </c>
      <c r="I2336" s="14">
        <f>IF(E2336&lt;&gt;"", YEARFRAC(C2336, E2336) * 12, "")</f>
        <v/>
      </c>
      <c r="J2336" s="2">
        <f>IF(I2336="", "", IF(AND(A2336="MF (Equity)", I2336&gt;12), "Long Term", "Short Term"))</f>
        <v/>
      </c>
      <c r="K2336" s="5">
        <f>IF(J2336="", "", IF(J2336="Long Term", 12.5%, 20%))</f>
        <v/>
      </c>
      <c r="L2336" s="3">
        <f>+IFERROR(IF(J2336="","",H2336*K2336),"")</f>
        <v/>
      </c>
    </row>
    <row r="2337">
      <c r="A2337" s="11" t="n"/>
      <c r="B2337" s="7" t="n"/>
      <c r="C2337" s="8" t="n"/>
      <c r="D2337" s="9" t="n"/>
      <c r="E2337" s="8" t="n"/>
      <c r="F2337" s="9" t="n"/>
      <c r="G2337" s="9" t="n"/>
      <c r="H2337" s="3">
        <f>IF(AND(D2337&lt;&gt;"",F2337&lt;&gt;""),F2337-D2337-G2337,"")</f>
        <v/>
      </c>
      <c r="I2337" s="14">
        <f>IF(E2337&lt;&gt;"", YEARFRAC(C2337, E2337) * 12, "")</f>
        <v/>
      </c>
      <c r="J2337" s="2">
        <f>IF(I2337="", "", IF(AND(A2337="MF (Equity)", I2337&gt;12), "Long Term", "Short Term"))</f>
        <v/>
      </c>
      <c r="K2337" s="5">
        <f>IF(J2337="", "", IF(J2337="Long Term", 12.5%, 20%))</f>
        <v/>
      </c>
      <c r="L2337" s="3">
        <f>+IFERROR(IF(J2337="","",H2337*K2337),"")</f>
        <v/>
      </c>
    </row>
    <row r="2338">
      <c r="A2338" s="11" t="n"/>
      <c r="B2338" s="7" t="n"/>
      <c r="C2338" s="8" t="n"/>
      <c r="D2338" s="9" t="n"/>
      <c r="E2338" s="8" t="n"/>
      <c r="F2338" s="9" t="n"/>
      <c r="G2338" s="9" t="n"/>
      <c r="H2338" s="3">
        <f>IF(AND(D2338&lt;&gt;"",F2338&lt;&gt;""),F2338-D2338-G2338,"")</f>
        <v/>
      </c>
      <c r="I2338" s="14">
        <f>IF(E2338&lt;&gt;"", YEARFRAC(C2338, E2338) * 12, "")</f>
        <v/>
      </c>
      <c r="J2338" s="2">
        <f>IF(I2338="", "", IF(AND(A2338="MF (Equity)", I2338&gt;12), "Long Term", "Short Term"))</f>
        <v/>
      </c>
      <c r="K2338" s="5">
        <f>IF(J2338="", "", IF(J2338="Long Term", 12.5%, 20%))</f>
        <v/>
      </c>
      <c r="L2338" s="3">
        <f>+IFERROR(IF(J2338="","",H2338*K2338),"")</f>
        <v/>
      </c>
    </row>
    <row r="2339">
      <c r="A2339" s="11" t="n"/>
      <c r="B2339" s="7" t="n"/>
      <c r="C2339" s="8" t="n"/>
      <c r="D2339" s="9" t="n"/>
      <c r="E2339" s="8" t="n"/>
      <c r="F2339" s="9" t="n"/>
      <c r="G2339" s="9" t="n"/>
      <c r="H2339" s="3">
        <f>IF(AND(D2339&lt;&gt;"",F2339&lt;&gt;""),F2339-D2339-G2339,"")</f>
        <v/>
      </c>
      <c r="I2339" s="14">
        <f>IF(E2339&lt;&gt;"", YEARFRAC(C2339, E2339) * 12, "")</f>
        <v/>
      </c>
      <c r="J2339" s="2">
        <f>IF(I2339="", "", IF(AND(A2339="MF (Equity)", I2339&gt;12), "Long Term", "Short Term"))</f>
        <v/>
      </c>
      <c r="K2339" s="5">
        <f>IF(J2339="", "", IF(J2339="Long Term", 12.5%, 20%))</f>
        <v/>
      </c>
      <c r="L2339" s="3">
        <f>+IFERROR(IF(J2339="","",H2339*K2339),"")</f>
        <v/>
      </c>
    </row>
    <row r="2340">
      <c r="A2340" s="11" t="n"/>
      <c r="B2340" s="7" t="n"/>
      <c r="C2340" s="8" t="n"/>
      <c r="D2340" s="9" t="n"/>
      <c r="E2340" s="8" t="n"/>
      <c r="F2340" s="9" t="n"/>
      <c r="G2340" s="9" t="n"/>
      <c r="H2340" s="3">
        <f>IF(AND(D2340&lt;&gt;"",F2340&lt;&gt;""),F2340-D2340-G2340,"")</f>
        <v/>
      </c>
      <c r="I2340" s="14">
        <f>IF(E2340&lt;&gt;"", YEARFRAC(C2340, E2340) * 12, "")</f>
        <v/>
      </c>
      <c r="J2340" s="2">
        <f>IF(I2340="", "", IF(AND(A2340="MF (Equity)", I2340&gt;12), "Long Term", "Short Term"))</f>
        <v/>
      </c>
      <c r="K2340" s="5">
        <f>IF(J2340="", "", IF(J2340="Long Term", 12.5%, 20%))</f>
        <v/>
      </c>
      <c r="L2340" s="3">
        <f>+IFERROR(IF(J2340="","",H2340*K2340),"")</f>
        <v/>
      </c>
    </row>
    <row r="2341">
      <c r="A2341" s="11" t="n"/>
      <c r="B2341" s="7" t="n"/>
      <c r="C2341" s="8" t="n"/>
      <c r="D2341" s="9" t="n"/>
      <c r="E2341" s="8" t="n"/>
      <c r="F2341" s="9" t="n"/>
      <c r="G2341" s="9" t="n"/>
      <c r="H2341" s="3">
        <f>IF(AND(D2341&lt;&gt;"",F2341&lt;&gt;""),F2341-D2341-G2341,"")</f>
        <v/>
      </c>
      <c r="I2341" s="14">
        <f>IF(E2341&lt;&gt;"", YEARFRAC(C2341, E2341) * 12, "")</f>
        <v/>
      </c>
      <c r="J2341" s="2">
        <f>IF(I2341="", "", IF(AND(A2341="MF (Equity)", I2341&gt;12), "Long Term", "Short Term"))</f>
        <v/>
      </c>
      <c r="K2341" s="5">
        <f>IF(J2341="", "", IF(J2341="Long Term", 12.5%, 20%))</f>
        <v/>
      </c>
      <c r="L2341" s="3">
        <f>+IFERROR(IF(J2341="","",H2341*K2341),"")</f>
        <v/>
      </c>
    </row>
    <row r="2342">
      <c r="A2342" s="11" t="n"/>
      <c r="B2342" s="7" t="n"/>
      <c r="C2342" s="8" t="n"/>
      <c r="D2342" s="9" t="n"/>
      <c r="E2342" s="8" t="n"/>
      <c r="F2342" s="9" t="n"/>
      <c r="G2342" s="9" t="n"/>
      <c r="H2342" s="3">
        <f>IF(AND(D2342&lt;&gt;"",F2342&lt;&gt;""),F2342-D2342-G2342,"")</f>
        <v/>
      </c>
      <c r="I2342" s="14">
        <f>IF(E2342&lt;&gt;"", YEARFRAC(C2342, E2342) * 12, "")</f>
        <v/>
      </c>
      <c r="J2342" s="2">
        <f>IF(I2342="", "", IF(AND(A2342="MF (Equity)", I2342&gt;12), "Long Term", "Short Term"))</f>
        <v/>
      </c>
      <c r="K2342" s="5">
        <f>IF(J2342="", "", IF(J2342="Long Term", 12.5%, 20%))</f>
        <v/>
      </c>
      <c r="L2342" s="3">
        <f>+IFERROR(IF(J2342="","",H2342*K2342),"")</f>
        <v/>
      </c>
    </row>
    <row r="2343">
      <c r="A2343" s="11" t="n"/>
      <c r="B2343" s="7" t="n"/>
      <c r="C2343" s="8" t="n"/>
      <c r="D2343" s="9" t="n"/>
      <c r="E2343" s="8" t="n"/>
      <c r="F2343" s="9" t="n"/>
      <c r="G2343" s="9" t="n"/>
      <c r="H2343" s="3">
        <f>IF(AND(D2343&lt;&gt;"",F2343&lt;&gt;""),F2343-D2343-G2343,"")</f>
        <v/>
      </c>
      <c r="I2343" s="14">
        <f>IF(E2343&lt;&gt;"", YEARFRAC(C2343, E2343) * 12, "")</f>
        <v/>
      </c>
      <c r="J2343" s="2">
        <f>IF(I2343="", "", IF(AND(A2343="MF (Equity)", I2343&gt;12), "Long Term", "Short Term"))</f>
        <v/>
      </c>
      <c r="K2343" s="5">
        <f>IF(J2343="", "", IF(J2343="Long Term", 12.5%, 20%))</f>
        <v/>
      </c>
      <c r="L2343" s="3">
        <f>+IFERROR(IF(J2343="","",H2343*K2343),"")</f>
        <v/>
      </c>
    </row>
    <row r="2344">
      <c r="A2344" s="11" t="n"/>
      <c r="B2344" s="7" t="n"/>
      <c r="C2344" s="8" t="n"/>
      <c r="D2344" s="9" t="n"/>
      <c r="E2344" s="8" t="n"/>
      <c r="F2344" s="9" t="n"/>
      <c r="G2344" s="9" t="n"/>
      <c r="H2344" s="3">
        <f>IF(AND(D2344&lt;&gt;"",F2344&lt;&gt;""),F2344-D2344-G2344,"")</f>
        <v/>
      </c>
      <c r="I2344" s="14">
        <f>IF(E2344&lt;&gt;"", YEARFRAC(C2344, E2344) * 12, "")</f>
        <v/>
      </c>
      <c r="J2344" s="2">
        <f>IF(I2344="", "", IF(AND(A2344="MF (Equity)", I2344&gt;12), "Long Term", "Short Term"))</f>
        <v/>
      </c>
      <c r="K2344" s="5">
        <f>IF(J2344="", "", IF(J2344="Long Term", 12.5%, 20%))</f>
        <v/>
      </c>
      <c r="L2344" s="3">
        <f>+IFERROR(IF(J2344="","",H2344*K2344),"")</f>
        <v/>
      </c>
    </row>
    <row r="2345">
      <c r="A2345" s="11" t="n"/>
      <c r="B2345" s="7" t="n"/>
      <c r="C2345" s="8" t="n"/>
      <c r="D2345" s="9" t="n"/>
      <c r="E2345" s="8" t="n"/>
      <c r="F2345" s="9" t="n"/>
      <c r="G2345" s="9" t="n"/>
      <c r="H2345" s="3">
        <f>IF(AND(D2345&lt;&gt;"",F2345&lt;&gt;""),F2345-D2345-G2345,"")</f>
        <v/>
      </c>
      <c r="I2345" s="14">
        <f>IF(E2345&lt;&gt;"", YEARFRAC(C2345, E2345) * 12, "")</f>
        <v/>
      </c>
      <c r="J2345" s="2">
        <f>IF(I2345="", "", IF(AND(A2345="MF (Equity)", I2345&gt;12), "Long Term", "Short Term"))</f>
        <v/>
      </c>
      <c r="K2345" s="5">
        <f>IF(J2345="", "", IF(J2345="Long Term", 12.5%, 20%))</f>
        <v/>
      </c>
      <c r="L2345" s="3">
        <f>+IFERROR(IF(J2345="","",H2345*K2345),"")</f>
        <v/>
      </c>
    </row>
    <row r="2346">
      <c r="A2346" s="11" t="n"/>
      <c r="B2346" s="7" t="n"/>
      <c r="C2346" s="8" t="n"/>
      <c r="D2346" s="9" t="n"/>
      <c r="E2346" s="8" t="n"/>
      <c r="F2346" s="9" t="n"/>
      <c r="G2346" s="9" t="n"/>
      <c r="H2346" s="3">
        <f>IF(AND(D2346&lt;&gt;"",F2346&lt;&gt;""),F2346-D2346-G2346,"")</f>
        <v/>
      </c>
      <c r="I2346" s="14">
        <f>IF(E2346&lt;&gt;"", YEARFRAC(C2346, E2346) * 12, "")</f>
        <v/>
      </c>
      <c r="J2346" s="2">
        <f>IF(I2346="", "", IF(AND(A2346="MF (Equity)", I2346&gt;12), "Long Term", "Short Term"))</f>
        <v/>
      </c>
      <c r="K2346" s="5">
        <f>IF(J2346="", "", IF(J2346="Long Term", 12.5%, 20%))</f>
        <v/>
      </c>
      <c r="L2346" s="3">
        <f>+IFERROR(IF(J2346="","",H2346*K2346),"")</f>
        <v/>
      </c>
    </row>
    <row r="2347">
      <c r="A2347" s="11" t="n"/>
      <c r="B2347" s="7" t="n"/>
      <c r="C2347" s="8" t="n"/>
      <c r="D2347" s="9" t="n"/>
      <c r="E2347" s="8" t="n"/>
      <c r="F2347" s="9" t="n"/>
      <c r="G2347" s="9" t="n"/>
      <c r="H2347" s="3">
        <f>IF(AND(D2347&lt;&gt;"",F2347&lt;&gt;""),F2347-D2347-G2347,"")</f>
        <v/>
      </c>
      <c r="I2347" s="14">
        <f>IF(E2347&lt;&gt;"", YEARFRAC(C2347, E2347) * 12, "")</f>
        <v/>
      </c>
      <c r="J2347" s="2">
        <f>IF(I2347="", "", IF(AND(A2347="MF (Equity)", I2347&gt;12), "Long Term", "Short Term"))</f>
        <v/>
      </c>
      <c r="K2347" s="5">
        <f>IF(J2347="", "", IF(J2347="Long Term", 12.5%, 20%))</f>
        <v/>
      </c>
      <c r="L2347" s="3">
        <f>+IFERROR(IF(J2347="","",H2347*K2347),"")</f>
        <v/>
      </c>
    </row>
    <row r="2348">
      <c r="A2348" s="11" t="n"/>
      <c r="B2348" s="7" t="n"/>
      <c r="C2348" s="8" t="n"/>
      <c r="D2348" s="9" t="n"/>
      <c r="E2348" s="8" t="n"/>
      <c r="F2348" s="9" t="n"/>
      <c r="G2348" s="9" t="n"/>
      <c r="H2348" s="3">
        <f>IF(AND(D2348&lt;&gt;"",F2348&lt;&gt;""),F2348-D2348-G2348,"")</f>
        <v/>
      </c>
      <c r="I2348" s="14">
        <f>IF(E2348&lt;&gt;"", YEARFRAC(C2348, E2348) * 12, "")</f>
        <v/>
      </c>
      <c r="J2348" s="2">
        <f>IF(I2348="", "", IF(AND(A2348="MF (Equity)", I2348&gt;12), "Long Term", "Short Term"))</f>
        <v/>
      </c>
      <c r="K2348" s="5">
        <f>IF(J2348="", "", IF(J2348="Long Term", 12.5%, 20%))</f>
        <v/>
      </c>
      <c r="L2348" s="3">
        <f>+IFERROR(IF(J2348="","",H2348*K2348),"")</f>
        <v/>
      </c>
    </row>
    <row r="2349">
      <c r="A2349" s="11" t="n"/>
      <c r="B2349" s="7" t="n"/>
      <c r="C2349" s="8" t="n"/>
      <c r="D2349" s="9" t="n"/>
      <c r="E2349" s="8" t="n"/>
      <c r="F2349" s="9" t="n"/>
      <c r="G2349" s="9" t="n"/>
      <c r="H2349" s="3">
        <f>IF(AND(D2349&lt;&gt;"",F2349&lt;&gt;""),F2349-D2349-G2349,"")</f>
        <v/>
      </c>
      <c r="I2349" s="14">
        <f>IF(E2349&lt;&gt;"", YEARFRAC(C2349, E2349) * 12, "")</f>
        <v/>
      </c>
      <c r="J2349" s="2">
        <f>IF(I2349="", "", IF(AND(A2349="MF (Equity)", I2349&gt;12), "Long Term", "Short Term"))</f>
        <v/>
      </c>
      <c r="K2349" s="5">
        <f>IF(J2349="", "", IF(J2349="Long Term", 12.5%, 20%))</f>
        <v/>
      </c>
      <c r="L2349" s="3">
        <f>+IFERROR(IF(J2349="","",H2349*K2349),"")</f>
        <v/>
      </c>
    </row>
    <row r="2350">
      <c r="A2350" s="11" t="n"/>
      <c r="B2350" s="7" t="n"/>
      <c r="C2350" s="8" t="n"/>
      <c r="D2350" s="9" t="n"/>
      <c r="E2350" s="8" t="n"/>
      <c r="F2350" s="9" t="n"/>
      <c r="G2350" s="9" t="n"/>
      <c r="H2350" s="3">
        <f>IF(AND(D2350&lt;&gt;"",F2350&lt;&gt;""),F2350-D2350-G2350,"")</f>
        <v/>
      </c>
      <c r="I2350" s="14">
        <f>IF(E2350&lt;&gt;"", YEARFRAC(C2350, E2350) * 12, "")</f>
        <v/>
      </c>
      <c r="J2350" s="2">
        <f>IF(I2350="", "", IF(AND(A2350="MF (Equity)", I2350&gt;12), "Long Term", "Short Term"))</f>
        <v/>
      </c>
      <c r="K2350" s="5">
        <f>IF(J2350="", "", IF(J2350="Long Term", 12.5%, 20%))</f>
        <v/>
      </c>
      <c r="L2350" s="3">
        <f>+IFERROR(IF(J2350="","",H2350*K2350),"")</f>
        <v/>
      </c>
    </row>
    <row r="2351">
      <c r="A2351" s="11" t="n"/>
      <c r="B2351" s="7" t="n"/>
      <c r="C2351" s="8" t="n"/>
      <c r="D2351" s="9" t="n"/>
      <c r="E2351" s="8" t="n"/>
      <c r="F2351" s="9" t="n"/>
      <c r="G2351" s="9" t="n"/>
      <c r="H2351" s="3">
        <f>IF(AND(D2351&lt;&gt;"",F2351&lt;&gt;""),F2351-D2351-G2351,"")</f>
        <v/>
      </c>
      <c r="I2351" s="14">
        <f>IF(E2351&lt;&gt;"", YEARFRAC(C2351, E2351) * 12, "")</f>
        <v/>
      </c>
      <c r="J2351" s="2">
        <f>IF(I2351="", "", IF(AND(A2351="MF (Equity)", I2351&gt;12), "Long Term", "Short Term"))</f>
        <v/>
      </c>
      <c r="K2351" s="5">
        <f>IF(J2351="", "", IF(J2351="Long Term", 12.5%, 20%))</f>
        <v/>
      </c>
      <c r="L2351" s="3">
        <f>+IFERROR(IF(J2351="","",H2351*K2351),"")</f>
        <v/>
      </c>
    </row>
    <row r="2352">
      <c r="A2352" s="11" t="n"/>
      <c r="B2352" s="7" t="n"/>
      <c r="C2352" s="8" t="n"/>
      <c r="D2352" s="9" t="n"/>
      <c r="E2352" s="8" t="n"/>
      <c r="F2352" s="9" t="n"/>
      <c r="G2352" s="9" t="n"/>
      <c r="H2352" s="3">
        <f>IF(AND(D2352&lt;&gt;"",F2352&lt;&gt;""),F2352-D2352-G2352,"")</f>
        <v/>
      </c>
      <c r="I2352" s="14">
        <f>IF(E2352&lt;&gt;"", YEARFRAC(C2352, E2352) * 12, "")</f>
        <v/>
      </c>
      <c r="J2352" s="2">
        <f>IF(I2352="", "", IF(AND(A2352="MF (Equity)", I2352&gt;12), "Long Term", "Short Term"))</f>
        <v/>
      </c>
      <c r="K2352" s="5">
        <f>IF(J2352="", "", IF(J2352="Long Term", 12.5%, 20%))</f>
        <v/>
      </c>
      <c r="L2352" s="3">
        <f>+IFERROR(IF(J2352="","",H2352*K2352),"")</f>
        <v/>
      </c>
    </row>
    <row r="2353">
      <c r="A2353" s="11" t="n"/>
      <c r="B2353" s="7" t="n"/>
      <c r="C2353" s="8" t="n"/>
      <c r="D2353" s="9" t="n"/>
      <c r="E2353" s="8" t="n"/>
      <c r="F2353" s="9" t="n"/>
      <c r="G2353" s="9" t="n"/>
      <c r="H2353" s="3">
        <f>IF(AND(D2353&lt;&gt;"",F2353&lt;&gt;""),F2353-D2353-G2353,"")</f>
        <v/>
      </c>
      <c r="I2353" s="14">
        <f>IF(E2353&lt;&gt;"", YEARFRAC(C2353, E2353) * 12, "")</f>
        <v/>
      </c>
      <c r="J2353" s="2">
        <f>IF(I2353="", "", IF(AND(A2353="MF (Equity)", I2353&gt;12), "Long Term", "Short Term"))</f>
        <v/>
      </c>
      <c r="K2353" s="5">
        <f>IF(J2353="", "", IF(J2353="Long Term", 12.5%, 20%))</f>
        <v/>
      </c>
      <c r="L2353" s="3">
        <f>+IFERROR(IF(J2353="","",H2353*K2353),"")</f>
        <v/>
      </c>
    </row>
    <row r="2354">
      <c r="A2354" s="11" t="n"/>
      <c r="B2354" s="7" t="n"/>
      <c r="C2354" s="8" t="n"/>
      <c r="D2354" s="9" t="n"/>
      <c r="E2354" s="8" t="n"/>
      <c r="F2354" s="9" t="n"/>
      <c r="G2354" s="9" t="n"/>
      <c r="H2354" s="3">
        <f>IF(AND(D2354&lt;&gt;"",F2354&lt;&gt;""),F2354-D2354-G2354,"")</f>
        <v/>
      </c>
      <c r="I2354" s="14">
        <f>IF(E2354&lt;&gt;"", YEARFRAC(C2354, E2354) * 12, "")</f>
        <v/>
      </c>
      <c r="J2354" s="2">
        <f>IF(I2354="", "", IF(AND(A2354="MF (Equity)", I2354&gt;12), "Long Term", "Short Term"))</f>
        <v/>
      </c>
      <c r="K2354" s="5">
        <f>IF(J2354="", "", IF(J2354="Long Term", 12.5%, 20%))</f>
        <v/>
      </c>
      <c r="L2354" s="3">
        <f>+IFERROR(IF(J2354="","",H2354*K2354),"")</f>
        <v/>
      </c>
    </row>
    <row r="2355">
      <c r="A2355" s="11" t="n"/>
      <c r="B2355" s="7" t="n"/>
      <c r="C2355" s="8" t="n"/>
      <c r="D2355" s="9" t="n"/>
      <c r="E2355" s="8" t="n"/>
      <c r="F2355" s="9" t="n"/>
      <c r="G2355" s="9" t="n"/>
      <c r="H2355" s="3">
        <f>IF(AND(D2355&lt;&gt;"",F2355&lt;&gt;""),F2355-D2355-G2355,"")</f>
        <v/>
      </c>
      <c r="I2355" s="14">
        <f>IF(E2355&lt;&gt;"", YEARFRAC(C2355, E2355) * 12, "")</f>
        <v/>
      </c>
      <c r="J2355" s="2">
        <f>IF(I2355="", "", IF(AND(A2355="MF (Equity)", I2355&gt;12), "Long Term", "Short Term"))</f>
        <v/>
      </c>
      <c r="K2355" s="5">
        <f>IF(J2355="", "", IF(J2355="Long Term", 12.5%, 20%))</f>
        <v/>
      </c>
      <c r="L2355" s="3">
        <f>+IFERROR(IF(J2355="","",H2355*K2355),"")</f>
        <v/>
      </c>
    </row>
    <row r="2356">
      <c r="A2356" s="11" t="n"/>
      <c r="B2356" s="7" t="n"/>
      <c r="C2356" s="8" t="n"/>
      <c r="D2356" s="9" t="n"/>
      <c r="E2356" s="8" t="n"/>
      <c r="F2356" s="9" t="n"/>
      <c r="G2356" s="9" t="n"/>
      <c r="H2356" s="3">
        <f>IF(AND(D2356&lt;&gt;"",F2356&lt;&gt;""),F2356-D2356-G2356,"")</f>
        <v/>
      </c>
      <c r="I2356" s="14">
        <f>IF(E2356&lt;&gt;"", YEARFRAC(C2356, E2356) * 12, "")</f>
        <v/>
      </c>
      <c r="J2356" s="2">
        <f>IF(I2356="", "", IF(AND(A2356="MF (Equity)", I2356&gt;12), "Long Term", "Short Term"))</f>
        <v/>
      </c>
      <c r="K2356" s="5">
        <f>IF(J2356="", "", IF(J2356="Long Term", 12.5%, 20%))</f>
        <v/>
      </c>
      <c r="L2356" s="3">
        <f>+IFERROR(IF(J2356="","",H2356*K2356),"")</f>
        <v/>
      </c>
    </row>
    <row r="2357">
      <c r="A2357" s="11" t="n"/>
      <c r="B2357" s="7" t="n"/>
      <c r="C2357" s="8" t="n"/>
      <c r="D2357" s="9" t="n"/>
      <c r="E2357" s="8" t="n"/>
      <c r="F2357" s="9" t="n"/>
      <c r="G2357" s="9" t="n"/>
      <c r="H2357" s="3">
        <f>IF(AND(D2357&lt;&gt;"",F2357&lt;&gt;""),F2357-D2357-G2357,"")</f>
        <v/>
      </c>
      <c r="I2357" s="14">
        <f>IF(E2357&lt;&gt;"", YEARFRAC(C2357, E2357) * 12, "")</f>
        <v/>
      </c>
      <c r="J2357" s="2">
        <f>IF(I2357="", "", IF(AND(A2357="MF (Equity)", I2357&gt;12), "Long Term", "Short Term"))</f>
        <v/>
      </c>
      <c r="K2357" s="5">
        <f>IF(J2357="", "", IF(J2357="Long Term", 12.5%, 20%))</f>
        <v/>
      </c>
      <c r="L2357" s="3">
        <f>+IFERROR(IF(J2357="","",H2357*K2357),"")</f>
        <v/>
      </c>
    </row>
    <row r="2358">
      <c r="A2358" s="11" t="n"/>
      <c r="B2358" s="7" t="n"/>
      <c r="C2358" s="8" t="n"/>
      <c r="D2358" s="9" t="n"/>
      <c r="E2358" s="8" t="n"/>
      <c r="F2358" s="9" t="n"/>
      <c r="G2358" s="9" t="n"/>
      <c r="H2358" s="3">
        <f>IF(AND(D2358&lt;&gt;"",F2358&lt;&gt;""),F2358-D2358-G2358,"")</f>
        <v/>
      </c>
      <c r="I2358" s="14">
        <f>IF(E2358&lt;&gt;"", YEARFRAC(C2358, E2358) * 12, "")</f>
        <v/>
      </c>
      <c r="J2358" s="2">
        <f>IF(I2358="", "", IF(AND(A2358="MF (Equity)", I2358&gt;12), "Long Term", "Short Term"))</f>
        <v/>
      </c>
      <c r="K2358" s="5">
        <f>IF(J2358="", "", IF(J2358="Long Term", 12.5%, 20%))</f>
        <v/>
      </c>
      <c r="L2358" s="3">
        <f>+IFERROR(IF(J2358="","",H2358*K2358),"")</f>
        <v/>
      </c>
    </row>
    <row r="2359">
      <c r="A2359" s="11" t="n"/>
      <c r="B2359" s="7" t="n"/>
      <c r="C2359" s="8" t="n"/>
      <c r="D2359" s="9" t="n"/>
      <c r="E2359" s="8" t="n"/>
      <c r="F2359" s="9" t="n"/>
      <c r="G2359" s="9" t="n"/>
      <c r="H2359" s="3">
        <f>IF(AND(D2359&lt;&gt;"",F2359&lt;&gt;""),F2359-D2359-G2359,"")</f>
        <v/>
      </c>
      <c r="I2359" s="14">
        <f>IF(E2359&lt;&gt;"", YEARFRAC(C2359, E2359) * 12, "")</f>
        <v/>
      </c>
      <c r="J2359" s="2">
        <f>IF(I2359="", "", IF(AND(A2359="MF (Equity)", I2359&gt;12), "Long Term", "Short Term"))</f>
        <v/>
      </c>
      <c r="K2359" s="5">
        <f>IF(J2359="", "", IF(J2359="Long Term", 12.5%, 20%))</f>
        <v/>
      </c>
      <c r="L2359" s="3">
        <f>+IFERROR(IF(J2359="","",H2359*K2359),"")</f>
        <v/>
      </c>
    </row>
    <row r="2360">
      <c r="A2360" s="11" t="n"/>
      <c r="B2360" s="7" t="n"/>
      <c r="C2360" s="8" t="n"/>
      <c r="D2360" s="9" t="n"/>
      <c r="E2360" s="8" t="n"/>
      <c r="F2360" s="9" t="n"/>
      <c r="G2360" s="9" t="n"/>
      <c r="H2360" s="3">
        <f>IF(AND(D2360&lt;&gt;"",F2360&lt;&gt;""),F2360-D2360-G2360,"")</f>
        <v/>
      </c>
      <c r="I2360" s="14">
        <f>IF(E2360&lt;&gt;"", YEARFRAC(C2360, E2360) * 12, "")</f>
        <v/>
      </c>
      <c r="J2360" s="2">
        <f>IF(I2360="", "", IF(AND(A2360="MF (Equity)", I2360&gt;12), "Long Term", "Short Term"))</f>
        <v/>
      </c>
      <c r="K2360" s="5">
        <f>IF(J2360="", "", IF(J2360="Long Term", 12.5%, 20%))</f>
        <v/>
      </c>
      <c r="L2360" s="3">
        <f>+IFERROR(IF(J2360="","",H2360*K2360),"")</f>
        <v/>
      </c>
    </row>
    <row r="2361">
      <c r="A2361" s="11" t="n"/>
      <c r="B2361" s="7" t="n"/>
      <c r="C2361" s="8" t="n"/>
      <c r="D2361" s="9" t="n"/>
      <c r="E2361" s="8" t="n"/>
      <c r="F2361" s="9" t="n"/>
      <c r="G2361" s="9" t="n"/>
      <c r="H2361" s="3">
        <f>IF(AND(D2361&lt;&gt;"",F2361&lt;&gt;""),F2361-D2361-G2361,"")</f>
        <v/>
      </c>
      <c r="I2361" s="14">
        <f>IF(E2361&lt;&gt;"", YEARFRAC(C2361, E2361) * 12, "")</f>
        <v/>
      </c>
      <c r="J2361" s="2">
        <f>IF(I2361="", "", IF(AND(A2361="MF (Equity)", I2361&gt;12), "Long Term", "Short Term"))</f>
        <v/>
      </c>
      <c r="K2361" s="5">
        <f>IF(J2361="", "", IF(J2361="Long Term", 12.5%, 20%))</f>
        <v/>
      </c>
      <c r="L2361" s="3">
        <f>+IFERROR(IF(J2361="","",H2361*K2361),"")</f>
        <v/>
      </c>
    </row>
    <row r="2362">
      <c r="A2362" s="11" t="n"/>
      <c r="B2362" s="7" t="n"/>
      <c r="C2362" s="8" t="n"/>
      <c r="D2362" s="9" t="n"/>
      <c r="E2362" s="8" t="n"/>
      <c r="F2362" s="9" t="n"/>
      <c r="G2362" s="9" t="n"/>
      <c r="H2362" s="3">
        <f>IF(AND(D2362&lt;&gt;"",F2362&lt;&gt;""),F2362-D2362-G2362,"")</f>
        <v/>
      </c>
      <c r="I2362" s="14">
        <f>IF(E2362&lt;&gt;"", YEARFRAC(C2362, E2362) * 12, "")</f>
        <v/>
      </c>
      <c r="J2362" s="2">
        <f>IF(I2362="", "", IF(AND(A2362="MF (Equity)", I2362&gt;12), "Long Term", "Short Term"))</f>
        <v/>
      </c>
      <c r="K2362" s="5">
        <f>IF(J2362="", "", IF(J2362="Long Term", 12.5%, 20%))</f>
        <v/>
      </c>
      <c r="L2362" s="3">
        <f>+IFERROR(IF(J2362="","",H2362*K2362),"")</f>
        <v/>
      </c>
    </row>
    <row r="2363">
      <c r="A2363" s="11" t="n"/>
      <c r="B2363" s="7" t="n"/>
      <c r="C2363" s="8" t="n"/>
      <c r="D2363" s="9" t="n"/>
      <c r="E2363" s="8" t="n"/>
      <c r="F2363" s="9" t="n"/>
      <c r="G2363" s="9" t="n"/>
      <c r="H2363" s="3">
        <f>IF(AND(D2363&lt;&gt;"",F2363&lt;&gt;""),F2363-D2363-G2363,"")</f>
        <v/>
      </c>
      <c r="I2363" s="14">
        <f>IF(E2363&lt;&gt;"", YEARFRAC(C2363, E2363) * 12, "")</f>
        <v/>
      </c>
      <c r="J2363" s="2">
        <f>IF(I2363="", "", IF(AND(A2363="MF (Equity)", I2363&gt;12), "Long Term", "Short Term"))</f>
        <v/>
      </c>
      <c r="K2363" s="5">
        <f>IF(J2363="", "", IF(J2363="Long Term", 12.5%, 20%))</f>
        <v/>
      </c>
      <c r="L2363" s="3">
        <f>+IFERROR(IF(J2363="","",H2363*K2363),"")</f>
        <v/>
      </c>
    </row>
    <row r="2364">
      <c r="A2364" s="11" t="n"/>
      <c r="B2364" s="7" t="n"/>
      <c r="C2364" s="8" t="n"/>
      <c r="D2364" s="9" t="n"/>
      <c r="E2364" s="8" t="n"/>
      <c r="F2364" s="9" t="n"/>
      <c r="G2364" s="9" t="n"/>
      <c r="H2364" s="3">
        <f>IF(AND(D2364&lt;&gt;"",F2364&lt;&gt;""),F2364-D2364-G2364,"")</f>
        <v/>
      </c>
      <c r="I2364" s="14">
        <f>IF(E2364&lt;&gt;"", YEARFRAC(C2364, E2364) * 12, "")</f>
        <v/>
      </c>
      <c r="J2364" s="2">
        <f>IF(I2364="", "", IF(AND(A2364="MF (Equity)", I2364&gt;12), "Long Term", "Short Term"))</f>
        <v/>
      </c>
      <c r="K2364" s="5">
        <f>IF(J2364="", "", IF(J2364="Long Term", 12.5%, 20%))</f>
        <v/>
      </c>
      <c r="L2364" s="3">
        <f>+IFERROR(IF(J2364="","",H2364*K2364),"")</f>
        <v/>
      </c>
    </row>
    <row r="2365">
      <c r="A2365" s="11" t="n"/>
      <c r="B2365" s="7" t="n"/>
      <c r="C2365" s="8" t="n"/>
      <c r="D2365" s="9" t="n"/>
      <c r="E2365" s="8" t="n"/>
      <c r="F2365" s="9" t="n"/>
      <c r="G2365" s="9" t="n"/>
      <c r="H2365" s="3">
        <f>IF(AND(D2365&lt;&gt;"",F2365&lt;&gt;""),F2365-D2365-G2365,"")</f>
        <v/>
      </c>
      <c r="I2365" s="14">
        <f>IF(E2365&lt;&gt;"", YEARFRAC(C2365, E2365) * 12, "")</f>
        <v/>
      </c>
      <c r="J2365" s="2">
        <f>IF(I2365="", "", IF(AND(A2365="MF (Equity)", I2365&gt;12), "Long Term", "Short Term"))</f>
        <v/>
      </c>
      <c r="K2365" s="5">
        <f>IF(J2365="", "", IF(J2365="Long Term", 12.5%, 20%))</f>
        <v/>
      </c>
      <c r="L2365" s="3">
        <f>+IFERROR(IF(J2365="","",H2365*K2365),"")</f>
        <v/>
      </c>
    </row>
    <row r="2366">
      <c r="A2366" s="11" t="n"/>
      <c r="B2366" s="7" t="n"/>
      <c r="C2366" s="8" t="n"/>
      <c r="D2366" s="9" t="n"/>
      <c r="E2366" s="8" t="n"/>
      <c r="F2366" s="9" t="n"/>
      <c r="G2366" s="9" t="n"/>
      <c r="H2366" s="3">
        <f>IF(AND(D2366&lt;&gt;"",F2366&lt;&gt;""),F2366-D2366-G2366,"")</f>
        <v/>
      </c>
      <c r="I2366" s="14">
        <f>IF(E2366&lt;&gt;"", YEARFRAC(C2366, E2366) * 12, "")</f>
        <v/>
      </c>
      <c r="J2366" s="2">
        <f>IF(I2366="", "", IF(AND(A2366="MF (Equity)", I2366&gt;12), "Long Term", "Short Term"))</f>
        <v/>
      </c>
      <c r="K2366" s="5">
        <f>IF(J2366="", "", IF(J2366="Long Term", 12.5%, 20%))</f>
        <v/>
      </c>
      <c r="L2366" s="3">
        <f>+IFERROR(IF(J2366="","",H2366*K2366),"")</f>
        <v/>
      </c>
    </row>
    <row r="2367">
      <c r="A2367" s="11" t="n"/>
      <c r="B2367" s="7" t="n"/>
      <c r="C2367" s="8" t="n"/>
      <c r="D2367" s="9" t="n"/>
      <c r="E2367" s="8" t="n"/>
      <c r="F2367" s="9" t="n"/>
      <c r="G2367" s="9" t="n"/>
      <c r="H2367" s="3">
        <f>IF(AND(D2367&lt;&gt;"",F2367&lt;&gt;""),F2367-D2367-G2367,"")</f>
        <v/>
      </c>
      <c r="I2367" s="14">
        <f>IF(E2367&lt;&gt;"", YEARFRAC(C2367, E2367) * 12, "")</f>
        <v/>
      </c>
      <c r="J2367" s="2">
        <f>IF(I2367="", "", IF(AND(A2367="MF (Equity)", I2367&gt;12), "Long Term", "Short Term"))</f>
        <v/>
      </c>
      <c r="K2367" s="5">
        <f>IF(J2367="", "", IF(J2367="Long Term", 12.5%, 20%))</f>
        <v/>
      </c>
      <c r="L2367" s="3">
        <f>+IFERROR(IF(J2367="","",H2367*K2367),"")</f>
        <v/>
      </c>
    </row>
    <row r="2368">
      <c r="A2368" s="11" t="n"/>
      <c r="B2368" s="7" t="n"/>
      <c r="C2368" s="8" t="n"/>
      <c r="D2368" s="9" t="n"/>
      <c r="E2368" s="8" t="n"/>
      <c r="F2368" s="9" t="n"/>
      <c r="G2368" s="9" t="n"/>
      <c r="H2368" s="3">
        <f>IF(AND(D2368&lt;&gt;"",F2368&lt;&gt;""),F2368-D2368-G2368,"")</f>
        <v/>
      </c>
      <c r="I2368" s="14">
        <f>IF(E2368&lt;&gt;"", YEARFRAC(C2368, E2368) * 12, "")</f>
        <v/>
      </c>
      <c r="J2368" s="2">
        <f>IF(I2368="", "", IF(AND(A2368="MF (Equity)", I2368&gt;12), "Long Term", "Short Term"))</f>
        <v/>
      </c>
      <c r="K2368" s="5">
        <f>IF(J2368="", "", IF(J2368="Long Term", 12.5%, 20%))</f>
        <v/>
      </c>
      <c r="L2368" s="3">
        <f>+IFERROR(IF(J2368="","",H2368*K2368),"")</f>
        <v/>
      </c>
    </row>
    <row r="2369">
      <c r="A2369" s="11" t="n"/>
      <c r="B2369" s="7" t="n"/>
      <c r="C2369" s="8" t="n"/>
      <c r="D2369" s="9" t="n"/>
      <c r="E2369" s="8" t="n"/>
      <c r="F2369" s="9" t="n"/>
      <c r="G2369" s="9" t="n"/>
      <c r="H2369" s="3">
        <f>IF(AND(D2369&lt;&gt;"",F2369&lt;&gt;""),F2369-D2369-G2369,"")</f>
        <v/>
      </c>
      <c r="I2369" s="14">
        <f>IF(E2369&lt;&gt;"", YEARFRAC(C2369, E2369) * 12, "")</f>
        <v/>
      </c>
      <c r="J2369" s="2">
        <f>IF(I2369="", "", IF(AND(A2369="MF (Equity)", I2369&gt;12), "Long Term", "Short Term"))</f>
        <v/>
      </c>
      <c r="K2369" s="5">
        <f>IF(J2369="", "", IF(J2369="Long Term", 12.5%, 20%))</f>
        <v/>
      </c>
      <c r="L2369" s="3">
        <f>+IFERROR(IF(J2369="","",H2369*K2369),"")</f>
        <v/>
      </c>
    </row>
    <row r="2370">
      <c r="A2370" s="11" t="n"/>
      <c r="B2370" s="7" t="n"/>
      <c r="C2370" s="8" t="n"/>
      <c r="D2370" s="9" t="n"/>
      <c r="E2370" s="8" t="n"/>
      <c r="F2370" s="9" t="n"/>
      <c r="G2370" s="9" t="n"/>
      <c r="H2370" s="3">
        <f>IF(AND(D2370&lt;&gt;"",F2370&lt;&gt;""),F2370-D2370-G2370,"")</f>
        <v/>
      </c>
      <c r="I2370" s="14">
        <f>IF(E2370&lt;&gt;"", YEARFRAC(C2370, E2370) * 12, "")</f>
        <v/>
      </c>
      <c r="J2370" s="2">
        <f>IF(I2370="", "", IF(AND(A2370="MF (Equity)", I2370&gt;12), "Long Term", "Short Term"))</f>
        <v/>
      </c>
      <c r="K2370" s="5">
        <f>IF(J2370="", "", IF(J2370="Long Term", 12.5%, 20%))</f>
        <v/>
      </c>
      <c r="L2370" s="3">
        <f>+IFERROR(IF(J2370="","",H2370*K2370),"")</f>
        <v/>
      </c>
    </row>
    <row r="2371">
      <c r="A2371" s="11" t="n"/>
      <c r="B2371" s="7" t="n"/>
      <c r="C2371" s="8" t="n"/>
      <c r="D2371" s="9" t="n"/>
      <c r="E2371" s="8" t="n"/>
      <c r="F2371" s="9" t="n"/>
      <c r="G2371" s="9" t="n"/>
      <c r="H2371" s="3">
        <f>IF(AND(D2371&lt;&gt;"",F2371&lt;&gt;""),F2371-D2371-G2371,"")</f>
        <v/>
      </c>
      <c r="I2371" s="14">
        <f>IF(E2371&lt;&gt;"", YEARFRAC(C2371, E2371) * 12, "")</f>
        <v/>
      </c>
      <c r="J2371" s="2">
        <f>IF(I2371="", "", IF(AND(A2371="MF (Equity)", I2371&gt;12), "Long Term", "Short Term"))</f>
        <v/>
      </c>
      <c r="K2371" s="5">
        <f>IF(J2371="", "", IF(J2371="Long Term", 12.5%, 20%))</f>
        <v/>
      </c>
      <c r="L2371" s="3">
        <f>+IFERROR(IF(J2371="","",H2371*K2371),"")</f>
        <v/>
      </c>
    </row>
    <row r="2372">
      <c r="A2372" s="11" t="n"/>
      <c r="B2372" s="7" t="n"/>
      <c r="C2372" s="8" t="n"/>
      <c r="D2372" s="9" t="n"/>
      <c r="E2372" s="8" t="n"/>
      <c r="F2372" s="9" t="n"/>
      <c r="G2372" s="9" t="n"/>
      <c r="H2372" s="3">
        <f>IF(AND(D2372&lt;&gt;"",F2372&lt;&gt;""),F2372-D2372-G2372,"")</f>
        <v/>
      </c>
      <c r="I2372" s="14">
        <f>IF(E2372&lt;&gt;"", YEARFRAC(C2372, E2372) * 12, "")</f>
        <v/>
      </c>
      <c r="J2372" s="2">
        <f>IF(I2372="", "", IF(AND(A2372="MF (Equity)", I2372&gt;12), "Long Term", "Short Term"))</f>
        <v/>
      </c>
      <c r="K2372" s="5">
        <f>IF(J2372="", "", IF(J2372="Long Term", 12.5%, 20%))</f>
        <v/>
      </c>
      <c r="L2372" s="3">
        <f>+IFERROR(IF(J2372="","",H2372*K2372),"")</f>
        <v/>
      </c>
    </row>
    <row r="2373">
      <c r="A2373" s="11" t="n"/>
      <c r="B2373" s="7" t="n"/>
      <c r="C2373" s="8" t="n"/>
      <c r="D2373" s="9" t="n"/>
      <c r="E2373" s="8" t="n"/>
      <c r="F2373" s="9" t="n"/>
      <c r="G2373" s="9" t="n"/>
      <c r="H2373" s="3">
        <f>IF(AND(D2373&lt;&gt;"",F2373&lt;&gt;""),F2373-D2373-G2373,"")</f>
        <v/>
      </c>
      <c r="I2373" s="14">
        <f>IF(E2373&lt;&gt;"", YEARFRAC(C2373, E2373) * 12, "")</f>
        <v/>
      </c>
      <c r="J2373" s="2">
        <f>IF(I2373="", "", IF(AND(A2373="MF (Equity)", I2373&gt;12), "Long Term", "Short Term"))</f>
        <v/>
      </c>
      <c r="K2373" s="5">
        <f>IF(J2373="", "", IF(J2373="Long Term", 12.5%, 20%))</f>
        <v/>
      </c>
      <c r="L2373" s="3">
        <f>+IFERROR(IF(J2373="","",H2373*K2373),"")</f>
        <v/>
      </c>
    </row>
    <row r="2374">
      <c r="A2374" s="11" t="n"/>
      <c r="B2374" s="7" t="n"/>
      <c r="C2374" s="8" t="n"/>
      <c r="D2374" s="9" t="n"/>
      <c r="E2374" s="8" t="n"/>
      <c r="F2374" s="9" t="n"/>
      <c r="G2374" s="9" t="n"/>
      <c r="H2374" s="3">
        <f>IF(AND(D2374&lt;&gt;"",F2374&lt;&gt;""),F2374-D2374-G2374,"")</f>
        <v/>
      </c>
      <c r="I2374" s="14">
        <f>IF(E2374&lt;&gt;"", YEARFRAC(C2374, E2374) * 12, "")</f>
        <v/>
      </c>
      <c r="J2374" s="2">
        <f>IF(I2374="", "", IF(AND(A2374="MF (Equity)", I2374&gt;12), "Long Term", "Short Term"))</f>
        <v/>
      </c>
      <c r="K2374" s="5">
        <f>IF(J2374="", "", IF(J2374="Long Term", 12.5%, 20%))</f>
        <v/>
      </c>
      <c r="L2374" s="3">
        <f>+IFERROR(IF(J2374="","",H2374*K2374),"")</f>
        <v/>
      </c>
    </row>
    <row r="2375">
      <c r="A2375" s="11" t="n"/>
      <c r="B2375" s="7" t="n"/>
      <c r="C2375" s="8" t="n"/>
      <c r="D2375" s="9" t="n"/>
      <c r="E2375" s="8" t="n"/>
      <c r="F2375" s="9" t="n"/>
      <c r="G2375" s="9" t="n"/>
      <c r="H2375" s="3">
        <f>IF(AND(D2375&lt;&gt;"",F2375&lt;&gt;""),F2375-D2375-G2375,"")</f>
        <v/>
      </c>
      <c r="I2375" s="14">
        <f>IF(E2375&lt;&gt;"", YEARFRAC(C2375, E2375) * 12, "")</f>
        <v/>
      </c>
      <c r="J2375" s="2">
        <f>IF(I2375="", "", IF(AND(A2375="MF (Equity)", I2375&gt;12), "Long Term", "Short Term"))</f>
        <v/>
      </c>
      <c r="K2375" s="5">
        <f>IF(J2375="", "", IF(J2375="Long Term", 12.5%, 20%))</f>
        <v/>
      </c>
      <c r="L2375" s="3">
        <f>+IFERROR(IF(J2375="","",H2375*K2375),"")</f>
        <v/>
      </c>
    </row>
    <row r="2376">
      <c r="A2376" s="11" t="n"/>
      <c r="B2376" s="7" t="n"/>
      <c r="C2376" s="8" t="n"/>
      <c r="D2376" s="9" t="n"/>
      <c r="E2376" s="8" t="n"/>
      <c r="F2376" s="9" t="n"/>
      <c r="G2376" s="9" t="n"/>
      <c r="H2376" s="3">
        <f>IF(AND(D2376&lt;&gt;"",F2376&lt;&gt;""),F2376-D2376-G2376,"")</f>
        <v/>
      </c>
      <c r="I2376" s="14">
        <f>IF(E2376&lt;&gt;"", YEARFRAC(C2376, E2376) * 12, "")</f>
        <v/>
      </c>
      <c r="J2376" s="2">
        <f>IF(I2376="", "", IF(AND(A2376="MF (Equity)", I2376&gt;12), "Long Term", "Short Term"))</f>
        <v/>
      </c>
      <c r="K2376" s="5">
        <f>IF(J2376="", "", IF(J2376="Long Term", 12.5%, 20%))</f>
        <v/>
      </c>
      <c r="L2376" s="3">
        <f>+IFERROR(IF(J2376="","",H2376*K2376),"")</f>
        <v/>
      </c>
    </row>
    <row r="2377">
      <c r="A2377" s="11" t="n"/>
      <c r="B2377" s="7" t="n"/>
      <c r="C2377" s="8" t="n"/>
      <c r="D2377" s="9" t="n"/>
      <c r="E2377" s="8" t="n"/>
      <c r="F2377" s="9" t="n"/>
      <c r="G2377" s="9" t="n"/>
      <c r="H2377" s="3">
        <f>IF(AND(D2377&lt;&gt;"",F2377&lt;&gt;""),F2377-D2377-G2377,"")</f>
        <v/>
      </c>
      <c r="I2377" s="14">
        <f>IF(E2377&lt;&gt;"", YEARFRAC(C2377, E2377) * 12, "")</f>
        <v/>
      </c>
      <c r="J2377" s="2">
        <f>IF(I2377="", "", IF(AND(A2377="MF (Equity)", I2377&gt;12), "Long Term", "Short Term"))</f>
        <v/>
      </c>
      <c r="K2377" s="5">
        <f>IF(J2377="", "", IF(J2377="Long Term", 12.5%, 20%))</f>
        <v/>
      </c>
      <c r="L2377" s="3">
        <f>+IFERROR(IF(J2377="","",H2377*K2377),"")</f>
        <v/>
      </c>
    </row>
    <row r="2378">
      <c r="A2378" s="11" t="n"/>
      <c r="B2378" s="7" t="n"/>
      <c r="C2378" s="8" t="n"/>
      <c r="D2378" s="9" t="n"/>
      <c r="E2378" s="8" t="n"/>
      <c r="F2378" s="9" t="n"/>
      <c r="G2378" s="9" t="n"/>
      <c r="H2378" s="3">
        <f>IF(AND(D2378&lt;&gt;"",F2378&lt;&gt;""),F2378-D2378-G2378,"")</f>
        <v/>
      </c>
      <c r="I2378" s="14">
        <f>IF(E2378&lt;&gt;"", YEARFRAC(C2378, E2378) * 12, "")</f>
        <v/>
      </c>
      <c r="J2378" s="2">
        <f>IF(I2378="", "", IF(AND(A2378="MF (Equity)", I2378&gt;12), "Long Term", "Short Term"))</f>
        <v/>
      </c>
      <c r="K2378" s="5">
        <f>IF(J2378="", "", IF(J2378="Long Term", 12.5%, 20%))</f>
        <v/>
      </c>
      <c r="L2378" s="3">
        <f>+IFERROR(IF(J2378="","",H2378*K2378),"")</f>
        <v/>
      </c>
    </row>
    <row r="2379">
      <c r="A2379" s="11" t="n"/>
      <c r="B2379" s="7" t="n"/>
      <c r="C2379" s="8" t="n"/>
      <c r="D2379" s="9" t="n"/>
      <c r="E2379" s="8" t="n"/>
      <c r="F2379" s="9" t="n"/>
      <c r="G2379" s="9" t="n"/>
      <c r="H2379" s="3">
        <f>IF(AND(D2379&lt;&gt;"",F2379&lt;&gt;""),F2379-D2379-G2379,"")</f>
        <v/>
      </c>
      <c r="I2379" s="14">
        <f>IF(E2379&lt;&gt;"", YEARFRAC(C2379, E2379) * 12, "")</f>
        <v/>
      </c>
      <c r="J2379" s="2">
        <f>IF(I2379="", "", IF(AND(A2379="MF (Equity)", I2379&gt;12), "Long Term", "Short Term"))</f>
        <v/>
      </c>
      <c r="K2379" s="5">
        <f>IF(J2379="", "", IF(J2379="Long Term", 12.5%, 20%))</f>
        <v/>
      </c>
      <c r="L2379" s="3">
        <f>+IFERROR(IF(J2379="","",H2379*K2379),"")</f>
        <v/>
      </c>
    </row>
    <row r="2380">
      <c r="A2380" s="11" t="n"/>
      <c r="B2380" s="7" t="n"/>
      <c r="C2380" s="8" t="n"/>
      <c r="D2380" s="9" t="n"/>
      <c r="E2380" s="8" t="n"/>
      <c r="F2380" s="9" t="n"/>
      <c r="G2380" s="9" t="n"/>
      <c r="H2380" s="3">
        <f>IF(AND(D2380&lt;&gt;"",F2380&lt;&gt;""),F2380-D2380-G2380,"")</f>
        <v/>
      </c>
      <c r="I2380" s="14">
        <f>IF(E2380&lt;&gt;"", YEARFRAC(C2380, E2380) * 12, "")</f>
        <v/>
      </c>
      <c r="J2380" s="2">
        <f>IF(I2380="", "", IF(AND(A2380="MF (Equity)", I2380&gt;12), "Long Term", "Short Term"))</f>
        <v/>
      </c>
      <c r="K2380" s="5">
        <f>IF(J2380="", "", IF(J2380="Long Term", 12.5%, 20%))</f>
        <v/>
      </c>
      <c r="L2380" s="3">
        <f>+IFERROR(IF(J2380="","",H2380*K2380),"")</f>
        <v/>
      </c>
    </row>
    <row r="2381">
      <c r="A2381" s="11" t="n"/>
      <c r="B2381" s="7" t="n"/>
      <c r="C2381" s="8" t="n"/>
      <c r="D2381" s="9" t="n"/>
      <c r="E2381" s="8" t="n"/>
      <c r="F2381" s="9" t="n"/>
      <c r="G2381" s="9" t="n"/>
      <c r="H2381" s="3">
        <f>IF(AND(D2381&lt;&gt;"",F2381&lt;&gt;""),F2381-D2381-G2381,"")</f>
        <v/>
      </c>
      <c r="I2381" s="14">
        <f>IF(E2381&lt;&gt;"", YEARFRAC(C2381, E2381) * 12, "")</f>
        <v/>
      </c>
      <c r="J2381" s="2">
        <f>IF(I2381="", "", IF(AND(A2381="MF (Equity)", I2381&gt;12), "Long Term", "Short Term"))</f>
        <v/>
      </c>
      <c r="K2381" s="5">
        <f>IF(J2381="", "", IF(J2381="Long Term", 12.5%, 20%))</f>
        <v/>
      </c>
      <c r="L2381" s="3">
        <f>+IFERROR(IF(J2381="","",H2381*K2381),"")</f>
        <v/>
      </c>
    </row>
    <row r="2382">
      <c r="A2382" s="11" t="n"/>
      <c r="B2382" s="7" t="n"/>
      <c r="C2382" s="8" t="n"/>
      <c r="D2382" s="9" t="n"/>
      <c r="E2382" s="8" t="n"/>
      <c r="F2382" s="9" t="n"/>
      <c r="G2382" s="9" t="n"/>
      <c r="H2382" s="3">
        <f>IF(AND(D2382&lt;&gt;"",F2382&lt;&gt;""),F2382-D2382-G2382,"")</f>
        <v/>
      </c>
      <c r="I2382" s="14">
        <f>IF(E2382&lt;&gt;"", YEARFRAC(C2382, E2382) * 12, "")</f>
        <v/>
      </c>
      <c r="J2382" s="2">
        <f>IF(I2382="", "", IF(AND(A2382="MF (Equity)", I2382&gt;12), "Long Term", "Short Term"))</f>
        <v/>
      </c>
      <c r="K2382" s="5">
        <f>IF(J2382="", "", IF(J2382="Long Term", 12.5%, 20%))</f>
        <v/>
      </c>
      <c r="L2382" s="3">
        <f>+IFERROR(IF(J2382="","",H2382*K2382),"")</f>
        <v/>
      </c>
    </row>
    <row r="2383">
      <c r="A2383" s="11" t="n"/>
      <c r="B2383" s="7" t="n"/>
      <c r="C2383" s="8" t="n"/>
      <c r="D2383" s="9" t="n"/>
      <c r="E2383" s="8" t="n"/>
      <c r="F2383" s="9" t="n"/>
      <c r="G2383" s="9" t="n"/>
      <c r="H2383" s="3">
        <f>IF(AND(D2383&lt;&gt;"",F2383&lt;&gt;""),F2383-D2383-G2383,"")</f>
        <v/>
      </c>
      <c r="I2383" s="14">
        <f>IF(E2383&lt;&gt;"", YEARFRAC(C2383, E2383) * 12, "")</f>
        <v/>
      </c>
      <c r="J2383" s="2">
        <f>IF(I2383="", "", IF(AND(A2383="MF (Equity)", I2383&gt;12), "Long Term", "Short Term"))</f>
        <v/>
      </c>
      <c r="K2383" s="5">
        <f>IF(J2383="", "", IF(J2383="Long Term", 12.5%, 20%))</f>
        <v/>
      </c>
      <c r="L2383" s="3">
        <f>+IFERROR(IF(J2383="","",H2383*K2383),"")</f>
        <v/>
      </c>
    </row>
    <row r="2384">
      <c r="A2384" s="11" t="n"/>
      <c r="B2384" s="7" t="n"/>
      <c r="C2384" s="8" t="n"/>
      <c r="D2384" s="9" t="n"/>
      <c r="E2384" s="8" t="n"/>
      <c r="F2384" s="9" t="n"/>
      <c r="G2384" s="9" t="n"/>
      <c r="H2384" s="3">
        <f>IF(AND(D2384&lt;&gt;"",F2384&lt;&gt;""),F2384-D2384-G2384,"")</f>
        <v/>
      </c>
      <c r="I2384" s="14">
        <f>IF(E2384&lt;&gt;"", YEARFRAC(C2384, E2384) * 12, "")</f>
        <v/>
      </c>
      <c r="J2384" s="2">
        <f>IF(I2384="", "", IF(AND(A2384="MF (Equity)", I2384&gt;12), "Long Term", "Short Term"))</f>
        <v/>
      </c>
      <c r="K2384" s="5">
        <f>IF(J2384="", "", IF(J2384="Long Term", 12.5%, 20%))</f>
        <v/>
      </c>
      <c r="L2384" s="3">
        <f>+IFERROR(IF(J2384="","",H2384*K2384),"")</f>
        <v/>
      </c>
    </row>
    <row r="2385">
      <c r="A2385" s="11" t="n"/>
      <c r="B2385" s="7" t="n"/>
      <c r="C2385" s="8" t="n"/>
      <c r="D2385" s="9" t="n"/>
      <c r="E2385" s="8" t="n"/>
      <c r="F2385" s="9" t="n"/>
      <c r="G2385" s="9" t="n"/>
      <c r="H2385" s="3">
        <f>IF(AND(D2385&lt;&gt;"",F2385&lt;&gt;""),F2385-D2385-G2385,"")</f>
        <v/>
      </c>
      <c r="I2385" s="14">
        <f>IF(E2385&lt;&gt;"", YEARFRAC(C2385, E2385) * 12, "")</f>
        <v/>
      </c>
      <c r="J2385" s="2">
        <f>IF(I2385="", "", IF(AND(A2385="MF (Equity)", I2385&gt;12), "Long Term", "Short Term"))</f>
        <v/>
      </c>
      <c r="K2385" s="5">
        <f>IF(J2385="", "", IF(J2385="Long Term", 12.5%, 20%))</f>
        <v/>
      </c>
      <c r="L2385" s="3">
        <f>+IFERROR(IF(J2385="","",H2385*K2385),"")</f>
        <v/>
      </c>
    </row>
    <row r="2386">
      <c r="A2386" s="11" t="n"/>
      <c r="B2386" s="7" t="n"/>
      <c r="C2386" s="8" t="n"/>
      <c r="D2386" s="9" t="n"/>
      <c r="E2386" s="8" t="n"/>
      <c r="F2386" s="9" t="n"/>
      <c r="G2386" s="9" t="n"/>
      <c r="H2386" s="3">
        <f>IF(AND(D2386&lt;&gt;"",F2386&lt;&gt;""),F2386-D2386-G2386,"")</f>
        <v/>
      </c>
      <c r="I2386" s="14">
        <f>IF(E2386&lt;&gt;"", YEARFRAC(C2386, E2386) * 12, "")</f>
        <v/>
      </c>
      <c r="J2386" s="2">
        <f>IF(I2386="", "", IF(AND(A2386="MF (Equity)", I2386&gt;12), "Long Term", "Short Term"))</f>
        <v/>
      </c>
      <c r="K2386" s="5">
        <f>IF(J2386="", "", IF(J2386="Long Term", 12.5%, 20%))</f>
        <v/>
      </c>
      <c r="L2386" s="3">
        <f>+IFERROR(IF(J2386="","",H2386*K2386),"")</f>
        <v/>
      </c>
    </row>
    <row r="2387">
      <c r="A2387" s="11" t="n"/>
      <c r="B2387" s="7" t="n"/>
      <c r="C2387" s="8" t="n"/>
      <c r="D2387" s="9" t="n"/>
      <c r="E2387" s="8" t="n"/>
      <c r="F2387" s="9" t="n"/>
      <c r="G2387" s="9" t="n"/>
      <c r="H2387" s="3">
        <f>IF(AND(D2387&lt;&gt;"",F2387&lt;&gt;""),F2387-D2387-G2387,"")</f>
        <v/>
      </c>
      <c r="I2387" s="14">
        <f>IF(E2387&lt;&gt;"", YEARFRAC(C2387, E2387) * 12, "")</f>
        <v/>
      </c>
      <c r="J2387" s="2">
        <f>IF(I2387="", "", IF(AND(A2387="MF (Equity)", I2387&gt;12), "Long Term", "Short Term"))</f>
        <v/>
      </c>
      <c r="K2387" s="5">
        <f>IF(J2387="", "", IF(J2387="Long Term", 12.5%, 20%))</f>
        <v/>
      </c>
      <c r="L2387" s="3">
        <f>+IFERROR(IF(J2387="","",H2387*K2387),"")</f>
        <v/>
      </c>
    </row>
    <row r="2388">
      <c r="A2388" s="11" t="n"/>
      <c r="B2388" s="7" t="n"/>
      <c r="C2388" s="8" t="n"/>
      <c r="D2388" s="9" t="n"/>
      <c r="E2388" s="8" t="n"/>
      <c r="F2388" s="9" t="n"/>
      <c r="G2388" s="9" t="n"/>
      <c r="H2388" s="3">
        <f>IF(AND(D2388&lt;&gt;"",F2388&lt;&gt;""),F2388-D2388-G2388,"")</f>
        <v/>
      </c>
      <c r="I2388" s="14">
        <f>IF(E2388&lt;&gt;"", YEARFRAC(C2388, E2388) * 12, "")</f>
        <v/>
      </c>
      <c r="J2388" s="2">
        <f>IF(I2388="", "", IF(AND(A2388="MF (Equity)", I2388&gt;12), "Long Term", "Short Term"))</f>
        <v/>
      </c>
      <c r="K2388" s="5">
        <f>IF(J2388="", "", IF(J2388="Long Term", 12.5%, 20%))</f>
        <v/>
      </c>
      <c r="L2388" s="3">
        <f>+IFERROR(IF(J2388="","",H2388*K2388),"")</f>
        <v/>
      </c>
    </row>
    <row r="2389">
      <c r="A2389" s="11" t="n"/>
      <c r="B2389" s="7" t="n"/>
      <c r="C2389" s="8" t="n"/>
      <c r="D2389" s="9" t="n"/>
      <c r="E2389" s="8" t="n"/>
      <c r="F2389" s="9" t="n"/>
      <c r="G2389" s="9" t="n"/>
      <c r="H2389" s="3">
        <f>IF(AND(D2389&lt;&gt;"",F2389&lt;&gt;""),F2389-D2389-G2389,"")</f>
        <v/>
      </c>
      <c r="I2389" s="14">
        <f>IF(E2389&lt;&gt;"", YEARFRAC(C2389, E2389) * 12, "")</f>
        <v/>
      </c>
      <c r="J2389" s="2">
        <f>IF(I2389="", "", IF(AND(A2389="MF (Equity)", I2389&gt;12), "Long Term", "Short Term"))</f>
        <v/>
      </c>
      <c r="K2389" s="5">
        <f>IF(J2389="", "", IF(J2389="Long Term", 12.5%, 20%))</f>
        <v/>
      </c>
      <c r="L2389" s="3">
        <f>+IFERROR(IF(J2389="","",H2389*K2389),"")</f>
        <v/>
      </c>
    </row>
    <row r="2390">
      <c r="A2390" s="11" t="n"/>
      <c r="B2390" s="7" t="n"/>
      <c r="C2390" s="8" t="n"/>
      <c r="D2390" s="9" t="n"/>
      <c r="E2390" s="8" t="n"/>
      <c r="F2390" s="9" t="n"/>
      <c r="G2390" s="9" t="n"/>
      <c r="H2390" s="3">
        <f>IF(AND(D2390&lt;&gt;"",F2390&lt;&gt;""),F2390-D2390-G2390,"")</f>
        <v/>
      </c>
      <c r="I2390" s="14">
        <f>IF(E2390&lt;&gt;"", YEARFRAC(C2390, E2390) * 12, "")</f>
        <v/>
      </c>
      <c r="J2390" s="2">
        <f>IF(I2390="", "", IF(AND(A2390="MF (Equity)", I2390&gt;12), "Long Term", "Short Term"))</f>
        <v/>
      </c>
      <c r="K2390" s="5">
        <f>IF(J2390="", "", IF(J2390="Long Term", 12.5%, 20%))</f>
        <v/>
      </c>
      <c r="L2390" s="3">
        <f>+IFERROR(IF(J2390="","",H2390*K2390),"")</f>
        <v/>
      </c>
    </row>
    <row r="2391">
      <c r="A2391" s="11" t="n"/>
      <c r="B2391" s="7" t="n"/>
      <c r="C2391" s="8" t="n"/>
      <c r="D2391" s="9" t="n"/>
      <c r="E2391" s="8" t="n"/>
      <c r="F2391" s="9" t="n"/>
      <c r="G2391" s="9" t="n"/>
      <c r="H2391" s="3">
        <f>IF(AND(D2391&lt;&gt;"",F2391&lt;&gt;""),F2391-D2391-G2391,"")</f>
        <v/>
      </c>
      <c r="I2391" s="14">
        <f>IF(E2391&lt;&gt;"", YEARFRAC(C2391, E2391) * 12, "")</f>
        <v/>
      </c>
      <c r="J2391" s="2">
        <f>IF(I2391="", "", IF(AND(A2391="MF (Equity)", I2391&gt;12), "Long Term", "Short Term"))</f>
        <v/>
      </c>
      <c r="K2391" s="5">
        <f>IF(J2391="", "", IF(J2391="Long Term", 12.5%, 20%))</f>
        <v/>
      </c>
      <c r="L2391" s="3">
        <f>+IFERROR(IF(J2391="","",H2391*K2391),"")</f>
        <v/>
      </c>
    </row>
    <row r="2392">
      <c r="A2392" s="11" t="n"/>
      <c r="B2392" s="7" t="n"/>
      <c r="C2392" s="8" t="n"/>
      <c r="D2392" s="9" t="n"/>
      <c r="E2392" s="8" t="n"/>
      <c r="F2392" s="9" t="n"/>
      <c r="G2392" s="9" t="n"/>
      <c r="H2392" s="3">
        <f>IF(AND(D2392&lt;&gt;"",F2392&lt;&gt;""),F2392-D2392-G2392,"")</f>
        <v/>
      </c>
      <c r="I2392" s="14">
        <f>IF(E2392&lt;&gt;"", YEARFRAC(C2392, E2392) * 12, "")</f>
        <v/>
      </c>
      <c r="J2392" s="2">
        <f>IF(I2392="", "", IF(AND(A2392="MF (Equity)", I2392&gt;12), "Long Term", "Short Term"))</f>
        <v/>
      </c>
      <c r="K2392" s="5">
        <f>IF(J2392="", "", IF(J2392="Long Term", 12.5%, 20%))</f>
        <v/>
      </c>
      <c r="L2392" s="3">
        <f>+IFERROR(IF(J2392="","",H2392*K2392),"")</f>
        <v/>
      </c>
    </row>
    <row r="2393">
      <c r="A2393" s="11" t="n"/>
      <c r="B2393" s="7" t="n"/>
      <c r="C2393" s="8" t="n"/>
      <c r="D2393" s="9" t="n"/>
      <c r="E2393" s="8" t="n"/>
      <c r="F2393" s="9" t="n"/>
      <c r="G2393" s="9" t="n"/>
      <c r="H2393" s="3">
        <f>IF(AND(D2393&lt;&gt;"",F2393&lt;&gt;""),F2393-D2393-G2393,"")</f>
        <v/>
      </c>
      <c r="I2393" s="14">
        <f>IF(E2393&lt;&gt;"", YEARFRAC(C2393, E2393) * 12, "")</f>
        <v/>
      </c>
      <c r="J2393" s="2">
        <f>IF(I2393="", "", IF(AND(A2393="MF (Equity)", I2393&gt;12), "Long Term", "Short Term"))</f>
        <v/>
      </c>
      <c r="K2393" s="5">
        <f>IF(J2393="", "", IF(J2393="Long Term", 12.5%, 20%))</f>
        <v/>
      </c>
      <c r="L2393" s="3">
        <f>+IFERROR(IF(J2393="","",H2393*K2393),"")</f>
        <v/>
      </c>
    </row>
    <row r="2394">
      <c r="A2394" s="11" t="n"/>
      <c r="B2394" s="7" t="n"/>
      <c r="C2394" s="8" t="n"/>
      <c r="D2394" s="9" t="n"/>
      <c r="E2394" s="8" t="n"/>
      <c r="F2394" s="9" t="n"/>
      <c r="G2394" s="9" t="n"/>
      <c r="H2394" s="3">
        <f>IF(AND(D2394&lt;&gt;"",F2394&lt;&gt;""),F2394-D2394-G2394,"")</f>
        <v/>
      </c>
      <c r="I2394" s="14">
        <f>IF(E2394&lt;&gt;"", YEARFRAC(C2394, E2394) * 12, "")</f>
        <v/>
      </c>
      <c r="J2394" s="2">
        <f>IF(I2394="", "", IF(AND(A2394="MF (Equity)", I2394&gt;12), "Long Term", "Short Term"))</f>
        <v/>
      </c>
      <c r="K2394" s="5">
        <f>IF(J2394="", "", IF(J2394="Long Term", 12.5%, 20%))</f>
        <v/>
      </c>
      <c r="L2394" s="3">
        <f>+IFERROR(IF(J2394="","",H2394*K2394),"")</f>
        <v/>
      </c>
    </row>
    <row r="2395">
      <c r="A2395" s="11" t="n"/>
      <c r="B2395" s="7" t="n"/>
      <c r="C2395" s="8" t="n"/>
      <c r="D2395" s="9" t="n"/>
      <c r="E2395" s="8" t="n"/>
      <c r="F2395" s="9" t="n"/>
      <c r="G2395" s="9" t="n"/>
      <c r="H2395" s="3">
        <f>IF(AND(D2395&lt;&gt;"",F2395&lt;&gt;""),F2395-D2395-G2395,"")</f>
        <v/>
      </c>
      <c r="I2395" s="14">
        <f>IF(E2395&lt;&gt;"", YEARFRAC(C2395, E2395) * 12, "")</f>
        <v/>
      </c>
      <c r="J2395" s="2">
        <f>IF(I2395="", "", IF(AND(A2395="MF (Equity)", I2395&gt;12), "Long Term", "Short Term"))</f>
        <v/>
      </c>
      <c r="K2395" s="5">
        <f>IF(J2395="", "", IF(J2395="Long Term", 12.5%, 20%))</f>
        <v/>
      </c>
      <c r="L2395" s="3">
        <f>+IFERROR(IF(J2395="","",H2395*K2395),"")</f>
        <v/>
      </c>
    </row>
    <row r="2396">
      <c r="A2396" s="11" t="n"/>
      <c r="B2396" s="7" t="n"/>
      <c r="C2396" s="8" t="n"/>
      <c r="D2396" s="9" t="n"/>
      <c r="E2396" s="8" t="n"/>
      <c r="F2396" s="9" t="n"/>
      <c r="G2396" s="9" t="n"/>
      <c r="H2396" s="3">
        <f>IF(AND(D2396&lt;&gt;"",F2396&lt;&gt;""),F2396-D2396-G2396,"")</f>
        <v/>
      </c>
      <c r="I2396" s="14">
        <f>IF(E2396&lt;&gt;"", YEARFRAC(C2396, E2396) * 12, "")</f>
        <v/>
      </c>
      <c r="J2396" s="2">
        <f>IF(I2396="", "", IF(AND(A2396="MF (Equity)", I2396&gt;12), "Long Term", "Short Term"))</f>
        <v/>
      </c>
      <c r="K2396" s="5">
        <f>IF(J2396="", "", IF(J2396="Long Term", 12.5%, 20%))</f>
        <v/>
      </c>
      <c r="L2396" s="3">
        <f>+IFERROR(IF(J2396="","",H2396*K2396),"")</f>
        <v/>
      </c>
    </row>
    <row r="2397">
      <c r="A2397" s="11" t="n"/>
      <c r="B2397" s="7" t="n"/>
      <c r="C2397" s="8" t="n"/>
      <c r="D2397" s="9" t="n"/>
      <c r="E2397" s="8" t="n"/>
      <c r="F2397" s="9" t="n"/>
      <c r="G2397" s="9" t="n"/>
      <c r="H2397" s="3">
        <f>IF(AND(D2397&lt;&gt;"",F2397&lt;&gt;""),F2397-D2397-G2397,"")</f>
        <v/>
      </c>
      <c r="I2397" s="14">
        <f>IF(E2397&lt;&gt;"", YEARFRAC(C2397, E2397) * 12, "")</f>
        <v/>
      </c>
      <c r="J2397" s="2">
        <f>IF(I2397="", "", IF(AND(A2397="MF (Equity)", I2397&gt;12), "Long Term", "Short Term"))</f>
        <v/>
      </c>
      <c r="K2397" s="5">
        <f>IF(J2397="", "", IF(J2397="Long Term", 12.5%, 20%))</f>
        <v/>
      </c>
      <c r="L2397" s="3">
        <f>+IFERROR(IF(J2397="","",H2397*K2397),"")</f>
        <v/>
      </c>
    </row>
    <row r="2398">
      <c r="A2398" s="11" t="n"/>
      <c r="B2398" s="7" t="n"/>
      <c r="C2398" s="8" t="n"/>
      <c r="D2398" s="9" t="n"/>
      <c r="E2398" s="8" t="n"/>
      <c r="F2398" s="9" t="n"/>
      <c r="G2398" s="9" t="n"/>
      <c r="H2398" s="3">
        <f>IF(AND(D2398&lt;&gt;"",F2398&lt;&gt;""),F2398-D2398-G2398,"")</f>
        <v/>
      </c>
      <c r="I2398" s="14">
        <f>IF(E2398&lt;&gt;"", YEARFRAC(C2398, E2398) * 12, "")</f>
        <v/>
      </c>
      <c r="J2398" s="2">
        <f>IF(I2398="", "", IF(AND(A2398="MF (Equity)", I2398&gt;12), "Long Term", "Short Term"))</f>
        <v/>
      </c>
      <c r="K2398" s="5">
        <f>IF(J2398="", "", IF(J2398="Long Term", 12.5%, 20%))</f>
        <v/>
      </c>
      <c r="L2398" s="3">
        <f>+IFERROR(IF(J2398="","",H2398*K2398),"")</f>
        <v/>
      </c>
    </row>
    <row r="2399">
      <c r="A2399" s="11" t="n"/>
      <c r="B2399" s="7" t="n"/>
      <c r="C2399" s="8" t="n"/>
      <c r="D2399" s="9" t="n"/>
      <c r="E2399" s="8" t="n"/>
      <c r="F2399" s="9" t="n"/>
      <c r="G2399" s="9" t="n"/>
      <c r="H2399" s="3">
        <f>IF(AND(D2399&lt;&gt;"",F2399&lt;&gt;""),F2399-D2399-G2399,"")</f>
        <v/>
      </c>
      <c r="I2399" s="14">
        <f>IF(E2399&lt;&gt;"", YEARFRAC(C2399, E2399) * 12, "")</f>
        <v/>
      </c>
      <c r="J2399" s="2">
        <f>IF(I2399="", "", IF(AND(A2399="MF (Equity)", I2399&gt;12), "Long Term", "Short Term"))</f>
        <v/>
      </c>
      <c r="K2399" s="5">
        <f>IF(J2399="", "", IF(J2399="Long Term", 12.5%, 20%))</f>
        <v/>
      </c>
      <c r="L2399" s="3">
        <f>+IFERROR(IF(J2399="","",H2399*K2399),"")</f>
        <v/>
      </c>
    </row>
    <row r="2400">
      <c r="A2400" s="11" t="n"/>
      <c r="B2400" s="7" t="n"/>
      <c r="C2400" s="8" t="n"/>
      <c r="D2400" s="9" t="n"/>
      <c r="E2400" s="8" t="n"/>
      <c r="F2400" s="9" t="n"/>
      <c r="G2400" s="9" t="n"/>
      <c r="H2400" s="3">
        <f>IF(AND(D2400&lt;&gt;"",F2400&lt;&gt;""),F2400-D2400-G2400,"")</f>
        <v/>
      </c>
      <c r="I2400" s="14">
        <f>IF(E2400&lt;&gt;"", YEARFRAC(C2400, E2400) * 12, "")</f>
        <v/>
      </c>
      <c r="J2400" s="2">
        <f>IF(I2400="", "", IF(AND(A2400="MF (Equity)", I2400&gt;12), "Long Term", "Short Term"))</f>
        <v/>
      </c>
      <c r="K2400" s="5">
        <f>IF(J2400="", "", IF(J2400="Long Term", 12.5%, 20%))</f>
        <v/>
      </c>
      <c r="L2400" s="3">
        <f>+IFERROR(IF(J2400="","",H2400*K2400),"")</f>
        <v/>
      </c>
    </row>
    <row r="2401">
      <c r="A2401" s="11" t="n"/>
      <c r="B2401" s="7" t="n"/>
      <c r="C2401" s="8" t="n"/>
      <c r="D2401" s="9" t="n"/>
      <c r="E2401" s="8" t="n"/>
      <c r="F2401" s="9" t="n"/>
      <c r="G2401" s="9" t="n"/>
      <c r="H2401" s="3">
        <f>IF(AND(D2401&lt;&gt;"",F2401&lt;&gt;""),F2401-D2401-G2401,"")</f>
        <v/>
      </c>
      <c r="I2401" s="14">
        <f>IF(E2401&lt;&gt;"", YEARFRAC(C2401, E2401) * 12, "")</f>
        <v/>
      </c>
      <c r="J2401" s="2">
        <f>IF(I2401="", "", IF(AND(A2401="MF (Equity)", I2401&gt;12), "Long Term", "Short Term"))</f>
        <v/>
      </c>
      <c r="K2401" s="5">
        <f>IF(J2401="", "", IF(J2401="Long Term", 12.5%, 20%))</f>
        <v/>
      </c>
      <c r="L2401" s="3">
        <f>+IFERROR(IF(J2401="","",H2401*K2401),"")</f>
        <v/>
      </c>
    </row>
    <row r="2402">
      <c r="A2402" s="11" t="n"/>
      <c r="B2402" s="7" t="n"/>
      <c r="C2402" s="8" t="n"/>
      <c r="D2402" s="9" t="n"/>
      <c r="E2402" s="8" t="n"/>
      <c r="F2402" s="9" t="n"/>
      <c r="G2402" s="9" t="n"/>
      <c r="H2402" s="3">
        <f>IF(AND(D2402&lt;&gt;"",F2402&lt;&gt;""),F2402-D2402-G2402,"")</f>
        <v/>
      </c>
      <c r="I2402" s="14">
        <f>IF(E2402&lt;&gt;"", YEARFRAC(C2402, E2402) * 12, "")</f>
        <v/>
      </c>
      <c r="J2402" s="2">
        <f>IF(I2402="", "", IF(AND(A2402="MF (Equity)", I2402&gt;12), "Long Term", "Short Term"))</f>
        <v/>
      </c>
      <c r="K2402" s="5">
        <f>IF(J2402="", "", IF(J2402="Long Term", 12.5%, 20%))</f>
        <v/>
      </c>
      <c r="L2402" s="3">
        <f>+IFERROR(IF(J2402="","",H2402*K2402),"")</f>
        <v/>
      </c>
    </row>
    <row r="2403">
      <c r="A2403" s="11" t="n"/>
      <c r="B2403" s="7" t="n"/>
      <c r="C2403" s="8" t="n"/>
      <c r="D2403" s="9" t="n"/>
      <c r="E2403" s="8" t="n"/>
      <c r="F2403" s="9" t="n"/>
      <c r="G2403" s="9" t="n"/>
      <c r="H2403" s="3">
        <f>IF(AND(D2403&lt;&gt;"",F2403&lt;&gt;""),F2403-D2403-G2403,"")</f>
        <v/>
      </c>
      <c r="I2403" s="14">
        <f>IF(E2403&lt;&gt;"", YEARFRAC(C2403, E2403) * 12, "")</f>
        <v/>
      </c>
      <c r="J2403" s="2">
        <f>IF(I2403="", "", IF(AND(A2403="MF (Equity)", I2403&gt;12), "Long Term", "Short Term"))</f>
        <v/>
      </c>
      <c r="K2403" s="5">
        <f>IF(J2403="", "", IF(J2403="Long Term", 12.5%, 20%))</f>
        <v/>
      </c>
      <c r="L2403" s="3">
        <f>+IFERROR(IF(J2403="","",H2403*K2403),"")</f>
        <v/>
      </c>
    </row>
    <row r="2404">
      <c r="A2404" s="11" t="n"/>
      <c r="B2404" s="7" t="n"/>
      <c r="C2404" s="8" t="n"/>
      <c r="D2404" s="9" t="n"/>
      <c r="E2404" s="8" t="n"/>
      <c r="F2404" s="9" t="n"/>
      <c r="G2404" s="9" t="n"/>
      <c r="H2404" s="3">
        <f>IF(AND(D2404&lt;&gt;"",F2404&lt;&gt;""),F2404-D2404-G2404,"")</f>
        <v/>
      </c>
      <c r="I2404" s="14">
        <f>IF(E2404&lt;&gt;"", YEARFRAC(C2404, E2404) * 12, "")</f>
        <v/>
      </c>
      <c r="J2404" s="2">
        <f>IF(I2404="", "", IF(AND(A2404="MF (Equity)", I2404&gt;12), "Long Term", "Short Term"))</f>
        <v/>
      </c>
      <c r="K2404" s="5">
        <f>IF(J2404="", "", IF(J2404="Long Term", 12.5%, 20%))</f>
        <v/>
      </c>
      <c r="L2404" s="3">
        <f>+IFERROR(IF(J2404="","",H2404*K2404),"")</f>
        <v/>
      </c>
    </row>
    <row r="2405">
      <c r="A2405" s="11" t="n"/>
      <c r="B2405" s="7" t="n"/>
      <c r="C2405" s="8" t="n"/>
      <c r="D2405" s="9" t="n"/>
      <c r="E2405" s="8" t="n"/>
      <c r="F2405" s="9" t="n"/>
      <c r="G2405" s="9" t="n"/>
      <c r="H2405" s="3">
        <f>IF(AND(D2405&lt;&gt;"",F2405&lt;&gt;""),F2405-D2405-G2405,"")</f>
        <v/>
      </c>
      <c r="I2405" s="14">
        <f>IF(E2405&lt;&gt;"", YEARFRAC(C2405, E2405) * 12, "")</f>
        <v/>
      </c>
      <c r="J2405" s="2">
        <f>IF(I2405="", "", IF(AND(A2405="MF (Equity)", I2405&gt;12), "Long Term", "Short Term"))</f>
        <v/>
      </c>
      <c r="K2405" s="5">
        <f>IF(J2405="", "", IF(J2405="Long Term", 12.5%, 20%))</f>
        <v/>
      </c>
      <c r="L2405" s="3">
        <f>+IFERROR(IF(J2405="","",H2405*K2405),"")</f>
        <v/>
      </c>
    </row>
    <row r="2406">
      <c r="A2406" s="11" t="n"/>
      <c r="B2406" s="7" t="n"/>
      <c r="C2406" s="8" t="n"/>
      <c r="D2406" s="9" t="n"/>
      <c r="E2406" s="8" t="n"/>
      <c r="F2406" s="9" t="n"/>
      <c r="G2406" s="9" t="n"/>
      <c r="H2406" s="3">
        <f>IF(AND(D2406&lt;&gt;"",F2406&lt;&gt;""),F2406-D2406-G2406,"")</f>
        <v/>
      </c>
      <c r="I2406" s="14">
        <f>IF(E2406&lt;&gt;"", YEARFRAC(C2406, E2406) * 12, "")</f>
        <v/>
      </c>
      <c r="J2406" s="2">
        <f>IF(I2406="", "", IF(AND(A2406="MF (Equity)", I2406&gt;12), "Long Term", "Short Term"))</f>
        <v/>
      </c>
      <c r="K2406" s="5">
        <f>IF(J2406="", "", IF(J2406="Long Term", 12.5%, 20%))</f>
        <v/>
      </c>
      <c r="L2406" s="3">
        <f>+IFERROR(IF(J2406="","",H2406*K2406),"")</f>
        <v/>
      </c>
    </row>
    <row r="2407">
      <c r="A2407" s="11" t="n"/>
      <c r="B2407" s="7" t="n"/>
      <c r="C2407" s="8" t="n"/>
      <c r="D2407" s="9" t="n"/>
      <c r="E2407" s="8" t="n"/>
      <c r="F2407" s="9" t="n"/>
      <c r="G2407" s="9" t="n"/>
      <c r="H2407" s="3">
        <f>IF(AND(D2407&lt;&gt;"",F2407&lt;&gt;""),F2407-D2407-G2407,"")</f>
        <v/>
      </c>
      <c r="I2407" s="14">
        <f>IF(E2407&lt;&gt;"", YEARFRAC(C2407, E2407) * 12, "")</f>
        <v/>
      </c>
      <c r="J2407" s="2">
        <f>IF(I2407="", "", IF(AND(A2407="MF (Equity)", I2407&gt;12), "Long Term", "Short Term"))</f>
        <v/>
      </c>
      <c r="K2407" s="5">
        <f>IF(J2407="", "", IF(J2407="Long Term", 12.5%, 20%))</f>
        <v/>
      </c>
      <c r="L2407" s="3">
        <f>+IFERROR(IF(J2407="","",H2407*K2407),"")</f>
        <v/>
      </c>
    </row>
    <row r="2408">
      <c r="A2408" s="11" t="n"/>
      <c r="B2408" s="7" t="n"/>
      <c r="C2408" s="8" t="n"/>
      <c r="D2408" s="9" t="n"/>
      <c r="E2408" s="8" t="n"/>
      <c r="F2408" s="9" t="n"/>
      <c r="G2408" s="9" t="n"/>
      <c r="H2408" s="3">
        <f>IF(AND(D2408&lt;&gt;"",F2408&lt;&gt;""),F2408-D2408-G2408,"")</f>
        <v/>
      </c>
      <c r="I2408" s="14">
        <f>IF(E2408&lt;&gt;"", YEARFRAC(C2408, E2408) * 12, "")</f>
        <v/>
      </c>
      <c r="J2408" s="2">
        <f>IF(I2408="", "", IF(AND(A2408="MF (Equity)", I2408&gt;12), "Long Term", "Short Term"))</f>
        <v/>
      </c>
      <c r="K2408" s="5">
        <f>IF(J2408="", "", IF(J2408="Long Term", 12.5%, 20%))</f>
        <v/>
      </c>
      <c r="L2408" s="3">
        <f>+IFERROR(IF(J2408="","",H2408*K2408),"")</f>
        <v/>
      </c>
    </row>
    <row r="2409">
      <c r="A2409" s="11" t="n"/>
      <c r="B2409" s="7" t="n"/>
      <c r="C2409" s="8" t="n"/>
      <c r="D2409" s="9" t="n"/>
      <c r="E2409" s="8" t="n"/>
      <c r="F2409" s="9" t="n"/>
      <c r="G2409" s="9" t="n"/>
      <c r="H2409" s="3">
        <f>IF(AND(D2409&lt;&gt;"",F2409&lt;&gt;""),F2409-D2409-G2409,"")</f>
        <v/>
      </c>
      <c r="I2409" s="14">
        <f>IF(E2409&lt;&gt;"", YEARFRAC(C2409, E2409) * 12, "")</f>
        <v/>
      </c>
      <c r="J2409" s="2">
        <f>IF(I2409="", "", IF(AND(A2409="MF (Equity)", I2409&gt;12), "Long Term", "Short Term"))</f>
        <v/>
      </c>
      <c r="K2409" s="5">
        <f>IF(J2409="", "", IF(J2409="Long Term", 12.5%, 20%))</f>
        <v/>
      </c>
      <c r="L2409" s="3">
        <f>+IFERROR(IF(J2409="","",H2409*K2409),"")</f>
        <v/>
      </c>
    </row>
    <row r="2410">
      <c r="A2410" s="11" t="n"/>
      <c r="B2410" s="7" t="n"/>
      <c r="C2410" s="8" t="n"/>
      <c r="D2410" s="9" t="n"/>
      <c r="E2410" s="8" t="n"/>
      <c r="F2410" s="9" t="n"/>
      <c r="G2410" s="9" t="n"/>
      <c r="H2410" s="3">
        <f>IF(AND(D2410&lt;&gt;"",F2410&lt;&gt;""),F2410-D2410-G2410,"")</f>
        <v/>
      </c>
      <c r="I2410" s="14">
        <f>IF(E2410&lt;&gt;"", YEARFRAC(C2410, E2410) * 12, "")</f>
        <v/>
      </c>
      <c r="J2410" s="2">
        <f>IF(I2410="", "", IF(AND(A2410="MF (Equity)", I2410&gt;12), "Long Term", "Short Term"))</f>
        <v/>
      </c>
      <c r="K2410" s="5">
        <f>IF(J2410="", "", IF(J2410="Long Term", 12.5%, 20%))</f>
        <v/>
      </c>
      <c r="L2410" s="3">
        <f>+IFERROR(IF(J2410="","",H2410*K2410),"")</f>
        <v/>
      </c>
    </row>
    <row r="2411">
      <c r="A2411" s="11" t="n"/>
      <c r="B2411" s="7" t="n"/>
      <c r="C2411" s="8" t="n"/>
      <c r="D2411" s="9" t="n"/>
      <c r="E2411" s="8" t="n"/>
      <c r="F2411" s="9" t="n"/>
      <c r="G2411" s="9" t="n"/>
      <c r="H2411" s="3">
        <f>IF(AND(D2411&lt;&gt;"",F2411&lt;&gt;""),F2411-D2411-G2411,"")</f>
        <v/>
      </c>
      <c r="I2411" s="14">
        <f>IF(E2411&lt;&gt;"", YEARFRAC(C2411, E2411) * 12, "")</f>
        <v/>
      </c>
      <c r="J2411" s="2">
        <f>IF(I2411="", "", IF(AND(A2411="MF (Equity)", I2411&gt;12), "Long Term", "Short Term"))</f>
        <v/>
      </c>
      <c r="K2411" s="5">
        <f>IF(J2411="", "", IF(J2411="Long Term", 12.5%, 20%))</f>
        <v/>
      </c>
      <c r="L2411" s="3">
        <f>+IFERROR(IF(J2411="","",H2411*K2411),"")</f>
        <v/>
      </c>
    </row>
    <row r="2412">
      <c r="A2412" s="11" t="n"/>
      <c r="B2412" s="7" t="n"/>
      <c r="C2412" s="8" t="n"/>
      <c r="D2412" s="9" t="n"/>
      <c r="E2412" s="8" t="n"/>
      <c r="F2412" s="9" t="n"/>
      <c r="G2412" s="9" t="n"/>
      <c r="H2412" s="3">
        <f>IF(AND(D2412&lt;&gt;"",F2412&lt;&gt;""),F2412-D2412-G2412,"")</f>
        <v/>
      </c>
      <c r="I2412" s="14">
        <f>IF(E2412&lt;&gt;"", YEARFRAC(C2412, E2412) * 12, "")</f>
        <v/>
      </c>
      <c r="J2412" s="2">
        <f>IF(I2412="", "", IF(AND(A2412="MF (Equity)", I2412&gt;12), "Long Term", "Short Term"))</f>
        <v/>
      </c>
      <c r="K2412" s="5">
        <f>IF(J2412="", "", IF(J2412="Long Term", 12.5%, 20%))</f>
        <v/>
      </c>
      <c r="L2412" s="3">
        <f>+IFERROR(IF(J2412="","",H2412*K2412),"")</f>
        <v/>
      </c>
    </row>
    <row r="2413">
      <c r="A2413" s="11" t="n"/>
      <c r="B2413" s="7" t="n"/>
      <c r="C2413" s="8" t="n"/>
      <c r="D2413" s="9" t="n"/>
      <c r="E2413" s="8" t="n"/>
      <c r="F2413" s="9" t="n"/>
      <c r="G2413" s="9" t="n"/>
      <c r="H2413" s="3">
        <f>IF(AND(D2413&lt;&gt;"",F2413&lt;&gt;""),F2413-D2413-G2413,"")</f>
        <v/>
      </c>
      <c r="I2413" s="14">
        <f>IF(E2413&lt;&gt;"", YEARFRAC(C2413, E2413) * 12, "")</f>
        <v/>
      </c>
      <c r="J2413" s="2">
        <f>IF(I2413="", "", IF(AND(A2413="MF (Equity)", I2413&gt;12), "Long Term", "Short Term"))</f>
        <v/>
      </c>
      <c r="K2413" s="5">
        <f>IF(J2413="", "", IF(J2413="Long Term", 12.5%, 20%))</f>
        <v/>
      </c>
      <c r="L2413" s="3">
        <f>+IFERROR(IF(J2413="","",H2413*K2413),"")</f>
        <v/>
      </c>
    </row>
    <row r="2414">
      <c r="A2414" s="11" t="n"/>
      <c r="B2414" s="7" t="n"/>
      <c r="C2414" s="8" t="n"/>
      <c r="D2414" s="9" t="n"/>
      <c r="E2414" s="8" t="n"/>
      <c r="F2414" s="9" t="n"/>
      <c r="G2414" s="9" t="n"/>
      <c r="H2414" s="3">
        <f>IF(AND(D2414&lt;&gt;"",F2414&lt;&gt;""),F2414-D2414-G2414,"")</f>
        <v/>
      </c>
      <c r="I2414" s="14">
        <f>IF(E2414&lt;&gt;"", YEARFRAC(C2414, E2414) * 12, "")</f>
        <v/>
      </c>
      <c r="J2414" s="2">
        <f>IF(I2414="", "", IF(AND(A2414="MF (Equity)", I2414&gt;12), "Long Term", "Short Term"))</f>
        <v/>
      </c>
      <c r="K2414" s="5">
        <f>IF(J2414="", "", IF(J2414="Long Term", 12.5%, 20%))</f>
        <v/>
      </c>
      <c r="L2414" s="3">
        <f>+IFERROR(IF(J2414="","",H2414*K2414),"")</f>
        <v/>
      </c>
    </row>
    <row r="2415">
      <c r="A2415" s="11" t="n"/>
      <c r="B2415" s="7" t="n"/>
      <c r="C2415" s="8" t="n"/>
      <c r="D2415" s="9" t="n"/>
      <c r="E2415" s="8" t="n"/>
      <c r="F2415" s="9" t="n"/>
      <c r="G2415" s="9" t="n"/>
      <c r="H2415" s="3">
        <f>IF(AND(D2415&lt;&gt;"",F2415&lt;&gt;""),F2415-D2415-G2415,"")</f>
        <v/>
      </c>
      <c r="I2415" s="14">
        <f>IF(E2415&lt;&gt;"", YEARFRAC(C2415, E2415) * 12, "")</f>
        <v/>
      </c>
      <c r="J2415" s="2">
        <f>IF(I2415="", "", IF(AND(A2415="MF (Equity)", I2415&gt;12), "Long Term", "Short Term"))</f>
        <v/>
      </c>
      <c r="K2415" s="5">
        <f>IF(J2415="", "", IF(J2415="Long Term", 12.5%, 20%))</f>
        <v/>
      </c>
      <c r="L2415" s="3">
        <f>+IFERROR(IF(J2415="","",H2415*K2415),"")</f>
        <v/>
      </c>
    </row>
    <row r="2416">
      <c r="A2416" s="11" t="n"/>
      <c r="B2416" s="7" t="n"/>
      <c r="C2416" s="8" t="n"/>
      <c r="D2416" s="9" t="n"/>
      <c r="E2416" s="8" t="n"/>
      <c r="F2416" s="9" t="n"/>
      <c r="G2416" s="9" t="n"/>
      <c r="H2416" s="3">
        <f>IF(AND(D2416&lt;&gt;"",F2416&lt;&gt;""),F2416-D2416-G2416,"")</f>
        <v/>
      </c>
      <c r="I2416" s="14">
        <f>IF(E2416&lt;&gt;"", YEARFRAC(C2416, E2416) * 12, "")</f>
        <v/>
      </c>
      <c r="J2416" s="2">
        <f>IF(I2416="", "", IF(AND(A2416="MF (Equity)", I2416&gt;12), "Long Term", "Short Term"))</f>
        <v/>
      </c>
      <c r="K2416" s="5">
        <f>IF(J2416="", "", IF(J2416="Long Term", 12.5%, 20%))</f>
        <v/>
      </c>
      <c r="L2416" s="3">
        <f>+IFERROR(IF(J2416="","",H2416*K2416),"")</f>
        <v/>
      </c>
    </row>
    <row r="2417">
      <c r="A2417" s="11" t="n"/>
      <c r="B2417" s="7" t="n"/>
      <c r="C2417" s="8" t="n"/>
      <c r="D2417" s="9" t="n"/>
      <c r="E2417" s="8" t="n"/>
      <c r="F2417" s="9" t="n"/>
      <c r="G2417" s="9" t="n"/>
      <c r="H2417" s="3">
        <f>IF(AND(D2417&lt;&gt;"",F2417&lt;&gt;""),F2417-D2417-G2417,"")</f>
        <v/>
      </c>
      <c r="I2417" s="14">
        <f>IF(E2417&lt;&gt;"", YEARFRAC(C2417, E2417) * 12, "")</f>
        <v/>
      </c>
      <c r="J2417" s="2">
        <f>IF(I2417="", "", IF(AND(A2417="MF (Equity)", I2417&gt;12), "Long Term", "Short Term"))</f>
        <v/>
      </c>
      <c r="K2417" s="5">
        <f>IF(J2417="", "", IF(J2417="Long Term", 12.5%, 20%))</f>
        <v/>
      </c>
      <c r="L2417" s="3">
        <f>+IFERROR(IF(J2417="","",H2417*K2417),"")</f>
        <v/>
      </c>
    </row>
    <row r="2418">
      <c r="A2418" s="11" t="n"/>
      <c r="B2418" s="7" t="n"/>
      <c r="C2418" s="8" t="n"/>
      <c r="D2418" s="9" t="n"/>
      <c r="E2418" s="8" t="n"/>
      <c r="F2418" s="9" t="n"/>
      <c r="G2418" s="9" t="n"/>
      <c r="H2418" s="3">
        <f>IF(AND(D2418&lt;&gt;"",F2418&lt;&gt;""),F2418-D2418-G2418,"")</f>
        <v/>
      </c>
      <c r="I2418" s="14">
        <f>IF(E2418&lt;&gt;"", YEARFRAC(C2418, E2418) * 12, "")</f>
        <v/>
      </c>
      <c r="J2418" s="2">
        <f>IF(I2418="", "", IF(AND(A2418="MF (Equity)", I2418&gt;12), "Long Term", "Short Term"))</f>
        <v/>
      </c>
      <c r="K2418" s="5">
        <f>IF(J2418="", "", IF(J2418="Long Term", 12.5%, 20%))</f>
        <v/>
      </c>
      <c r="L2418" s="3">
        <f>+IFERROR(IF(J2418="","",H2418*K2418),"")</f>
        <v/>
      </c>
    </row>
    <row r="2419">
      <c r="A2419" s="11" t="n"/>
      <c r="B2419" s="7" t="n"/>
      <c r="C2419" s="8" t="n"/>
      <c r="D2419" s="9" t="n"/>
      <c r="E2419" s="8" t="n"/>
      <c r="F2419" s="9" t="n"/>
      <c r="G2419" s="9" t="n"/>
      <c r="H2419" s="3">
        <f>IF(AND(D2419&lt;&gt;"",F2419&lt;&gt;""),F2419-D2419-G2419,"")</f>
        <v/>
      </c>
      <c r="I2419" s="14">
        <f>IF(E2419&lt;&gt;"", YEARFRAC(C2419, E2419) * 12, "")</f>
        <v/>
      </c>
      <c r="J2419" s="2">
        <f>IF(I2419="", "", IF(AND(A2419="MF (Equity)", I2419&gt;12), "Long Term", "Short Term"))</f>
        <v/>
      </c>
      <c r="K2419" s="5">
        <f>IF(J2419="", "", IF(J2419="Long Term", 12.5%, 20%))</f>
        <v/>
      </c>
      <c r="L2419" s="3">
        <f>+IFERROR(IF(J2419="","",H2419*K2419),"")</f>
        <v/>
      </c>
    </row>
    <row r="2420">
      <c r="A2420" s="11" t="n"/>
      <c r="B2420" s="7" t="n"/>
      <c r="C2420" s="8" t="n"/>
      <c r="D2420" s="9" t="n"/>
      <c r="E2420" s="8" t="n"/>
      <c r="F2420" s="9" t="n"/>
      <c r="G2420" s="9" t="n"/>
      <c r="H2420" s="3">
        <f>IF(AND(D2420&lt;&gt;"",F2420&lt;&gt;""),F2420-D2420-G2420,"")</f>
        <v/>
      </c>
      <c r="I2420" s="14">
        <f>IF(E2420&lt;&gt;"", YEARFRAC(C2420, E2420) * 12, "")</f>
        <v/>
      </c>
      <c r="J2420" s="2">
        <f>IF(I2420="", "", IF(AND(A2420="MF (Equity)", I2420&gt;12), "Long Term", "Short Term"))</f>
        <v/>
      </c>
      <c r="K2420" s="5">
        <f>IF(J2420="", "", IF(J2420="Long Term", 12.5%, 20%))</f>
        <v/>
      </c>
      <c r="L2420" s="3">
        <f>+IFERROR(IF(J2420="","",H2420*K2420),"")</f>
        <v/>
      </c>
    </row>
    <row r="2421">
      <c r="A2421" s="11" t="n"/>
      <c r="B2421" s="7" t="n"/>
      <c r="C2421" s="8" t="n"/>
      <c r="D2421" s="9" t="n"/>
      <c r="E2421" s="8" t="n"/>
      <c r="F2421" s="9" t="n"/>
      <c r="G2421" s="9" t="n"/>
      <c r="H2421" s="3">
        <f>IF(AND(D2421&lt;&gt;"",F2421&lt;&gt;""),F2421-D2421-G2421,"")</f>
        <v/>
      </c>
      <c r="I2421" s="14">
        <f>IF(E2421&lt;&gt;"", YEARFRAC(C2421, E2421) * 12, "")</f>
        <v/>
      </c>
      <c r="J2421" s="2">
        <f>IF(I2421="", "", IF(AND(A2421="MF (Equity)", I2421&gt;12), "Long Term", "Short Term"))</f>
        <v/>
      </c>
      <c r="K2421" s="5">
        <f>IF(J2421="", "", IF(J2421="Long Term", 12.5%, 20%))</f>
        <v/>
      </c>
      <c r="L2421" s="3">
        <f>+IFERROR(IF(J2421="","",H2421*K2421),"")</f>
        <v/>
      </c>
    </row>
    <row r="2422">
      <c r="A2422" s="11" t="n"/>
      <c r="B2422" s="7" t="n"/>
      <c r="C2422" s="8" t="n"/>
      <c r="D2422" s="9" t="n"/>
      <c r="E2422" s="8" t="n"/>
      <c r="F2422" s="9" t="n"/>
      <c r="G2422" s="9" t="n"/>
      <c r="H2422" s="3">
        <f>IF(AND(D2422&lt;&gt;"",F2422&lt;&gt;""),F2422-D2422-G2422,"")</f>
        <v/>
      </c>
      <c r="I2422" s="14">
        <f>IF(E2422&lt;&gt;"", YEARFRAC(C2422, E2422) * 12, "")</f>
        <v/>
      </c>
      <c r="J2422" s="2">
        <f>IF(I2422="", "", IF(AND(A2422="MF (Equity)", I2422&gt;12), "Long Term", "Short Term"))</f>
        <v/>
      </c>
      <c r="K2422" s="5">
        <f>IF(J2422="", "", IF(J2422="Long Term", 12.5%, 20%))</f>
        <v/>
      </c>
      <c r="L2422" s="3">
        <f>+IFERROR(IF(J2422="","",H2422*K2422),"")</f>
        <v/>
      </c>
    </row>
    <row r="2423">
      <c r="A2423" s="11" t="n"/>
      <c r="B2423" s="7" t="n"/>
      <c r="C2423" s="8" t="n"/>
      <c r="D2423" s="9" t="n"/>
      <c r="E2423" s="8" t="n"/>
      <c r="F2423" s="9" t="n"/>
      <c r="G2423" s="9" t="n"/>
      <c r="H2423" s="3">
        <f>IF(AND(D2423&lt;&gt;"",F2423&lt;&gt;""),F2423-D2423-G2423,"")</f>
        <v/>
      </c>
      <c r="I2423" s="14">
        <f>IF(E2423&lt;&gt;"", YEARFRAC(C2423, E2423) * 12, "")</f>
        <v/>
      </c>
      <c r="J2423" s="2">
        <f>IF(I2423="", "", IF(AND(A2423="MF (Equity)", I2423&gt;12), "Long Term", "Short Term"))</f>
        <v/>
      </c>
      <c r="K2423" s="5">
        <f>IF(J2423="", "", IF(J2423="Long Term", 12.5%, 20%))</f>
        <v/>
      </c>
      <c r="L2423" s="3">
        <f>+IFERROR(IF(J2423="","",H2423*K2423),"")</f>
        <v/>
      </c>
    </row>
    <row r="2424">
      <c r="A2424" s="11" t="n"/>
      <c r="B2424" s="7" t="n"/>
      <c r="C2424" s="8" t="n"/>
      <c r="D2424" s="9" t="n"/>
      <c r="E2424" s="8" t="n"/>
      <c r="F2424" s="9" t="n"/>
      <c r="G2424" s="9" t="n"/>
      <c r="H2424" s="3">
        <f>IF(AND(D2424&lt;&gt;"",F2424&lt;&gt;""),F2424-D2424-G2424,"")</f>
        <v/>
      </c>
      <c r="I2424" s="14">
        <f>IF(E2424&lt;&gt;"", YEARFRAC(C2424, E2424) * 12, "")</f>
        <v/>
      </c>
      <c r="J2424" s="2">
        <f>IF(I2424="", "", IF(AND(A2424="MF (Equity)", I2424&gt;12), "Long Term", "Short Term"))</f>
        <v/>
      </c>
      <c r="K2424" s="5">
        <f>IF(J2424="", "", IF(J2424="Long Term", 12.5%, 20%))</f>
        <v/>
      </c>
      <c r="L2424" s="3">
        <f>+IFERROR(IF(J2424="","",H2424*K2424),"")</f>
        <v/>
      </c>
    </row>
    <row r="2425">
      <c r="A2425" s="11" t="n"/>
      <c r="B2425" s="7" t="n"/>
      <c r="C2425" s="8" t="n"/>
      <c r="D2425" s="9" t="n"/>
      <c r="E2425" s="8" t="n"/>
      <c r="F2425" s="9" t="n"/>
      <c r="G2425" s="9" t="n"/>
      <c r="H2425" s="3">
        <f>IF(AND(D2425&lt;&gt;"",F2425&lt;&gt;""),F2425-D2425-G2425,"")</f>
        <v/>
      </c>
      <c r="I2425" s="14">
        <f>IF(E2425&lt;&gt;"", YEARFRAC(C2425, E2425) * 12, "")</f>
        <v/>
      </c>
      <c r="J2425" s="2">
        <f>IF(I2425="", "", IF(AND(A2425="MF (Equity)", I2425&gt;12), "Long Term", "Short Term"))</f>
        <v/>
      </c>
      <c r="K2425" s="5">
        <f>IF(J2425="", "", IF(J2425="Long Term", 12.5%, 20%))</f>
        <v/>
      </c>
      <c r="L2425" s="3">
        <f>+IFERROR(IF(J2425="","",H2425*K2425),"")</f>
        <v/>
      </c>
    </row>
    <row r="2426">
      <c r="A2426" s="11" t="n"/>
      <c r="B2426" s="7" t="n"/>
      <c r="C2426" s="8" t="n"/>
      <c r="D2426" s="9" t="n"/>
      <c r="E2426" s="8" t="n"/>
      <c r="F2426" s="9" t="n"/>
      <c r="G2426" s="9" t="n"/>
      <c r="H2426" s="3">
        <f>IF(AND(D2426&lt;&gt;"",F2426&lt;&gt;""),F2426-D2426-G2426,"")</f>
        <v/>
      </c>
      <c r="I2426" s="14">
        <f>IF(E2426&lt;&gt;"", YEARFRAC(C2426, E2426) * 12, "")</f>
        <v/>
      </c>
      <c r="J2426" s="2">
        <f>IF(I2426="", "", IF(AND(A2426="MF (Equity)", I2426&gt;12), "Long Term", "Short Term"))</f>
        <v/>
      </c>
      <c r="K2426" s="5">
        <f>IF(J2426="", "", IF(J2426="Long Term", 12.5%, 20%))</f>
        <v/>
      </c>
      <c r="L2426" s="3">
        <f>+IFERROR(IF(J2426="","",H2426*K2426),"")</f>
        <v/>
      </c>
    </row>
    <row r="2427">
      <c r="A2427" s="11" t="n"/>
      <c r="B2427" s="7" t="n"/>
      <c r="C2427" s="8" t="n"/>
      <c r="D2427" s="9" t="n"/>
      <c r="E2427" s="8" t="n"/>
      <c r="F2427" s="9" t="n"/>
      <c r="G2427" s="9" t="n"/>
      <c r="H2427" s="3">
        <f>IF(AND(D2427&lt;&gt;"",F2427&lt;&gt;""),F2427-D2427-G2427,"")</f>
        <v/>
      </c>
      <c r="I2427" s="14">
        <f>IF(E2427&lt;&gt;"", YEARFRAC(C2427, E2427) * 12, "")</f>
        <v/>
      </c>
      <c r="J2427" s="2">
        <f>IF(I2427="", "", IF(AND(A2427="MF (Equity)", I2427&gt;12), "Long Term", "Short Term"))</f>
        <v/>
      </c>
      <c r="K2427" s="5">
        <f>IF(J2427="", "", IF(J2427="Long Term", 12.5%, 20%))</f>
        <v/>
      </c>
      <c r="L2427" s="3">
        <f>+IFERROR(IF(J2427="","",H2427*K2427),"")</f>
        <v/>
      </c>
    </row>
    <row r="2428">
      <c r="A2428" s="11" t="n"/>
      <c r="B2428" s="7" t="n"/>
      <c r="C2428" s="8" t="n"/>
      <c r="D2428" s="9" t="n"/>
      <c r="E2428" s="8" t="n"/>
      <c r="F2428" s="9" t="n"/>
      <c r="G2428" s="9" t="n"/>
      <c r="H2428" s="3">
        <f>IF(AND(D2428&lt;&gt;"",F2428&lt;&gt;""),F2428-D2428-G2428,"")</f>
        <v/>
      </c>
      <c r="I2428" s="14">
        <f>IF(E2428&lt;&gt;"", YEARFRAC(C2428, E2428) * 12, "")</f>
        <v/>
      </c>
      <c r="J2428" s="2">
        <f>IF(I2428="", "", IF(AND(A2428="MF (Equity)", I2428&gt;12), "Long Term", "Short Term"))</f>
        <v/>
      </c>
      <c r="K2428" s="5">
        <f>IF(J2428="", "", IF(J2428="Long Term", 12.5%, 20%))</f>
        <v/>
      </c>
      <c r="L2428" s="3">
        <f>+IFERROR(IF(J2428="","",H2428*K2428),"")</f>
        <v/>
      </c>
    </row>
    <row r="2429">
      <c r="A2429" s="11" t="n"/>
      <c r="B2429" s="7" t="n"/>
      <c r="C2429" s="8" t="n"/>
      <c r="D2429" s="9" t="n"/>
      <c r="E2429" s="8" t="n"/>
      <c r="F2429" s="9" t="n"/>
      <c r="G2429" s="9" t="n"/>
      <c r="H2429" s="3">
        <f>IF(AND(D2429&lt;&gt;"",F2429&lt;&gt;""),F2429-D2429-G2429,"")</f>
        <v/>
      </c>
      <c r="I2429" s="14">
        <f>IF(E2429&lt;&gt;"", YEARFRAC(C2429, E2429) * 12, "")</f>
        <v/>
      </c>
      <c r="J2429" s="2">
        <f>IF(I2429="", "", IF(AND(A2429="MF (Equity)", I2429&gt;12), "Long Term", "Short Term"))</f>
        <v/>
      </c>
      <c r="K2429" s="5">
        <f>IF(J2429="", "", IF(J2429="Long Term", 12.5%, 20%))</f>
        <v/>
      </c>
      <c r="L2429" s="3">
        <f>+IFERROR(IF(J2429="","",H2429*K2429),"")</f>
        <v/>
      </c>
    </row>
    <row r="2430">
      <c r="A2430" s="11" t="n"/>
      <c r="B2430" s="7" t="n"/>
      <c r="C2430" s="8" t="n"/>
      <c r="D2430" s="9" t="n"/>
      <c r="E2430" s="8" t="n"/>
      <c r="F2430" s="9" t="n"/>
      <c r="G2430" s="9" t="n"/>
      <c r="H2430" s="3">
        <f>IF(AND(D2430&lt;&gt;"",F2430&lt;&gt;""),F2430-D2430-G2430,"")</f>
        <v/>
      </c>
      <c r="I2430" s="14">
        <f>IF(E2430&lt;&gt;"", YEARFRAC(C2430, E2430) * 12, "")</f>
        <v/>
      </c>
      <c r="J2430" s="2">
        <f>IF(I2430="", "", IF(AND(A2430="MF (Equity)", I2430&gt;12), "Long Term", "Short Term"))</f>
        <v/>
      </c>
      <c r="K2430" s="5">
        <f>IF(J2430="", "", IF(J2430="Long Term", 12.5%, 20%))</f>
        <v/>
      </c>
      <c r="L2430" s="3">
        <f>+IFERROR(IF(J2430="","",H2430*K2430),"")</f>
        <v/>
      </c>
    </row>
    <row r="2431">
      <c r="A2431" s="11" t="n"/>
      <c r="B2431" s="7" t="n"/>
      <c r="C2431" s="8" t="n"/>
      <c r="D2431" s="9" t="n"/>
      <c r="E2431" s="8" t="n"/>
      <c r="F2431" s="9" t="n"/>
      <c r="G2431" s="9" t="n"/>
      <c r="H2431" s="3">
        <f>IF(AND(D2431&lt;&gt;"",F2431&lt;&gt;""),F2431-D2431-G2431,"")</f>
        <v/>
      </c>
      <c r="I2431" s="14">
        <f>IF(E2431&lt;&gt;"", YEARFRAC(C2431, E2431) * 12, "")</f>
        <v/>
      </c>
      <c r="J2431" s="2">
        <f>IF(I2431="", "", IF(AND(A2431="MF (Equity)", I2431&gt;12), "Long Term", "Short Term"))</f>
        <v/>
      </c>
      <c r="K2431" s="5">
        <f>IF(J2431="", "", IF(J2431="Long Term", 12.5%, 20%))</f>
        <v/>
      </c>
      <c r="L2431" s="3">
        <f>+IFERROR(IF(J2431="","",H2431*K2431),"")</f>
        <v/>
      </c>
    </row>
    <row r="2432">
      <c r="A2432" s="11" t="n"/>
      <c r="B2432" s="7" t="n"/>
      <c r="C2432" s="8" t="n"/>
      <c r="D2432" s="9" t="n"/>
      <c r="E2432" s="8" t="n"/>
      <c r="F2432" s="9" t="n"/>
      <c r="G2432" s="9" t="n"/>
      <c r="H2432" s="3">
        <f>IF(AND(D2432&lt;&gt;"",F2432&lt;&gt;""),F2432-D2432-G2432,"")</f>
        <v/>
      </c>
      <c r="I2432" s="14">
        <f>IF(E2432&lt;&gt;"", YEARFRAC(C2432, E2432) * 12, "")</f>
        <v/>
      </c>
      <c r="J2432" s="2">
        <f>IF(I2432="", "", IF(AND(A2432="MF (Equity)", I2432&gt;12), "Long Term", "Short Term"))</f>
        <v/>
      </c>
      <c r="K2432" s="5">
        <f>IF(J2432="", "", IF(J2432="Long Term", 12.5%, 20%))</f>
        <v/>
      </c>
      <c r="L2432" s="3">
        <f>+IFERROR(IF(J2432="","",H2432*K2432),"")</f>
        <v/>
      </c>
    </row>
    <row r="2433">
      <c r="A2433" s="11" t="n"/>
      <c r="B2433" s="7" t="n"/>
      <c r="C2433" s="8" t="n"/>
      <c r="D2433" s="9" t="n"/>
      <c r="E2433" s="8" t="n"/>
      <c r="F2433" s="9" t="n"/>
      <c r="G2433" s="9" t="n"/>
      <c r="H2433" s="3">
        <f>IF(AND(D2433&lt;&gt;"",F2433&lt;&gt;""),F2433-D2433-G2433,"")</f>
        <v/>
      </c>
      <c r="I2433" s="14">
        <f>IF(E2433&lt;&gt;"", YEARFRAC(C2433, E2433) * 12, "")</f>
        <v/>
      </c>
      <c r="J2433" s="2">
        <f>IF(I2433="", "", IF(AND(A2433="MF (Equity)", I2433&gt;12), "Long Term", "Short Term"))</f>
        <v/>
      </c>
      <c r="K2433" s="5">
        <f>IF(J2433="", "", IF(J2433="Long Term", 12.5%, 20%))</f>
        <v/>
      </c>
      <c r="L2433" s="3">
        <f>+IFERROR(IF(J2433="","",H2433*K2433),"")</f>
        <v/>
      </c>
    </row>
    <row r="2434">
      <c r="A2434" s="11" t="n"/>
      <c r="B2434" s="7" t="n"/>
      <c r="C2434" s="8" t="n"/>
      <c r="D2434" s="9" t="n"/>
      <c r="E2434" s="8" t="n"/>
      <c r="F2434" s="9" t="n"/>
      <c r="G2434" s="9" t="n"/>
      <c r="H2434" s="3">
        <f>IF(AND(D2434&lt;&gt;"",F2434&lt;&gt;""),F2434-D2434-G2434,"")</f>
        <v/>
      </c>
      <c r="I2434" s="14">
        <f>IF(E2434&lt;&gt;"", YEARFRAC(C2434, E2434) * 12, "")</f>
        <v/>
      </c>
      <c r="J2434" s="2">
        <f>IF(I2434="", "", IF(AND(A2434="MF (Equity)", I2434&gt;12), "Long Term", "Short Term"))</f>
        <v/>
      </c>
      <c r="K2434" s="5">
        <f>IF(J2434="", "", IF(J2434="Long Term", 12.5%, 20%))</f>
        <v/>
      </c>
      <c r="L2434" s="3">
        <f>+IFERROR(IF(J2434="","",H2434*K2434),"")</f>
        <v/>
      </c>
    </row>
    <row r="2435">
      <c r="A2435" s="11" t="n"/>
      <c r="B2435" s="7" t="n"/>
      <c r="C2435" s="8" t="n"/>
      <c r="D2435" s="9" t="n"/>
      <c r="E2435" s="8" t="n"/>
      <c r="F2435" s="9" t="n"/>
      <c r="G2435" s="9" t="n"/>
      <c r="H2435" s="3">
        <f>IF(AND(D2435&lt;&gt;"",F2435&lt;&gt;""),F2435-D2435-G2435,"")</f>
        <v/>
      </c>
      <c r="I2435" s="14">
        <f>IF(E2435&lt;&gt;"", YEARFRAC(C2435, E2435) * 12, "")</f>
        <v/>
      </c>
      <c r="J2435" s="2">
        <f>IF(I2435="", "", IF(AND(A2435="MF (Equity)", I2435&gt;12), "Long Term", "Short Term"))</f>
        <v/>
      </c>
      <c r="K2435" s="5">
        <f>IF(J2435="", "", IF(J2435="Long Term", 12.5%, 20%))</f>
        <v/>
      </c>
      <c r="L2435" s="3">
        <f>+IFERROR(IF(J2435="","",H2435*K2435),"")</f>
        <v/>
      </c>
    </row>
    <row r="2436">
      <c r="A2436" s="11" t="n"/>
      <c r="B2436" s="7" t="n"/>
      <c r="C2436" s="8" t="n"/>
      <c r="D2436" s="9" t="n"/>
      <c r="E2436" s="8" t="n"/>
      <c r="F2436" s="9" t="n"/>
      <c r="G2436" s="9" t="n"/>
      <c r="H2436" s="3">
        <f>IF(AND(D2436&lt;&gt;"",F2436&lt;&gt;""),F2436-D2436-G2436,"")</f>
        <v/>
      </c>
      <c r="I2436" s="14">
        <f>IF(E2436&lt;&gt;"", YEARFRAC(C2436, E2436) * 12, "")</f>
        <v/>
      </c>
      <c r="J2436" s="2">
        <f>IF(I2436="", "", IF(AND(A2436="MF (Equity)", I2436&gt;12), "Long Term", "Short Term"))</f>
        <v/>
      </c>
      <c r="K2436" s="5">
        <f>IF(J2436="", "", IF(J2436="Long Term", 12.5%, 20%))</f>
        <v/>
      </c>
      <c r="L2436" s="3">
        <f>+IFERROR(IF(J2436="","",H2436*K2436),"")</f>
        <v/>
      </c>
    </row>
    <row r="2437">
      <c r="A2437" s="11" t="n"/>
      <c r="B2437" s="7" t="n"/>
      <c r="C2437" s="8" t="n"/>
      <c r="D2437" s="9" t="n"/>
      <c r="E2437" s="8" t="n"/>
      <c r="F2437" s="9" t="n"/>
      <c r="G2437" s="9" t="n"/>
      <c r="H2437" s="3">
        <f>IF(AND(D2437&lt;&gt;"",F2437&lt;&gt;""),F2437-D2437-G2437,"")</f>
        <v/>
      </c>
      <c r="I2437" s="14">
        <f>IF(E2437&lt;&gt;"", YEARFRAC(C2437, E2437) * 12, "")</f>
        <v/>
      </c>
      <c r="J2437" s="2">
        <f>IF(I2437="", "", IF(AND(A2437="MF (Equity)", I2437&gt;12), "Long Term", "Short Term"))</f>
        <v/>
      </c>
      <c r="K2437" s="5">
        <f>IF(J2437="", "", IF(J2437="Long Term", 12.5%, 20%))</f>
        <v/>
      </c>
      <c r="L2437" s="3">
        <f>+IFERROR(IF(J2437="","",H2437*K2437),"")</f>
        <v/>
      </c>
    </row>
    <row r="2438">
      <c r="A2438" s="11" t="n"/>
      <c r="B2438" s="7" t="n"/>
      <c r="C2438" s="8" t="n"/>
      <c r="D2438" s="9" t="n"/>
      <c r="E2438" s="8" t="n"/>
      <c r="F2438" s="9" t="n"/>
      <c r="G2438" s="9" t="n"/>
      <c r="H2438" s="3">
        <f>IF(AND(D2438&lt;&gt;"",F2438&lt;&gt;""),F2438-D2438-G2438,"")</f>
        <v/>
      </c>
      <c r="I2438" s="14">
        <f>IF(E2438&lt;&gt;"", YEARFRAC(C2438, E2438) * 12, "")</f>
        <v/>
      </c>
      <c r="J2438" s="2">
        <f>IF(I2438="", "", IF(AND(A2438="MF (Equity)", I2438&gt;12), "Long Term", "Short Term"))</f>
        <v/>
      </c>
      <c r="K2438" s="5">
        <f>IF(J2438="", "", IF(J2438="Long Term", 12.5%, 20%))</f>
        <v/>
      </c>
      <c r="L2438" s="3">
        <f>+IFERROR(IF(J2438="","",H2438*K2438),"")</f>
        <v/>
      </c>
    </row>
    <row r="2439">
      <c r="A2439" s="11" t="n"/>
      <c r="B2439" s="7" t="n"/>
      <c r="C2439" s="8" t="n"/>
      <c r="D2439" s="9" t="n"/>
      <c r="E2439" s="8" t="n"/>
      <c r="F2439" s="9" t="n"/>
      <c r="G2439" s="9" t="n"/>
      <c r="H2439" s="3">
        <f>IF(AND(D2439&lt;&gt;"",F2439&lt;&gt;""),F2439-D2439-G2439,"")</f>
        <v/>
      </c>
      <c r="I2439" s="14">
        <f>IF(E2439&lt;&gt;"", YEARFRAC(C2439, E2439) * 12, "")</f>
        <v/>
      </c>
      <c r="J2439" s="2">
        <f>IF(I2439="", "", IF(AND(A2439="MF (Equity)", I2439&gt;12), "Long Term", "Short Term"))</f>
        <v/>
      </c>
      <c r="K2439" s="5">
        <f>IF(J2439="", "", IF(J2439="Long Term", 12.5%, 20%))</f>
        <v/>
      </c>
      <c r="L2439" s="3">
        <f>+IFERROR(IF(J2439="","",H2439*K2439),"")</f>
        <v/>
      </c>
    </row>
    <row r="2440">
      <c r="A2440" s="11" t="n"/>
      <c r="B2440" s="7" t="n"/>
      <c r="C2440" s="8" t="n"/>
      <c r="D2440" s="9" t="n"/>
      <c r="E2440" s="8" t="n"/>
      <c r="F2440" s="9" t="n"/>
      <c r="G2440" s="9" t="n"/>
      <c r="H2440" s="3">
        <f>IF(AND(D2440&lt;&gt;"",F2440&lt;&gt;""),F2440-D2440-G2440,"")</f>
        <v/>
      </c>
      <c r="I2440" s="14">
        <f>IF(E2440&lt;&gt;"", YEARFRAC(C2440, E2440) * 12, "")</f>
        <v/>
      </c>
      <c r="J2440" s="2">
        <f>IF(I2440="", "", IF(AND(A2440="MF (Equity)", I2440&gt;12), "Long Term", "Short Term"))</f>
        <v/>
      </c>
      <c r="K2440" s="5">
        <f>IF(J2440="", "", IF(J2440="Long Term", 12.5%, 20%))</f>
        <v/>
      </c>
      <c r="L2440" s="3">
        <f>+IFERROR(IF(J2440="","",H2440*K2440),"")</f>
        <v/>
      </c>
    </row>
    <row r="2441">
      <c r="A2441" s="11" t="n"/>
      <c r="B2441" s="7" t="n"/>
      <c r="C2441" s="8" t="n"/>
      <c r="D2441" s="9" t="n"/>
      <c r="E2441" s="8" t="n"/>
      <c r="F2441" s="9" t="n"/>
      <c r="G2441" s="9" t="n"/>
      <c r="H2441" s="3">
        <f>IF(AND(D2441&lt;&gt;"",F2441&lt;&gt;""),F2441-D2441-G2441,"")</f>
        <v/>
      </c>
      <c r="I2441" s="14">
        <f>IF(E2441&lt;&gt;"", YEARFRAC(C2441, E2441) * 12, "")</f>
        <v/>
      </c>
      <c r="J2441" s="2">
        <f>IF(I2441="", "", IF(AND(A2441="MF (Equity)", I2441&gt;12), "Long Term", "Short Term"))</f>
        <v/>
      </c>
      <c r="K2441" s="5">
        <f>IF(J2441="", "", IF(J2441="Long Term", 12.5%, 20%))</f>
        <v/>
      </c>
      <c r="L2441" s="3">
        <f>+IFERROR(IF(J2441="","",H2441*K2441),"")</f>
        <v/>
      </c>
    </row>
    <row r="2442">
      <c r="A2442" s="11" t="n"/>
      <c r="B2442" s="7" t="n"/>
      <c r="C2442" s="8" t="n"/>
      <c r="D2442" s="9" t="n"/>
      <c r="E2442" s="8" t="n"/>
      <c r="F2442" s="9" t="n"/>
      <c r="G2442" s="9" t="n"/>
      <c r="H2442" s="3">
        <f>IF(AND(D2442&lt;&gt;"",F2442&lt;&gt;""),F2442-D2442-G2442,"")</f>
        <v/>
      </c>
      <c r="I2442" s="14">
        <f>IF(E2442&lt;&gt;"", YEARFRAC(C2442, E2442) * 12, "")</f>
        <v/>
      </c>
      <c r="J2442" s="2">
        <f>IF(I2442="", "", IF(AND(A2442="MF (Equity)", I2442&gt;12), "Long Term", "Short Term"))</f>
        <v/>
      </c>
      <c r="K2442" s="5">
        <f>IF(J2442="", "", IF(J2442="Long Term", 12.5%, 20%))</f>
        <v/>
      </c>
      <c r="L2442" s="3">
        <f>+IFERROR(IF(J2442="","",H2442*K2442),"")</f>
        <v/>
      </c>
    </row>
    <row r="2443">
      <c r="A2443" s="11" t="n"/>
      <c r="B2443" s="7" t="n"/>
      <c r="C2443" s="8" t="n"/>
      <c r="D2443" s="9" t="n"/>
      <c r="E2443" s="8" t="n"/>
      <c r="F2443" s="9" t="n"/>
      <c r="G2443" s="9" t="n"/>
      <c r="H2443" s="3">
        <f>IF(AND(D2443&lt;&gt;"",F2443&lt;&gt;""),F2443-D2443-G2443,"")</f>
        <v/>
      </c>
      <c r="I2443" s="14">
        <f>IF(E2443&lt;&gt;"", YEARFRAC(C2443, E2443) * 12, "")</f>
        <v/>
      </c>
      <c r="J2443" s="2">
        <f>IF(I2443="", "", IF(AND(A2443="MF (Equity)", I2443&gt;12), "Long Term", "Short Term"))</f>
        <v/>
      </c>
      <c r="K2443" s="5">
        <f>IF(J2443="", "", IF(J2443="Long Term", 12.5%, 20%))</f>
        <v/>
      </c>
      <c r="L2443" s="3">
        <f>+IFERROR(IF(J2443="","",H2443*K2443),"")</f>
        <v/>
      </c>
    </row>
    <row r="2444">
      <c r="A2444" s="11" t="n"/>
      <c r="B2444" s="7" t="n"/>
      <c r="C2444" s="8" t="n"/>
      <c r="D2444" s="9" t="n"/>
      <c r="E2444" s="8" t="n"/>
      <c r="F2444" s="9" t="n"/>
      <c r="G2444" s="9" t="n"/>
      <c r="H2444" s="3">
        <f>IF(AND(D2444&lt;&gt;"",F2444&lt;&gt;""),F2444-D2444-G2444,"")</f>
        <v/>
      </c>
      <c r="I2444" s="14">
        <f>IF(E2444&lt;&gt;"", YEARFRAC(C2444, E2444) * 12, "")</f>
        <v/>
      </c>
      <c r="J2444" s="2">
        <f>IF(I2444="", "", IF(AND(A2444="MF (Equity)", I2444&gt;12), "Long Term", "Short Term"))</f>
        <v/>
      </c>
      <c r="K2444" s="5">
        <f>IF(J2444="", "", IF(J2444="Long Term", 12.5%, 20%))</f>
        <v/>
      </c>
      <c r="L2444" s="3">
        <f>+IFERROR(IF(J2444="","",H2444*K2444),"")</f>
        <v/>
      </c>
    </row>
    <row r="2445">
      <c r="A2445" s="11" t="n"/>
      <c r="B2445" s="7" t="n"/>
      <c r="C2445" s="8" t="n"/>
      <c r="D2445" s="9" t="n"/>
      <c r="E2445" s="8" t="n"/>
      <c r="F2445" s="9" t="n"/>
      <c r="G2445" s="9" t="n"/>
      <c r="H2445" s="3">
        <f>IF(AND(D2445&lt;&gt;"",F2445&lt;&gt;""),F2445-D2445-G2445,"")</f>
        <v/>
      </c>
      <c r="I2445" s="14">
        <f>IF(E2445&lt;&gt;"", YEARFRAC(C2445, E2445) * 12, "")</f>
        <v/>
      </c>
      <c r="J2445" s="2">
        <f>IF(I2445="", "", IF(AND(A2445="MF (Equity)", I2445&gt;12), "Long Term", "Short Term"))</f>
        <v/>
      </c>
      <c r="K2445" s="5">
        <f>IF(J2445="", "", IF(J2445="Long Term", 12.5%, 20%))</f>
        <v/>
      </c>
      <c r="L2445" s="3">
        <f>+IFERROR(IF(J2445="","",H2445*K2445),"")</f>
        <v/>
      </c>
    </row>
    <row r="2446">
      <c r="A2446" s="11" t="n"/>
      <c r="B2446" s="7" t="n"/>
      <c r="C2446" s="8" t="n"/>
      <c r="D2446" s="9" t="n"/>
      <c r="E2446" s="8" t="n"/>
      <c r="F2446" s="9" t="n"/>
      <c r="G2446" s="9" t="n"/>
      <c r="H2446" s="3">
        <f>IF(AND(D2446&lt;&gt;"",F2446&lt;&gt;""),F2446-D2446-G2446,"")</f>
        <v/>
      </c>
      <c r="I2446" s="14">
        <f>IF(E2446&lt;&gt;"", YEARFRAC(C2446, E2446) * 12, "")</f>
        <v/>
      </c>
      <c r="J2446" s="2">
        <f>IF(I2446="", "", IF(AND(A2446="MF (Equity)", I2446&gt;12), "Long Term", "Short Term"))</f>
        <v/>
      </c>
      <c r="K2446" s="5">
        <f>IF(J2446="", "", IF(J2446="Long Term", 12.5%, 20%))</f>
        <v/>
      </c>
      <c r="L2446" s="3">
        <f>+IFERROR(IF(J2446="","",H2446*K2446),"")</f>
        <v/>
      </c>
    </row>
    <row r="2447">
      <c r="A2447" s="11" t="n"/>
      <c r="B2447" s="7" t="n"/>
      <c r="C2447" s="8" t="n"/>
      <c r="D2447" s="9" t="n"/>
      <c r="E2447" s="8" t="n"/>
      <c r="F2447" s="9" t="n"/>
      <c r="G2447" s="9" t="n"/>
      <c r="H2447" s="3">
        <f>IF(AND(D2447&lt;&gt;"",F2447&lt;&gt;""),F2447-D2447-G2447,"")</f>
        <v/>
      </c>
      <c r="I2447" s="14">
        <f>IF(E2447&lt;&gt;"", YEARFRAC(C2447, E2447) * 12, "")</f>
        <v/>
      </c>
      <c r="J2447" s="2">
        <f>IF(I2447="", "", IF(AND(A2447="MF (Equity)", I2447&gt;12), "Long Term", "Short Term"))</f>
        <v/>
      </c>
      <c r="K2447" s="5">
        <f>IF(J2447="", "", IF(J2447="Long Term", 12.5%, 20%))</f>
        <v/>
      </c>
      <c r="L2447" s="3">
        <f>+IFERROR(IF(J2447="","",H2447*K2447),"")</f>
        <v/>
      </c>
    </row>
    <row r="2448">
      <c r="A2448" s="11" t="n"/>
      <c r="B2448" s="7" t="n"/>
      <c r="C2448" s="8" t="n"/>
      <c r="D2448" s="9" t="n"/>
      <c r="E2448" s="8" t="n"/>
      <c r="F2448" s="9" t="n"/>
      <c r="G2448" s="9" t="n"/>
      <c r="H2448" s="3">
        <f>IF(AND(D2448&lt;&gt;"",F2448&lt;&gt;""),F2448-D2448-G2448,"")</f>
        <v/>
      </c>
      <c r="I2448" s="14">
        <f>IF(E2448&lt;&gt;"", YEARFRAC(C2448, E2448) * 12, "")</f>
        <v/>
      </c>
      <c r="J2448" s="2">
        <f>IF(I2448="", "", IF(AND(A2448="MF (Equity)", I2448&gt;12), "Long Term", "Short Term"))</f>
        <v/>
      </c>
      <c r="K2448" s="5">
        <f>IF(J2448="", "", IF(J2448="Long Term", 12.5%, 20%))</f>
        <v/>
      </c>
      <c r="L2448" s="3">
        <f>+IFERROR(IF(J2448="","",H2448*K2448),"")</f>
        <v/>
      </c>
    </row>
    <row r="2449">
      <c r="A2449" s="11" t="n"/>
      <c r="B2449" s="7" t="n"/>
      <c r="C2449" s="8" t="n"/>
      <c r="D2449" s="9" t="n"/>
      <c r="E2449" s="8" t="n"/>
      <c r="F2449" s="9" t="n"/>
      <c r="G2449" s="9" t="n"/>
      <c r="H2449" s="3">
        <f>IF(AND(D2449&lt;&gt;"",F2449&lt;&gt;""),F2449-D2449-G2449,"")</f>
        <v/>
      </c>
      <c r="I2449" s="14">
        <f>IF(E2449&lt;&gt;"", YEARFRAC(C2449, E2449) * 12, "")</f>
        <v/>
      </c>
      <c r="J2449" s="2">
        <f>IF(I2449="", "", IF(AND(A2449="MF (Equity)", I2449&gt;12), "Long Term", "Short Term"))</f>
        <v/>
      </c>
      <c r="K2449" s="5">
        <f>IF(J2449="", "", IF(J2449="Long Term", 12.5%, 20%))</f>
        <v/>
      </c>
      <c r="L2449" s="3">
        <f>+IFERROR(IF(J2449="","",H2449*K2449),"")</f>
        <v/>
      </c>
    </row>
    <row r="2450">
      <c r="A2450" s="11" t="n"/>
      <c r="B2450" s="7" t="n"/>
      <c r="C2450" s="8" t="n"/>
      <c r="D2450" s="9" t="n"/>
      <c r="E2450" s="8" t="n"/>
      <c r="F2450" s="9" t="n"/>
      <c r="G2450" s="9" t="n"/>
      <c r="H2450" s="3">
        <f>IF(AND(D2450&lt;&gt;"",F2450&lt;&gt;""),F2450-D2450-G2450,"")</f>
        <v/>
      </c>
      <c r="I2450" s="14">
        <f>IF(E2450&lt;&gt;"", YEARFRAC(C2450, E2450) * 12, "")</f>
        <v/>
      </c>
      <c r="J2450" s="2">
        <f>IF(I2450="", "", IF(AND(A2450="MF (Equity)", I2450&gt;12), "Long Term", "Short Term"))</f>
        <v/>
      </c>
      <c r="K2450" s="5">
        <f>IF(J2450="", "", IF(J2450="Long Term", 12.5%, 20%))</f>
        <v/>
      </c>
      <c r="L2450" s="3">
        <f>+IFERROR(IF(J2450="","",H2450*K2450),"")</f>
        <v/>
      </c>
    </row>
    <row r="2451">
      <c r="A2451" s="11" t="n"/>
      <c r="B2451" s="7" t="n"/>
      <c r="C2451" s="8" t="n"/>
      <c r="D2451" s="9" t="n"/>
      <c r="E2451" s="8" t="n"/>
      <c r="F2451" s="9" t="n"/>
      <c r="G2451" s="9" t="n"/>
      <c r="H2451" s="3">
        <f>IF(AND(D2451&lt;&gt;"",F2451&lt;&gt;""),F2451-D2451-G2451,"")</f>
        <v/>
      </c>
      <c r="I2451" s="14">
        <f>IF(E2451&lt;&gt;"", YEARFRAC(C2451, E2451) * 12, "")</f>
        <v/>
      </c>
      <c r="J2451" s="2">
        <f>IF(I2451="", "", IF(AND(A2451="MF (Equity)", I2451&gt;12), "Long Term", "Short Term"))</f>
        <v/>
      </c>
      <c r="K2451" s="5">
        <f>IF(J2451="", "", IF(J2451="Long Term", 12.5%, 20%))</f>
        <v/>
      </c>
      <c r="L2451" s="3">
        <f>+IFERROR(IF(J2451="","",H2451*K2451),"")</f>
        <v/>
      </c>
    </row>
    <row r="2452">
      <c r="A2452" s="11" t="n"/>
      <c r="B2452" s="7" t="n"/>
      <c r="C2452" s="8" t="n"/>
      <c r="D2452" s="9" t="n"/>
      <c r="E2452" s="8" t="n"/>
      <c r="F2452" s="9" t="n"/>
      <c r="G2452" s="9" t="n"/>
      <c r="H2452" s="3">
        <f>IF(AND(D2452&lt;&gt;"",F2452&lt;&gt;""),F2452-D2452-G2452,"")</f>
        <v/>
      </c>
      <c r="I2452" s="14">
        <f>IF(E2452&lt;&gt;"", YEARFRAC(C2452, E2452) * 12, "")</f>
        <v/>
      </c>
      <c r="J2452" s="2">
        <f>IF(I2452="", "", IF(AND(A2452="MF (Equity)", I2452&gt;12), "Long Term", "Short Term"))</f>
        <v/>
      </c>
      <c r="K2452" s="5">
        <f>IF(J2452="", "", IF(J2452="Long Term", 12.5%, 20%))</f>
        <v/>
      </c>
      <c r="L2452" s="3">
        <f>+IFERROR(IF(J2452="","",H2452*K2452),"")</f>
        <v/>
      </c>
    </row>
    <row r="2453">
      <c r="A2453" s="11" t="n"/>
      <c r="B2453" s="7" t="n"/>
      <c r="C2453" s="8" t="n"/>
      <c r="D2453" s="9" t="n"/>
      <c r="E2453" s="8" t="n"/>
      <c r="F2453" s="9" t="n"/>
      <c r="G2453" s="9" t="n"/>
      <c r="H2453" s="3">
        <f>IF(AND(D2453&lt;&gt;"",F2453&lt;&gt;""),F2453-D2453-G2453,"")</f>
        <v/>
      </c>
      <c r="I2453" s="14">
        <f>IF(E2453&lt;&gt;"", YEARFRAC(C2453, E2453) * 12, "")</f>
        <v/>
      </c>
      <c r="J2453" s="2">
        <f>IF(I2453="", "", IF(AND(A2453="MF (Equity)", I2453&gt;12), "Long Term", "Short Term"))</f>
        <v/>
      </c>
      <c r="K2453" s="5">
        <f>IF(J2453="", "", IF(J2453="Long Term", 12.5%, 20%))</f>
        <v/>
      </c>
      <c r="L2453" s="3">
        <f>+IFERROR(IF(J2453="","",H2453*K2453),"")</f>
        <v/>
      </c>
    </row>
    <row r="2454">
      <c r="A2454" s="11" t="n"/>
      <c r="B2454" s="7" t="n"/>
      <c r="C2454" s="8" t="n"/>
      <c r="D2454" s="9" t="n"/>
      <c r="E2454" s="8" t="n"/>
      <c r="F2454" s="9" t="n"/>
      <c r="G2454" s="9" t="n"/>
      <c r="H2454" s="3">
        <f>IF(AND(D2454&lt;&gt;"",F2454&lt;&gt;""),F2454-D2454-G2454,"")</f>
        <v/>
      </c>
      <c r="I2454" s="14">
        <f>IF(E2454&lt;&gt;"", YEARFRAC(C2454, E2454) * 12, "")</f>
        <v/>
      </c>
      <c r="J2454" s="2">
        <f>IF(I2454="", "", IF(AND(A2454="MF (Equity)", I2454&gt;12), "Long Term", "Short Term"))</f>
        <v/>
      </c>
      <c r="K2454" s="5">
        <f>IF(J2454="", "", IF(J2454="Long Term", 12.5%, 20%))</f>
        <v/>
      </c>
      <c r="L2454" s="3">
        <f>+IFERROR(IF(J2454="","",H2454*K2454),"")</f>
        <v/>
      </c>
    </row>
    <row r="2455">
      <c r="A2455" s="11" t="n"/>
      <c r="B2455" s="7" t="n"/>
      <c r="C2455" s="8" t="n"/>
      <c r="D2455" s="9" t="n"/>
      <c r="E2455" s="8" t="n"/>
      <c r="F2455" s="9" t="n"/>
      <c r="G2455" s="9" t="n"/>
      <c r="H2455" s="3">
        <f>IF(AND(D2455&lt;&gt;"",F2455&lt;&gt;""),F2455-D2455-G2455,"")</f>
        <v/>
      </c>
      <c r="I2455" s="14">
        <f>IF(E2455&lt;&gt;"", YEARFRAC(C2455, E2455) * 12, "")</f>
        <v/>
      </c>
      <c r="J2455" s="2">
        <f>IF(I2455="", "", IF(AND(A2455="MF (Equity)", I2455&gt;12), "Long Term", "Short Term"))</f>
        <v/>
      </c>
      <c r="K2455" s="5">
        <f>IF(J2455="", "", IF(J2455="Long Term", 12.5%, 20%))</f>
        <v/>
      </c>
      <c r="L2455" s="3">
        <f>+IFERROR(IF(J2455="","",H2455*K2455),"")</f>
        <v/>
      </c>
    </row>
    <row r="2456">
      <c r="A2456" s="11" t="n"/>
      <c r="B2456" s="7" t="n"/>
      <c r="C2456" s="8" t="n"/>
      <c r="D2456" s="9" t="n"/>
      <c r="E2456" s="8" t="n"/>
      <c r="F2456" s="9" t="n"/>
      <c r="G2456" s="9" t="n"/>
      <c r="H2456" s="3">
        <f>IF(AND(D2456&lt;&gt;"",F2456&lt;&gt;""),F2456-D2456-G2456,"")</f>
        <v/>
      </c>
      <c r="I2456" s="14">
        <f>IF(E2456&lt;&gt;"", YEARFRAC(C2456, E2456) * 12, "")</f>
        <v/>
      </c>
      <c r="J2456" s="2">
        <f>IF(I2456="", "", IF(AND(A2456="MF (Equity)", I2456&gt;12), "Long Term", "Short Term"))</f>
        <v/>
      </c>
      <c r="K2456" s="5">
        <f>IF(J2456="", "", IF(J2456="Long Term", 12.5%, 20%))</f>
        <v/>
      </c>
      <c r="L2456" s="3">
        <f>+IFERROR(IF(J2456="","",H2456*K2456),"")</f>
        <v/>
      </c>
    </row>
    <row r="2457">
      <c r="A2457" s="11" t="n"/>
      <c r="B2457" s="7" t="n"/>
      <c r="C2457" s="8" t="n"/>
      <c r="D2457" s="9" t="n"/>
      <c r="E2457" s="8" t="n"/>
      <c r="F2457" s="9" t="n"/>
      <c r="G2457" s="9" t="n"/>
      <c r="H2457" s="3">
        <f>IF(AND(D2457&lt;&gt;"",F2457&lt;&gt;""),F2457-D2457-G2457,"")</f>
        <v/>
      </c>
      <c r="I2457" s="14">
        <f>IF(E2457&lt;&gt;"", YEARFRAC(C2457, E2457) * 12, "")</f>
        <v/>
      </c>
      <c r="J2457" s="2">
        <f>IF(I2457="", "", IF(AND(A2457="MF (Equity)", I2457&gt;12), "Long Term", "Short Term"))</f>
        <v/>
      </c>
      <c r="K2457" s="5">
        <f>IF(J2457="", "", IF(J2457="Long Term", 12.5%, 20%))</f>
        <v/>
      </c>
      <c r="L2457" s="3">
        <f>+IFERROR(IF(J2457="","",H2457*K2457),"")</f>
        <v/>
      </c>
    </row>
    <row r="2458">
      <c r="A2458" s="11" t="n"/>
      <c r="B2458" s="7" t="n"/>
      <c r="C2458" s="8" t="n"/>
      <c r="D2458" s="9" t="n"/>
      <c r="E2458" s="8" t="n"/>
      <c r="F2458" s="9" t="n"/>
      <c r="G2458" s="9" t="n"/>
      <c r="H2458" s="3">
        <f>IF(AND(D2458&lt;&gt;"",F2458&lt;&gt;""),F2458-D2458-G2458,"")</f>
        <v/>
      </c>
      <c r="I2458" s="14">
        <f>IF(E2458&lt;&gt;"", YEARFRAC(C2458, E2458) * 12, "")</f>
        <v/>
      </c>
      <c r="J2458" s="2">
        <f>IF(I2458="", "", IF(AND(A2458="MF (Equity)", I2458&gt;12), "Long Term", "Short Term"))</f>
        <v/>
      </c>
      <c r="K2458" s="5">
        <f>IF(J2458="", "", IF(J2458="Long Term", 12.5%, 20%))</f>
        <v/>
      </c>
      <c r="L2458" s="3">
        <f>+IFERROR(IF(J2458="","",H2458*K2458),"")</f>
        <v/>
      </c>
    </row>
    <row r="2459">
      <c r="A2459" s="11" t="n"/>
      <c r="B2459" s="7" t="n"/>
      <c r="C2459" s="8" t="n"/>
      <c r="D2459" s="9" t="n"/>
      <c r="E2459" s="8" t="n"/>
      <c r="F2459" s="9" t="n"/>
      <c r="G2459" s="9" t="n"/>
      <c r="H2459" s="3">
        <f>IF(AND(D2459&lt;&gt;"",F2459&lt;&gt;""),F2459-D2459-G2459,"")</f>
        <v/>
      </c>
      <c r="I2459" s="14">
        <f>IF(E2459&lt;&gt;"", YEARFRAC(C2459, E2459) * 12, "")</f>
        <v/>
      </c>
      <c r="J2459" s="2">
        <f>IF(I2459="", "", IF(AND(A2459="MF (Equity)", I2459&gt;12), "Long Term", "Short Term"))</f>
        <v/>
      </c>
      <c r="K2459" s="5">
        <f>IF(J2459="", "", IF(J2459="Long Term", 12.5%, 20%))</f>
        <v/>
      </c>
      <c r="L2459" s="3">
        <f>+IFERROR(IF(J2459="","",H2459*K2459),"")</f>
        <v/>
      </c>
    </row>
    <row r="2460">
      <c r="A2460" s="11" t="n"/>
      <c r="B2460" s="7" t="n"/>
      <c r="C2460" s="8" t="n"/>
      <c r="D2460" s="9" t="n"/>
      <c r="E2460" s="8" t="n"/>
      <c r="F2460" s="9" t="n"/>
      <c r="G2460" s="9" t="n"/>
      <c r="H2460" s="3">
        <f>IF(AND(D2460&lt;&gt;"",F2460&lt;&gt;""),F2460-D2460-G2460,"")</f>
        <v/>
      </c>
      <c r="I2460" s="14">
        <f>IF(E2460&lt;&gt;"", YEARFRAC(C2460, E2460) * 12, "")</f>
        <v/>
      </c>
      <c r="J2460" s="2">
        <f>IF(I2460="", "", IF(AND(A2460="MF (Equity)", I2460&gt;12), "Long Term", "Short Term"))</f>
        <v/>
      </c>
      <c r="K2460" s="5">
        <f>IF(J2460="", "", IF(J2460="Long Term", 12.5%, 20%))</f>
        <v/>
      </c>
      <c r="L2460" s="3">
        <f>+IFERROR(IF(J2460="","",H2460*K2460),"")</f>
        <v/>
      </c>
    </row>
    <row r="2461">
      <c r="A2461" s="11" t="n"/>
      <c r="B2461" s="7" t="n"/>
      <c r="C2461" s="8" t="n"/>
      <c r="D2461" s="9" t="n"/>
      <c r="E2461" s="8" t="n"/>
      <c r="F2461" s="9" t="n"/>
      <c r="G2461" s="9" t="n"/>
      <c r="H2461" s="3">
        <f>IF(AND(D2461&lt;&gt;"",F2461&lt;&gt;""),F2461-D2461-G2461,"")</f>
        <v/>
      </c>
      <c r="I2461" s="14">
        <f>IF(E2461&lt;&gt;"", YEARFRAC(C2461, E2461) * 12, "")</f>
        <v/>
      </c>
      <c r="J2461" s="2">
        <f>IF(I2461="", "", IF(AND(A2461="MF (Equity)", I2461&gt;12), "Long Term", "Short Term"))</f>
        <v/>
      </c>
      <c r="K2461" s="5">
        <f>IF(J2461="", "", IF(J2461="Long Term", 12.5%, 20%))</f>
        <v/>
      </c>
      <c r="L2461" s="3">
        <f>+IFERROR(IF(J2461="","",H2461*K2461),"")</f>
        <v/>
      </c>
    </row>
    <row r="2462">
      <c r="A2462" s="11" t="n"/>
      <c r="B2462" s="7" t="n"/>
      <c r="C2462" s="8" t="n"/>
      <c r="D2462" s="9" t="n"/>
      <c r="E2462" s="8" t="n"/>
      <c r="F2462" s="9" t="n"/>
      <c r="G2462" s="9" t="n"/>
      <c r="H2462" s="3">
        <f>IF(AND(D2462&lt;&gt;"",F2462&lt;&gt;""),F2462-D2462-G2462,"")</f>
        <v/>
      </c>
      <c r="I2462" s="14">
        <f>IF(E2462&lt;&gt;"", YEARFRAC(C2462, E2462) * 12, "")</f>
        <v/>
      </c>
      <c r="J2462" s="2">
        <f>IF(I2462="", "", IF(AND(A2462="MF (Equity)", I2462&gt;12), "Long Term", "Short Term"))</f>
        <v/>
      </c>
      <c r="K2462" s="5">
        <f>IF(J2462="", "", IF(J2462="Long Term", 12.5%, 20%))</f>
        <v/>
      </c>
      <c r="L2462" s="3">
        <f>+IFERROR(IF(J2462="","",H2462*K2462),"")</f>
        <v/>
      </c>
    </row>
    <row r="2463">
      <c r="A2463" s="11" t="n"/>
      <c r="B2463" s="7" t="n"/>
      <c r="C2463" s="8" t="n"/>
      <c r="D2463" s="9" t="n"/>
      <c r="E2463" s="8" t="n"/>
      <c r="F2463" s="9" t="n"/>
      <c r="G2463" s="9" t="n"/>
      <c r="H2463" s="3">
        <f>IF(AND(D2463&lt;&gt;"",F2463&lt;&gt;""),F2463-D2463-G2463,"")</f>
        <v/>
      </c>
      <c r="I2463" s="14">
        <f>IF(E2463&lt;&gt;"", YEARFRAC(C2463, E2463) * 12, "")</f>
        <v/>
      </c>
      <c r="J2463" s="2">
        <f>IF(I2463="", "", IF(AND(A2463="MF (Equity)", I2463&gt;12), "Long Term", "Short Term"))</f>
        <v/>
      </c>
      <c r="K2463" s="5">
        <f>IF(J2463="", "", IF(J2463="Long Term", 12.5%, 20%))</f>
        <v/>
      </c>
      <c r="L2463" s="3">
        <f>+IFERROR(IF(J2463="","",H2463*K2463),"")</f>
        <v/>
      </c>
    </row>
    <row r="2464">
      <c r="A2464" s="11" t="n"/>
      <c r="B2464" s="7" t="n"/>
      <c r="C2464" s="8" t="n"/>
      <c r="D2464" s="9" t="n"/>
      <c r="E2464" s="8" t="n"/>
      <c r="F2464" s="9" t="n"/>
      <c r="G2464" s="9" t="n"/>
      <c r="H2464" s="3">
        <f>IF(AND(D2464&lt;&gt;"",F2464&lt;&gt;""),F2464-D2464-G2464,"")</f>
        <v/>
      </c>
      <c r="I2464" s="14">
        <f>IF(E2464&lt;&gt;"", YEARFRAC(C2464, E2464) * 12, "")</f>
        <v/>
      </c>
      <c r="J2464" s="2">
        <f>IF(I2464="", "", IF(AND(A2464="MF (Equity)", I2464&gt;12), "Long Term", "Short Term"))</f>
        <v/>
      </c>
      <c r="K2464" s="5">
        <f>IF(J2464="", "", IF(J2464="Long Term", 12.5%, 20%))</f>
        <v/>
      </c>
      <c r="L2464" s="3">
        <f>+IFERROR(IF(J2464="","",H2464*K2464),"")</f>
        <v/>
      </c>
    </row>
    <row r="2465">
      <c r="A2465" s="11" t="n"/>
      <c r="B2465" s="7" t="n"/>
      <c r="C2465" s="8" t="n"/>
      <c r="D2465" s="9" t="n"/>
      <c r="E2465" s="8" t="n"/>
      <c r="F2465" s="9" t="n"/>
      <c r="G2465" s="9" t="n"/>
      <c r="H2465" s="3">
        <f>IF(AND(D2465&lt;&gt;"",F2465&lt;&gt;""),F2465-D2465-G2465,"")</f>
        <v/>
      </c>
      <c r="I2465" s="14">
        <f>IF(E2465&lt;&gt;"", YEARFRAC(C2465, E2465) * 12, "")</f>
        <v/>
      </c>
      <c r="J2465" s="2">
        <f>IF(I2465="", "", IF(AND(A2465="MF (Equity)", I2465&gt;12), "Long Term", "Short Term"))</f>
        <v/>
      </c>
      <c r="K2465" s="5">
        <f>IF(J2465="", "", IF(J2465="Long Term", 12.5%, 20%))</f>
        <v/>
      </c>
      <c r="L2465" s="3">
        <f>+IFERROR(IF(J2465="","",H2465*K2465),"")</f>
        <v/>
      </c>
    </row>
    <row r="2466">
      <c r="A2466" s="11" t="n"/>
      <c r="B2466" s="7" t="n"/>
      <c r="C2466" s="8" t="n"/>
      <c r="D2466" s="9" t="n"/>
      <c r="E2466" s="8" t="n"/>
      <c r="F2466" s="9" t="n"/>
      <c r="G2466" s="9" t="n"/>
      <c r="H2466" s="3">
        <f>IF(AND(D2466&lt;&gt;"",F2466&lt;&gt;""),F2466-D2466-G2466,"")</f>
        <v/>
      </c>
      <c r="I2466" s="14">
        <f>IF(E2466&lt;&gt;"", YEARFRAC(C2466, E2466) * 12, "")</f>
        <v/>
      </c>
      <c r="J2466" s="2">
        <f>IF(I2466="", "", IF(AND(A2466="MF (Equity)", I2466&gt;12), "Long Term", "Short Term"))</f>
        <v/>
      </c>
      <c r="K2466" s="5">
        <f>IF(J2466="", "", IF(J2466="Long Term", 12.5%, 20%))</f>
        <v/>
      </c>
      <c r="L2466" s="3">
        <f>+IFERROR(IF(J2466="","",H2466*K2466),"")</f>
        <v/>
      </c>
    </row>
    <row r="2467">
      <c r="A2467" s="11" t="n"/>
      <c r="B2467" s="7" t="n"/>
      <c r="C2467" s="8" t="n"/>
      <c r="D2467" s="9" t="n"/>
      <c r="E2467" s="8" t="n"/>
      <c r="F2467" s="9" t="n"/>
      <c r="G2467" s="9" t="n"/>
      <c r="H2467" s="3">
        <f>IF(AND(D2467&lt;&gt;"",F2467&lt;&gt;""),F2467-D2467-G2467,"")</f>
        <v/>
      </c>
      <c r="I2467" s="14">
        <f>IF(E2467&lt;&gt;"", YEARFRAC(C2467, E2467) * 12, "")</f>
        <v/>
      </c>
      <c r="J2467" s="2">
        <f>IF(I2467="", "", IF(AND(A2467="MF (Equity)", I2467&gt;12), "Long Term", "Short Term"))</f>
        <v/>
      </c>
      <c r="K2467" s="5">
        <f>IF(J2467="", "", IF(J2467="Long Term", 12.5%, 20%))</f>
        <v/>
      </c>
      <c r="L2467" s="3">
        <f>+IFERROR(IF(J2467="","",H2467*K2467),"")</f>
        <v/>
      </c>
    </row>
    <row r="2468">
      <c r="A2468" s="11" t="n"/>
      <c r="B2468" s="7" t="n"/>
      <c r="C2468" s="8" t="n"/>
      <c r="D2468" s="9" t="n"/>
      <c r="E2468" s="8" t="n"/>
      <c r="F2468" s="9" t="n"/>
      <c r="G2468" s="9" t="n"/>
      <c r="H2468" s="3">
        <f>IF(AND(D2468&lt;&gt;"",F2468&lt;&gt;""),F2468-D2468-G2468,"")</f>
        <v/>
      </c>
      <c r="I2468" s="14">
        <f>IF(E2468&lt;&gt;"", YEARFRAC(C2468, E2468) * 12, "")</f>
        <v/>
      </c>
      <c r="J2468" s="2">
        <f>IF(I2468="", "", IF(AND(A2468="MF (Equity)", I2468&gt;12), "Long Term", "Short Term"))</f>
        <v/>
      </c>
      <c r="K2468" s="5">
        <f>IF(J2468="", "", IF(J2468="Long Term", 12.5%, 20%))</f>
        <v/>
      </c>
      <c r="L2468" s="3">
        <f>+IFERROR(IF(J2468="","",H2468*K2468),"")</f>
        <v/>
      </c>
    </row>
    <row r="2469">
      <c r="A2469" s="11" t="n"/>
      <c r="B2469" s="7" t="n"/>
      <c r="C2469" s="8" t="n"/>
      <c r="D2469" s="9" t="n"/>
      <c r="E2469" s="8" t="n"/>
      <c r="F2469" s="9" t="n"/>
      <c r="G2469" s="9" t="n"/>
      <c r="H2469" s="3">
        <f>IF(AND(D2469&lt;&gt;"",F2469&lt;&gt;""),F2469-D2469-G2469,"")</f>
        <v/>
      </c>
      <c r="I2469" s="14">
        <f>IF(E2469&lt;&gt;"", YEARFRAC(C2469, E2469) * 12, "")</f>
        <v/>
      </c>
      <c r="J2469" s="2">
        <f>IF(I2469="", "", IF(AND(A2469="MF (Equity)", I2469&gt;12), "Long Term", "Short Term"))</f>
        <v/>
      </c>
      <c r="K2469" s="5">
        <f>IF(J2469="", "", IF(J2469="Long Term", 12.5%, 20%))</f>
        <v/>
      </c>
      <c r="L2469" s="3">
        <f>+IFERROR(IF(J2469="","",H2469*K2469),"")</f>
        <v/>
      </c>
    </row>
    <row r="2470">
      <c r="A2470" s="11" t="n"/>
      <c r="B2470" s="7" t="n"/>
      <c r="C2470" s="8" t="n"/>
      <c r="D2470" s="9" t="n"/>
      <c r="E2470" s="8" t="n"/>
      <c r="F2470" s="9" t="n"/>
      <c r="G2470" s="9" t="n"/>
      <c r="H2470" s="3">
        <f>IF(AND(D2470&lt;&gt;"",F2470&lt;&gt;""),F2470-D2470-G2470,"")</f>
        <v/>
      </c>
      <c r="I2470" s="14">
        <f>IF(E2470&lt;&gt;"", YEARFRAC(C2470, E2470) * 12, "")</f>
        <v/>
      </c>
      <c r="J2470" s="2">
        <f>IF(I2470="", "", IF(AND(A2470="MF (Equity)", I2470&gt;12), "Long Term", "Short Term"))</f>
        <v/>
      </c>
      <c r="K2470" s="5">
        <f>IF(J2470="", "", IF(J2470="Long Term", 12.5%, 20%))</f>
        <v/>
      </c>
      <c r="L2470" s="3">
        <f>+IFERROR(IF(J2470="","",H2470*K2470),"")</f>
        <v/>
      </c>
    </row>
    <row r="2471">
      <c r="A2471" s="11" t="n"/>
      <c r="B2471" s="7" t="n"/>
      <c r="C2471" s="8" t="n"/>
      <c r="D2471" s="9" t="n"/>
      <c r="E2471" s="8" t="n"/>
      <c r="F2471" s="9" t="n"/>
      <c r="G2471" s="9" t="n"/>
      <c r="H2471" s="3">
        <f>IF(AND(D2471&lt;&gt;"",F2471&lt;&gt;""),F2471-D2471-G2471,"")</f>
        <v/>
      </c>
      <c r="I2471" s="14">
        <f>IF(E2471&lt;&gt;"", YEARFRAC(C2471, E2471) * 12, "")</f>
        <v/>
      </c>
      <c r="J2471" s="2">
        <f>IF(I2471="", "", IF(AND(A2471="MF (Equity)", I2471&gt;12), "Long Term", "Short Term"))</f>
        <v/>
      </c>
      <c r="K2471" s="5">
        <f>IF(J2471="", "", IF(J2471="Long Term", 12.5%, 20%))</f>
        <v/>
      </c>
      <c r="L2471" s="3">
        <f>+IFERROR(IF(J2471="","",H2471*K2471),"")</f>
        <v/>
      </c>
    </row>
    <row r="2472">
      <c r="A2472" s="11" t="n"/>
      <c r="B2472" s="7" t="n"/>
      <c r="C2472" s="8" t="n"/>
      <c r="D2472" s="9" t="n"/>
      <c r="E2472" s="8" t="n"/>
      <c r="F2472" s="9" t="n"/>
      <c r="G2472" s="9" t="n"/>
      <c r="H2472" s="3">
        <f>IF(AND(D2472&lt;&gt;"",F2472&lt;&gt;""),F2472-D2472-G2472,"")</f>
        <v/>
      </c>
      <c r="I2472" s="14">
        <f>IF(E2472&lt;&gt;"", YEARFRAC(C2472, E2472) * 12, "")</f>
        <v/>
      </c>
      <c r="J2472" s="2">
        <f>IF(I2472="", "", IF(AND(A2472="MF (Equity)", I2472&gt;12), "Long Term", "Short Term"))</f>
        <v/>
      </c>
      <c r="K2472" s="5">
        <f>IF(J2472="", "", IF(J2472="Long Term", 12.5%, 20%))</f>
        <v/>
      </c>
      <c r="L2472" s="3">
        <f>+IFERROR(IF(J2472="","",H2472*K2472),"")</f>
        <v/>
      </c>
    </row>
    <row r="2473">
      <c r="A2473" s="11" t="n"/>
      <c r="B2473" s="7" t="n"/>
      <c r="C2473" s="8" t="n"/>
      <c r="D2473" s="9" t="n"/>
      <c r="E2473" s="8" t="n"/>
      <c r="F2473" s="9" t="n"/>
      <c r="G2473" s="9" t="n"/>
      <c r="H2473" s="3">
        <f>IF(AND(D2473&lt;&gt;"",F2473&lt;&gt;""),F2473-D2473-G2473,"")</f>
        <v/>
      </c>
      <c r="I2473" s="14">
        <f>IF(E2473&lt;&gt;"", YEARFRAC(C2473, E2473) * 12, "")</f>
        <v/>
      </c>
      <c r="J2473" s="2">
        <f>IF(I2473="", "", IF(AND(A2473="MF (Equity)", I2473&gt;12), "Long Term", "Short Term"))</f>
        <v/>
      </c>
      <c r="K2473" s="5">
        <f>IF(J2473="", "", IF(J2473="Long Term", 12.5%, 20%))</f>
        <v/>
      </c>
      <c r="L2473" s="3">
        <f>+IFERROR(IF(J2473="","",H2473*K2473),"")</f>
        <v/>
      </c>
    </row>
    <row r="2474">
      <c r="A2474" s="11" t="n"/>
      <c r="B2474" s="7" t="n"/>
      <c r="C2474" s="8" t="n"/>
      <c r="D2474" s="9" t="n"/>
      <c r="E2474" s="8" t="n"/>
      <c r="F2474" s="9" t="n"/>
      <c r="G2474" s="9" t="n"/>
      <c r="H2474" s="3">
        <f>IF(AND(D2474&lt;&gt;"",F2474&lt;&gt;""),F2474-D2474-G2474,"")</f>
        <v/>
      </c>
      <c r="I2474" s="14">
        <f>IF(E2474&lt;&gt;"", YEARFRAC(C2474, E2474) * 12, "")</f>
        <v/>
      </c>
      <c r="J2474" s="2">
        <f>IF(I2474="", "", IF(AND(A2474="MF (Equity)", I2474&gt;12), "Long Term", "Short Term"))</f>
        <v/>
      </c>
      <c r="K2474" s="5">
        <f>IF(J2474="", "", IF(J2474="Long Term", 12.5%, 20%))</f>
        <v/>
      </c>
      <c r="L2474" s="3">
        <f>+IFERROR(IF(J2474="","",H2474*K2474),"")</f>
        <v/>
      </c>
    </row>
    <row r="2475">
      <c r="A2475" s="11" t="n"/>
      <c r="B2475" s="7" t="n"/>
      <c r="C2475" s="8" t="n"/>
      <c r="D2475" s="9" t="n"/>
      <c r="E2475" s="8" t="n"/>
      <c r="F2475" s="9" t="n"/>
      <c r="G2475" s="9" t="n"/>
      <c r="H2475" s="3">
        <f>IF(AND(D2475&lt;&gt;"",F2475&lt;&gt;""),F2475-D2475-G2475,"")</f>
        <v/>
      </c>
      <c r="I2475" s="14">
        <f>IF(E2475&lt;&gt;"", YEARFRAC(C2475, E2475) * 12, "")</f>
        <v/>
      </c>
      <c r="J2475" s="2">
        <f>IF(I2475="", "", IF(AND(A2475="MF (Equity)", I2475&gt;12), "Long Term", "Short Term"))</f>
        <v/>
      </c>
      <c r="K2475" s="5">
        <f>IF(J2475="", "", IF(J2475="Long Term", 12.5%, 20%))</f>
        <v/>
      </c>
      <c r="L2475" s="3">
        <f>+IFERROR(IF(J2475="","",H2475*K2475),"")</f>
        <v/>
      </c>
    </row>
    <row r="2476">
      <c r="A2476" s="11" t="n"/>
      <c r="B2476" s="7" t="n"/>
      <c r="C2476" s="8" t="n"/>
      <c r="D2476" s="9" t="n"/>
      <c r="E2476" s="8" t="n"/>
      <c r="F2476" s="9" t="n"/>
      <c r="G2476" s="9" t="n"/>
      <c r="H2476" s="3">
        <f>IF(AND(D2476&lt;&gt;"",F2476&lt;&gt;""),F2476-D2476-G2476,"")</f>
        <v/>
      </c>
      <c r="I2476" s="14">
        <f>IF(E2476&lt;&gt;"", YEARFRAC(C2476, E2476) * 12, "")</f>
        <v/>
      </c>
      <c r="J2476" s="2">
        <f>IF(I2476="", "", IF(AND(A2476="MF (Equity)", I2476&gt;12), "Long Term", "Short Term"))</f>
        <v/>
      </c>
      <c r="K2476" s="5">
        <f>IF(J2476="", "", IF(J2476="Long Term", 12.5%, 20%))</f>
        <v/>
      </c>
      <c r="L2476" s="3">
        <f>+IFERROR(IF(J2476="","",H2476*K2476),"")</f>
        <v/>
      </c>
    </row>
    <row r="2477">
      <c r="A2477" s="11" t="n"/>
      <c r="B2477" s="7" t="n"/>
      <c r="C2477" s="8" t="n"/>
      <c r="D2477" s="9" t="n"/>
      <c r="E2477" s="8" t="n"/>
      <c r="F2477" s="9" t="n"/>
      <c r="G2477" s="9" t="n"/>
      <c r="H2477" s="3">
        <f>IF(AND(D2477&lt;&gt;"",F2477&lt;&gt;""),F2477-D2477-G2477,"")</f>
        <v/>
      </c>
      <c r="I2477" s="14">
        <f>IF(E2477&lt;&gt;"", YEARFRAC(C2477, E2477) * 12, "")</f>
        <v/>
      </c>
      <c r="J2477" s="2">
        <f>IF(I2477="", "", IF(AND(A2477="MF (Equity)", I2477&gt;12), "Long Term", "Short Term"))</f>
        <v/>
      </c>
      <c r="K2477" s="5">
        <f>IF(J2477="", "", IF(J2477="Long Term", 12.5%, 20%))</f>
        <v/>
      </c>
      <c r="L2477" s="3">
        <f>+IFERROR(IF(J2477="","",H2477*K2477),"")</f>
        <v/>
      </c>
    </row>
    <row r="2478">
      <c r="A2478" s="11" t="n"/>
      <c r="B2478" s="7" t="n"/>
      <c r="C2478" s="8" t="n"/>
      <c r="D2478" s="9" t="n"/>
      <c r="E2478" s="8" t="n"/>
      <c r="F2478" s="9" t="n"/>
      <c r="G2478" s="9" t="n"/>
      <c r="H2478" s="3">
        <f>IF(AND(D2478&lt;&gt;"",F2478&lt;&gt;""),F2478-D2478-G2478,"")</f>
        <v/>
      </c>
      <c r="I2478" s="14">
        <f>IF(E2478&lt;&gt;"", YEARFRAC(C2478, E2478) * 12, "")</f>
        <v/>
      </c>
      <c r="J2478" s="2">
        <f>IF(I2478="", "", IF(AND(A2478="MF (Equity)", I2478&gt;12), "Long Term", "Short Term"))</f>
        <v/>
      </c>
      <c r="K2478" s="5">
        <f>IF(J2478="", "", IF(J2478="Long Term", 12.5%, 20%))</f>
        <v/>
      </c>
      <c r="L2478" s="3">
        <f>+IFERROR(IF(J2478="","",H2478*K2478),"")</f>
        <v/>
      </c>
    </row>
    <row r="2479">
      <c r="A2479" s="11" t="n"/>
      <c r="B2479" s="7" t="n"/>
      <c r="C2479" s="8" t="n"/>
      <c r="D2479" s="9" t="n"/>
      <c r="E2479" s="8" t="n"/>
      <c r="F2479" s="9" t="n"/>
      <c r="G2479" s="9" t="n"/>
      <c r="H2479" s="3">
        <f>IF(AND(D2479&lt;&gt;"",F2479&lt;&gt;""),F2479-D2479-G2479,"")</f>
        <v/>
      </c>
      <c r="I2479" s="14">
        <f>IF(E2479&lt;&gt;"", YEARFRAC(C2479, E2479) * 12, "")</f>
        <v/>
      </c>
      <c r="J2479" s="2">
        <f>IF(I2479="", "", IF(AND(A2479="MF (Equity)", I2479&gt;12), "Long Term", "Short Term"))</f>
        <v/>
      </c>
      <c r="K2479" s="5">
        <f>IF(J2479="", "", IF(J2479="Long Term", 12.5%, 20%))</f>
        <v/>
      </c>
      <c r="L2479" s="3">
        <f>+IFERROR(IF(J2479="","",H2479*K2479),"")</f>
        <v/>
      </c>
    </row>
    <row r="2480">
      <c r="A2480" s="11" t="n"/>
      <c r="B2480" s="7" t="n"/>
      <c r="C2480" s="8" t="n"/>
      <c r="D2480" s="9" t="n"/>
      <c r="E2480" s="8" t="n"/>
      <c r="F2480" s="9" t="n"/>
      <c r="G2480" s="9" t="n"/>
      <c r="H2480" s="3">
        <f>IF(AND(D2480&lt;&gt;"",F2480&lt;&gt;""),F2480-D2480-G2480,"")</f>
        <v/>
      </c>
      <c r="I2480" s="14">
        <f>IF(E2480&lt;&gt;"", YEARFRAC(C2480, E2480) * 12, "")</f>
        <v/>
      </c>
      <c r="J2480" s="2">
        <f>IF(I2480="", "", IF(AND(A2480="MF (Equity)", I2480&gt;12), "Long Term", "Short Term"))</f>
        <v/>
      </c>
      <c r="K2480" s="5">
        <f>IF(J2480="", "", IF(J2480="Long Term", 12.5%, 20%))</f>
        <v/>
      </c>
      <c r="L2480" s="3">
        <f>+IFERROR(IF(J2480="","",H2480*K2480),"")</f>
        <v/>
      </c>
    </row>
    <row r="2481">
      <c r="A2481" s="11" t="n"/>
      <c r="B2481" s="7" t="n"/>
      <c r="C2481" s="8" t="n"/>
      <c r="D2481" s="9" t="n"/>
      <c r="E2481" s="8" t="n"/>
      <c r="F2481" s="9" t="n"/>
      <c r="G2481" s="9" t="n"/>
      <c r="H2481" s="3">
        <f>IF(AND(D2481&lt;&gt;"",F2481&lt;&gt;""),F2481-D2481-G2481,"")</f>
        <v/>
      </c>
      <c r="I2481" s="14">
        <f>IF(E2481&lt;&gt;"", YEARFRAC(C2481, E2481) * 12, "")</f>
        <v/>
      </c>
      <c r="J2481" s="2">
        <f>IF(I2481="", "", IF(AND(A2481="MF (Equity)", I2481&gt;12), "Long Term", "Short Term"))</f>
        <v/>
      </c>
      <c r="K2481" s="5">
        <f>IF(J2481="", "", IF(J2481="Long Term", 12.5%, 20%))</f>
        <v/>
      </c>
      <c r="L2481" s="3">
        <f>+IFERROR(IF(J2481="","",H2481*K2481),"")</f>
        <v/>
      </c>
    </row>
    <row r="2482">
      <c r="A2482" s="11" t="n"/>
      <c r="B2482" s="7" t="n"/>
      <c r="C2482" s="8" t="n"/>
      <c r="D2482" s="9" t="n"/>
      <c r="E2482" s="8" t="n"/>
      <c r="F2482" s="9" t="n"/>
      <c r="G2482" s="9" t="n"/>
      <c r="H2482" s="3">
        <f>IF(AND(D2482&lt;&gt;"",F2482&lt;&gt;""),F2482-D2482-G2482,"")</f>
        <v/>
      </c>
      <c r="I2482" s="14">
        <f>IF(E2482&lt;&gt;"", YEARFRAC(C2482, E2482) * 12, "")</f>
        <v/>
      </c>
      <c r="J2482" s="2">
        <f>IF(I2482="", "", IF(AND(A2482="MF (Equity)", I2482&gt;12), "Long Term", "Short Term"))</f>
        <v/>
      </c>
      <c r="K2482" s="5">
        <f>IF(J2482="", "", IF(J2482="Long Term", 12.5%, 20%))</f>
        <v/>
      </c>
      <c r="L2482" s="3">
        <f>+IFERROR(IF(J2482="","",H2482*K2482),"")</f>
        <v/>
      </c>
    </row>
    <row r="2483">
      <c r="A2483" s="11" t="n"/>
      <c r="B2483" s="7" t="n"/>
      <c r="C2483" s="8" t="n"/>
      <c r="D2483" s="9" t="n"/>
      <c r="E2483" s="8" t="n"/>
      <c r="F2483" s="9" t="n"/>
      <c r="G2483" s="9" t="n"/>
      <c r="H2483" s="3">
        <f>IF(AND(D2483&lt;&gt;"",F2483&lt;&gt;""),F2483-D2483-G2483,"")</f>
        <v/>
      </c>
      <c r="I2483" s="14">
        <f>IF(E2483&lt;&gt;"", YEARFRAC(C2483, E2483) * 12, "")</f>
        <v/>
      </c>
      <c r="J2483" s="2">
        <f>IF(I2483="", "", IF(AND(A2483="MF (Equity)", I2483&gt;12), "Long Term", "Short Term"))</f>
        <v/>
      </c>
      <c r="K2483" s="5">
        <f>IF(J2483="", "", IF(J2483="Long Term", 12.5%, 20%))</f>
        <v/>
      </c>
      <c r="L2483" s="3">
        <f>+IFERROR(IF(J2483="","",H2483*K2483),"")</f>
        <v/>
      </c>
    </row>
    <row r="2484">
      <c r="A2484" s="11" t="n"/>
      <c r="B2484" s="7" t="n"/>
      <c r="C2484" s="8" t="n"/>
      <c r="D2484" s="9" t="n"/>
      <c r="E2484" s="8" t="n"/>
      <c r="F2484" s="9" t="n"/>
      <c r="G2484" s="9" t="n"/>
      <c r="H2484" s="3">
        <f>IF(AND(D2484&lt;&gt;"",F2484&lt;&gt;""),F2484-D2484-G2484,"")</f>
        <v/>
      </c>
      <c r="I2484" s="14">
        <f>IF(E2484&lt;&gt;"", YEARFRAC(C2484, E2484) * 12, "")</f>
        <v/>
      </c>
      <c r="J2484" s="2">
        <f>IF(I2484="", "", IF(AND(A2484="MF (Equity)", I2484&gt;12), "Long Term", "Short Term"))</f>
        <v/>
      </c>
      <c r="K2484" s="5">
        <f>IF(J2484="", "", IF(J2484="Long Term", 12.5%, 20%))</f>
        <v/>
      </c>
      <c r="L2484" s="3">
        <f>+IFERROR(IF(J2484="","",H2484*K2484),"")</f>
        <v/>
      </c>
    </row>
    <row r="2485">
      <c r="A2485" s="11" t="n"/>
      <c r="B2485" s="7" t="n"/>
      <c r="C2485" s="8" t="n"/>
      <c r="D2485" s="9" t="n"/>
      <c r="E2485" s="8" t="n"/>
      <c r="F2485" s="9" t="n"/>
      <c r="G2485" s="9" t="n"/>
      <c r="H2485" s="3">
        <f>IF(AND(D2485&lt;&gt;"",F2485&lt;&gt;""),F2485-D2485-G2485,"")</f>
        <v/>
      </c>
      <c r="I2485" s="14">
        <f>IF(E2485&lt;&gt;"", YEARFRAC(C2485, E2485) * 12, "")</f>
        <v/>
      </c>
      <c r="J2485" s="2">
        <f>IF(I2485="", "", IF(AND(A2485="MF (Equity)", I2485&gt;12), "Long Term", "Short Term"))</f>
        <v/>
      </c>
      <c r="K2485" s="5">
        <f>IF(J2485="", "", IF(J2485="Long Term", 12.5%, 20%))</f>
        <v/>
      </c>
      <c r="L2485" s="3">
        <f>+IFERROR(IF(J2485="","",H2485*K2485),"")</f>
        <v/>
      </c>
    </row>
    <row r="2486">
      <c r="A2486" s="11" t="n"/>
      <c r="B2486" s="7" t="n"/>
      <c r="C2486" s="8" t="n"/>
      <c r="D2486" s="9" t="n"/>
      <c r="E2486" s="8" t="n"/>
      <c r="F2486" s="9" t="n"/>
      <c r="G2486" s="9" t="n"/>
      <c r="H2486" s="3">
        <f>IF(AND(D2486&lt;&gt;"",F2486&lt;&gt;""),F2486-D2486-G2486,"")</f>
        <v/>
      </c>
      <c r="I2486" s="14">
        <f>IF(E2486&lt;&gt;"", YEARFRAC(C2486, E2486) * 12, "")</f>
        <v/>
      </c>
      <c r="J2486" s="2">
        <f>IF(I2486="", "", IF(AND(A2486="MF (Equity)", I2486&gt;12), "Long Term", "Short Term"))</f>
        <v/>
      </c>
      <c r="K2486" s="5">
        <f>IF(J2486="", "", IF(J2486="Long Term", 12.5%, 20%))</f>
        <v/>
      </c>
      <c r="L2486" s="3">
        <f>+IFERROR(IF(J2486="","",H2486*K2486),"")</f>
        <v/>
      </c>
    </row>
    <row r="2487">
      <c r="A2487" s="11" t="n"/>
      <c r="B2487" s="7" t="n"/>
      <c r="C2487" s="8" t="n"/>
      <c r="D2487" s="9" t="n"/>
      <c r="E2487" s="8" t="n"/>
      <c r="F2487" s="9" t="n"/>
      <c r="G2487" s="9" t="n"/>
      <c r="H2487" s="3">
        <f>IF(AND(D2487&lt;&gt;"",F2487&lt;&gt;""),F2487-D2487-G2487,"")</f>
        <v/>
      </c>
      <c r="I2487" s="14">
        <f>IF(E2487&lt;&gt;"", YEARFRAC(C2487, E2487) * 12, "")</f>
        <v/>
      </c>
      <c r="J2487" s="2">
        <f>IF(I2487="", "", IF(AND(A2487="MF (Equity)", I2487&gt;12), "Long Term", "Short Term"))</f>
        <v/>
      </c>
      <c r="K2487" s="5">
        <f>IF(J2487="", "", IF(J2487="Long Term", 12.5%, 20%))</f>
        <v/>
      </c>
      <c r="L2487" s="3">
        <f>+IFERROR(IF(J2487="","",H2487*K2487),"")</f>
        <v/>
      </c>
    </row>
    <row r="2488">
      <c r="A2488" s="11" t="n"/>
      <c r="B2488" s="7" t="n"/>
      <c r="C2488" s="8" t="n"/>
      <c r="D2488" s="9" t="n"/>
      <c r="E2488" s="8" t="n"/>
      <c r="F2488" s="9" t="n"/>
      <c r="G2488" s="9" t="n"/>
      <c r="H2488" s="3">
        <f>IF(AND(D2488&lt;&gt;"",F2488&lt;&gt;""),F2488-D2488-G2488,"")</f>
        <v/>
      </c>
      <c r="I2488" s="14">
        <f>IF(E2488&lt;&gt;"", YEARFRAC(C2488, E2488) * 12, "")</f>
        <v/>
      </c>
      <c r="J2488" s="2">
        <f>IF(I2488="", "", IF(AND(A2488="MF (Equity)", I2488&gt;12), "Long Term", "Short Term"))</f>
        <v/>
      </c>
      <c r="K2488" s="5">
        <f>IF(J2488="", "", IF(J2488="Long Term", 12.5%, 20%))</f>
        <v/>
      </c>
      <c r="L2488" s="3">
        <f>+IFERROR(IF(J2488="","",H2488*K2488),"")</f>
        <v/>
      </c>
    </row>
    <row r="2489">
      <c r="A2489" s="11" t="n"/>
      <c r="B2489" s="7" t="n"/>
      <c r="C2489" s="8" t="n"/>
      <c r="D2489" s="9" t="n"/>
      <c r="E2489" s="8" t="n"/>
      <c r="F2489" s="9" t="n"/>
      <c r="G2489" s="9" t="n"/>
      <c r="H2489" s="3">
        <f>IF(AND(D2489&lt;&gt;"",F2489&lt;&gt;""),F2489-D2489-G2489,"")</f>
        <v/>
      </c>
      <c r="I2489" s="14">
        <f>IF(E2489&lt;&gt;"", YEARFRAC(C2489, E2489) * 12, "")</f>
        <v/>
      </c>
      <c r="J2489" s="2">
        <f>IF(I2489="", "", IF(AND(A2489="MF (Equity)", I2489&gt;12), "Long Term", "Short Term"))</f>
        <v/>
      </c>
      <c r="K2489" s="5">
        <f>IF(J2489="", "", IF(J2489="Long Term", 12.5%, 20%))</f>
        <v/>
      </c>
      <c r="L2489" s="3">
        <f>+IFERROR(IF(J2489="","",H2489*K2489),"")</f>
        <v/>
      </c>
    </row>
    <row r="2490">
      <c r="A2490" s="11" t="n"/>
      <c r="B2490" s="7" t="n"/>
      <c r="C2490" s="8" t="n"/>
      <c r="D2490" s="9" t="n"/>
      <c r="E2490" s="8" t="n"/>
      <c r="F2490" s="9" t="n"/>
      <c r="G2490" s="9" t="n"/>
      <c r="H2490" s="3">
        <f>IF(AND(D2490&lt;&gt;"",F2490&lt;&gt;""),F2490-D2490-G2490,"")</f>
        <v/>
      </c>
      <c r="I2490" s="14">
        <f>IF(E2490&lt;&gt;"", YEARFRAC(C2490, E2490) * 12, "")</f>
        <v/>
      </c>
      <c r="J2490" s="2">
        <f>IF(I2490="", "", IF(AND(A2490="MF (Equity)", I2490&gt;12), "Long Term", "Short Term"))</f>
        <v/>
      </c>
      <c r="K2490" s="5">
        <f>IF(J2490="", "", IF(J2490="Long Term", 12.5%, 20%))</f>
        <v/>
      </c>
      <c r="L2490" s="3">
        <f>+IFERROR(IF(J2490="","",H2490*K2490),"")</f>
        <v/>
      </c>
    </row>
    <row r="2491">
      <c r="A2491" s="11" t="n"/>
      <c r="B2491" s="7" t="n"/>
      <c r="C2491" s="8" t="n"/>
      <c r="D2491" s="9" t="n"/>
      <c r="E2491" s="8" t="n"/>
      <c r="F2491" s="9" t="n"/>
      <c r="G2491" s="9" t="n"/>
      <c r="H2491" s="3">
        <f>IF(AND(D2491&lt;&gt;"",F2491&lt;&gt;""),F2491-D2491-G2491,"")</f>
        <v/>
      </c>
      <c r="I2491" s="14">
        <f>IF(E2491&lt;&gt;"", YEARFRAC(C2491, E2491) * 12, "")</f>
        <v/>
      </c>
      <c r="J2491" s="2">
        <f>IF(I2491="", "", IF(AND(A2491="MF (Equity)", I2491&gt;12), "Long Term", "Short Term"))</f>
        <v/>
      </c>
      <c r="K2491" s="5">
        <f>IF(J2491="", "", IF(J2491="Long Term", 12.5%, 20%))</f>
        <v/>
      </c>
      <c r="L2491" s="3">
        <f>+IFERROR(IF(J2491="","",H2491*K2491),"")</f>
        <v/>
      </c>
    </row>
    <row r="2492">
      <c r="A2492" s="11" t="n"/>
      <c r="B2492" s="7" t="n"/>
      <c r="C2492" s="8" t="n"/>
      <c r="D2492" s="9" t="n"/>
      <c r="E2492" s="8" t="n"/>
      <c r="F2492" s="9" t="n"/>
      <c r="G2492" s="9" t="n"/>
      <c r="H2492" s="3">
        <f>IF(AND(D2492&lt;&gt;"",F2492&lt;&gt;""),F2492-D2492-G2492,"")</f>
        <v/>
      </c>
      <c r="I2492" s="14">
        <f>IF(E2492&lt;&gt;"", YEARFRAC(C2492, E2492) * 12, "")</f>
        <v/>
      </c>
      <c r="J2492" s="2">
        <f>IF(I2492="", "", IF(AND(A2492="MF (Equity)", I2492&gt;12), "Long Term", "Short Term"))</f>
        <v/>
      </c>
      <c r="K2492" s="5">
        <f>IF(J2492="", "", IF(J2492="Long Term", 12.5%, 20%))</f>
        <v/>
      </c>
      <c r="L2492" s="3">
        <f>+IFERROR(IF(J2492="","",H2492*K2492),"")</f>
        <v/>
      </c>
    </row>
    <row r="2493">
      <c r="A2493" s="11" t="n"/>
      <c r="B2493" s="7" t="n"/>
      <c r="C2493" s="8" t="n"/>
      <c r="D2493" s="9" t="n"/>
      <c r="E2493" s="8" t="n"/>
      <c r="F2493" s="9" t="n"/>
      <c r="G2493" s="9" t="n"/>
      <c r="H2493" s="3">
        <f>IF(AND(D2493&lt;&gt;"",F2493&lt;&gt;""),F2493-D2493-G2493,"")</f>
        <v/>
      </c>
      <c r="I2493" s="14">
        <f>IF(E2493&lt;&gt;"", YEARFRAC(C2493, E2493) * 12, "")</f>
        <v/>
      </c>
      <c r="J2493" s="2">
        <f>IF(I2493="", "", IF(AND(A2493="MF (Equity)", I2493&gt;12), "Long Term", "Short Term"))</f>
        <v/>
      </c>
      <c r="K2493" s="5">
        <f>IF(J2493="", "", IF(J2493="Long Term", 12.5%, 20%))</f>
        <v/>
      </c>
      <c r="L2493" s="3">
        <f>+IFERROR(IF(J2493="","",H2493*K2493),"")</f>
        <v/>
      </c>
    </row>
    <row r="2494">
      <c r="A2494" s="11" t="n"/>
      <c r="B2494" s="7" t="n"/>
      <c r="C2494" s="8" t="n"/>
      <c r="D2494" s="9" t="n"/>
      <c r="E2494" s="8" t="n"/>
      <c r="F2494" s="9" t="n"/>
      <c r="G2494" s="9" t="n"/>
      <c r="H2494" s="3">
        <f>IF(AND(D2494&lt;&gt;"",F2494&lt;&gt;""),F2494-D2494-G2494,"")</f>
        <v/>
      </c>
      <c r="I2494" s="14">
        <f>IF(E2494&lt;&gt;"", YEARFRAC(C2494, E2494) * 12, "")</f>
        <v/>
      </c>
      <c r="J2494" s="2">
        <f>IF(I2494="", "", IF(AND(A2494="MF (Equity)", I2494&gt;12), "Long Term", "Short Term"))</f>
        <v/>
      </c>
      <c r="K2494" s="5">
        <f>IF(J2494="", "", IF(J2494="Long Term", 12.5%, 20%))</f>
        <v/>
      </c>
      <c r="L2494" s="3">
        <f>+IFERROR(IF(J2494="","",H2494*K2494),"")</f>
        <v/>
      </c>
    </row>
    <row r="2495">
      <c r="A2495" s="11" t="n"/>
      <c r="B2495" s="7" t="n"/>
      <c r="C2495" s="8" t="n"/>
      <c r="D2495" s="9" t="n"/>
      <c r="E2495" s="8" t="n"/>
      <c r="F2495" s="9" t="n"/>
      <c r="G2495" s="9" t="n"/>
      <c r="H2495" s="3">
        <f>IF(AND(D2495&lt;&gt;"",F2495&lt;&gt;""),F2495-D2495-G2495,"")</f>
        <v/>
      </c>
      <c r="I2495" s="14">
        <f>IF(E2495&lt;&gt;"", YEARFRAC(C2495, E2495) * 12, "")</f>
        <v/>
      </c>
      <c r="J2495" s="2">
        <f>IF(I2495="", "", IF(AND(A2495="MF (Equity)", I2495&gt;12), "Long Term", "Short Term"))</f>
        <v/>
      </c>
      <c r="K2495" s="5">
        <f>IF(J2495="", "", IF(J2495="Long Term", 12.5%, 20%))</f>
        <v/>
      </c>
      <c r="L2495" s="3">
        <f>+IFERROR(IF(J2495="","",H2495*K2495),"")</f>
        <v/>
      </c>
    </row>
    <row r="2496">
      <c r="A2496" s="11" t="n"/>
      <c r="B2496" s="7" t="n"/>
      <c r="C2496" s="8" t="n"/>
      <c r="D2496" s="9" t="n"/>
      <c r="E2496" s="8" t="n"/>
      <c r="F2496" s="9" t="n"/>
      <c r="G2496" s="9" t="n"/>
      <c r="H2496" s="3">
        <f>IF(AND(D2496&lt;&gt;"",F2496&lt;&gt;""),F2496-D2496-G2496,"")</f>
        <v/>
      </c>
      <c r="I2496" s="14">
        <f>IF(E2496&lt;&gt;"", YEARFRAC(C2496, E2496) * 12, "")</f>
        <v/>
      </c>
      <c r="J2496" s="2">
        <f>IF(I2496="", "", IF(AND(A2496="MF (Equity)", I2496&gt;12), "Long Term", "Short Term"))</f>
        <v/>
      </c>
      <c r="K2496" s="5">
        <f>IF(J2496="", "", IF(J2496="Long Term", 12.5%, 20%))</f>
        <v/>
      </c>
      <c r="L2496" s="3">
        <f>+IFERROR(IF(J2496="","",H2496*K2496),"")</f>
        <v/>
      </c>
    </row>
    <row r="2497">
      <c r="A2497" s="11" t="n"/>
      <c r="B2497" s="7" t="n"/>
      <c r="C2497" s="8" t="n"/>
      <c r="D2497" s="9" t="n"/>
      <c r="E2497" s="8" t="n"/>
      <c r="F2497" s="9" t="n"/>
      <c r="G2497" s="9" t="n"/>
      <c r="H2497" s="3">
        <f>IF(AND(D2497&lt;&gt;"",F2497&lt;&gt;""),F2497-D2497-G2497,"")</f>
        <v/>
      </c>
      <c r="I2497" s="14">
        <f>IF(E2497&lt;&gt;"", YEARFRAC(C2497, E2497) * 12, "")</f>
        <v/>
      </c>
      <c r="J2497" s="2">
        <f>IF(I2497="", "", IF(AND(A2497="MF (Equity)", I2497&gt;12), "Long Term", "Short Term"))</f>
        <v/>
      </c>
      <c r="K2497" s="5">
        <f>IF(J2497="", "", IF(J2497="Long Term", 12.5%, 20%))</f>
        <v/>
      </c>
      <c r="L2497" s="3">
        <f>+IFERROR(IF(J2497="","",H2497*K2497),"")</f>
        <v/>
      </c>
    </row>
    <row r="2498">
      <c r="A2498" s="11" t="n"/>
      <c r="B2498" s="7" t="n"/>
      <c r="C2498" s="8" t="n"/>
      <c r="D2498" s="9" t="n"/>
      <c r="E2498" s="8" t="n"/>
      <c r="F2498" s="9" t="n"/>
      <c r="G2498" s="9" t="n"/>
      <c r="H2498" s="3">
        <f>IF(AND(D2498&lt;&gt;"",F2498&lt;&gt;""),F2498-D2498-G2498,"")</f>
        <v/>
      </c>
      <c r="I2498" s="14">
        <f>IF(E2498&lt;&gt;"", YEARFRAC(C2498, E2498) * 12, "")</f>
        <v/>
      </c>
      <c r="J2498" s="2">
        <f>IF(I2498="", "", IF(AND(A2498="MF (Equity)", I2498&gt;12), "Long Term", "Short Term"))</f>
        <v/>
      </c>
      <c r="K2498" s="5">
        <f>IF(J2498="", "", IF(J2498="Long Term", 12.5%, 20%))</f>
        <v/>
      </c>
      <c r="L2498" s="3">
        <f>+IFERROR(IF(J2498="","",H2498*K2498),"")</f>
        <v/>
      </c>
    </row>
    <row r="2499">
      <c r="A2499" s="11" t="n"/>
      <c r="B2499" s="7" t="n"/>
      <c r="C2499" s="8" t="n"/>
      <c r="D2499" s="9" t="n"/>
      <c r="E2499" s="8" t="n"/>
      <c r="F2499" s="9" t="n"/>
      <c r="G2499" s="9" t="n"/>
      <c r="H2499" s="3">
        <f>IF(AND(D2499&lt;&gt;"",F2499&lt;&gt;""),F2499-D2499-G2499,"")</f>
        <v/>
      </c>
      <c r="I2499" s="14">
        <f>IF(E2499&lt;&gt;"", YEARFRAC(C2499, E2499) * 12, "")</f>
        <v/>
      </c>
      <c r="J2499" s="2">
        <f>IF(I2499="", "", IF(AND(A2499="MF (Equity)", I2499&gt;12), "Long Term", "Short Term"))</f>
        <v/>
      </c>
      <c r="K2499" s="5">
        <f>IF(J2499="", "", IF(J2499="Long Term", 12.5%, 20%))</f>
        <v/>
      </c>
      <c r="L2499" s="3">
        <f>+IFERROR(IF(J2499="","",H2499*K2499),"")</f>
        <v/>
      </c>
    </row>
    <row r="2500">
      <c r="A2500" s="11" t="n"/>
      <c r="B2500" s="7" t="n"/>
      <c r="C2500" s="8" t="n"/>
      <c r="D2500" s="9" t="n"/>
      <c r="E2500" s="8" t="n"/>
      <c r="F2500" s="9" t="n"/>
      <c r="G2500" s="9" t="n"/>
      <c r="H2500" s="3">
        <f>IF(AND(D2500&lt;&gt;"",F2500&lt;&gt;""),F2500-D2500-G2500,"")</f>
        <v/>
      </c>
      <c r="I2500" s="14">
        <f>IF(E2500&lt;&gt;"", YEARFRAC(C2500, E2500) * 12, "")</f>
        <v/>
      </c>
      <c r="J2500" s="2">
        <f>IF(I2500="", "", IF(AND(A2500="MF (Equity)", I2500&gt;12), "Long Term", "Short Term"))</f>
        <v/>
      </c>
      <c r="K2500" s="5">
        <f>IF(J2500="", "", IF(J2500="Long Term", 12.5%, 20%))</f>
        <v/>
      </c>
      <c r="L2500" s="3">
        <f>+IFERROR(IF(J2500="","",H2500*K2500),"")</f>
        <v/>
      </c>
    </row>
    <row r="2501">
      <c r="A2501" s="11" t="n"/>
      <c r="B2501" s="7" t="n"/>
      <c r="C2501" s="8" t="n"/>
      <c r="D2501" s="9" t="n"/>
      <c r="E2501" s="8" t="n"/>
      <c r="F2501" s="9" t="n"/>
      <c r="G2501" s="9" t="n"/>
      <c r="H2501" s="3">
        <f>IF(AND(D2501&lt;&gt;"",F2501&lt;&gt;""),F2501-D2501-G2501,"")</f>
        <v/>
      </c>
      <c r="I2501" s="14">
        <f>IF(E2501&lt;&gt;"", YEARFRAC(C2501, E2501) * 12, "")</f>
        <v/>
      </c>
      <c r="J2501" s="2">
        <f>IF(I2501="", "", IF(AND(A2501="MF (Equity)", I2501&gt;12), "Long Term", "Short Term"))</f>
        <v/>
      </c>
      <c r="K2501" s="5">
        <f>IF(J2501="", "", IF(J2501="Long Term", 12.5%, 20%))</f>
        <v/>
      </c>
      <c r="L2501" s="3">
        <f>+IFERROR(IF(J2501="","",H2501*K2501),"")</f>
        <v/>
      </c>
    </row>
    <row r="2502">
      <c r="A2502" s="11" t="n"/>
      <c r="B2502" s="7" t="n"/>
      <c r="C2502" s="8" t="n"/>
      <c r="D2502" s="9" t="n"/>
      <c r="E2502" s="8" t="n"/>
      <c r="F2502" s="9" t="n"/>
      <c r="G2502" s="9" t="n"/>
      <c r="H2502" s="3">
        <f>IF(AND(D2502&lt;&gt;"",F2502&lt;&gt;""),F2502-D2502-G2502,"")</f>
        <v/>
      </c>
      <c r="I2502" s="14">
        <f>IF(E2502&lt;&gt;"", YEARFRAC(C2502, E2502) * 12, "")</f>
        <v/>
      </c>
      <c r="J2502" s="2">
        <f>IF(I2502="", "", IF(AND(A2502="MF (Equity)", I2502&gt;12), "Long Term", "Short Term"))</f>
        <v/>
      </c>
      <c r="K2502" s="5">
        <f>IF(J2502="", "", IF(J2502="Long Term", 12.5%, 20%))</f>
        <v/>
      </c>
      <c r="L2502" s="3">
        <f>+IFERROR(IF(J2502="","",H2502*K2502),"")</f>
        <v/>
      </c>
    </row>
    <row r="2503">
      <c r="A2503" s="11" t="n"/>
      <c r="B2503" s="7" t="n"/>
      <c r="C2503" s="8" t="n"/>
      <c r="D2503" s="9" t="n"/>
      <c r="E2503" s="8" t="n"/>
      <c r="F2503" s="9" t="n"/>
      <c r="G2503" s="9" t="n"/>
      <c r="H2503" s="3">
        <f>IF(AND(D2503&lt;&gt;"",F2503&lt;&gt;""),F2503-D2503-G2503,"")</f>
        <v/>
      </c>
      <c r="I2503" s="14">
        <f>IF(E2503&lt;&gt;"", YEARFRAC(C2503, E2503) * 12, "")</f>
        <v/>
      </c>
      <c r="J2503" s="2">
        <f>IF(I2503="", "", IF(AND(A2503="MF (Equity)", I2503&gt;12), "Long Term", "Short Term"))</f>
        <v/>
      </c>
      <c r="K2503" s="5">
        <f>IF(J2503="", "", IF(J2503="Long Term", 12.5%, 20%))</f>
        <v/>
      </c>
      <c r="L2503" s="3">
        <f>+IFERROR(IF(J2503="","",H2503*K2503),"")</f>
        <v/>
      </c>
    </row>
    <row r="2504">
      <c r="A2504" s="11" t="n"/>
      <c r="B2504" s="7" t="n"/>
      <c r="C2504" s="8" t="n"/>
      <c r="D2504" s="9" t="n"/>
      <c r="E2504" s="8" t="n"/>
      <c r="F2504" s="9" t="n"/>
      <c r="G2504" s="9" t="n"/>
      <c r="H2504" s="3">
        <f>IF(AND(D2504&lt;&gt;"",F2504&lt;&gt;""),F2504-D2504-G2504,"")</f>
        <v/>
      </c>
      <c r="I2504" s="14">
        <f>IF(E2504&lt;&gt;"", YEARFRAC(C2504, E2504) * 12, "")</f>
        <v/>
      </c>
      <c r="J2504" s="2">
        <f>IF(I2504="", "", IF(AND(A2504="MF (Equity)", I2504&gt;12), "Long Term", "Short Term"))</f>
        <v/>
      </c>
      <c r="K2504" s="5">
        <f>IF(J2504="", "", IF(J2504="Long Term", 12.5%, 20%))</f>
        <v/>
      </c>
      <c r="L2504" s="3">
        <f>+IFERROR(IF(J2504="","",H2504*K2504),"")</f>
        <v/>
      </c>
    </row>
    <row r="2505">
      <c r="A2505" s="11" t="n"/>
      <c r="B2505" s="7" t="n"/>
      <c r="C2505" s="8" t="n"/>
      <c r="D2505" s="9" t="n"/>
      <c r="E2505" s="8" t="n"/>
      <c r="F2505" s="9" t="n"/>
      <c r="G2505" s="9" t="n"/>
      <c r="H2505" s="3">
        <f>IF(AND(D2505&lt;&gt;"",F2505&lt;&gt;""),F2505-D2505-G2505,"")</f>
        <v/>
      </c>
      <c r="I2505" s="14">
        <f>IF(E2505&lt;&gt;"", YEARFRAC(C2505, E2505) * 12, "")</f>
        <v/>
      </c>
      <c r="J2505" s="2">
        <f>IF(I2505="", "", IF(AND(A2505="MF (Equity)", I2505&gt;12), "Long Term", "Short Term"))</f>
        <v/>
      </c>
      <c r="K2505" s="5">
        <f>IF(J2505="", "", IF(J2505="Long Term", 12.5%, 20%))</f>
        <v/>
      </c>
      <c r="L2505" s="3">
        <f>+IFERROR(IF(J2505="","",H2505*K2505),"")</f>
        <v/>
      </c>
    </row>
    <row r="2506">
      <c r="A2506" s="11" t="n"/>
      <c r="B2506" s="7" t="n"/>
      <c r="C2506" s="8" t="n"/>
      <c r="D2506" s="9" t="n"/>
      <c r="E2506" s="8" t="n"/>
      <c r="F2506" s="9" t="n"/>
      <c r="G2506" s="9" t="n"/>
      <c r="H2506" s="3">
        <f>IF(AND(D2506&lt;&gt;"",F2506&lt;&gt;""),F2506-D2506-G2506,"")</f>
        <v/>
      </c>
      <c r="I2506" s="14">
        <f>IF(E2506&lt;&gt;"", YEARFRAC(C2506, E2506) * 12, "")</f>
        <v/>
      </c>
      <c r="J2506" s="2">
        <f>IF(I2506="", "", IF(AND(A2506="MF (Equity)", I2506&gt;12), "Long Term", "Short Term"))</f>
        <v/>
      </c>
      <c r="K2506" s="5">
        <f>IF(J2506="", "", IF(J2506="Long Term", 12.5%, 20%))</f>
        <v/>
      </c>
      <c r="L2506" s="3">
        <f>+IFERROR(IF(J2506="","",H2506*K2506),"")</f>
        <v/>
      </c>
    </row>
    <row r="2507">
      <c r="A2507" s="11" t="n"/>
      <c r="B2507" s="7" t="n"/>
      <c r="C2507" s="8" t="n"/>
      <c r="D2507" s="9" t="n"/>
      <c r="E2507" s="8" t="n"/>
      <c r="F2507" s="9" t="n"/>
      <c r="G2507" s="9" t="n"/>
      <c r="H2507" s="3">
        <f>IF(AND(D2507&lt;&gt;"",F2507&lt;&gt;""),F2507-D2507-G2507,"")</f>
        <v/>
      </c>
      <c r="I2507" s="14">
        <f>IF(E2507&lt;&gt;"", YEARFRAC(C2507, E2507) * 12, "")</f>
        <v/>
      </c>
      <c r="J2507" s="2">
        <f>IF(I2507="", "", IF(AND(A2507="MF (Equity)", I2507&gt;12), "Long Term", "Short Term"))</f>
        <v/>
      </c>
      <c r="K2507" s="5">
        <f>IF(J2507="", "", IF(J2507="Long Term", 12.5%, 20%))</f>
        <v/>
      </c>
      <c r="L2507" s="3">
        <f>+IFERROR(IF(J2507="","",H2507*K2507),"")</f>
        <v/>
      </c>
    </row>
    <row r="2508">
      <c r="A2508" s="11" t="n"/>
      <c r="B2508" s="7" t="n"/>
      <c r="C2508" s="8" t="n"/>
      <c r="D2508" s="9" t="n"/>
      <c r="E2508" s="8" t="n"/>
      <c r="F2508" s="9" t="n"/>
      <c r="G2508" s="9" t="n"/>
      <c r="H2508" s="3">
        <f>IF(AND(D2508&lt;&gt;"",F2508&lt;&gt;""),F2508-D2508-G2508,"")</f>
        <v/>
      </c>
      <c r="I2508" s="14">
        <f>IF(E2508&lt;&gt;"", YEARFRAC(C2508, E2508) * 12, "")</f>
        <v/>
      </c>
      <c r="J2508" s="2">
        <f>IF(I2508="", "", IF(AND(A2508="MF (Equity)", I2508&gt;12), "Long Term", "Short Term"))</f>
        <v/>
      </c>
      <c r="K2508" s="5">
        <f>IF(J2508="", "", IF(J2508="Long Term", 12.5%, 20%))</f>
        <v/>
      </c>
      <c r="L2508" s="3">
        <f>+IFERROR(IF(J2508="","",H2508*K2508),"")</f>
        <v/>
      </c>
    </row>
    <row r="2509">
      <c r="A2509" s="11" t="n"/>
      <c r="B2509" s="7" t="n"/>
      <c r="C2509" s="8" t="n"/>
      <c r="D2509" s="9" t="n"/>
      <c r="E2509" s="8" t="n"/>
      <c r="F2509" s="9" t="n"/>
      <c r="G2509" s="9" t="n"/>
      <c r="H2509" s="3">
        <f>IF(AND(D2509&lt;&gt;"",F2509&lt;&gt;""),F2509-D2509-G2509,"")</f>
        <v/>
      </c>
      <c r="I2509" s="14">
        <f>IF(E2509&lt;&gt;"", YEARFRAC(C2509, E2509) * 12, "")</f>
        <v/>
      </c>
      <c r="J2509" s="2">
        <f>IF(I2509="", "", IF(AND(A2509="MF (Equity)", I2509&gt;12), "Long Term", "Short Term"))</f>
        <v/>
      </c>
      <c r="K2509" s="5">
        <f>IF(J2509="", "", IF(J2509="Long Term", 12.5%, 20%))</f>
        <v/>
      </c>
      <c r="L2509" s="3">
        <f>+IFERROR(IF(J2509="","",H2509*K2509),"")</f>
        <v/>
      </c>
    </row>
    <row r="2510">
      <c r="A2510" s="11" t="n"/>
      <c r="B2510" s="7" t="n"/>
      <c r="C2510" s="8" t="n"/>
      <c r="D2510" s="9" t="n"/>
      <c r="E2510" s="8" t="n"/>
      <c r="F2510" s="9" t="n"/>
      <c r="G2510" s="9" t="n"/>
      <c r="H2510" s="3">
        <f>IF(AND(D2510&lt;&gt;"",F2510&lt;&gt;""),F2510-D2510-G2510,"")</f>
        <v/>
      </c>
      <c r="I2510" s="14">
        <f>IF(E2510&lt;&gt;"", YEARFRAC(C2510, E2510) * 12, "")</f>
        <v/>
      </c>
      <c r="J2510" s="2">
        <f>IF(I2510="", "", IF(AND(A2510="MF (Equity)", I2510&gt;12), "Long Term", "Short Term"))</f>
        <v/>
      </c>
      <c r="K2510" s="5">
        <f>IF(J2510="", "", IF(J2510="Long Term", 12.5%, 20%))</f>
        <v/>
      </c>
      <c r="L2510" s="3">
        <f>+IFERROR(IF(J2510="","",H2510*K2510),"")</f>
        <v/>
      </c>
    </row>
    <row r="2511">
      <c r="A2511" s="11" t="n"/>
      <c r="B2511" s="7" t="n"/>
      <c r="C2511" s="8" t="n"/>
      <c r="D2511" s="9" t="n"/>
      <c r="E2511" s="8" t="n"/>
      <c r="F2511" s="9" t="n"/>
      <c r="G2511" s="9" t="n"/>
      <c r="H2511" s="3">
        <f>IF(AND(D2511&lt;&gt;"",F2511&lt;&gt;""),F2511-D2511-G2511,"")</f>
        <v/>
      </c>
      <c r="I2511" s="14">
        <f>IF(E2511&lt;&gt;"", YEARFRAC(C2511, E2511) * 12, "")</f>
        <v/>
      </c>
      <c r="J2511" s="2">
        <f>IF(I2511="", "", IF(AND(A2511="MF (Equity)", I2511&gt;12), "Long Term", "Short Term"))</f>
        <v/>
      </c>
      <c r="K2511" s="5">
        <f>IF(J2511="", "", IF(J2511="Long Term", 12.5%, 20%))</f>
        <v/>
      </c>
      <c r="L2511" s="3">
        <f>+IFERROR(IF(J2511="","",H2511*K2511),"")</f>
        <v/>
      </c>
    </row>
    <row r="2512">
      <c r="A2512" s="11" t="n"/>
      <c r="B2512" s="7" t="n"/>
      <c r="C2512" s="8" t="n"/>
      <c r="D2512" s="9" t="n"/>
      <c r="E2512" s="8" t="n"/>
      <c r="F2512" s="9" t="n"/>
      <c r="G2512" s="9" t="n"/>
      <c r="H2512" s="3">
        <f>IF(AND(D2512&lt;&gt;"",F2512&lt;&gt;""),F2512-D2512-G2512,"")</f>
        <v/>
      </c>
      <c r="I2512" s="14">
        <f>IF(E2512&lt;&gt;"", YEARFRAC(C2512, E2512) * 12, "")</f>
        <v/>
      </c>
      <c r="J2512" s="2">
        <f>IF(I2512="", "", IF(AND(A2512="MF (Equity)", I2512&gt;12), "Long Term", "Short Term"))</f>
        <v/>
      </c>
      <c r="K2512" s="5">
        <f>IF(J2512="", "", IF(J2512="Long Term", 12.5%, 20%))</f>
        <v/>
      </c>
      <c r="L2512" s="3">
        <f>+IFERROR(IF(J2512="","",H2512*K2512),"")</f>
        <v/>
      </c>
    </row>
    <row r="2513">
      <c r="A2513" s="11" t="n"/>
      <c r="B2513" s="7" t="n"/>
      <c r="C2513" s="8" t="n"/>
      <c r="D2513" s="9" t="n"/>
      <c r="E2513" s="8" t="n"/>
      <c r="F2513" s="9" t="n"/>
      <c r="G2513" s="9" t="n"/>
      <c r="H2513" s="3">
        <f>IF(AND(D2513&lt;&gt;"",F2513&lt;&gt;""),F2513-D2513-G2513,"")</f>
        <v/>
      </c>
      <c r="I2513" s="14">
        <f>IF(E2513&lt;&gt;"", YEARFRAC(C2513, E2513) * 12, "")</f>
        <v/>
      </c>
      <c r="J2513" s="2">
        <f>IF(I2513="", "", IF(AND(A2513="MF (Equity)", I2513&gt;12), "Long Term", "Short Term"))</f>
        <v/>
      </c>
      <c r="K2513" s="5">
        <f>IF(J2513="", "", IF(J2513="Long Term", 12.5%, 20%))</f>
        <v/>
      </c>
      <c r="L2513" s="3">
        <f>+IFERROR(IF(J2513="","",H2513*K2513),"")</f>
        <v/>
      </c>
    </row>
    <row r="2514">
      <c r="A2514" s="11" t="n"/>
      <c r="B2514" s="7" t="n"/>
      <c r="C2514" s="8" t="n"/>
      <c r="D2514" s="9" t="n"/>
      <c r="E2514" s="8" t="n"/>
      <c r="F2514" s="9" t="n"/>
      <c r="G2514" s="9" t="n"/>
      <c r="H2514" s="3">
        <f>IF(AND(D2514&lt;&gt;"",F2514&lt;&gt;""),F2514-D2514-G2514,"")</f>
        <v/>
      </c>
      <c r="I2514" s="14">
        <f>IF(E2514&lt;&gt;"", YEARFRAC(C2514, E2514) * 12, "")</f>
        <v/>
      </c>
      <c r="J2514" s="2">
        <f>IF(I2514="", "", IF(AND(A2514="MF (Equity)", I2514&gt;12), "Long Term", "Short Term"))</f>
        <v/>
      </c>
      <c r="K2514" s="5">
        <f>IF(J2514="", "", IF(J2514="Long Term", 12.5%, 20%))</f>
        <v/>
      </c>
      <c r="L2514" s="3">
        <f>+IFERROR(IF(J2514="","",H2514*K2514),"")</f>
        <v/>
      </c>
    </row>
    <row r="2515">
      <c r="A2515" s="11" t="n"/>
      <c r="B2515" s="7" t="n"/>
      <c r="C2515" s="8" t="n"/>
      <c r="D2515" s="9" t="n"/>
      <c r="E2515" s="8" t="n"/>
      <c r="F2515" s="9" t="n"/>
      <c r="G2515" s="9" t="n"/>
      <c r="H2515" s="3">
        <f>IF(AND(D2515&lt;&gt;"",F2515&lt;&gt;""),F2515-D2515-G2515,"")</f>
        <v/>
      </c>
      <c r="I2515" s="14">
        <f>IF(E2515&lt;&gt;"", YEARFRAC(C2515, E2515) * 12, "")</f>
        <v/>
      </c>
      <c r="J2515" s="2">
        <f>IF(I2515="", "", IF(AND(A2515="MF (Equity)", I2515&gt;12), "Long Term", "Short Term"))</f>
        <v/>
      </c>
      <c r="K2515" s="5">
        <f>IF(J2515="", "", IF(J2515="Long Term", 12.5%, 20%))</f>
        <v/>
      </c>
      <c r="L2515" s="3">
        <f>+IFERROR(IF(J2515="","",H2515*K2515),"")</f>
        <v/>
      </c>
    </row>
    <row r="2516">
      <c r="A2516" s="11" t="n"/>
      <c r="B2516" s="7" t="n"/>
      <c r="C2516" s="8" t="n"/>
      <c r="D2516" s="9" t="n"/>
      <c r="E2516" s="8" t="n"/>
      <c r="F2516" s="9" t="n"/>
      <c r="G2516" s="9" t="n"/>
      <c r="H2516" s="3">
        <f>IF(AND(D2516&lt;&gt;"",F2516&lt;&gt;""),F2516-D2516-G2516,"")</f>
        <v/>
      </c>
      <c r="I2516" s="14">
        <f>IF(E2516&lt;&gt;"", YEARFRAC(C2516, E2516) * 12, "")</f>
        <v/>
      </c>
      <c r="J2516" s="2">
        <f>IF(I2516="", "", IF(AND(A2516="MF (Equity)", I2516&gt;12), "Long Term", "Short Term"))</f>
        <v/>
      </c>
      <c r="K2516" s="5">
        <f>IF(J2516="", "", IF(J2516="Long Term", 12.5%, 20%))</f>
        <v/>
      </c>
      <c r="L2516" s="3">
        <f>+IFERROR(IF(J2516="","",H2516*K2516),"")</f>
        <v/>
      </c>
    </row>
    <row r="2517">
      <c r="A2517" s="11" t="n"/>
      <c r="B2517" s="7" t="n"/>
      <c r="C2517" s="8" t="n"/>
      <c r="D2517" s="9" t="n"/>
      <c r="E2517" s="8" t="n"/>
      <c r="F2517" s="9" t="n"/>
      <c r="G2517" s="9" t="n"/>
      <c r="H2517" s="3">
        <f>IF(AND(D2517&lt;&gt;"",F2517&lt;&gt;""),F2517-D2517-G2517,"")</f>
        <v/>
      </c>
      <c r="I2517" s="14">
        <f>IF(E2517&lt;&gt;"", YEARFRAC(C2517, E2517) * 12, "")</f>
        <v/>
      </c>
      <c r="J2517" s="2">
        <f>IF(I2517="", "", IF(AND(A2517="MF (Equity)", I2517&gt;12), "Long Term", "Short Term"))</f>
        <v/>
      </c>
      <c r="K2517" s="5">
        <f>IF(J2517="", "", IF(J2517="Long Term", 12.5%, 20%))</f>
        <v/>
      </c>
      <c r="L2517" s="3">
        <f>+IFERROR(IF(J2517="","",H2517*K2517),"")</f>
        <v/>
      </c>
    </row>
    <row r="2518">
      <c r="A2518" s="11" t="n"/>
      <c r="B2518" s="7" t="n"/>
      <c r="C2518" s="8" t="n"/>
      <c r="D2518" s="9" t="n"/>
      <c r="E2518" s="8" t="n"/>
      <c r="F2518" s="9" t="n"/>
      <c r="G2518" s="9" t="n"/>
      <c r="H2518" s="3">
        <f>IF(AND(D2518&lt;&gt;"",F2518&lt;&gt;""),F2518-D2518-G2518,"")</f>
        <v/>
      </c>
      <c r="I2518" s="14">
        <f>IF(E2518&lt;&gt;"", YEARFRAC(C2518, E2518) * 12, "")</f>
        <v/>
      </c>
      <c r="J2518" s="2">
        <f>IF(I2518="", "", IF(AND(A2518="MF (Equity)", I2518&gt;12), "Long Term", "Short Term"))</f>
        <v/>
      </c>
      <c r="K2518" s="5">
        <f>IF(J2518="", "", IF(J2518="Long Term", 12.5%, 20%))</f>
        <v/>
      </c>
      <c r="L2518" s="3">
        <f>+IFERROR(IF(J2518="","",H2518*K2518),"")</f>
        <v/>
      </c>
    </row>
    <row r="2519">
      <c r="A2519" s="11" t="n"/>
      <c r="B2519" s="7" t="n"/>
      <c r="C2519" s="8" t="n"/>
      <c r="D2519" s="9" t="n"/>
      <c r="E2519" s="8" t="n"/>
      <c r="F2519" s="9" t="n"/>
      <c r="G2519" s="9" t="n"/>
      <c r="H2519" s="3">
        <f>IF(AND(D2519&lt;&gt;"",F2519&lt;&gt;""),F2519-D2519-G2519,"")</f>
        <v/>
      </c>
      <c r="I2519" s="14">
        <f>IF(E2519&lt;&gt;"", YEARFRAC(C2519, E2519) * 12, "")</f>
        <v/>
      </c>
      <c r="J2519" s="2">
        <f>IF(I2519="", "", IF(AND(A2519="MF (Equity)", I2519&gt;12), "Long Term", "Short Term"))</f>
        <v/>
      </c>
      <c r="K2519" s="5">
        <f>IF(J2519="", "", IF(J2519="Long Term", 12.5%, 20%))</f>
        <v/>
      </c>
      <c r="L2519" s="3">
        <f>+IFERROR(IF(J2519="","",H2519*K2519),"")</f>
        <v/>
      </c>
    </row>
    <row r="2520">
      <c r="A2520" s="11" t="n"/>
      <c r="B2520" s="7" t="n"/>
      <c r="C2520" s="8" t="n"/>
      <c r="D2520" s="9" t="n"/>
      <c r="E2520" s="8" t="n"/>
      <c r="F2520" s="9" t="n"/>
      <c r="G2520" s="9" t="n"/>
      <c r="H2520" s="3">
        <f>IF(AND(D2520&lt;&gt;"",F2520&lt;&gt;""),F2520-D2520-G2520,"")</f>
        <v/>
      </c>
      <c r="I2520" s="14">
        <f>IF(E2520&lt;&gt;"", YEARFRAC(C2520, E2520) * 12, "")</f>
        <v/>
      </c>
      <c r="J2520" s="2">
        <f>IF(I2520="", "", IF(AND(A2520="MF (Equity)", I2520&gt;12), "Long Term", "Short Term"))</f>
        <v/>
      </c>
      <c r="K2520" s="5">
        <f>IF(J2520="", "", IF(J2520="Long Term", 12.5%, 20%))</f>
        <v/>
      </c>
      <c r="L2520" s="3">
        <f>+IFERROR(IF(J2520="","",H2520*K2520),"")</f>
        <v/>
      </c>
    </row>
    <row r="2521">
      <c r="A2521" s="11" t="n"/>
      <c r="B2521" s="7" t="n"/>
      <c r="C2521" s="8" t="n"/>
      <c r="D2521" s="9" t="n"/>
      <c r="E2521" s="8" t="n"/>
      <c r="F2521" s="9" t="n"/>
      <c r="G2521" s="9" t="n"/>
      <c r="H2521" s="3">
        <f>IF(AND(D2521&lt;&gt;"",F2521&lt;&gt;""),F2521-D2521-G2521,"")</f>
        <v/>
      </c>
      <c r="I2521" s="14">
        <f>IF(E2521&lt;&gt;"", YEARFRAC(C2521, E2521) * 12, "")</f>
        <v/>
      </c>
      <c r="J2521" s="2">
        <f>IF(I2521="", "", IF(AND(A2521="MF (Equity)", I2521&gt;12), "Long Term", "Short Term"))</f>
        <v/>
      </c>
      <c r="K2521" s="5">
        <f>IF(J2521="", "", IF(J2521="Long Term", 12.5%, 20%))</f>
        <v/>
      </c>
      <c r="L2521" s="3">
        <f>+IFERROR(IF(J2521="","",H2521*K2521),"")</f>
        <v/>
      </c>
    </row>
    <row r="2522">
      <c r="A2522" s="11" t="n"/>
      <c r="B2522" s="7" t="n"/>
      <c r="C2522" s="8" t="n"/>
      <c r="D2522" s="9" t="n"/>
      <c r="E2522" s="8" t="n"/>
      <c r="F2522" s="9" t="n"/>
      <c r="G2522" s="9" t="n"/>
      <c r="H2522" s="3">
        <f>IF(AND(D2522&lt;&gt;"",F2522&lt;&gt;""),F2522-D2522-G2522,"")</f>
        <v/>
      </c>
      <c r="I2522" s="14">
        <f>IF(E2522&lt;&gt;"", YEARFRAC(C2522, E2522) * 12, "")</f>
        <v/>
      </c>
      <c r="J2522" s="2">
        <f>IF(I2522="", "", IF(AND(A2522="MF (Equity)", I2522&gt;12), "Long Term", "Short Term"))</f>
        <v/>
      </c>
      <c r="K2522" s="5">
        <f>IF(J2522="", "", IF(J2522="Long Term", 12.5%, 20%))</f>
        <v/>
      </c>
      <c r="L2522" s="3">
        <f>+IFERROR(IF(J2522="","",H2522*K2522),"")</f>
        <v/>
      </c>
    </row>
    <row r="2523">
      <c r="A2523" s="11" t="n"/>
      <c r="B2523" s="7" t="n"/>
      <c r="C2523" s="8" t="n"/>
      <c r="D2523" s="9" t="n"/>
      <c r="E2523" s="8" t="n"/>
      <c r="F2523" s="9" t="n"/>
      <c r="G2523" s="9" t="n"/>
      <c r="H2523" s="3">
        <f>IF(AND(D2523&lt;&gt;"",F2523&lt;&gt;""),F2523-D2523-G2523,"")</f>
        <v/>
      </c>
      <c r="I2523" s="14">
        <f>IF(E2523&lt;&gt;"", YEARFRAC(C2523, E2523) * 12, "")</f>
        <v/>
      </c>
      <c r="J2523" s="2">
        <f>IF(I2523="", "", IF(AND(A2523="MF (Equity)", I2523&gt;12), "Long Term", "Short Term"))</f>
        <v/>
      </c>
      <c r="K2523" s="5">
        <f>IF(J2523="", "", IF(J2523="Long Term", 12.5%, 20%))</f>
        <v/>
      </c>
      <c r="L2523" s="3">
        <f>+IFERROR(IF(J2523="","",H2523*K2523),"")</f>
        <v/>
      </c>
    </row>
    <row r="2524">
      <c r="A2524" s="11" t="n"/>
      <c r="B2524" s="7" t="n"/>
      <c r="C2524" s="8" t="n"/>
      <c r="D2524" s="9" t="n"/>
      <c r="E2524" s="8" t="n"/>
      <c r="F2524" s="9" t="n"/>
      <c r="G2524" s="9" t="n"/>
      <c r="H2524" s="3">
        <f>IF(AND(D2524&lt;&gt;"",F2524&lt;&gt;""),F2524-D2524-G2524,"")</f>
        <v/>
      </c>
      <c r="I2524" s="14">
        <f>IF(E2524&lt;&gt;"", YEARFRAC(C2524, E2524) * 12, "")</f>
        <v/>
      </c>
      <c r="J2524" s="2">
        <f>IF(I2524="", "", IF(AND(A2524="MF (Equity)", I2524&gt;12), "Long Term", "Short Term"))</f>
        <v/>
      </c>
      <c r="K2524" s="5">
        <f>IF(J2524="", "", IF(J2524="Long Term", 12.5%, 20%))</f>
        <v/>
      </c>
      <c r="L2524" s="3">
        <f>+IFERROR(IF(J2524="","",H2524*K2524),"")</f>
        <v/>
      </c>
    </row>
    <row r="2525">
      <c r="A2525" s="11" t="n"/>
      <c r="B2525" s="7" t="n"/>
      <c r="C2525" s="8" t="n"/>
      <c r="D2525" s="9" t="n"/>
      <c r="E2525" s="8" t="n"/>
      <c r="F2525" s="9" t="n"/>
      <c r="G2525" s="9" t="n"/>
      <c r="H2525" s="3">
        <f>IF(AND(D2525&lt;&gt;"",F2525&lt;&gt;""),F2525-D2525-G2525,"")</f>
        <v/>
      </c>
      <c r="I2525" s="14">
        <f>IF(E2525&lt;&gt;"", YEARFRAC(C2525, E2525) * 12, "")</f>
        <v/>
      </c>
      <c r="J2525" s="2">
        <f>IF(I2525="", "", IF(AND(A2525="MF (Equity)", I2525&gt;12), "Long Term", "Short Term"))</f>
        <v/>
      </c>
      <c r="K2525" s="5">
        <f>IF(J2525="", "", IF(J2525="Long Term", 12.5%, 20%))</f>
        <v/>
      </c>
      <c r="L2525" s="3">
        <f>+IFERROR(IF(J2525="","",H2525*K2525),"")</f>
        <v/>
      </c>
    </row>
    <row r="2526">
      <c r="A2526" s="11" t="n"/>
      <c r="B2526" s="7" t="n"/>
      <c r="C2526" s="8" t="n"/>
      <c r="D2526" s="9" t="n"/>
      <c r="E2526" s="8" t="n"/>
      <c r="F2526" s="9" t="n"/>
      <c r="G2526" s="9" t="n"/>
      <c r="H2526" s="3">
        <f>IF(AND(D2526&lt;&gt;"",F2526&lt;&gt;""),F2526-D2526-G2526,"")</f>
        <v/>
      </c>
      <c r="I2526" s="14">
        <f>IF(E2526&lt;&gt;"", YEARFRAC(C2526, E2526) * 12, "")</f>
        <v/>
      </c>
      <c r="J2526" s="2">
        <f>IF(I2526="", "", IF(AND(A2526="MF (Equity)", I2526&gt;12), "Long Term", "Short Term"))</f>
        <v/>
      </c>
      <c r="K2526" s="5">
        <f>IF(J2526="", "", IF(J2526="Long Term", 12.5%, 20%))</f>
        <v/>
      </c>
      <c r="L2526" s="3">
        <f>+IFERROR(IF(J2526="","",H2526*K2526),"")</f>
        <v/>
      </c>
    </row>
    <row r="2527">
      <c r="A2527" s="11" t="n"/>
      <c r="B2527" s="7" t="n"/>
      <c r="C2527" s="8" t="n"/>
      <c r="D2527" s="9" t="n"/>
      <c r="E2527" s="8" t="n"/>
      <c r="F2527" s="9" t="n"/>
      <c r="G2527" s="9" t="n"/>
      <c r="H2527" s="3">
        <f>IF(AND(D2527&lt;&gt;"",F2527&lt;&gt;""),F2527-D2527-G2527,"")</f>
        <v/>
      </c>
      <c r="I2527" s="14">
        <f>IF(E2527&lt;&gt;"", YEARFRAC(C2527, E2527) * 12, "")</f>
        <v/>
      </c>
      <c r="J2527" s="2">
        <f>IF(I2527="", "", IF(AND(A2527="MF (Equity)", I2527&gt;12), "Long Term", "Short Term"))</f>
        <v/>
      </c>
      <c r="K2527" s="5">
        <f>IF(J2527="", "", IF(J2527="Long Term", 12.5%, 20%))</f>
        <v/>
      </c>
      <c r="L2527" s="3">
        <f>+IFERROR(IF(J2527="","",H2527*K2527),"")</f>
        <v/>
      </c>
    </row>
    <row r="2528">
      <c r="A2528" s="11" t="n"/>
      <c r="B2528" s="7" t="n"/>
      <c r="C2528" s="8" t="n"/>
      <c r="D2528" s="9" t="n"/>
      <c r="E2528" s="8" t="n"/>
      <c r="F2528" s="9" t="n"/>
      <c r="G2528" s="9" t="n"/>
      <c r="H2528" s="3">
        <f>IF(AND(D2528&lt;&gt;"",F2528&lt;&gt;""),F2528-D2528-G2528,"")</f>
        <v/>
      </c>
      <c r="I2528" s="14">
        <f>IF(E2528&lt;&gt;"", YEARFRAC(C2528, E2528) * 12, "")</f>
        <v/>
      </c>
      <c r="J2528" s="2">
        <f>IF(I2528="", "", IF(AND(A2528="MF (Equity)", I2528&gt;12), "Long Term", "Short Term"))</f>
        <v/>
      </c>
      <c r="K2528" s="5">
        <f>IF(J2528="", "", IF(J2528="Long Term", 12.5%, 20%))</f>
        <v/>
      </c>
      <c r="L2528" s="3">
        <f>+IFERROR(IF(J2528="","",H2528*K2528),"")</f>
        <v/>
      </c>
    </row>
    <row r="2529">
      <c r="A2529" s="11" t="n"/>
      <c r="B2529" s="7" t="n"/>
      <c r="C2529" s="8" t="n"/>
      <c r="D2529" s="9" t="n"/>
      <c r="E2529" s="8" t="n"/>
      <c r="F2529" s="9" t="n"/>
      <c r="G2529" s="9" t="n"/>
      <c r="H2529" s="3">
        <f>IF(AND(D2529&lt;&gt;"",F2529&lt;&gt;""),F2529-D2529-G2529,"")</f>
        <v/>
      </c>
      <c r="I2529" s="14">
        <f>IF(E2529&lt;&gt;"", YEARFRAC(C2529, E2529) * 12, "")</f>
        <v/>
      </c>
      <c r="J2529" s="2">
        <f>IF(I2529="", "", IF(AND(A2529="MF (Equity)", I2529&gt;12), "Long Term", "Short Term"))</f>
        <v/>
      </c>
      <c r="K2529" s="5">
        <f>IF(J2529="", "", IF(J2529="Long Term", 12.5%, 20%))</f>
        <v/>
      </c>
      <c r="L2529" s="3">
        <f>+IFERROR(IF(J2529="","",H2529*K2529),"")</f>
        <v/>
      </c>
    </row>
    <row r="2530">
      <c r="A2530" s="11" t="n"/>
      <c r="B2530" s="7" t="n"/>
      <c r="C2530" s="8" t="n"/>
      <c r="D2530" s="9" t="n"/>
      <c r="E2530" s="8" t="n"/>
      <c r="F2530" s="9" t="n"/>
      <c r="G2530" s="9" t="n"/>
      <c r="H2530" s="3">
        <f>IF(AND(D2530&lt;&gt;"",F2530&lt;&gt;""),F2530-D2530-G2530,"")</f>
        <v/>
      </c>
      <c r="I2530" s="14">
        <f>IF(E2530&lt;&gt;"", YEARFRAC(C2530, E2530) * 12, "")</f>
        <v/>
      </c>
      <c r="J2530" s="2">
        <f>IF(I2530="", "", IF(AND(A2530="MF (Equity)", I2530&gt;12), "Long Term", "Short Term"))</f>
        <v/>
      </c>
      <c r="K2530" s="5">
        <f>IF(J2530="", "", IF(J2530="Long Term", 12.5%, 20%))</f>
        <v/>
      </c>
      <c r="L2530" s="3">
        <f>+IFERROR(IF(J2530="","",H2530*K2530),"")</f>
        <v/>
      </c>
    </row>
    <row r="2531">
      <c r="A2531" s="11" t="n"/>
      <c r="B2531" s="7" t="n"/>
      <c r="C2531" s="8" t="n"/>
      <c r="D2531" s="9" t="n"/>
      <c r="E2531" s="8" t="n"/>
      <c r="F2531" s="9" t="n"/>
      <c r="G2531" s="9" t="n"/>
      <c r="H2531" s="3">
        <f>IF(AND(D2531&lt;&gt;"",F2531&lt;&gt;""),F2531-D2531-G2531,"")</f>
        <v/>
      </c>
      <c r="I2531" s="14">
        <f>IF(E2531&lt;&gt;"", YEARFRAC(C2531, E2531) * 12, "")</f>
        <v/>
      </c>
      <c r="J2531" s="2">
        <f>IF(I2531="", "", IF(AND(A2531="MF (Equity)", I2531&gt;12), "Long Term", "Short Term"))</f>
        <v/>
      </c>
      <c r="K2531" s="5">
        <f>IF(J2531="", "", IF(J2531="Long Term", 12.5%, 20%))</f>
        <v/>
      </c>
      <c r="L2531" s="3">
        <f>+IFERROR(IF(J2531="","",H2531*K2531),"")</f>
        <v/>
      </c>
    </row>
    <row r="2532">
      <c r="A2532" s="11" t="n"/>
      <c r="B2532" s="7" t="n"/>
      <c r="C2532" s="8" t="n"/>
      <c r="D2532" s="9" t="n"/>
      <c r="E2532" s="8" t="n"/>
      <c r="F2532" s="9" t="n"/>
      <c r="G2532" s="9" t="n"/>
      <c r="H2532" s="3">
        <f>IF(AND(D2532&lt;&gt;"",F2532&lt;&gt;""),F2532-D2532-G2532,"")</f>
        <v/>
      </c>
      <c r="I2532" s="14">
        <f>IF(E2532&lt;&gt;"", YEARFRAC(C2532, E2532) * 12, "")</f>
        <v/>
      </c>
      <c r="J2532" s="2">
        <f>IF(I2532="", "", IF(AND(A2532="MF (Equity)", I2532&gt;12), "Long Term", "Short Term"))</f>
        <v/>
      </c>
      <c r="K2532" s="5">
        <f>IF(J2532="", "", IF(J2532="Long Term", 12.5%, 20%))</f>
        <v/>
      </c>
      <c r="L2532" s="3">
        <f>+IFERROR(IF(J2532="","",H2532*K2532),"")</f>
        <v/>
      </c>
    </row>
    <row r="2533">
      <c r="A2533" s="11" t="n"/>
      <c r="B2533" s="7" t="n"/>
      <c r="C2533" s="8" t="n"/>
      <c r="D2533" s="9" t="n"/>
      <c r="E2533" s="8" t="n"/>
      <c r="F2533" s="9" t="n"/>
      <c r="G2533" s="9" t="n"/>
      <c r="H2533" s="3">
        <f>IF(AND(D2533&lt;&gt;"",F2533&lt;&gt;""),F2533-D2533-G2533,"")</f>
        <v/>
      </c>
      <c r="I2533" s="14">
        <f>IF(E2533&lt;&gt;"", YEARFRAC(C2533, E2533) * 12, "")</f>
        <v/>
      </c>
      <c r="J2533" s="2">
        <f>IF(I2533="", "", IF(AND(A2533="MF (Equity)", I2533&gt;12), "Long Term", "Short Term"))</f>
        <v/>
      </c>
      <c r="K2533" s="5">
        <f>IF(J2533="", "", IF(J2533="Long Term", 12.5%, 20%))</f>
        <v/>
      </c>
      <c r="L2533" s="3">
        <f>+IFERROR(IF(J2533="","",H2533*K2533),"")</f>
        <v/>
      </c>
    </row>
    <row r="2534">
      <c r="A2534" s="11" t="n"/>
      <c r="B2534" s="7" t="n"/>
      <c r="C2534" s="8" t="n"/>
      <c r="D2534" s="9" t="n"/>
      <c r="E2534" s="8" t="n"/>
      <c r="F2534" s="9" t="n"/>
      <c r="G2534" s="9" t="n"/>
      <c r="H2534" s="3">
        <f>IF(AND(D2534&lt;&gt;"",F2534&lt;&gt;""),F2534-D2534-G2534,"")</f>
        <v/>
      </c>
      <c r="I2534" s="14">
        <f>IF(E2534&lt;&gt;"", YEARFRAC(C2534, E2534) * 12, "")</f>
        <v/>
      </c>
      <c r="J2534" s="2">
        <f>IF(I2534="", "", IF(AND(A2534="MF (Equity)", I2534&gt;12), "Long Term", "Short Term"))</f>
        <v/>
      </c>
      <c r="K2534" s="5">
        <f>IF(J2534="", "", IF(J2534="Long Term", 12.5%, 20%))</f>
        <v/>
      </c>
      <c r="L2534" s="3">
        <f>+IFERROR(IF(J2534="","",H2534*K2534),"")</f>
        <v/>
      </c>
    </row>
    <row r="2535">
      <c r="A2535" s="11" t="n"/>
      <c r="B2535" s="7" t="n"/>
      <c r="C2535" s="8" t="n"/>
      <c r="D2535" s="9" t="n"/>
      <c r="E2535" s="8" t="n"/>
      <c r="F2535" s="9" t="n"/>
      <c r="G2535" s="9" t="n"/>
      <c r="H2535" s="3">
        <f>IF(AND(D2535&lt;&gt;"",F2535&lt;&gt;""),F2535-D2535-G2535,"")</f>
        <v/>
      </c>
      <c r="I2535" s="14">
        <f>IF(E2535&lt;&gt;"", YEARFRAC(C2535, E2535) * 12, "")</f>
        <v/>
      </c>
      <c r="J2535" s="2">
        <f>IF(I2535="", "", IF(AND(A2535="MF (Equity)", I2535&gt;12), "Long Term", "Short Term"))</f>
        <v/>
      </c>
      <c r="K2535" s="5">
        <f>IF(J2535="", "", IF(J2535="Long Term", 12.5%, 20%))</f>
        <v/>
      </c>
      <c r="L2535" s="3">
        <f>+IFERROR(IF(J2535="","",H2535*K2535),"")</f>
        <v/>
      </c>
    </row>
    <row r="2536">
      <c r="A2536" s="11" t="n"/>
      <c r="B2536" s="7" t="n"/>
      <c r="C2536" s="8" t="n"/>
      <c r="D2536" s="9" t="n"/>
      <c r="E2536" s="8" t="n"/>
      <c r="F2536" s="9" t="n"/>
      <c r="G2536" s="9" t="n"/>
      <c r="H2536" s="3">
        <f>IF(AND(D2536&lt;&gt;"",F2536&lt;&gt;""),F2536-D2536-G2536,"")</f>
        <v/>
      </c>
      <c r="I2536" s="14">
        <f>IF(E2536&lt;&gt;"", YEARFRAC(C2536, E2536) * 12, "")</f>
        <v/>
      </c>
      <c r="J2536" s="2">
        <f>IF(I2536="", "", IF(AND(A2536="MF (Equity)", I2536&gt;12), "Long Term", "Short Term"))</f>
        <v/>
      </c>
      <c r="K2536" s="5">
        <f>IF(J2536="", "", IF(J2536="Long Term", 12.5%, 20%))</f>
        <v/>
      </c>
      <c r="L2536" s="3">
        <f>+IFERROR(IF(J2536="","",H2536*K2536),"")</f>
        <v/>
      </c>
    </row>
    <row r="2537">
      <c r="A2537" s="11" t="n"/>
      <c r="B2537" s="7" t="n"/>
      <c r="C2537" s="8" t="n"/>
      <c r="D2537" s="9" t="n"/>
      <c r="E2537" s="8" t="n"/>
      <c r="F2537" s="9" t="n"/>
      <c r="G2537" s="9" t="n"/>
      <c r="H2537" s="3">
        <f>IF(AND(D2537&lt;&gt;"",F2537&lt;&gt;""),F2537-D2537-G2537,"")</f>
        <v/>
      </c>
      <c r="I2537" s="14">
        <f>IF(E2537&lt;&gt;"", YEARFRAC(C2537, E2537) * 12, "")</f>
        <v/>
      </c>
      <c r="J2537" s="2">
        <f>IF(I2537="", "", IF(AND(A2537="MF (Equity)", I2537&gt;12), "Long Term", "Short Term"))</f>
        <v/>
      </c>
      <c r="K2537" s="5">
        <f>IF(J2537="", "", IF(J2537="Long Term", 12.5%, 20%))</f>
        <v/>
      </c>
      <c r="L2537" s="3">
        <f>+IFERROR(IF(J2537="","",H2537*K2537),"")</f>
        <v/>
      </c>
    </row>
    <row r="2538">
      <c r="A2538" s="11" t="n"/>
      <c r="B2538" s="7" t="n"/>
      <c r="C2538" s="8" t="n"/>
      <c r="D2538" s="9" t="n"/>
      <c r="E2538" s="8" t="n"/>
      <c r="F2538" s="9" t="n"/>
      <c r="G2538" s="9" t="n"/>
      <c r="H2538" s="3">
        <f>IF(AND(D2538&lt;&gt;"",F2538&lt;&gt;""),F2538-D2538-G2538,"")</f>
        <v/>
      </c>
      <c r="I2538" s="14">
        <f>IF(E2538&lt;&gt;"", YEARFRAC(C2538, E2538) * 12, "")</f>
        <v/>
      </c>
      <c r="J2538" s="2">
        <f>IF(I2538="", "", IF(AND(A2538="MF (Equity)", I2538&gt;12), "Long Term", "Short Term"))</f>
        <v/>
      </c>
      <c r="K2538" s="5">
        <f>IF(J2538="", "", IF(J2538="Long Term", 12.5%, 20%))</f>
        <v/>
      </c>
      <c r="L2538" s="3">
        <f>+IFERROR(IF(J2538="","",H2538*K2538),"")</f>
        <v/>
      </c>
    </row>
    <row r="2539">
      <c r="A2539" s="11" t="n"/>
      <c r="B2539" s="7" t="n"/>
      <c r="C2539" s="8" t="n"/>
      <c r="D2539" s="9" t="n"/>
      <c r="E2539" s="8" t="n"/>
      <c r="F2539" s="9" t="n"/>
      <c r="G2539" s="9" t="n"/>
      <c r="H2539" s="3">
        <f>IF(AND(D2539&lt;&gt;"",F2539&lt;&gt;""),F2539-D2539-G2539,"")</f>
        <v/>
      </c>
      <c r="I2539" s="14">
        <f>IF(E2539&lt;&gt;"", YEARFRAC(C2539, E2539) * 12, "")</f>
        <v/>
      </c>
      <c r="J2539" s="2">
        <f>IF(I2539="", "", IF(AND(A2539="MF (Equity)", I2539&gt;12), "Long Term", "Short Term"))</f>
        <v/>
      </c>
      <c r="K2539" s="5">
        <f>IF(J2539="", "", IF(J2539="Long Term", 12.5%, 20%))</f>
        <v/>
      </c>
      <c r="L2539" s="3">
        <f>+IFERROR(IF(J2539="","",H2539*K2539),"")</f>
        <v/>
      </c>
    </row>
    <row r="2540">
      <c r="A2540" s="11" t="n"/>
      <c r="B2540" s="7" t="n"/>
      <c r="C2540" s="8" t="n"/>
      <c r="D2540" s="9" t="n"/>
      <c r="E2540" s="8" t="n"/>
      <c r="F2540" s="9" t="n"/>
      <c r="G2540" s="9" t="n"/>
      <c r="H2540" s="3">
        <f>IF(AND(D2540&lt;&gt;"",F2540&lt;&gt;""),F2540-D2540-G2540,"")</f>
        <v/>
      </c>
      <c r="I2540" s="14">
        <f>IF(E2540&lt;&gt;"", YEARFRAC(C2540, E2540) * 12, "")</f>
        <v/>
      </c>
      <c r="J2540" s="2">
        <f>IF(I2540="", "", IF(AND(A2540="MF (Equity)", I2540&gt;12), "Long Term", "Short Term"))</f>
        <v/>
      </c>
      <c r="K2540" s="5">
        <f>IF(J2540="", "", IF(J2540="Long Term", 12.5%, 20%))</f>
        <v/>
      </c>
      <c r="L2540" s="3">
        <f>+IFERROR(IF(J2540="","",H2540*K2540),"")</f>
        <v/>
      </c>
    </row>
    <row r="2541">
      <c r="A2541" s="11" t="n"/>
      <c r="B2541" s="7" t="n"/>
      <c r="C2541" s="8" t="n"/>
      <c r="D2541" s="9" t="n"/>
      <c r="E2541" s="8" t="n"/>
      <c r="F2541" s="9" t="n"/>
      <c r="G2541" s="9" t="n"/>
      <c r="H2541" s="3">
        <f>IF(AND(D2541&lt;&gt;"",F2541&lt;&gt;""),F2541-D2541-G2541,"")</f>
        <v/>
      </c>
      <c r="I2541" s="14">
        <f>IF(E2541&lt;&gt;"", YEARFRAC(C2541, E2541) * 12, "")</f>
        <v/>
      </c>
      <c r="J2541" s="2">
        <f>IF(I2541="", "", IF(AND(A2541="MF (Equity)", I2541&gt;12), "Long Term", "Short Term"))</f>
        <v/>
      </c>
      <c r="K2541" s="5">
        <f>IF(J2541="", "", IF(J2541="Long Term", 12.5%, 20%))</f>
        <v/>
      </c>
      <c r="L2541" s="3">
        <f>+IFERROR(IF(J2541="","",H2541*K2541),"")</f>
        <v/>
      </c>
    </row>
    <row r="2542">
      <c r="A2542" s="11" t="n"/>
      <c r="B2542" s="7" t="n"/>
      <c r="C2542" s="8" t="n"/>
      <c r="D2542" s="9" t="n"/>
      <c r="E2542" s="8" t="n"/>
      <c r="F2542" s="9" t="n"/>
      <c r="G2542" s="9" t="n"/>
      <c r="H2542" s="3">
        <f>IF(AND(D2542&lt;&gt;"",F2542&lt;&gt;""),F2542-D2542-G2542,"")</f>
        <v/>
      </c>
      <c r="I2542" s="14">
        <f>IF(E2542&lt;&gt;"", YEARFRAC(C2542, E2542) * 12, "")</f>
        <v/>
      </c>
      <c r="J2542" s="2">
        <f>IF(I2542="", "", IF(AND(A2542="MF (Equity)", I2542&gt;12), "Long Term", "Short Term"))</f>
        <v/>
      </c>
      <c r="K2542" s="5">
        <f>IF(J2542="", "", IF(J2542="Long Term", 12.5%, 20%))</f>
        <v/>
      </c>
      <c r="L2542" s="3">
        <f>+IFERROR(IF(J2542="","",H2542*K2542),"")</f>
        <v/>
      </c>
    </row>
    <row r="2543">
      <c r="A2543" s="11" t="n"/>
      <c r="B2543" s="7" t="n"/>
      <c r="C2543" s="8" t="n"/>
      <c r="D2543" s="9" t="n"/>
      <c r="E2543" s="8" t="n"/>
      <c r="F2543" s="9" t="n"/>
      <c r="G2543" s="9" t="n"/>
      <c r="H2543" s="3">
        <f>IF(AND(D2543&lt;&gt;"",F2543&lt;&gt;""),F2543-D2543-G2543,"")</f>
        <v/>
      </c>
      <c r="I2543" s="14">
        <f>IF(E2543&lt;&gt;"", YEARFRAC(C2543, E2543) * 12, "")</f>
        <v/>
      </c>
      <c r="J2543" s="2">
        <f>IF(I2543="", "", IF(AND(A2543="MF (Equity)", I2543&gt;12), "Long Term", "Short Term"))</f>
        <v/>
      </c>
      <c r="K2543" s="5">
        <f>IF(J2543="", "", IF(J2543="Long Term", 12.5%, 20%))</f>
        <v/>
      </c>
      <c r="L2543" s="3">
        <f>+IFERROR(IF(J2543="","",H2543*K2543),"")</f>
        <v/>
      </c>
    </row>
    <row r="2544">
      <c r="A2544" s="11" t="n"/>
      <c r="B2544" s="7" t="n"/>
      <c r="C2544" s="8" t="n"/>
      <c r="D2544" s="9" t="n"/>
      <c r="E2544" s="8" t="n"/>
      <c r="F2544" s="9" t="n"/>
      <c r="G2544" s="9" t="n"/>
      <c r="H2544" s="3">
        <f>IF(AND(D2544&lt;&gt;"",F2544&lt;&gt;""),F2544-D2544-G2544,"")</f>
        <v/>
      </c>
      <c r="I2544" s="14">
        <f>IF(E2544&lt;&gt;"", YEARFRAC(C2544, E2544) * 12, "")</f>
        <v/>
      </c>
      <c r="J2544" s="2">
        <f>IF(I2544="", "", IF(AND(A2544="MF (Equity)", I2544&gt;12), "Long Term", "Short Term"))</f>
        <v/>
      </c>
      <c r="K2544" s="5">
        <f>IF(J2544="", "", IF(J2544="Long Term", 12.5%, 20%))</f>
        <v/>
      </c>
      <c r="L2544" s="3">
        <f>+IFERROR(IF(J2544="","",H2544*K2544),"")</f>
        <v/>
      </c>
    </row>
    <row r="2545">
      <c r="A2545" s="11" t="n"/>
      <c r="B2545" s="7" t="n"/>
      <c r="C2545" s="8" t="n"/>
      <c r="D2545" s="9" t="n"/>
      <c r="E2545" s="8" t="n"/>
      <c r="F2545" s="9" t="n"/>
      <c r="G2545" s="9" t="n"/>
      <c r="H2545" s="3">
        <f>IF(AND(D2545&lt;&gt;"",F2545&lt;&gt;""),F2545-D2545-G2545,"")</f>
        <v/>
      </c>
      <c r="I2545" s="14">
        <f>IF(E2545&lt;&gt;"", YEARFRAC(C2545, E2545) * 12, "")</f>
        <v/>
      </c>
      <c r="J2545" s="2">
        <f>IF(I2545="", "", IF(AND(A2545="MF (Equity)", I2545&gt;12), "Long Term", "Short Term"))</f>
        <v/>
      </c>
      <c r="K2545" s="5">
        <f>IF(J2545="", "", IF(J2545="Long Term", 12.5%, 20%))</f>
        <v/>
      </c>
      <c r="L2545" s="3">
        <f>+IFERROR(IF(J2545="","",H2545*K2545),"")</f>
        <v/>
      </c>
    </row>
    <row r="2546">
      <c r="A2546" s="11" t="n"/>
      <c r="B2546" s="7" t="n"/>
      <c r="C2546" s="8" t="n"/>
      <c r="D2546" s="9" t="n"/>
      <c r="E2546" s="8" t="n"/>
      <c r="F2546" s="9" t="n"/>
      <c r="G2546" s="9" t="n"/>
      <c r="H2546" s="3">
        <f>IF(AND(D2546&lt;&gt;"",F2546&lt;&gt;""),F2546-D2546-G2546,"")</f>
        <v/>
      </c>
      <c r="I2546" s="14">
        <f>IF(E2546&lt;&gt;"", YEARFRAC(C2546, E2546) * 12, "")</f>
        <v/>
      </c>
      <c r="J2546" s="2">
        <f>IF(I2546="", "", IF(AND(A2546="MF (Equity)", I2546&gt;12), "Long Term", "Short Term"))</f>
        <v/>
      </c>
      <c r="K2546" s="5">
        <f>IF(J2546="", "", IF(J2546="Long Term", 12.5%, 20%))</f>
        <v/>
      </c>
      <c r="L2546" s="3">
        <f>+IFERROR(IF(J2546="","",H2546*K2546),"")</f>
        <v/>
      </c>
    </row>
    <row r="2547">
      <c r="A2547" s="11" t="n"/>
      <c r="B2547" s="7" t="n"/>
      <c r="C2547" s="8" t="n"/>
      <c r="D2547" s="9" t="n"/>
      <c r="E2547" s="8" t="n"/>
      <c r="F2547" s="9" t="n"/>
      <c r="G2547" s="9" t="n"/>
      <c r="H2547" s="3">
        <f>IF(AND(D2547&lt;&gt;"",F2547&lt;&gt;""),F2547-D2547-G2547,"")</f>
        <v/>
      </c>
      <c r="I2547" s="14">
        <f>IF(E2547&lt;&gt;"", YEARFRAC(C2547, E2547) * 12, "")</f>
        <v/>
      </c>
      <c r="J2547" s="2">
        <f>IF(I2547="", "", IF(AND(A2547="MF (Equity)", I2547&gt;12), "Long Term", "Short Term"))</f>
        <v/>
      </c>
      <c r="K2547" s="5">
        <f>IF(J2547="", "", IF(J2547="Long Term", 12.5%, 20%))</f>
        <v/>
      </c>
      <c r="L2547" s="3">
        <f>+IFERROR(IF(J2547="","",H2547*K2547),"")</f>
        <v/>
      </c>
    </row>
    <row r="2548">
      <c r="A2548" s="11" t="n"/>
      <c r="B2548" s="7" t="n"/>
      <c r="C2548" s="8" t="n"/>
      <c r="D2548" s="9" t="n"/>
      <c r="E2548" s="8" t="n"/>
      <c r="F2548" s="9" t="n"/>
      <c r="G2548" s="9" t="n"/>
      <c r="H2548" s="3">
        <f>IF(AND(D2548&lt;&gt;"",F2548&lt;&gt;""),F2548-D2548-G2548,"")</f>
        <v/>
      </c>
      <c r="I2548" s="14">
        <f>IF(E2548&lt;&gt;"", YEARFRAC(C2548, E2548) * 12, "")</f>
        <v/>
      </c>
      <c r="J2548" s="2">
        <f>IF(I2548="", "", IF(AND(A2548="MF (Equity)", I2548&gt;12), "Long Term", "Short Term"))</f>
        <v/>
      </c>
      <c r="K2548" s="5">
        <f>IF(J2548="", "", IF(J2548="Long Term", 12.5%, 20%))</f>
        <v/>
      </c>
      <c r="L2548" s="3">
        <f>+IFERROR(IF(J2548="","",H2548*K2548),"")</f>
        <v/>
      </c>
    </row>
    <row r="2549">
      <c r="A2549" s="11" t="n"/>
      <c r="B2549" s="7" t="n"/>
      <c r="C2549" s="8" t="n"/>
      <c r="D2549" s="9" t="n"/>
      <c r="E2549" s="8" t="n"/>
      <c r="F2549" s="9" t="n"/>
      <c r="G2549" s="9" t="n"/>
      <c r="H2549" s="3">
        <f>IF(AND(D2549&lt;&gt;"",F2549&lt;&gt;""),F2549-D2549-G2549,"")</f>
        <v/>
      </c>
      <c r="I2549" s="14">
        <f>IF(E2549&lt;&gt;"", YEARFRAC(C2549, E2549) * 12, "")</f>
        <v/>
      </c>
      <c r="J2549" s="2">
        <f>IF(I2549="", "", IF(AND(A2549="MF (Equity)", I2549&gt;12), "Long Term", "Short Term"))</f>
        <v/>
      </c>
      <c r="K2549" s="5">
        <f>IF(J2549="", "", IF(J2549="Long Term", 12.5%, 20%))</f>
        <v/>
      </c>
      <c r="L2549" s="3">
        <f>+IFERROR(IF(J2549="","",H2549*K2549),"")</f>
        <v/>
      </c>
    </row>
    <row r="2550">
      <c r="A2550" s="11" t="n"/>
      <c r="B2550" s="7" t="n"/>
      <c r="C2550" s="8" t="n"/>
      <c r="D2550" s="9" t="n"/>
      <c r="E2550" s="8" t="n"/>
      <c r="F2550" s="9" t="n"/>
      <c r="G2550" s="9" t="n"/>
      <c r="H2550" s="3">
        <f>IF(AND(D2550&lt;&gt;"",F2550&lt;&gt;""),F2550-D2550-G2550,"")</f>
        <v/>
      </c>
      <c r="I2550" s="14">
        <f>IF(E2550&lt;&gt;"", YEARFRAC(C2550, E2550) * 12, "")</f>
        <v/>
      </c>
      <c r="J2550" s="2">
        <f>IF(I2550="", "", IF(AND(A2550="MF (Equity)", I2550&gt;12), "Long Term", "Short Term"))</f>
        <v/>
      </c>
      <c r="K2550" s="5">
        <f>IF(J2550="", "", IF(J2550="Long Term", 12.5%, 20%))</f>
        <v/>
      </c>
      <c r="L2550" s="3">
        <f>+IFERROR(IF(J2550="","",H2550*K2550),"")</f>
        <v/>
      </c>
    </row>
    <row r="2551">
      <c r="A2551" s="11" t="n"/>
      <c r="B2551" s="7" t="n"/>
      <c r="C2551" s="8" t="n"/>
      <c r="D2551" s="9" t="n"/>
      <c r="E2551" s="8" t="n"/>
      <c r="F2551" s="9" t="n"/>
      <c r="G2551" s="9" t="n"/>
      <c r="H2551" s="3">
        <f>IF(AND(D2551&lt;&gt;"",F2551&lt;&gt;""),F2551-D2551-G2551,"")</f>
        <v/>
      </c>
      <c r="I2551" s="14">
        <f>IF(E2551&lt;&gt;"", YEARFRAC(C2551, E2551) * 12, "")</f>
        <v/>
      </c>
      <c r="J2551" s="2">
        <f>IF(I2551="", "", IF(AND(A2551="MF (Equity)", I2551&gt;12), "Long Term", "Short Term"))</f>
        <v/>
      </c>
      <c r="K2551" s="5">
        <f>IF(J2551="", "", IF(J2551="Long Term", 12.5%, 20%))</f>
        <v/>
      </c>
      <c r="L2551" s="3">
        <f>+IFERROR(IF(J2551="","",H2551*K2551),"")</f>
        <v/>
      </c>
    </row>
    <row r="2552">
      <c r="A2552" s="11" t="n"/>
      <c r="B2552" s="7" t="n"/>
      <c r="C2552" s="8" t="n"/>
      <c r="D2552" s="9" t="n"/>
      <c r="E2552" s="8" t="n"/>
      <c r="F2552" s="9" t="n"/>
      <c r="G2552" s="9" t="n"/>
      <c r="H2552" s="3">
        <f>IF(AND(D2552&lt;&gt;"",F2552&lt;&gt;""),F2552-D2552-G2552,"")</f>
        <v/>
      </c>
      <c r="I2552" s="14">
        <f>IF(E2552&lt;&gt;"", YEARFRAC(C2552, E2552) * 12, "")</f>
        <v/>
      </c>
      <c r="J2552" s="2">
        <f>IF(I2552="", "", IF(AND(A2552="MF (Equity)", I2552&gt;12), "Long Term", "Short Term"))</f>
        <v/>
      </c>
      <c r="K2552" s="5">
        <f>IF(J2552="", "", IF(J2552="Long Term", 12.5%, 20%))</f>
        <v/>
      </c>
      <c r="L2552" s="3">
        <f>+IFERROR(IF(J2552="","",H2552*K2552),"")</f>
        <v/>
      </c>
    </row>
    <row r="2553">
      <c r="A2553" s="11" t="n"/>
      <c r="B2553" s="7" t="n"/>
      <c r="C2553" s="8" t="n"/>
      <c r="D2553" s="9" t="n"/>
      <c r="E2553" s="8" t="n"/>
      <c r="F2553" s="9" t="n"/>
      <c r="G2553" s="9" t="n"/>
      <c r="H2553" s="3">
        <f>IF(AND(D2553&lt;&gt;"",F2553&lt;&gt;""),F2553-D2553-G2553,"")</f>
        <v/>
      </c>
      <c r="I2553" s="14">
        <f>IF(E2553&lt;&gt;"", YEARFRAC(C2553, E2553) * 12, "")</f>
        <v/>
      </c>
      <c r="J2553" s="2">
        <f>IF(I2553="", "", IF(AND(A2553="MF (Equity)", I2553&gt;12), "Long Term", "Short Term"))</f>
        <v/>
      </c>
      <c r="K2553" s="5">
        <f>IF(J2553="", "", IF(J2553="Long Term", 12.5%, 20%))</f>
        <v/>
      </c>
      <c r="L2553" s="3">
        <f>+IFERROR(IF(J2553="","",H2553*K2553),"")</f>
        <v/>
      </c>
    </row>
    <row r="2554">
      <c r="A2554" s="11" t="n"/>
      <c r="B2554" s="7" t="n"/>
      <c r="C2554" s="8" t="n"/>
      <c r="D2554" s="9" t="n"/>
      <c r="E2554" s="8" t="n"/>
      <c r="F2554" s="9" t="n"/>
      <c r="G2554" s="9" t="n"/>
      <c r="H2554" s="3">
        <f>IF(AND(D2554&lt;&gt;"",F2554&lt;&gt;""),F2554-D2554-G2554,"")</f>
        <v/>
      </c>
      <c r="I2554" s="14">
        <f>IF(E2554&lt;&gt;"", YEARFRAC(C2554, E2554) * 12, "")</f>
        <v/>
      </c>
      <c r="J2554" s="2">
        <f>IF(I2554="", "", IF(AND(A2554="MF (Equity)", I2554&gt;12), "Long Term", "Short Term"))</f>
        <v/>
      </c>
      <c r="K2554" s="5">
        <f>IF(J2554="", "", IF(J2554="Long Term", 12.5%, 20%))</f>
        <v/>
      </c>
      <c r="L2554" s="3">
        <f>+IFERROR(IF(J2554="","",H2554*K2554),"")</f>
        <v/>
      </c>
    </row>
    <row r="2555">
      <c r="A2555" s="11" t="n"/>
      <c r="B2555" s="7" t="n"/>
      <c r="C2555" s="8" t="n"/>
      <c r="D2555" s="9" t="n"/>
      <c r="E2555" s="8" t="n"/>
      <c r="F2555" s="9" t="n"/>
      <c r="G2555" s="9" t="n"/>
      <c r="H2555" s="3">
        <f>IF(AND(D2555&lt;&gt;"",F2555&lt;&gt;""),F2555-D2555-G2555,"")</f>
        <v/>
      </c>
      <c r="I2555" s="14">
        <f>IF(E2555&lt;&gt;"", YEARFRAC(C2555, E2555) * 12, "")</f>
        <v/>
      </c>
      <c r="J2555" s="2">
        <f>IF(I2555="", "", IF(AND(A2555="MF (Equity)", I2555&gt;12), "Long Term", "Short Term"))</f>
        <v/>
      </c>
      <c r="K2555" s="5">
        <f>IF(J2555="", "", IF(J2555="Long Term", 12.5%, 20%))</f>
        <v/>
      </c>
      <c r="L2555" s="3">
        <f>+IFERROR(IF(J2555="","",H2555*K2555),"")</f>
        <v/>
      </c>
    </row>
    <row r="2556">
      <c r="A2556" s="11" t="n"/>
      <c r="B2556" s="7" t="n"/>
      <c r="C2556" s="8" t="n"/>
      <c r="D2556" s="9" t="n"/>
      <c r="E2556" s="8" t="n"/>
      <c r="F2556" s="9" t="n"/>
      <c r="G2556" s="9" t="n"/>
      <c r="H2556" s="3">
        <f>IF(AND(D2556&lt;&gt;"",F2556&lt;&gt;""),F2556-D2556-G2556,"")</f>
        <v/>
      </c>
      <c r="I2556" s="14">
        <f>IF(E2556&lt;&gt;"", YEARFRAC(C2556, E2556) * 12, "")</f>
        <v/>
      </c>
      <c r="J2556" s="2">
        <f>IF(I2556="", "", IF(AND(A2556="MF (Equity)", I2556&gt;12), "Long Term", "Short Term"))</f>
        <v/>
      </c>
      <c r="K2556" s="5">
        <f>IF(J2556="", "", IF(J2556="Long Term", 12.5%, 20%))</f>
        <v/>
      </c>
      <c r="L2556" s="3">
        <f>+IFERROR(IF(J2556="","",H2556*K2556),"")</f>
        <v/>
      </c>
    </row>
    <row r="2557">
      <c r="A2557" s="11" t="n"/>
      <c r="B2557" s="7" t="n"/>
      <c r="C2557" s="8" t="n"/>
      <c r="D2557" s="9" t="n"/>
      <c r="E2557" s="8" t="n"/>
      <c r="F2557" s="9" t="n"/>
      <c r="G2557" s="9" t="n"/>
      <c r="H2557" s="3">
        <f>IF(AND(D2557&lt;&gt;"",F2557&lt;&gt;""),F2557-D2557-G2557,"")</f>
        <v/>
      </c>
      <c r="I2557" s="14">
        <f>IF(E2557&lt;&gt;"", YEARFRAC(C2557, E2557) * 12, "")</f>
        <v/>
      </c>
      <c r="J2557" s="2">
        <f>IF(I2557="", "", IF(AND(A2557="MF (Equity)", I2557&gt;12), "Long Term", "Short Term"))</f>
        <v/>
      </c>
      <c r="K2557" s="5">
        <f>IF(J2557="", "", IF(J2557="Long Term", 12.5%, 20%))</f>
        <v/>
      </c>
      <c r="L2557" s="3">
        <f>+IFERROR(IF(J2557="","",H2557*K2557),"")</f>
        <v/>
      </c>
    </row>
    <row r="2558">
      <c r="A2558" s="11" t="n"/>
      <c r="B2558" s="7" t="n"/>
      <c r="C2558" s="8" t="n"/>
      <c r="D2558" s="9" t="n"/>
      <c r="E2558" s="8" t="n"/>
      <c r="F2558" s="9" t="n"/>
      <c r="G2558" s="9" t="n"/>
      <c r="H2558" s="3">
        <f>IF(AND(D2558&lt;&gt;"",F2558&lt;&gt;""),F2558-D2558-G2558,"")</f>
        <v/>
      </c>
      <c r="I2558" s="14">
        <f>IF(E2558&lt;&gt;"", YEARFRAC(C2558, E2558) * 12, "")</f>
        <v/>
      </c>
      <c r="J2558" s="2">
        <f>IF(I2558="", "", IF(AND(A2558="MF (Equity)", I2558&gt;12), "Long Term", "Short Term"))</f>
        <v/>
      </c>
      <c r="K2558" s="5">
        <f>IF(J2558="", "", IF(J2558="Long Term", 12.5%, 20%))</f>
        <v/>
      </c>
      <c r="L2558" s="3">
        <f>+IFERROR(IF(J2558="","",H2558*K2558),"")</f>
        <v/>
      </c>
    </row>
    <row r="2559">
      <c r="A2559" s="11" t="n"/>
      <c r="B2559" s="7" t="n"/>
      <c r="C2559" s="8" t="n"/>
      <c r="D2559" s="9" t="n"/>
      <c r="E2559" s="8" t="n"/>
      <c r="F2559" s="9" t="n"/>
      <c r="G2559" s="9" t="n"/>
      <c r="H2559" s="3">
        <f>IF(AND(D2559&lt;&gt;"",F2559&lt;&gt;""),F2559-D2559-G2559,"")</f>
        <v/>
      </c>
      <c r="I2559" s="14">
        <f>IF(E2559&lt;&gt;"", YEARFRAC(C2559, E2559) * 12, "")</f>
        <v/>
      </c>
      <c r="J2559" s="2">
        <f>IF(I2559="", "", IF(AND(A2559="MF (Equity)", I2559&gt;12), "Long Term", "Short Term"))</f>
        <v/>
      </c>
      <c r="K2559" s="5">
        <f>IF(J2559="", "", IF(J2559="Long Term", 12.5%, 20%))</f>
        <v/>
      </c>
      <c r="L2559" s="3">
        <f>+IFERROR(IF(J2559="","",H2559*K2559),"")</f>
        <v/>
      </c>
    </row>
    <row r="2560">
      <c r="A2560" s="11" t="n"/>
      <c r="B2560" s="7" t="n"/>
      <c r="C2560" s="8" t="n"/>
      <c r="D2560" s="9" t="n"/>
      <c r="E2560" s="8" t="n"/>
      <c r="F2560" s="9" t="n"/>
      <c r="G2560" s="9" t="n"/>
      <c r="H2560" s="3">
        <f>IF(AND(D2560&lt;&gt;"",F2560&lt;&gt;""),F2560-D2560-G2560,"")</f>
        <v/>
      </c>
      <c r="I2560" s="14">
        <f>IF(E2560&lt;&gt;"", YEARFRAC(C2560, E2560) * 12, "")</f>
        <v/>
      </c>
      <c r="J2560" s="2">
        <f>IF(I2560="", "", IF(AND(A2560="MF (Equity)", I2560&gt;12), "Long Term", "Short Term"))</f>
        <v/>
      </c>
      <c r="K2560" s="5">
        <f>IF(J2560="", "", IF(J2560="Long Term", 12.5%, 20%))</f>
        <v/>
      </c>
      <c r="L2560" s="3">
        <f>+IFERROR(IF(J2560="","",H2560*K2560),"")</f>
        <v/>
      </c>
    </row>
    <row r="2561">
      <c r="A2561" s="11" t="n"/>
      <c r="B2561" s="7" t="n"/>
      <c r="C2561" s="8" t="n"/>
      <c r="D2561" s="9" t="n"/>
      <c r="E2561" s="8" t="n"/>
      <c r="F2561" s="9" t="n"/>
      <c r="G2561" s="9" t="n"/>
      <c r="H2561" s="3">
        <f>IF(AND(D2561&lt;&gt;"",F2561&lt;&gt;""),F2561-D2561-G2561,"")</f>
        <v/>
      </c>
      <c r="I2561" s="14">
        <f>IF(E2561&lt;&gt;"", YEARFRAC(C2561, E2561) * 12, "")</f>
        <v/>
      </c>
      <c r="J2561" s="2">
        <f>IF(I2561="", "", IF(AND(A2561="MF (Equity)", I2561&gt;12), "Long Term", "Short Term"))</f>
        <v/>
      </c>
      <c r="K2561" s="5">
        <f>IF(J2561="", "", IF(J2561="Long Term", 12.5%, 20%))</f>
        <v/>
      </c>
      <c r="L2561" s="3">
        <f>+IFERROR(IF(J2561="","",H2561*K2561),"")</f>
        <v/>
      </c>
    </row>
    <row r="2562">
      <c r="A2562" s="11" t="n"/>
      <c r="B2562" s="7" t="n"/>
      <c r="C2562" s="8" t="n"/>
      <c r="D2562" s="9" t="n"/>
      <c r="E2562" s="8" t="n"/>
      <c r="F2562" s="9" t="n"/>
      <c r="G2562" s="9" t="n"/>
      <c r="H2562" s="3">
        <f>IF(AND(D2562&lt;&gt;"",F2562&lt;&gt;""),F2562-D2562-G2562,"")</f>
        <v/>
      </c>
      <c r="I2562" s="14">
        <f>IF(E2562&lt;&gt;"", YEARFRAC(C2562, E2562) * 12, "")</f>
        <v/>
      </c>
      <c r="J2562" s="2">
        <f>IF(I2562="", "", IF(AND(A2562="MF (Equity)", I2562&gt;12), "Long Term", "Short Term"))</f>
        <v/>
      </c>
      <c r="K2562" s="5">
        <f>IF(J2562="", "", IF(J2562="Long Term", 12.5%, 20%))</f>
        <v/>
      </c>
      <c r="L2562" s="3">
        <f>+IFERROR(IF(J2562="","",H2562*K2562),"")</f>
        <v/>
      </c>
    </row>
    <row r="2563">
      <c r="A2563" s="11" t="n"/>
      <c r="B2563" s="7" t="n"/>
      <c r="C2563" s="8" t="n"/>
      <c r="D2563" s="9" t="n"/>
      <c r="E2563" s="8" t="n"/>
      <c r="F2563" s="9" t="n"/>
      <c r="G2563" s="9" t="n"/>
      <c r="H2563" s="3">
        <f>IF(AND(D2563&lt;&gt;"",F2563&lt;&gt;""),F2563-D2563-G2563,"")</f>
        <v/>
      </c>
      <c r="I2563" s="14">
        <f>IF(E2563&lt;&gt;"", YEARFRAC(C2563, E2563) * 12, "")</f>
        <v/>
      </c>
      <c r="J2563" s="2">
        <f>IF(I2563="", "", IF(AND(A2563="MF (Equity)", I2563&gt;12), "Long Term", "Short Term"))</f>
        <v/>
      </c>
      <c r="K2563" s="5">
        <f>IF(J2563="", "", IF(J2563="Long Term", 12.5%, 20%))</f>
        <v/>
      </c>
      <c r="L2563" s="3">
        <f>+IFERROR(IF(J2563="","",H2563*K2563),"")</f>
        <v/>
      </c>
    </row>
    <row r="2564">
      <c r="A2564" s="11" t="n"/>
      <c r="B2564" s="7" t="n"/>
      <c r="C2564" s="8" t="n"/>
      <c r="D2564" s="9" t="n"/>
      <c r="E2564" s="8" t="n"/>
      <c r="F2564" s="9" t="n"/>
      <c r="G2564" s="9" t="n"/>
      <c r="H2564" s="3">
        <f>IF(AND(D2564&lt;&gt;"",F2564&lt;&gt;""),F2564-D2564-G2564,"")</f>
        <v/>
      </c>
      <c r="I2564" s="14">
        <f>IF(E2564&lt;&gt;"", YEARFRAC(C2564, E2564) * 12, "")</f>
        <v/>
      </c>
      <c r="J2564" s="2">
        <f>IF(I2564="", "", IF(AND(A2564="MF (Equity)", I2564&gt;12), "Long Term", "Short Term"))</f>
        <v/>
      </c>
      <c r="K2564" s="5">
        <f>IF(J2564="", "", IF(J2564="Long Term", 12.5%, 20%))</f>
        <v/>
      </c>
      <c r="L2564" s="3">
        <f>+IFERROR(IF(J2564="","",H2564*K2564),"")</f>
        <v/>
      </c>
    </row>
    <row r="2565">
      <c r="A2565" s="11" t="n"/>
      <c r="B2565" s="7" t="n"/>
      <c r="C2565" s="8" t="n"/>
      <c r="D2565" s="9" t="n"/>
      <c r="E2565" s="8" t="n"/>
      <c r="F2565" s="9" t="n"/>
      <c r="G2565" s="9" t="n"/>
      <c r="H2565" s="3">
        <f>IF(AND(D2565&lt;&gt;"",F2565&lt;&gt;""),F2565-D2565-G2565,"")</f>
        <v/>
      </c>
      <c r="I2565" s="14">
        <f>IF(E2565&lt;&gt;"", YEARFRAC(C2565, E2565) * 12, "")</f>
        <v/>
      </c>
      <c r="J2565" s="2">
        <f>IF(I2565="", "", IF(AND(A2565="MF (Equity)", I2565&gt;12), "Long Term", "Short Term"))</f>
        <v/>
      </c>
      <c r="K2565" s="5">
        <f>IF(J2565="", "", IF(J2565="Long Term", 12.5%, 20%))</f>
        <v/>
      </c>
      <c r="L2565" s="3">
        <f>+IFERROR(IF(J2565="","",H2565*K2565),"")</f>
        <v/>
      </c>
    </row>
    <row r="2566">
      <c r="A2566" s="11" t="n"/>
      <c r="B2566" s="7" t="n"/>
      <c r="C2566" s="8" t="n"/>
      <c r="D2566" s="9" t="n"/>
      <c r="E2566" s="8" t="n"/>
      <c r="F2566" s="9" t="n"/>
      <c r="G2566" s="9" t="n"/>
      <c r="H2566" s="3">
        <f>IF(AND(D2566&lt;&gt;"",F2566&lt;&gt;""),F2566-D2566-G2566,"")</f>
        <v/>
      </c>
      <c r="I2566" s="14">
        <f>IF(E2566&lt;&gt;"", YEARFRAC(C2566, E2566) * 12, "")</f>
        <v/>
      </c>
      <c r="J2566" s="2">
        <f>IF(I2566="", "", IF(AND(A2566="MF (Equity)", I2566&gt;12), "Long Term", "Short Term"))</f>
        <v/>
      </c>
      <c r="K2566" s="5">
        <f>IF(J2566="", "", IF(J2566="Long Term", 12.5%, 20%))</f>
        <v/>
      </c>
      <c r="L2566" s="3">
        <f>+IFERROR(IF(J2566="","",H2566*K2566),"")</f>
        <v/>
      </c>
    </row>
    <row r="2567">
      <c r="A2567" s="11" t="n"/>
      <c r="B2567" s="7" t="n"/>
      <c r="C2567" s="8" t="n"/>
      <c r="D2567" s="9" t="n"/>
      <c r="E2567" s="8" t="n"/>
      <c r="F2567" s="9" t="n"/>
      <c r="G2567" s="9" t="n"/>
      <c r="H2567" s="3">
        <f>IF(AND(D2567&lt;&gt;"",F2567&lt;&gt;""),F2567-D2567-G2567,"")</f>
        <v/>
      </c>
      <c r="I2567" s="14">
        <f>IF(E2567&lt;&gt;"", YEARFRAC(C2567, E2567) * 12, "")</f>
        <v/>
      </c>
      <c r="J2567" s="2">
        <f>IF(I2567="", "", IF(AND(A2567="MF (Equity)", I2567&gt;12), "Long Term", "Short Term"))</f>
        <v/>
      </c>
      <c r="K2567" s="5">
        <f>IF(J2567="", "", IF(J2567="Long Term", 12.5%, 20%))</f>
        <v/>
      </c>
      <c r="L2567" s="3">
        <f>+IFERROR(IF(J2567="","",H2567*K2567),"")</f>
        <v/>
      </c>
    </row>
    <row r="2568">
      <c r="A2568" s="11" t="n"/>
      <c r="B2568" s="7" t="n"/>
      <c r="C2568" s="8" t="n"/>
      <c r="D2568" s="9" t="n"/>
      <c r="E2568" s="8" t="n"/>
      <c r="F2568" s="9" t="n"/>
      <c r="G2568" s="9" t="n"/>
      <c r="H2568" s="3">
        <f>IF(AND(D2568&lt;&gt;"",F2568&lt;&gt;""),F2568-D2568-G2568,"")</f>
        <v/>
      </c>
      <c r="I2568" s="14">
        <f>IF(E2568&lt;&gt;"", YEARFRAC(C2568, E2568) * 12, "")</f>
        <v/>
      </c>
      <c r="J2568" s="2">
        <f>IF(I2568="", "", IF(AND(A2568="MF (Equity)", I2568&gt;12), "Long Term", "Short Term"))</f>
        <v/>
      </c>
      <c r="K2568" s="5">
        <f>IF(J2568="", "", IF(J2568="Long Term", 12.5%, 20%))</f>
        <v/>
      </c>
      <c r="L2568" s="3">
        <f>+IFERROR(IF(J2568="","",H2568*K2568),"")</f>
        <v/>
      </c>
    </row>
    <row r="2569">
      <c r="A2569" s="11" t="n"/>
      <c r="B2569" s="7" t="n"/>
      <c r="C2569" s="8" t="n"/>
      <c r="D2569" s="9" t="n"/>
      <c r="E2569" s="8" t="n"/>
      <c r="F2569" s="9" t="n"/>
      <c r="G2569" s="9" t="n"/>
      <c r="H2569" s="3">
        <f>IF(AND(D2569&lt;&gt;"",F2569&lt;&gt;""),F2569-D2569-G2569,"")</f>
        <v/>
      </c>
      <c r="I2569" s="14">
        <f>IF(E2569&lt;&gt;"", YEARFRAC(C2569, E2569) * 12, "")</f>
        <v/>
      </c>
      <c r="J2569" s="2">
        <f>IF(I2569="", "", IF(AND(A2569="MF (Equity)", I2569&gt;12), "Long Term", "Short Term"))</f>
        <v/>
      </c>
      <c r="K2569" s="5">
        <f>IF(J2569="", "", IF(J2569="Long Term", 12.5%, 20%))</f>
        <v/>
      </c>
      <c r="L2569" s="3">
        <f>+IFERROR(IF(J2569="","",H2569*K2569),"")</f>
        <v/>
      </c>
    </row>
    <row r="2570">
      <c r="A2570" s="11" t="n"/>
      <c r="B2570" s="7" t="n"/>
      <c r="C2570" s="8" t="n"/>
      <c r="D2570" s="9" t="n"/>
      <c r="E2570" s="8" t="n"/>
      <c r="F2570" s="9" t="n"/>
      <c r="G2570" s="9" t="n"/>
      <c r="H2570" s="3">
        <f>IF(AND(D2570&lt;&gt;"",F2570&lt;&gt;""),F2570-D2570-G2570,"")</f>
        <v/>
      </c>
      <c r="I2570" s="14">
        <f>IF(E2570&lt;&gt;"", YEARFRAC(C2570, E2570) * 12, "")</f>
        <v/>
      </c>
      <c r="J2570" s="2">
        <f>IF(I2570="", "", IF(AND(A2570="MF (Equity)", I2570&gt;12), "Long Term", "Short Term"))</f>
        <v/>
      </c>
      <c r="K2570" s="5">
        <f>IF(J2570="", "", IF(J2570="Long Term", 12.5%, 20%))</f>
        <v/>
      </c>
      <c r="L2570" s="3">
        <f>+IFERROR(IF(J2570="","",H2570*K2570),"")</f>
        <v/>
      </c>
    </row>
    <row r="2571">
      <c r="A2571" s="11" t="n"/>
      <c r="B2571" s="7" t="n"/>
      <c r="C2571" s="8" t="n"/>
      <c r="D2571" s="9" t="n"/>
      <c r="E2571" s="8" t="n"/>
      <c r="F2571" s="9" t="n"/>
      <c r="G2571" s="9" t="n"/>
      <c r="H2571" s="3">
        <f>IF(AND(D2571&lt;&gt;"",F2571&lt;&gt;""),F2571-D2571-G2571,"")</f>
        <v/>
      </c>
      <c r="I2571" s="14">
        <f>IF(E2571&lt;&gt;"", YEARFRAC(C2571, E2571) * 12, "")</f>
        <v/>
      </c>
      <c r="J2571" s="2">
        <f>IF(I2571="", "", IF(AND(A2571="MF (Equity)", I2571&gt;12), "Long Term", "Short Term"))</f>
        <v/>
      </c>
      <c r="K2571" s="5">
        <f>IF(J2571="", "", IF(J2571="Long Term", 12.5%, 20%))</f>
        <v/>
      </c>
      <c r="L2571" s="3">
        <f>+IFERROR(IF(J2571="","",H2571*K2571),"")</f>
        <v/>
      </c>
    </row>
    <row r="2572">
      <c r="A2572" s="11" t="n"/>
      <c r="B2572" s="7" t="n"/>
      <c r="C2572" s="8" t="n"/>
      <c r="D2572" s="9" t="n"/>
      <c r="E2572" s="8" t="n"/>
      <c r="F2572" s="9" t="n"/>
      <c r="G2572" s="9" t="n"/>
      <c r="H2572" s="3">
        <f>IF(AND(D2572&lt;&gt;"",F2572&lt;&gt;""),F2572-D2572-G2572,"")</f>
        <v/>
      </c>
      <c r="I2572" s="14">
        <f>IF(E2572&lt;&gt;"", YEARFRAC(C2572, E2572) * 12, "")</f>
        <v/>
      </c>
      <c r="J2572" s="2">
        <f>IF(I2572="", "", IF(AND(A2572="MF (Equity)", I2572&gt;12), "Long Term", "Short Term"))</f>
        <v/>
      </c>
      <c r="K2572" s="5">
        <f>IF(J2572="", "", IF(J2572="Long Term", 12.5%, 20%))</f>
        <v/>
      </c>
      <c r="L2572" s="3">
        <f>+IFERROR(IF(J2572="","",H2572*K2572),"")</f>
        <v/>
      </c>
    </row>
    <row r="2573">
      <c r="A2573" s="11" t="n"/>
      <c r="B2573" s="7" t="n"/>
      <c r="C2573" s="8" t="n"/>
      <c r="D2573" s="9" t="n"/>
      <c r="E2573" s="8" t="n"/>
      <c r="F2573" s="9" t="n"/>
      <c r="G2573" s="9" t="n"/>
      <c r="H2573" s="3">
        <f>IF(AND(D2573&lt;&gt;"",F2573&lt;&gt;""),F2573-D2573-G2573,"")</f>
        <v/>
      </c>
      <c r="I2573" s="14">
        <f>IF(E2573&lt;&gt;"", YEARFRAC(C2573, E2573) * 12, "")</f>
        <v/>
      </c>
      <c r="J2573" s="2">
        <f>IF(I2573="", "", IF(AND(A2573="MF (Equity)", I2573&gt;12), "Long Term", "Short Term"))</f>
        <v/>
      </c>
      <c r="K2573" s="5">
        <f>IF(J2573="", "", IF(J2573="Long Term", 12.5%, 20%))</f>
        <v/>
      </c>
      <c r="L2573" s="3">
        <f>+IFERROR(IF(J2573="","",H2573*K2573),"")</f>
        <v/>
      </c>
    </row>
    <row r="2574">
      <c r="A2574" s="11" t="n"/>
      <c r="B2574" s="7" t="n"/>
      <c r="C2574" s="8" t="n"/>
      <c r="D2574" s="9" t="n"/>
      <c r="E2574" s="8" t="n"/>
      <c r="F2574" s="9" t="n"/>
      <c r="G2574" s="9" t="n"/>
      <c r="H2574" s="3">
        <f>IF(AND(D2574&lt;&gt;"",F2574&lt;&gt;""),F2574-D2574-G2574,"")</f>
        <v/>
      </c>
      <c r="I2574" s="14">
        <f>IF(E2574&lt;&gt;"", YEARFRAC(C2574, E2574) * 12, "")</f>
        <v/>
      </c>
      <c r="J2574" s="2">
        <f>IF(I2574="", "", IF(AND(A2574="MF (Equity)", I2574&gt;12), "Long Term", "Short Term"))</f>
        <v/>
      </c>
      <c r="K2574" s="5">
        <f>IF(J2574="", "", IF(J2574="Long Term", 12.5%, 20%))</f>
        <v/>
      </c>
      <c r="L2574" s="3">
        <f>+IFERROR(IF(J2574="","",H2574*K2574),"")</f>
        <v/>
      </c>
    </row>
    <row r="2575">
      <c r="A2575" s="11" t="n"/>
      <c r="B2575" s="7" t="n"/>
      <c r="C2575" s="8" t="n"/>
      <c r="D2575" s="9" t="n"/>
      <c r="E2575" s="8" t="n"/>
      <c r="F2575" s="9" t="n"/>
      <c r="G2575" s="9" t="n"/>
      <c r="H2575" s="3">
        <f>IF(AND(D2575&lt;&gt;"",F2575&lt;&gt;""),F2575-D2575-G2575,"")</f>
        <v/>
      </c>
      <c r="I2575" s="14">
        <f>IF(E2575&lt;&gt;"", YEARFRAC(C2575, E2575) * 12, "")</f>
        <v/>
      </c>
      <c r="J2575" s="2">
        <f>IF(I2575="", "", IF(AND(A2575="MF (Equity)", I2575&gt;12), "Long Term", "Short Term"))</f>
        <v/>
      </c>
      <c r="K2575" s="5">
        <f>IF(J2575="", "", IF(J2575="Long Term", 12.5%, 20%))</f>
        <v/>
      </c>
      <c r="L2575" s="3">
        <f>+IFERROR(IF(J2575="","",H2575*K2575),"")</f>
        <v/>
      </c>
    </row>
    <row r="2576">
      <c r="A2576" s="11" t="n"/>
      <c r="B2576" s="7" t="n"/>
      <c r="C2576" s="8" t="n"/>
      <c r="D2576" s="9" t="n"/>
      <c r="E2576" s="8" t="n"/>
      <c r="F2576" s="9" t="n"/>
      <c r="G2576" s="9" t="n"/>
      <c r="H2576" s="3">
        <f>IF(AND(D2576&lt;&gt;"",F2576&lt;&gt;""),F2576-D2576-G2576,"")</f>
        <v/>
      </c>
      <c r="I2576" s="14">
        <f>IF(E2576&lt;&gt;"", YEARFRAC(C2576, E2576) * 12, "")</f>
        <v/>
      </c>
      <c r="J2576" s="2">
        <f>IF(I2576="", "", IF(AND(A2576="MF (Equity)", I2576&gt;12), "Long Term", "Short Term"))</f>
        <v/>
      </c>
      <c r="K2576" s="5">
        <f>IF(J2576="", "", IF(J2576="Long Term", 12.5%, 20%))</f>
        <v/>
      </c>
      <c r="L2576" s="3">
        <f>+IFERROR(IF(J2576="","",H2576*K2576),"")</f>
        <v/>
      </c>
    </row>
    <row r="2577">
      <c r="A2577" s="11" t="n"/>
      <c r="B2577" s="7" t="n"/>
      <c r="C2577" s="8" t="n"/>
      <c r="D2577" s="9" t="n"/>
      <c r="E2577" s="8" t="n"/>
      <c r="F2577" s="9" t="n"/>
      <c r="G2577" s="9" t="n"/>
      <c r="H2577" s="3">
        <f>IF(AND(D2577&lt;&gt;"",F2577&lt;&gt;""),F2577-D2577-G2577,"")</f>
        <v/>
      </c>
      <c r="I2577" s="14">
        <f>IF(E2577&lt;&gt;"", YEARFRAC(C2577, E2577) * 12, "")</f>
        <v/>
      </c>
      <c r="J2577" s="2">
        <f>IF(I2577="", "", IF(AND(A2577="MF (Equity)", I2577&gt;12), "Long Term", "Short Term"))</f>
        <v/>
      </c>
      <c r="K2577" s="5">
        <f>IF(J2577="", "", IF(J2577="Long Term", 12.5%, 20%))</f>
        <v/>
      </c>
      <c r="L2577" s="3">
        <f>+IFERROR(IF(J2577="","",H2577*K2577),"")</f>
        <v/>
      </c>
    </row>
    <row r="2578">
      <c r="A2578" s="11" t="n"/>
      <c r="B2578" s="7" t="n"/>
      <c r="C2578" s="8" t="n"/>
      <c r="D2578" s="9" t="n"/>
      <c r="E2578" s="8" t="n"/>
      <c r="F2578" s="9" t="n"/>
      <c r="G2578" s="9" t="n"/>
      <c r="H2578" s="3">
        <f>IF(AND(D2578&lt;&gt;"",F2578&lt;&gt;""),F2578-D2578-G2578,"")</f>
        <v/>
      </c>
      <c r="I2578" s="14">
        <f>IF(E2578&lt;&gt;"", YEARFRAC(C2578, E2578) * 12, "")</f>
        <v/>
      </c>
      <c r="J2578" s="2">
        <f>IF(I2578="", "", IF(AND(A2578="MF (Equity)", I2578&gt;12), "Long Term", "Short Term"))</f>
        <v/>
      </c>
      <c r="K2578" s="5">
        <f>IF(J2578="", "", IF(J2578="Long Term", 12.5%, 20%))</f>
        <v/>
      </c>
      <c r="L2578" s="3">
        <f>+IFERROR(IF(J2578="","",H2578*K2578),"")</f>
        <v/>
      </c>
    </row>
    <row r="2579">
      <c r="A2579" s="11" t="n"/>
      <c r="B2579" s="7" t="n"/>
      <c r="C2579" s="8" t="n"/>
      <c r="D2579" s="9" t="n"/>
      <c r="E2579" s="8" t="n"/>
      <c r="F2579" s="9" t="n"/>
      <c r="G2579" s="9" t="n"/>
      <c r="H2579" s="3">
        <f>IF(AND(D2579&lt;&gt;"",F2579&lt;&gt;""),F2579-D2579-G2579,"")</f>
        <v/>
      </c>
      <c r="I2579" s="14">
        <f>IF(E2579&lt;&gt;"", YEARFRAC(C2579, E2579) * 12, "")</f>
        <v/>
      </c>
      <c r="J2579" s="2">
        <f>IF(I2579="", "", IF(AND(A2579="MF (Equity)", I2579&gt;12), "Long Term", "Short Term"))</f>
        <v/>
      </c>
      <c r="K2579" s="5">
        <f>IF(J2579="", "", IF(J2579="Long Term", 12.5%, 20%))</f>
        <v/>
      </c>
      <c r="L2579" s="3">
        <f>+IFERROR(IF(J2579="","",H2579*K2579),"")</f>
        <v/>
      </c>
    </row>
    <row r="2580">
      <c r="A2580" s="11" t="n"/>
      <c r="B2580" s="7" t="n"/>
      <c r="C2580" s="8" t="n"/>
      <c r="D2580" s="9" t="n"/>
      <c r="E2580" s="8" t="n"/>
      <c r="F2580" s="9" t="n"/>
      <c r="G2580" s="9" t="n"/>
      <c r="H2580" s="3">
        <f>IF(AND(D2580&lt;&gt;"",F2580&lt;&gt;""),F2580-D2580-G2580,"")</f>
        <v/>
      </c>
      <c r="I2580" s="14">
        <f>IF(E2580&lt;&gt;"", YEARFRAC(C2580, E2580) * 12, "")</f>
        <v/>
      </c>
      <c r="J2580" s="2">
        <f>IF(I2580="", "", IF(AND(A2580="MF (Equity)", I2580&gt;12), "Long Term", "Short Term"))</f>
        <v/>
      </c>
      <c r="K2580" s="5">
        <f>IF(J2580="", "", IF(J2580="Long Term", 12.5%, 20%))</f>
        <v/>
      </c>
      <c r="L2580" s="3">
        <f>+IFERROR(IF(J2580="","",H2580*K2580),"")</f>
        <v/>
      </c>
    </row>
    <row r="2581">
      <c r="A2581" s="11" t="n"/>
      <c r="B2581" s="7" t="n"/>
      <c r="C2581" s="8" t="n"/>
      <c r="D2581" s="9" t="n"/>
      <c r="E2581" s="8" t="n"/>
      <c r="F2581" s="9" t="n"/>
      <c r="G2581" s="9" t="n"/>
      <c r="H2581" s="3">
        <f>IF(AND(D2581&lt;&gt;"",F2581&lt;&gt;""),F2581-D2581-G2581,"")</f>
        <v/>
      </c>
      <c r="I2581" s="14">
        <f>IF(E2581&lt;&gt;"", YEARFRAC(C2581, E2581) * 12, "")</f>
        <v/>
      </c>
      <c r="J2581" s="2">
        <f>IF(I2581="", "", IF(AND(A2581="MF (Equity)", I2581&gt;12), "Long Term", "Short Term"))</f>
        <v/>
      </c>
      <c r="K2581" s="5">
        <f>IF(J2581="", "", IF(J2581="Long Term", 12.5%, 20%))</f>
        <v/>
      </c>
      <c r="L2581" s="3">
        <f>+IFERROR(IF(J2581="","",H2581*K2581),"")</f>
        <v/>
      </c>
    </row>
    <row r="2582">
      <c r="A2582" s="11" t="n"/>
      <c r="B2582" s="7" t="n"/>
      <c r="C2582" s="8" t="n"/>
      <c r="D2582" s="9" t="n"/>
      <c r="E2582" s="8" t="n"/>
      <c r="F2582" s="9" t="n"/>
      <c r="G2582" s="9" t="n"/>
      <c r="H2582" s="3">
        <f>IF(AND(D2582&lt;&gt;"",F2582&lt;&gt;""),F2582-D2582-G2582,"")</f>
        <v/>
      </c>
      <c r="I2582" s="14">
        <f>IF(E2582&lt;&gt;"", YEARFRAC(C2582, E2582) * 12, "")</f>
        <v/>
      </c>
      <c r="J2582" s="2">
        <f>IF(I2582="", "", IF(AND(A2582="MF (Equity)", I2582&gt;12), "Long Term", "Short Term"))</f>
        <v/>
      </c>
      <c r="K2582" s="5">
        <f>IF(J2582="", "", IF(J2582="Long Term", 12.5%, 20%))</f>
        <v/>
      </c>
      <c r="L2582" s="3">
        <f>+IFERROR(IF(J2582="","",H2582*K2582),"")</f>
        <v/>
      </c>
    </row>
    <row r="2583">
      <c r="A2583" s="11" t="n"/>
      <c r="B2583" s="7" t="n"/>
      <c r="C2583" s="8" t="n"/>
      <c r="D2583" s="9" t="n"/>
      <c r="E2583" s="8" t="n"/>
      <c r="F2583" s="9" t="n"/>
      <c r="G2583" s="9" t="n"/>
      <c r="H2583" s="3">
        <f>IF(AND(D2583&lt;&gt;"",F2583&lt;&gt;""),F2583-D2583-G2583,"")</f>
        <v/>
      </c>
      <c r="I2583" s="14">
        <f>IF(E2583&lt;&gt;"", YEARFRAC(C2583, E2583) * 12, "")</f>
        <v/>
      </c>
      <c r="J2583" s="2">
        <f>IF(I2583="", "", IF(AND(A2583="MF (Equity)", I2583&gt;12), "Long Term", "Short Term"))</f>
        <v/>
      </c>
      <c r="K2583" s="5">
        <f>IF(J2583="", "", IF(J2583="Long Term", 12.5%, 20%))</f>
        <v/>
      </c>
      <c r="L2583" s="3">
        <f>+IFERROR(IF(J2583="","",H2583*K2583),"")</f>
        <v/>
      </c>
    </row>
    <row r="2584">
      <c r="A2584" s="11" t="n"/>
      <c r="B2584" s="7" t="n"/>
      <c r="C2584" s="8" t="n"/>
      <c r="D2584" s="9" t="n"/>
      <c r="E2584" s="8" t="n"/>
      <c r="F2584" s="9" t="n"/>
      <c r="G2584" s="9" t="n"/>
      <c r="H2584" s="3">
        <f>IF(AND(D2584&lt;&gt;"",F2584&lt;&gt;""),F2584-D2584-G2584,"")</f>
        <v/>
      </c>
      <c r="I2584" s="14">
        <f>IF(E2584&lt;&gt;"", YEARFRAC(C2584, E2584) * 12, "")</f>
        <v/>
      </c>
      <c r="J2584" s="2">
        <f>IF(I2584="", "", IF(AND(A2584="MF (Equity)", I2584&gt;12), "Long Term", "Short Term"))</f>
        <v/>
      </c>
      <c r="K2584" s="5">
        <f>IF(J2584="", "", IF(J2584="Long Term", 12.5%, 20%))</f>
        <v/>
      </c>
      <c r="L2584" s="3">
        <f>+IFERROR(IF(J2584="","",H2584*K2584),"")</f>
        <v/>
      </c>
    </row>
    <row r="2585">
      <c r="A2585" s="11" t="n"/>
      <c r="B2585" s="7" t="n"/>
      <c r="C2585" s="8" t="n"/>
      <c r="D2585" s="9" t="n"/>
      <c r="E2585" s="8" t="n"/>
      <c r="F2585" s="9" t="n"/>
      <c r="G2585" s="9" t="n"/>
      <c r="H2585" s="3">
        <f>IF(AND(D2585&lt;&gt;"",F2585&lt;&gt;""),F2585-D2585-G2585,"")</f>
        <v/>
      </c>
      <c r="I2585" s="14">
        <f>IF(E2585&lt;&gt;"", YEARFRAC(C2585, E2585) * 12, "")</f>
        <v/>
      </c>
      <c r="J2585" s="2">
        <f>IF(I2585="", "", IF(AND(A2585="MF (Equity)", I2585&gt;12), "Long Term", "Short Term"))</f>
        <v/>
      </c>
      <c r="K2585" s="5">
        <f>IF(J2585="", "", IF(J2585="Long Term", 12.5%, 20%))</f>
        <v/>
      </c>
      <c r="L2585" s="3">
        <f>+IFERROR(IF(J2585="","",H2585*K2585),"")</f>
        <v/>
      </c>
    </row>
    <row r="2586">
      <c r="A2586" s="11" t="n"/>
      <c r="B2586" s="7" t="n"/>
      <c r="C2586" s="8" t="n"/>
      <c r="D2586" s="9" t="n"/>
      <c r="E2586" s="8" t="n"/>
      <c r="F2586" s="9" t="n"/>
      <c r="G2586" s="9" t="n"/>
      <c r="H2586" s="3">
        <f>IF(AND(D2586&lt;&gt;"",F2586&lt;&gt;""),F2586-D2586-G2586,"")</f>
        <v/>
      </c>
      <c r="I2586" s="14">
        <f>IF(E2586&lt;&gt;"", YEARFRAC(C2586, E2586) * 12, "")</f>
        <v/>
      </c>
      <c r="J2586" s="2">
        <f>IF(I2586="", "", IF(AND(A2586="MF (Equity)", I2586&gt;12), "Long Term", "Short Term"))</f>
        <v/>
      </c>
      <c r="K2586" s="5">
        <f>IF(J2586="", "", IF(J2586="Long Term", 12.5%, 20%))</f>
        <v/>
      </c>
      <c r="L2586" s="3">
        <f>+IFERROR(IF(J2586="","",H2586*K2586),"")</f>
        <v/>
      </c>
    </row>
    <row r="2587">
      <c r="A2587" s="11" t="n"/>
      <c r="B2587" s="7" t="n"/>
      <c r="C2587" s="8" t="n"/>
      <c r="D2587" s="9" t="n"/>
      <c r="E2587" s="8" t="n"/>
      <c r="F2587" s="9" t="n"/>
      <c r="G2587" s="9" t="n"/>
      <c r="H2587" s="3">
        <f>IF(AND(D2587&lt;&gt;"",F2587&lt;&gt;""),F2587-D2587-G2587,"")</f>
        <v/>
      </c>
      <c r="I2587" s="14">
        <f>IF(E2587&lt;&gt;"", YEARFRAC(C2587, E2587) * 12, "")</f>
        <v/>
      </c>
      <c r="J2587" s="2">
        <f>IF(I2587="", "", IF(AND(A2587="MF (Equity)", I2587&gt;12), "Long Term", "Short Term"))</f>
        <v/>
      </c>
      <c r="K2587" s="5">
        <f>IF(J2587="", "", IF(J2587="Long Term", 12.5%, 20%))</f>
        <v/>
      </c>
      <c r="L2587" s="3">
        <f>+IFERROR(IF(J2587="","",H2587*K2587),"")</f>
        <v/>
      </c>
    </row>
    <row r="2588">
      <c r="A2588" s="11" t="n"/>
      <c r="B2588" s="7" t="n"/>
      <c r="C2588" s="8" t="n"/>
      <c r="D2588" s="9" t="n"/>
      <c r="E2588" s="8" t="n"/>
      <c r="F2588" s="9" t="n"/>
      <c r="G2588" s="9" t="n"/>
      <c r="H2588" s="3">
        <f>IF(AND(D2588&lt;&gt;"",F2588&lt;&gt;""),F2588-D2588-G2588,"")</f>
        <v/>
      </c>
      <c r="I2588" s="14">
        <f>IF(E2588&lt;&gt;"", YEARFRAC(C2588, E2588) * 12, "")</f>
        <v/>
      </c>
      <c r="J2588" s="2">
        <f>IF(I2588="", "", IF(AND(A2588="MF (Equity)", I2588&gt;12), "Long Term", "Short Term"))</f>
        <v/>
      </c>
      <c r="K2588" s="5">
        <f>IF(J2588="", "", IF(J2588="Long Term", 12.5%, 20%))</f>
        <v/>
      </c>
      <c r="L2588" s="3">
        <f>+IFERROR(IF(J2588="","",H2588*K2588),"")</f>
        <v/>
      </c>
    </row>
    <row r="2589">
      <c r="A2589" s="11" t="n"/>
      <c r="B2589" s="7" t="n"/>
      <c r="C2589" s="8" t="n"/>
      <c r="D2589" s="9" t="n"/>
      <c r="E2589" s="8" t="n"/>
      <c r="F2589" s="9" t="n"/>
      <c r="G2589" s="9" t="n"/>
      <c r="H2589" s="3">
        <f>IF(AND(D2589&lt;&gt;"",F2589&lt;&gt;""),F2589-D2589-G2589,"")</f>
        <v/>
      </c>
      <c r="I2589" s="14">
        <f>IF(E2589&lt;&gt;"", YEARFRAC(C2589, E2589) * 12, "")</f>
        <v/>
      </c>
      <c r="J2589" s="2">
        <f>IF(I2589="", "", IF(AND(A2589="MF (Equity)", I2589&gt;12), "Long Term", "Short Term"))</f>
        <v/>
      </c>
      <c r="K2589" s="5">
        <f>IF(J2589="", "", IF(J2589="Long Term", 12.5%, 20%))</f>
        <v/>
      </c>
      <c r="L2589" s="3">
        <f>+IFERROR(IF(J2589="","",H2589*K2589),"")</f>
        <v/>
      </c>
    </row>
    <row r="2590">
      <c r="A2590" s="11" t="n"/>
      <c r="B2590" s="7" t="n"/>
      <c r="C2590" s="8" t="n"/>
      <c r="D2590" s="9" t="n"/>
      <c r="E2590" s="8" t="n"/>
      <c r="F2590" s="9" t="n"/>
      <c r="G2590" s="9" t="n"/>
      <c r="H2590" s="3">
        <f>IF(AND(D2590&lt;&gt;"",F2590&lt;&gt;""),F2590-D2590-G2590,"")</f>
        <v/>
      </c>
      <c r="I2590" s="14">
        <f>IF(E2590&lt;&gt;"", YEARFRAC(C2590, E2590) * 12, "")</f>
        <v/>
      </c>
      <c r="J2590" s="2">
        <f>IF(I2590="", "", IF(AND(A2590="MF (Equity)", I2590&gt;12), "Long Term", "Short Term"))</f>
        <v/>
      </c>
      <c r="K2590" s="5">
        <f>IF(J2590="", "", IF(J2590="Long Term", 12.5%, 20%))</f>
        <v/>
      </c>
      <c r="L2590" s="3">
        <f>+IFERROR(IF(J2590="","",H2590*K2590),"")</f>
        <v/>
      </c>
    </row>
    <row r="2591">
      <c r="A2591" s="11" t="n"/>
      <c r="B2591" s="7" t="n"/>
      <c r="C2591" s="8" t="n"/>
      <c r="D2591" s="9" t="n"/>
      <c r="E2591" s="8" t="n"/>
      <c r="F2591" s="9" t="n"/>
      <c r="G2591" s="9" t="n"/>
      <c r="H2591" s="3">
        <f>IF(AND(D2591&lt;&gt;"",F2591&lt;&gt;""),F2591-D2591-G2591,"")</f>
        <v/>
      </c>
      <c r="I2591" s="14">
        <f>IF(E2591&lt;&gt;"", YEARFRAC(C2591, E2591) * 12, "")</f>
        <v/>
      </c>
      <c r="J2591" s="2">
        <f>IF(I2591="", "", IF(AND(A2591="MF (Equity)", I2591&gt;12), "Long Term", "Short Term"))</f>
        <v/>
      </c>
      <c r="K2591" s="5">
        <f>IF(J2591="", "", IF(J2591="Long Term", 12.5%, 20%))</f>
        <v/>
      </c>
      <c r="L2591" s="3">
        <f>+IFERROR(IF(J2591="","",H2591*K2591),"")</f>
        <v/>
      </c>
    </row>
    <row r="2592">
      <c r="A2592" s="11" t="n"/>
      <c r="B2592" s="7" t="n"/>
      <c r="C2592" s="8" t="n"/>
      <c r="D2592" s="9" t="n"/>
      <c r="E2592" s="8" t="n"/>
      <c r="F2592" s="9" t="n"/>
      <c r="G2592" s="9" t="n"/>
      <c r="H2592" s="3">
        <f>IF(AND(D2592&lt;&gt;"",F2592&lt;&gt;""),F2592-D2592-G2592,"")</f>
        <v/>
      </c>
      <c r="I2592" s="14">
        <f>IF(E2592&lt;&gt;"", YEARFRAC(C2592, E2592) * 12, "")</f>
        <v/>
      </c>
      <c r="J2592" s="2">
        <f>IF(I2592="", "", IF(AND(A2592="MF (Equity)", I2592&gt;12), "Long Term", "Short Term"))</f>
        <v/>
      </c>
      <c r="K2592" s="5">
        <f>IF(J2592="", "", IF(J2592="Long Term", 12.5%, 20%))</f>
        <v/>
      </c>
      <c r="L2592" s="3">
        <f>+IFERROR(IF(J2592="","",H2592*K2592),"")</f>
        <v/>
      </c>
    </row>
    <row r="2593">
      <c r="A2593" s="11" t="n"/>
      <c r="B2593" s="7" t="n"/>
      <c r="C2593" s="8" t="n"/>
      <c r="D2593" s="9" t="n"/>
      <c r="E2593" s="8" t="n"/>
      <c r="F2593" s="9" t="n"/>
      <c r="G2593" s="9" t="n"/>
      <c r="H2593" s="3">
        <f>IF(AND(D2593&lt;&gt;"",F2593&lt;&gt;""),F2593-D2593-G2593,"")</f>
        <v/>
      </c>
      <c r="I2593" s="14">
        <f>IF(E2593&lt;&gt;"", YEARFRAC(C2593, E2593) * 12, "")</f>
        <v/>
      </c>
      <c r="J2593" s="2">
        <f>IF(I2593="", "", IF(AND(A2593="MF (Equity)", I2593&gt;12), "Long Term", "Short Term"))</f>
        <v/>
      </c>
      <c r="K2593" s="5">
        <f>IF(J2593="", "", IF(J2593="Long Term", 12.5%, 20%))</f>
        <v/>
      </c>
      <c r="L2593" s="3">
        <f>+IFERROR(IF(J2593="","",H2593*K2593),"")</f>
        <v/>
      </c>
    </row>
    <row r="2594">
      <c r="A2594" s="11" t="n"/>
      <c r="B2594" s="7" t="n"/>
      <c r="C2594" s="8" t="n"/>
      <c r="D2594" s="9" t="n"/>
      <c r="E2594" s="8" t="n"/>
      <c r="F2594" s="9" t="n"/>
      <c r="G2594" s="9" t="n"/>
      <c r="H2594" s="3">
        <f>IF(AND(D2594&lt;&gt;"",F2594&lt;&gt;""),F2594-D2594-G2594,"")</f>
        <v/>
      </c>
      <c r="I2594" s="14">
        <f>IF(E2594&lt;&gt;"", YEARFRAC(C2594, E2594) * 12, "")</f>
        <v/>
      </c>
      <c r="J2594" s="2">
        <f>IF(I2594="", "", IF(AND(A2594="MF (Equity)", I2594&gt;12), "Long Term", "Short Term"))</f>
        <v/>
      </c>
      <c r="K2594" s="5">
        <f>IF(J2594="", "", IF(J2594="Long Term", 12.5%, 20%))</f>
        <v/>
      </c>
      <c r="L2594" s="3">
        <f>+IFERROR(IF(J2594="","",H2594*K2594),"")</f>
        <v/>
      </c>
    </row>
    <row r="2595">
      <c r="A2595" s="11" t="n"/>
      <c r="B2595" s="7" t="n"/>
      <c r="C2595" s="8" t="n"/>
      <c r="D2595" s="9" t="n"/>
      <c r="E2595" s="8" t="n"/>
      <c r="F2595" s="9" t="n"/>
      <c r="G2595" s="9" t="n"/>
      <c r="H2595" s="3">
        <f>IF(AND(D2595&lt;&gt;"",F2595&lt;&gt;""),F2595-D2595-G2595,"")</f>
        <v/>
      </c>
      <c r="I2595" s="14">
        <f>IF(E2595&lt;&gt;"", YEARFRAC(C2595, E2595) * 12, "")</f>
        <v/>
      </c>
      <c r="J2595" s="2">
        <f>IF(I2595="", "", IF(AND(A2595="MF (Equity)", I2595&gt;12), "Long Term", "Short Term"))</f>
        <v/>
      </c>
      <c r="K2595" s="5">
        <f>IF(J2595="", "", IF(J2595="Long Term", 12.5%, 20%))</f>
        <v/>
      </c>
      <c r="L2595" s="3">
        <f>+IFERROR(IF(J2595="","",H2595*K2595),"")</f>
        <v/>
      </c>
    </row>
    <row r="2596">
      <c r="A2596" s="11" t="n"/>
      <c r="B2596" s="7" t="n"/>
      <c r="C2596" s="8" t="n"/>
      <c r="D2596" s="9" t="n"/>
      <c r="E2596" s="8" t="n"/>
      <c r="F2596" s="9" t="n"/>
      <c r="G2596" s="9" t="n"/>
      <c r="H2596" s="3">
        <f>IF(AND(D2596&lt;&gt;"",F2596&lt;&gt;""),F2596-D2596-G2596,"")</f>
        <v/>
      </c>
      <c r="I2596" s="14">
        <f>IF(E2596&lt;&gt;"", YEARFRAC(C2596, E2596) * 12, "")</f>
        <v/>
      </c>
      <c r="J2596" s="2">
        <f>IF(I2596="", "", IF(AND(A2596="MF (Equity)", I2596&gt;12), "Long Term", "Short Term"))</f>
        <v/>
      </c>
      <c r="K2596" s="5">
        <f>IF(J2596="", "", IF(J2596="Long Term", 12.5%, 20%))</f>
        <v/>
      </c>
      <c r="L2596" s="3">
        <f>+IFERROR(IF(J2596="","",H2596*K2596),"")</f>
        <v/>
      </c>
    </row>
    <row r="2597">
      <c r="A2597" s="11" t="n"/>
      <c r="B2597" s="7" t="n"/>
      <c r="C2597" s="8" t="n"/>
      <c r="D2597" s="9" t="n"/>
      <c r="E2597" s="8" t="n"/>
      <c r="F2597" s="9" t="n"/>
      <c r="G2597" s="9" t="n"/>
      <c r="H2597" s="3">
        <f>IF(AND(D2597&lt;&gt;"",F2597&lt;&gt;""),F2597-D2597-G2597,"")</f>
        <v/>
      </c>
      <c r="I2597" s="14">
        <f>IF(E2597&lt;&gt;"", YEARFRAC(C2597, E2597) * 12, "")</f>
        <v/>
      </c>
      <c r="J2597" s="2">
        <f>IF(I2597="", "", IF(AND(A2597="MF (Equity)", I2597&gt;12), "Long Term", "Short Term"))</f>
        <v/>
      </c>
      <c r="K2597" s="5">
        <f>IF(J2597="", "", IF(J2597="Long Term", 12.5%, 20%))</f>
        <v/>
      </c>
      <c r="L2597" s="3">
        <f>+IFERROR(IF(J2597="","",H2597*K2597),"")</f>
        <v/>
      </c>
    </row>
    <row r="2598">
      <c r="A2598" s="11" t="n"/>
      <c r="B2598" s="7" t="n"/>
      <c r="C2598" s="8" t="n"/>
      <c r="D2598" s="9" t="n"/>
      <c r="E2598" s="8" t="n"/>
      <c r="F2598" s="9" t="n"/>
      <c r="G2598" s="9" t="n"/>
      <c r="H2598" s="3">
        <f>IF(AND(D2598&lt;&gt;"",F2598&lt;&gt;""),F2598-D2598-G2598,"")</f>
        <v/>
      </c>
      <c r="I2598" s="14">
        <f>IF(E2598&lt;&gt;"", YEARFRAC(C2598, E2598) * 12, "")</f>
        <v/>
      </c>
      <c r="J2598" s="2">
        <f>IF(I2598="", "", IF(AND(A2598="MF (Equity)", I2598&gt;12), "Long Term", "Short Term"))</f>
        <v/>
      </c>
      <c r="K2598" s="5">
        <f>IF(J2598="", "", IF(J2598="Long Term", 12.5%, 20%))</f>
        <v/>
      </c>
      <c r="L2598" s="3">
        <f>+IFERROR(IF(J2598="","",H2598*K2598),"")</f>
        <v/>
      </c>
    </row>
    <row r="2599">
      <c r="A2599" s="11" t="n"/>
      <c r="B2599" s="7" t="n"/>
      <c r="C2599" s="8" t="n"/>
      <c r="D2599" s="9" t="n"/>
      <c r="E2599" s="8" t="n"/>
      <c r="F2599" s="9" t="n"/>
      <c r="G2599" s="9" t="n"/>
      <c r="H2599" s="3">
        <f>IF(AND(D2599&lt;&gt;"",F2599&lt;&gt;""),F2599-D2599-G2599,"")</f>
        <v/>
      </c>
      <c r="I2599" s="14">
        <f>IF(E2599&lt;&gt;"", YEARFRAC(C2599, E2599) * 12, "")</f>
        <v/>
      </c>
      <c r="J2599" s="2">
        <f>IF(I2599="", "", IF(AND(A2599="MF (Equity)", I2599&gt;12), "Long Term", "Short Term"))</f>
        <v/>
      </c>
      <c r="K2599" s="5">
        <f>IF(J2599="", "", IF(J2599="Long Term", 12.5%, 20%))</f>
        <v/>
      </c>
      <c r="L2599" s="3">
        <f>+IFERROR(IF(J2599="","",H2599*K2599),"")</f>
        <v/>
      </c>
    </row>
    <row r="2600">
      <c r="A2600" s="11" t="n"/>
      <c r="B2600" s="7" t="n"/>
      <c r="C2600" s="8" t="n"/>
      <c r="D2600" s="9" t="n"/>
      <c r="E2600" s="8" t="n"/>
      <c r="F2600" s="9" t="n"/>
      <c r="G2600" s="9" t="n"/>
      <c r="H2600" s="3">
        <f>IF(AND(D2600&lt;&gt;"",F2600&lt;&gt;""),F2600-D2600-G2600,"")</f>
        <v/>
      </c>
      <c r="I2600" s="14">
        <f>IF(E2600&lt;&gt;"", YEARFRAC(C2600, E2600) * 12, "")</f>
        <v/>
      </c>
      <c r="J2600" s="2">
        <f>IF(I2600="", "", IF(AND(A2600="MF (Equity)", I2600&gt;12), "Long Term", "Short Term"))</f>
        <v/>
      </c>
      <c r="K2600" s="5">
        <f>IF(J2600="", "", IF(J2600="Long Term", 12.5%, 20%))</f>
        <v/>
      </c>
      <c r="L2600" s="3">
        <f>+IFERROR(IF(J2600="","",H2600*K2600),"")</f>
        <v/>
      </c>
    </row>
    <row r="2601">
      <c r="A2601" s="11" t="n"/>
      <c r="B2601" s="7" t="n"/>
      <c r="C2601" s="8" t="n"/>
      <c r="D2601" s="9" t="n"/>
      <c r="E2601" s="8" t="n"/>
      <c r="F2601" s="9" t="n"/>
      <c r="G2601" s="9" t="n"/>
      <c r="H2601" s="3">
        <f>IF(AND(D2601&lt;&gt;"",F2601&lt;&gt;""),F2601-D2601-G2601,"")</f>
        <v/>
      </c>
      <c r="I2601" s="14">
        <f>IF(E2601&lt;&gt;"", YEARFRAC(C2601, E2601) * 12, "")</f>
        <v/>
      </c>
      <c r="J2601" s="2">
        <f>IF(I2601="", "", IF(AND(A2601="MF (Equity)", I2601&gt;12), "Long Term", "Short Term"))</f>
        <v/>
      </c>
      <c r="K2601" s="5">
        <f>IF(J2601="", "", IF(J2601="Long Term", 12.5%, 20%))</f>
        <v/>
      </c>
      <c r="L2601" s="3">
        <f>+IFERROR(IF(J2601="","",H2601*K2601),"")</f>
        <v/>
      </c>
    </row>
    <row r="2602">
      <c r="A2602" s="11" t="n"/>
      <c r="B2602" s="7" t="n"/>
      <c r="C2602" s="8" t="n"/>
      <c r="D2602" s="9" t="n"/>
      <c r="E2602" s="8" t="n"/>
      <c r="F2602" s="9" t="n"/>
      <c r="G2602" s="9" t="n"/>
      <c r="H2602" s="3">
        <f>IF(AND(D2602&lt;&gt;"",F2602&lt;&gt;""),F2602-D2602-G2602,"")</f>
        <v/>
      </c>
      <c r="I2602" s="14">
        <f>IF(E2602&lt;&gt;"", YEARFRAC(C2602, E2602) * 12, "")</f>
        <v/>
      </c>
      <c r="J2602" s="2">
        <f>IF(I2602="", "", IF(AND(A2602="MF (Equity)", I2602&gt;12), "Long Term", "Short Term"))</f>
        <v/>
      </c>
      <c r="K2602" s="5">
        <f>IF(J2602="", "", IF(J2602="Long Term", 12.5%, 20%))</f>
        <v/>
      </c>
      <c r="L2602" s="3">
        <f>+IFERROR(IF(J2602="","",H2602*K2602),"")</f>
        <v/>
      </c>
    </row>
    <row r="2603">
      <c r="A2603" s="11" t="n"/>
      <c r="B2603" s="7" t="n"/>
      <c r="C2603" s="8" t="n"/>
      <c r="D2603" s="9" t="n"/>
      <c r="E2603" s="8" t="n"/>
      <c r="F2603" s="9" t="n"/>
      <c r="G2603" s="9" t="n"/>
      <c r="H2603" s="3">
        <f>IF(AND(D2603&lt;&gt;"",F2603&lt;&gt;""),F2603-D2603-G2603,"")</f>
        <v/>
      </c>
      <c r="I2603" s="14">
        <f>IF(E2603&lt;&gt;"", YEARFRAC(C2603, E2603) * 12, "")</f>
        <v/>
      </c>
      <c r="J2603" s="2">
        <f>IF(I2603="", "", IF(AND(A2603="MF (Equity)", I2603&gt;12), "Long Term", "Short Term"))</f>
        <v/>
      </c>
      <c r="K2603" s="5">
        <f>IF(J2603="", "", IF(J2603="Long Term", 12.5%, 20%))</f>
        <v/>
      </c>
      <c r="L2603" s="3">
        <f>+IFERROR(IF(J2603="","",H2603*K2603),"")</f>
        <v/>
      </c>
    </row>
    <row r="2604">
      <c r="A2604" s="11" t="n"/>
      <c r="B2604" s="7" t="n"/>
      <c r="C2604" s="8" t="n"/>
      <c r="D2604" s="9" t="n"/>
      <c r="E2604" s="8" t="n"/>
      <c r="F2604" s="9" t="n"/>
      <c r="G2604" s="9" t="n"/>
      <c r="H2604" s="3">
        <f>IF(AND(D2604&lt;&gt;"",F2604&lt;&gt;""),F2604-D2604-G2604,"")</f>
        <v/>
      </c>
      <c r="I2604" s="14">
        <f>IF(E2604&lt;&gt;"", YEARFRAC(C2604, E2604) * 12, "")</f>
        <v/>
      </c>
      <c r="J2604" s="2">
        <f>IF(I2604="", "", IF(AND(A2604="MF (Equity)", I2604&gt;12), "Long Term", "Short Term"))</f>
        <v/>
      </c>
      <c r="K2604" s="5">
        <f>IF(J2604="", "", IF(J2604="Long Term", 12.5%, 20%))</f>
        <v/>
      </c>
      <c r="L2604" s="3">
        <f>+IFERROR(IF(J2604="","",H2604*K2604),"")</f>
        <v/>
      </c>
    </row>
    <row r="2605">
      <c r="A2605" s="11" t="n"/>
      <c r="B2605" s="7" t="n"/>
      <c r="C2605" s="8" t="n"/>
      <c r="D2605" s="9" t="n"/>
      <c r="E2605" s="8" t="n"/>
      <c r="F2605" s="9" t="n"/>
      <c r="G2605" s="9" t="n"/>
      <c r="H2605" s="3">
        <f>IF(AND(D2605&lt;&gt;"",F2605&lt;&gt;""),F2605-D2605-G2605,"")</f>
        <v/>
      </c>
      <c r="I2605" s="14">
        <f>IF(E2605&lt;&gt;"", YEARFRAC(C2605, E2605) * 12, "")</f>
        <v/>
      </c>
      <c r="J2605" s="2">
        <f>IF(I2605="", "", IF(AND(A2605="MF (Equity)", I2605&gt;12), "Long Term", "Short Term"))</f>
        <v/>
      </c>
      <c r="K2605" s="5">
        <f>IF(J2605="", "", IF(J2605="Long Term", 12.5%, 20%))</f>
        <v/>
      </c>
      <c r="L2605" s="3">
        <f>+IFERROR(IF(J2605="","",H2605*K2605),"")</f>
        <v/>
      </c>
    </row>
    <row r="2606">
      <c r="A2606" s="11" t="n"/>
      <c r="B2606" s="7" t="n"/>
      <c r="C2606" s="8" t="n"/>
      <c r="D2606" s="9" t="n"/>
      <c r="E2606" s="8" t="n"/>
      <c r="F2606" s="9" t="n"/>
      <c r="G2606" s="9" t="n"/>
      <c r="H2606" s="3">
        <f>IF(AND(D2606&lt;&gt;"",F2606&lt;&gt;""),F2606-D2606-G2606,"")</f>
        <v/>
      </c>
      <c r="I2606" s="14">
        <f>IF(E2606&lt;&gt;"", YEARFRAC(C2606, E2606) * 12, "")</f>
        <v/>
      </c>
      <c r="J2606" s="2">
        <f>IF(I2606="", "", IF(AND(A2606="MF (Equity)", I2606&gt;12), "Long Term", "Short Term"))</f>
        <v/>
      </c>
      <c r="K2606" s="5">
        <f>IF(J2606="", "", IF(J2606="Long Term", 12.5%, 20%))</f>
        <v/>
      </c>
      <c r="L2606" s="3">
        <f>+IFERROR(IF(J2606="","",H2606*K2606),"")</f>
        <v/>
      </c>
    </row>
    <row r="2607">
      <c r="A2607" s="11" t="n"/>
      <c r="B2607" s="7" t="n"/>
      <c r="C2607" s="8" t="n"/>
      <c r="D2607" s="9" t="n"/>
      <c r="E2607" s="8" t="n"/>
      <c r="F2607" s="9" t="n"/>
      <c r="G2607" s="9" t="n"/>
      <c r="H2607" s="3">
        <f>IF(AND(D2607&lt;&gt;"",F2607&lt;&gt;""),F2607-D2607-G2607,"")</f>
        <v/>
      </c>
      <c r="I2607" s="14">
        <f>IF(E2607&lt;&gt;"", YEARFRAC(C2607, E2607) * 12, "")</f>
        <v/>
      </c>
      <c r="J2607" s="2">
        <f>IF(I2607="", "", IF(AND(A2607="MF (Equity)", I2607&gt;12), "Long Term", "Short Term"))</f>
        <v/>
      </c>
      <c r="K2607" s="5">
        <f>IF(J2607="", "", IF(J2607="Long Term", 12.5%, 20%))</f>
        <v/>
      </c>
      <c r="L2607" s="3">
        <f>+IFERROR(IF(J2607="","",H2607*K2607),"")</f>
        <v/>
      </c>
    </row>
    <row r="2608">
      <c r="A2608" s="11" t="n"/>
      <c r="B2608" s="7" t="n"/>
      <c r="C2608" s="8" t="n"/>
      <c r="D2608" s="9" t="n"/>
      <c r="E2608" s="8" t="n"/>
      <c r="F2608" s="9" t="n"/>
      <c r="G2608" s="9" t="n"/>
      <c r="H2608" s="3">
        <f>IF(AND(D2608&lt;&gt;"",F2608&lt;&gt;""),F2608-D2608-G2608,"")</f>
        <v/>
      </c>
      <c r="I2608" s="14">
        <f>IF(E2608&lt;&gt;"", YEARFRAC(C2608, E2608) * 12, "")</f>
        <v/>
      </c>
      <c r="J2608" s="2">
        <f>IF(I2608="", "", IF(AND(A2608="MF (Equity)", I2608&gt;12), "Long Term", "Short Term"))</f>
        <v/>
      </c>
      <c r="K2608" s="5">
        <f>IF(J2608="", "", IF(J2608="Long Term", 12.5%, 20%))</f>
        <v/>
      </c>
      <c r="L2608" s="3">
        <f>+IFERROR(IF(J2608="","",H2608*K2608),"")</f>
        <v/>
      </c>
    </row>
    <row r="2609">
      <c r="A2609" s="11" t="n"/>
      <c r="B2609" s="7" t="n"/>
      <c r="C2609" s="8" t="n"/>
      <c r="D2609" s="9" t="n"/>
      <c r="E2609" s="8" t="n"/>
      <c r="F2609" s="9" t="n"/>
      <c r="G2609" s="9" t="n"/>
      <c r="H2609" s="3">
        <f>IF(AND(D2609&lt;&gt;"",F2609&lt;&gt;""),F2609-D2609-G2609,"")</f>
        <v/>
      </c>
      <c r="I2609" s="14">
        <f>IF(E2609&lt;&gt;"", YEARFRAC(C2609, E2609) * 12, "")</f>
        <v/>
      </c>
      <c r="J2609" s="2">
        <f>IF(I2609="", "", IF(AND(A2609="MF (Equity)", I2609&gt;12), "Long Term", "Short Term"))</f>
        <v/>
      </c>
      <c r="K2609" s="5">
        <f>IF(J2609="", "", IF(J2609="Long Term", 12.5%, 20%))</f>
        <v/>
      </c>
      <c r="L2609" s="3">
        <f>+IFERROR(IF(J2609="","",H2609*K2609),"")</f>
        <v/>
      </c>
    </row>
    <row r="2610">
      <c r="A2610" s="11" t="n"/>
      <c r="B2610" s="7" t="n"/>
      <c r="C2610" s="8" t="n"/>
      <c r="D2610" s="9" t="n"/>
      <c r="E2610" s="8" t="n"/>
      <c r="F2610" s="9" t="n"/>
      <c r="G2610" s="9" t="n"/>
      <c r="H2610" s="3">
        <f>IF(AND(D2610&lt;&gt;"",F2610&lt;&gt;""),F2610-D2610-G2610,"")</f>
        <v/>
      </c>
      <c r="I2610" s="14">
        <f>IF(E2610&lt;&gt;"", YEARFRAC(C2610, E2610) * 12, "")</f>
        <v/>
      </c>
      <c r="J2610" s="2">
        <f>IF(I2610="", "", IF(AND(A2610="MF (Equity)", I2610&gt;12), "Long Term", "Short Term"))</f>
        <v/>
      </c>
      <c r="K2610" s="5">
        <f>IF(J2610="", "", IF(J2610="Long Term", 12.5%, 20%))</f>
        <v/>
      </c>
      <c r="L2610" s="3">
        <f>+IFERROR(IF(J2610="","",H2610*K2610),"")</f>
        <v/>
      </c>
    </row>
    <row r="2611">
      <c r="A2611" s="11" t="n"/>
      <c r="B2611" s="7" t="n"/>
      <c r="C2611" s="8" t="n"/>
      <c r="D2611" s="9" t="n"/>
      <c r="E2611" s="8" t="n"/>
      <c r="F2611" s="9" t="n"/>
      <c r="G2611" s="9" t="n"/>
      <c r="H2611" s="3">
        <f>IF(AND(D2611&lt;&gt;"",F2611&lt;&gt;""),F2611-D2611-G2611,"")</f>
        <v/>
      </c>
      <c r="I2611" s="14">
        <f>IF(E2611&lt;&gt;"", YEARFRAC(C2611, E2611) * 12, "")</f>
        <v/>
      </c>
      <c r="J2611" s="2">
        <f>IF(I2611="", "", IF(AND(A2611="MF (Equity)", I2611&gt;12), "Long Term", "Short Term"))</f>
        <v/>
      </c>
      <c r="K2611" s="5">
        <f>IF(J2611="", "", IF(J2611="Long Term", 12.5%, 20%))</f>
        <v/>
      </c>
      <c r="L2611" s="3">
        <f>+IFERROR(IF(J2611="","",H2611*K2611),"")</f>
        <v/>
      </c>
    </row>
    <row r="2612">
      <c r="A2612" s="11" t="n"/>
      <c r="B2612" s="7" t="n"/>
      <c r="C2612" s="8" t="n"/>
      <c r="D2612" s="9" t="n"/>
      <c r="E2612" s="8" t="n"/>
      <c r="F2612" s="9" t="n"/>
      <c r="G2612" s="9" t="n"/>
      <c r="H2612" s="3">
        <f>IF(AND(D2612&lt;&gt;"",F2612&lt;&gt;""),F2612-D2612-G2612,"")</f>
        <v/>
      </c>
      <c r="I2612" s="14">
        <f>IF(E2612&lt;&gt;"", YEARFRAC(C2612, E2612) * 12, "")</f>
        <v/>
      </c>
      <c r="J2612" s="2">
        <f>IF(I2612="", "", IF(AND(A2612="MF (Equity)", I2612&gt;12), "Long Term", "Short Term"))</f>
        <v/>
      </c>
      <c r="K2612" s="5">
        <f>IF(J2612="", "", IF(J2612="Long Term", 12.5%, 20%))</f>
        <v/>
      </c>
      <c r="L2612" s="3">
        <f>+IFERROR(IF(J2612="","",H2612*K2612),"")</f>
        <v/>
      </c>
    </row>
    <row r="2613">
      <c r="A2613" s="11" t="n"/>
      <c r="B2613" s="7" t="n"/>
      <c r="C2613" s="8" t="n"/>
      <c r="D2613" s="9" t="n"/>
      <c r="E2613" s="8" t="n"/>
      <c r="F2613" s="9" t="n"/>
      <c r="G2613" s="9" t="n"/>
      <c r="H2613" s="3">
        <f>IF(AND(D2613&lt;&gt;"",F2613&lt;&gt;""),F2613-D2613-G2613,"")</f>
        <v/>
      </c>
      <c r="I2613" s="14">
        <f>IF(E2613&lt;&gt;"", YEARFRAC(C2613, E2613) * 12, "")</f>
        <v/>
      </c>
      <c r="J2613" s="2">
        <f>IF(I2613="", "", IF(AND(A2613="MF (Equity)", I2613&gt;12), "Long Term", "Short Term"))</f>
        <v/>
      </c>
      <c r="K2613" s="5">
        <f>IF(J2613="", "", IF(J2613="Long Term", 12.5%, 20%))</f>
        <v/>
      </c>
      <c r="L2613" s="3">
        <f>+IFERROR(IF(J2613="","",H2613*K2613),"")</f>
        <v/>
      </c>
    </row>
    <row r="2614">
      <c r="A2614" s="11" t="n"/>
      <c r="B2614" s="7" t="n"/>
      <c r="C2614" s="8" t="n"/>
      <c r="D2614" s="9" t="n"/>
      <c r="E2614" s="8" t="n"/>
      <c r="F2614" s="9" t="n"/>
      <c r="G2614" s="9" t="n"/>
      <c r="H2614" s="3">
        <f>IF(AND(D2614&lt;&gt;"",F2614&lt;&gt;""),F2614-D2614-G2614,"")</f>
        <v/>
      </c>
      <c r="I2614" s="14">
        <f>IF(E2614&lt;&gt;"", YEARFRAC(C2614, E2614) * 12, "")</f>
        <v/>
      </c>
      <c r="J2614" s="2">
        <f>IF(I2614="", "", IF(AND(A2614="MF (Equity)", I2614&gt;12), "Long Term", "Short Term"))</f>
        <v/>
      </c>
      <c r="K2614" s="5">
        <f>IF(J2614="", "", IF(J2614="Long Term", 12.5%, 20%))</f>
        <v/>
      </c>
      <c r="L2614" s="3">
        <f>+IFERROR(IF(J2614="","",H2614*K2614),"")</f>
        <v/>
      </c>
    </row>
    <row r="2615">
      <c r="A2615" s="11" t="n"/>
      <c r="B2615" s="7" t="n"/>
      <c r="C2615" s="8" t="n"/>
      <c r="D2615" s="9" t="n"/>
      <c r="E2615" s="8" t="n"/>
      <c r="F2615" s="9" t="n"/>
      <c r="G2615" s="9" t="n"/>
      <c r="H2615" s="3">
        <f>IF(AND(D2615&lt;&gt;"",F2615&lt;&gt;""),F2615-D2615-G2615,"")</f>
        <v/>
      </c>
      <c r="I2615" s="14">
        <f>IF(E2615&lt;&gt;"", YEARFRAC(C2615, E2615) * 12, "")</f>
        <v/>
      </c>
      <c r="J2615" s="2">
        <f>IF(I2615="", "", IF(AND(A2615="MF (Equity)", I2615&gt;12), "Long Term", "Short Term"))</f>
        <v/>
      </c>
      <c r="K2615" s="5">
        <f>IF(J2615="", "", IF(J2615="Long Term", 12.5%, 20%))</f>
        <v/>
      </c>
      <c r="L2615" s="3">
        <f>+IFERROR(IF(J2615="","",H2615*K2615),"")</f>
        <v/>
      </c>
    </row>
    <row r="2616">
      <c r="A2616" s="11" t="n"/>
      <c r="B2616" s="7" t="n"/>
      <c r="C2616" s="8" t="n"/>
      <c r="D2616" s="9" t="n"/>
      <c r="E2616" s="8" t="n"/>
      <c r="F2616" s="9" t="n"/>
      <c r="G2616" s="9" t="n"/>
      <c r="H2616" s="3">
        <f>IF(AND(D2616&lt;&gt;"",F2616&lt;&gt;""),F2616-D2616-G2616,"")</f>
        <v/>
      </c>
      <c r="I2616" s="14">
        <f>IF(E2616&lt;&gt;"", YEARFRAC(C2616, E2616) * 12, "")</f>
        <v/>
      </c>
      <c r="J2616" s="2">
        <f>IF(I2616="", "", IF(AND(A2616="MF (Equity)", I2616&gt;12), "Long Term", "Short Term"))</f>
        <v/>
      </c>
      <c r="K2616" s="5">
        <f>IF(J2616="", "", IF(J2616="Long Term", 12.5%, 20%))</f>
        <v/>
      </c>
      <c r="L2616" s="3">
        <f>+IFERROR(IF(J2616="","",H2616*K2616),"")</f>
        <v/>
      </c>
    </row>
    <row r="2617">
      <c r="A2617" s="11" t="n"/>
      <c r="B2617" s="7" t="n"/>
      <c r="C2617" s="8" t="n"/>
      <c r="D2617" s="9" t="n"/>
      <c r="E2617" s="8" t="n"/>
      <c r="F2617" s="9" t="n"/>
      <c r="G2617" s="9" t="n"/>
      <c r="H2617" s="3">
        <f>IF(AND(D2617&lt;&gt;"",F2617&lt;&gt;""),F2617-D2617-G2617,"")</f>
        <v/>
      </c>
      <c r="I2617" s="14">
        <f>IF(E2617&lt;&gt;"", YEARFRAC(C2617, E2617) * 12, "")</f>
        <v/>
      </c>
      <c r="J2617" s="2">
        <f>IF(I2617="", "", IF(AND(A2617="MF (Equity)", I2617&gt;12), "Long Term", "Short Term"))</f>
        <v/>
      </c>
      <c r="K2617" s="5">
        <f>IF(J2617="", "", IF(J2617="Long Term", 12.5%, 20%))</f>
        <v/>
      </c>
      <c r="L2617" s="3">
        <f>+IFERROR(IF(J2617="","",H2617*K2617),"")</f>
        <v/>
      </c>
    </row>
    <row r="2618">
      <c r="A2618" s="11" t="n"/>
      <c r="B2618" s="7" t="n"/>
      <c r="C2618" s="8" t="n"/>
      <c r="D2618" s="9" t="n"/>
      <c r="E2618" s="8" t="n"/>
      <c r="F2618" s="9" t="n"/>
      <c r="G2618" s="9" t="n"/>
      <c r="H2618" s="3">
        <f>IF(AND(D2618&lt;&gt;"",F2618&lt;&gt;""),F2618-D2618-G2618,"")</f>
        <v/>
      </c>
      <c r="I2618" s="14">
        <f>IF(E2618&lt;&gt;"", YEARFRAC(C2618, E2618) * 12, "")</f>
        <v/>
      </c>
      <c r="J2618" s="2">
        <f>IF(I2618="", "", IF(AND(A2618="MF (Equity)", I2618&gt;12), "Long Term", "Short Term"))</f>
        <v/>
      </c>
      <c r="K2618" s="5">
        <f>IF(J2618="", "", IF(J2618="Long Term", 12.5%, 20%))</f>
        <v/>
      </c>
      <c r="L2618" s="3">
        <f>+IFERROR(IF(J2618="","",H2618*K2618),"")</f>
        <v/>
      </c>
    </row>
    <row r="2619">
      <c r="A2619" s="11" t="n"/>
      <c r="B2619" s="7" t="n"/>
      <c r="C2619" s="8" t="n"/>
      <c r="D2619" s="9" t="n"/>
      <c r="E2619" s="8" t="n"/>
      <c r="F2619" s="9" t="n"/>
      <c r="G2619" s="9" t="n"/>
      <c r="H2619" s="3">
        <f>IF(AND(D2619&lt;&gt;"",F2619&lt;&gt;""),F2619-D2619-G2619,"")</f>
        <v/>
      </c>
      <c r="I2619" s="14">
        <f>IF(E2619&lt;&gt;"", YEARFRAC(C2619, E2619) * 12, "")</f>
        <v/>
      </c>
      <c r="J2619" s="2">
        <f>IF(I2619="", "", IF(AND(A2619="MF (Equity)", I2619&gt;12), "Long Term", "Short Term"))</f>
        <v/>
      </c>
      <c r="K2619" s="5">
        <f>IF(J2619="", "", IF(J2619="Long Term", 12.5%, 20%))</f>
        <v/>
      </c>
      <c r="L2619" s="3">
        <f>+IFERROR(IF(J2619="","",H2619*K2619),"")</f>
        <v/>
      </c>
    </row>
    <row r="2620">
      <c r="A2620" s="11" t="n"/>
      <c r="B2620" s="7" t="n"/>
      <c r="C2620" s="8" t="n"/>
      <c r="D2620" s="9" t="n"/>
      <c r="E2620" s="8" t="n"/>
      <c r="F2620" s="9" t="n"/>
      <c r="G2620" s="9" t="n"/>
      <c r="H2620" s="3">
        <f>IF(AND(D2620&lt;&gt;"",F2620&lt;&gt;""),F2620-D2620-G2620,"")</f>
        <v/>
      </c>
      <c r="I2620" s="14">
        <f>IF(E2620&lt;&gt;"", YEARFRAC(C2620, E2620) * 12, "")</f>
        <v/>
      </c>
      <c r="J2620" s="2">
        <f>IF(I2620="", "", IF(AND(A2620="MF (Equity)", I2620&gt;12), "Long Term", "Short Term"))</f>
        <v/>
      </c>
      <c r="K2620" s="5">
        <f>IF(J2620="", "", IF(J2620="Long Term", 12.5%, 20%))</f>
        <v/>
      </c>
      <c r="L2620" s="3">
        <f>+IFERROR(IF(J2620="","",H2620*K2620),"")</f>
        <v/>
      </c>
    </row>
    <row r="2621">
      <c r="A2621" s="11" t="n"/>
      <c r="B2621" s="7" t="n"/>
      <c r="C2621" s="8" t="n"/>
      <c r="D2621" s="9" t="n"/>
      <c r="E2621" s="8" t="n"/>
      <c r="F2621" s="9" t="n"/>
      <c r="G2621" s="9" t="n"/>
      <c r="H2621" s="3">
        <f>IF(AND(D2621&lt;&gt;"",F2621&lt;&gt;""),F2621-D2621-G2621,"")</f>
        <v/>
      </c>
      <c r="I2621" s="14">
        <f>IF(E2621&lt;&gt;"", YEARFRAC(C2621, E2621) * 12, "")</f>
        <v/>
      </c>
      <c r="J2621" s="2">
        <f>IF(I2621="", "", IF(AND(A2621="MF (Equity)", I2621&gt;12), "Long Term", "Short Term"))</f>
        <v/>
      </c>
      <c r="K2621" s="5">
        <f>IF(J2621="", "", IF(J2621="Long Term", 12.5%, 20%))</f>
        <v/>
      </c>
      <c r="L2621" s="3">
        <f>+IFERROR(IF(J2621="","",H2621*K2621),"")</f>
        <v/>
      </c>
    </row>
    <row r="2622">
      <c r="A2622" s="11" t="n"/>
      <c r="B2622" s="7" t="n"/>
      <c r="C2622" s="8" t="n"/>
      <c r="D2622" s="9" t="n"/>
      <c r="E2622" s="8" t="n"/>
      <c r="F2622" s="9" t="n"/>
      <c r="G2622" s="9" t="n"/>
      <c r="H2622" s="3">
        <f>IF(AND(D2622&lt;&gt;"",F2622&lt;&gt;""),F2622-D2622-G2622,"")</f>
        <v/>
      </c>
      <c r="I2622" s="14">
        <f>IF(E2622&lt;&gt;"", YEARFRAC(C2622, E2622) * 12, "")</f>
        <v/>
      </c>
      <c r="J2622" s="2">
        <f>IF(I2622="", "", IF(AND(A2622="MF (Equity)", I2622&gt;12), "Long Term", "Short Term"))</f>
        <v/>
      </c>
      <c r="K2622" s="5">
        <f>IF(J2622="", "", IF(J2622="Long Term", 12.5%, 20%))</f>
        <v/>
      </c>
      <c r="L2622" s="3">
        <f>+IFERROR(IF(J2622="","",H2622*K2622),"")</f>
        <v/>
      </c>
    </row>
    <row r="2623">
      <c r="A2623" s="11" t="n"/>
      <c r="B2623" s="7" t="n"/>
      <c r="C2623" s="8" t="n"/>
      <c r="D2623" s="9" t="n"/>
      <c r="E2623" s="8" t="n"/>
      <c r="F2623" s="9" t="n"/>
      <c r="G2623" s="9" t="n"/>
      <c r="H2623" s="3">
        <f>IF(AND(D2623&lt;&gt;"",F2623&lt;&gt;""),F2623-D2623-G2623,"")</f>
        <v/>
      </c>
      <c r="I2623" s="14">
        <f>IF(E2623&lt;&gt;"", YEARFRAC(C2623, E2623) * 12, "")</f>
        <v/>
      </c>
      <c r="J2623" s="2">
        <f>IF(I2623="", "", IF(AND(A2623="MF (Equity)", I2623&gt;12), "Long Term", "Short Term"))</f>
        <v/>
      </c>
      <c r="K2623" s="5">
        <f>IF(J2623="", "", IF(J2623="Long Term", 12.5%, 20%))</f>
        <v/>
      </c>
      <c r="L2623" s="3">
        <f>+IFERROR(IF(J2623="","",H2623*K2623),"")</f>
        <v/>
      </c>
    </row>
    <row r="2624">
      <c r="A2624" s="11" t="n"/>
      <c r="B2624" s="7" t="n"/>
      <c r="C2624" s="8" t="n"/>
      <c r="D2624" s="9" t="n"/>
      <c r="E2624" s="8" t="n"/>
      <c r="F2624" s="9" t="n"/>
      <c r="G2624" s="9" t="n"/>
      <c r="H2624" s="3">
        <f>IF(AND(D2624&lt;&gt;"",F2624&lt;&gt;""),F2624-D2624-G2624,"")</f>
        <v/>
      </c>
      <c r="I2624" s="14">
        <f>IF(E2624&lt;&gt;"", YEARFRAC(C2624, E2624) * 12, "")</f>
        <v/>
      </c>
      <c r="J2624" s="2">
        <f>IF(I2624="", "", IF(AND(A2624="MF (Equity)", I2624&gt;12), "Long Term", "Short Term"))</f>
        <v/>
      </c>
      <c r="K2624" s="5">
        <f>IF(J2624="", "", IF(J2624="Long Term", 12.5%, 20%))</f>
        <v/>
      </c>
      <c r="L2624" s="3">
        <f>+IFERROR(IF(J2624="","",H2624*K2624),"")</f>
        <v/>
      </c>
    </row>
    <row r="2625">
      <c r="A2625" s="11" t="n"/>
      <c r="B2625" s="7" t="n"/>
      <c r="C2625" s="8" t="n"/>
      <c r="D2625" s="9" t="n"/>
      <c r="E2625" s="8" t="n"/>
      <c r="F2625" s="9" t="n"/>
      <c r="G2625" s="9" t="n"/>
      <c r="H2625" s="3">
        <f>IF(AND(D2625&lt;&gt;"",F2625&lt;&gt;""),F2625-D2625-G2625,"")</f>
        <v/>
      </c>
      <c r="I2625" s="14">
        <f>IF(E2625&lt;&gt;"", YEARFRAC(C2625, E2625) * 12, "")</f>
        <v/>
      </c>
      <c r="J2625" s="2">
        <f>IF(I2625="", "", IF(AND(A2625="MF (Equity)", I2625&gt;12), "Long Term", "Short Term"))</f>
        <v/>
      </c>
      <c r="K2625" s="5">
        <f>IF(J2625="", "", IF(J2625="Long Term", 12.5%, 20%))</f>
        <v/>
      </c>
      <c r="L2625" s="3">
        <f>+IFERROR(IF(J2625="","",H2625*K2625),"")</f>
        <v/>
      </c>
    </row>
    <row r="2626">
      <c r="A2626" s="11" t="n"/>
      <c r="B2626" s="7" t="n"/>
      <c r="C2626" s="8" t="n"/>
      <c r="D2626" s="9" t="n"/>
      <c r="E2626" s="8" t="n"/>
      <c r="F2626" s="9" t="n"/>
      <c r="G2626" s="9" t="n"/>
      <c r="H2626" s="3">
        <f>IF(AND(D2626&lt;&gt;"",F2626&lt;&gt;""),F2626-D2626-G2626,"")</f>
        <v/>
      </c>
      <c r="I2626" s="14">
        <f>IF(E2626&lt;&gt;"", YEARFRAC(C2626, E2626) * 12, "")</f>
        <v/>
      </c>
      <c r="J2626" s="2">
        <f>IF(I2626="", "", IF(AND(A2626="MF (Equity)", I2626&gt;12), "Long Term", "Short Term"))</f>
        <v/>
      </c>
      <c r="K2626" s="5">
        <f>IF(J2626="", "", IF(J2626="Long Term", 12.5%, 20%))</f>
        <v/>
      </c>
      <c r="L2626" s="3">
        <f>+IFERROR(IF(J2626="","",H2626*K2626),"")</f>
        <v/>
      </c>
    </row>
    <row r="2627">
      <c r="A2627" s="11" t="n"/>
      <c r="B2627" s="7" t="n"/>
      <c r="C2627" s="8" t="n"/>
      <c r="D2627" s="9" t="n"/>
      <c r="E2627" s="8" t="n"/>
      <c r="F2627" s="9" t="n"/>
      <c r="G2627" s="9" t="n"/>
      <c r="H2627" s="3">
        <f>IF(AND(D2627&lt;&gt;"",F2627&lt;&gt;""),F2627-D2627-G2627,"")</f>
        <v/>
      </c>
      <c r="I2627" s="14">
        <f>IF(E2627&lt;&gt;"", YEARFRAC(C2627, E2627) * 12, "")</f>
        <v/>
      </c>
      <c r="J2627" s="2">
        <f>IF(I2627="", "", IF(AND(A2627="MF (Equity)", I2627&gt;12), "Long Term", "Short Term"))</f>
        <v/>
      </c>
      <c r="K2627" s="5">
        <f>IF(J2627="", "", IF(J2627="Long Term", 12.5%, 20%))</f>
        <v/>
      </c>
      <c r="L2627" s="3">
        <f>+IFERROR(IF(J2627="","",H2627*K2627),"")</f>
        <v/>
      </c>
    </row>
    <row r="2628">
      <c r="A2628" s="11" t="n"/>
      <c r="B2628" s="7" t="n"/>
      <c r="C2628" s="8" t="n"/>
      <c r="D2628" s="9" t="n"/>
      <c r="E2628" s="8" t="n"/>
      <c r="F2628" s="9" t="n"/>
      <c r="G2628" s="9" t="n"/>
      <c r="H2628" s="3">
        <f>IF(AND(D2628&lt;&gt;"",F2628&lt;&gt;""),F2628-D2628-G2628,"")</f>
        <v/>
      </c>
      <c r="I2628" s="14">
        <f>IF(E2628&lt;&gt;"", YEARFRAC(C2628, E2628) * 12, "")</f>
        <v/>
      </c>
      <c r="J2628" s="2">
        <f>IF(I2628="", "", IF(AND(A2628="MF (Equity)", I2628&gt;12), "Long Term", "Short Term"))</f>
        <v/>
      </c>
      <c r="K2628" s="5">
        <f>IF(J2628="", "", IF(J2628="Long Term", 12.5%, 20%))</f>
        <v/>
      </c>
      <c r="L2628" s="3">
        <f>+IFERROR(IF(J2628="","",H2628*K2628),"")</f>
        <v/>
      </c>
    </row>
    <row r="2629">
      <c r="A2629" s="11" t="n"/>
      <c r="B2629" s="7" t="n"/>
      <c r="C2629" s="8" t="n"/>
      <c r="D2629" s="9" t="n"/>
      <c r="E2629" s="8" t="n"/>
      <c r="F2629" s="9" t="n"/>
      <c r="G2629" s="9" t="n"/>
      <c r="H2629" s="3">
        <f>IF(AND(D2629&lt;&gt;"",F2629&lt;&gt;""),F2629-D2629-G2629,"")</f>
        <v/>
      </c>
      <c r="I2629" s="14">
        <f>IF(E2629&lt;&gt;"", YEARFRAC(C2629, E2629) * 12, "")</f>
        <v/>
      </c>
      <c r="J2629" s="2">
        <f>IF(I2629="", "", IF(AND(A2629="MF (Equity)", I2629&gt;12), "Long Term", "Short Term"))</f>
        <v/>
      </c>
      <c r="K2629" s="5">
        <f>IF(J2629="", "", IF(J2629="Long Term", 12.5%, 20%))</f>
        <v/>
      </c>
      <c r="L2629" s="3">
        <f>+IFERROR(IF(J2629="","",H2629*K2629),"")</f>
        <v/>
      </c>
    </row>
    <row r="2630">
      <c r="A2630" s="11" t="n"/>
      <c r="B2630" s="7" t="n"/>
      <c r="C2630" s="8" t="n"/>
      <c r="D2630" s="9" t="n"/>
      <c r="E2630" s="8" t="n"/>
      <c r="F2630" s="9" t="n"/>
      <c r="G2630" s="9" t="n"/>
      <c r="H2630" s="3">
        <f>IF(AND(D2630&lt;&gt;"",F2630&lt;&gt;""),F2630-D2630-G2630,"")</f>
        <v/>
      </c>
      <c r="I2630" s="14">
        <f>IF(E2630&lt;&gt;"", YEARFRAC(C2630, E2630) * 12, "")</f>
        <v/>
      </c>
      <c r="J2630" s="2">
        <f>IF(I2630="", "", IF(AND(A2630="MF (Equity)", I2630&gt;12), "Long Term", "Short Term"))</f>
        <v/>
      </c>
      <c r="K2630" s="5">
        <f>IF(J2630="", "", IF(J2630="Long Term", 12.5%, 20%))</f>
        <v/>
      </c>
      <c r="L2630" s="3">
        <f>+IFERROR(IF(J2630="","",H2630*K2630),"")</f>
        <v/>
      </c>
    </row>
    <row r="2631">
      <c r="A2631" s="11" t="n"/>
      <c r="B2631" s="7" t="n"/>
      <c r="C2631" s="8" t="n"/>
      <c r="D2631" s="9" t="n"/>
      <c r="E2631" s="8" t="n"/>
      <c r="F2631" s="9" t="n"/>
      <c r="G2631" s="9" t="n"/>
      <c r="H2631" s="3">
        <f>IF(AND(D2631&lt;&gt;"",F2631&lt;&gt;""),F2631-D2631-G2631,"")</f>
        <v/>
      </c>
      <c r="I2631" s="14">
        <f>IF(E2631&lt;&gt;"", YEARFRAC(C2631, E2631) * 12, "")</f>
        <v/>
      </c>
      <c r="J2631" s="2">
        <f>IF(I2631="", "", IF(AND(A2631="MF (Equity)", I2631&gt;12), "Long Term", "Short Term"))</f>
        <v/>
      </c>
      <c r="K2631" s="5">
        <f>IF(J2631="", "", IF(J2631="Long Term", 12.5%, 20%))</f>
        <v/>
      </c>
      <c r="L2631" s="3">
        <f>+IFERROR(IF(J2631="","",H2631*K2631),"")</f>
        <v/>
      </c>
    </row>
    <row r="2632">
      <c r="A2632" s="11" t="n"/>
      <c r="B2632" s="7" t="n"/>
      <c r="C2632" s="8" t="n"/>
      <c r="D2632" s="9" t="n"/>
      <c r="E2632" s="8" t="n"/>
      <c r="F2632" s="9" t="n"/>
      <c r="G2632" s="9" t="n"/>
      <c r="H2632" s="3">
        <f>IF(AND(D2632&lt;&gt;"",F2632&lt;&gt;""),F2632-D2632-G2632,"")</f>
        <v/>
      </c>
      <c r="I2632" s="14">
        <f>IF(E2632&lt;&gt;"", YEARFRAC(C2632, E2632) * 12, "")</f>
        <v/>
      </c>
      <c r="J2632" s="2">
        <f>IF(I2632="", "", IF(AND(A2632="MF (Equity)", I2632&gt;12), "Long Term", "Short Term"))</f>
        <v/>
      </c>
      <c r="K2632" s="5">
        <f>IF(J2632="", "", IF(J2632="Long Term", 12.5%, 20%))</f>
        <v/>
      </c>
      <c r="L2632" s="3">
        <f>+IFERROR(IF(J2632="","",H2632*K2632),"")</f>
        <v/>
      </c>
    </row>
    <row r="2633">
      <c r="A2633" s="11" t="n"/>
      <c r="B2633" s="7" t="n"/>
      <c r="C2633" s="8" t="n"/>
      <c r="D2633" s="9" t="n"/>
      <c r="E2633" s="8" t="n"/>
      <c r="F2633" s="9" t="n"/>
      <c r="G2633" s="9" t="n"/>
      <c r="H2633" s="3">
        <f>IF(AND(D2633&lt;&gt;"",F2633&lt;&gt;""),F2633-D2633-G2633,"")</f>
        <v/>
      </c>
      <c r="I2633" s="14">
        <f>IF(E2633&lt;&gt;"", YEARFRAC(C2633, E2633) * 12, "")</f>
        <v/>
      </c>
      <c r="J2633" s="2">
        <f>IF(I2633="", "", IF(AND(A2633="MF (Equity)", I2633&gt;12), "Long Term", "Short Term"))</f>
        <v/>
      </c>
      <c r="K2633" s="5">
        <f>IF(J2633="", "", IF(J2633="Long Term", 12.5%, 20%))</f>
        <v/>
      </c>
      <c r="L2633" s="3">
        <f>+IFERROR(IF(J2633="","",H2633*K2633),"")</f>
        <v/>
      </c>
    </row>
    <row r="2634">
      <c r="A2634" s="11" t="n"/>
      <c r="B2634" s="7" t="n"/>
      <c r="C2634" s="8" t="n"/>
      <c r="D2634" s="9" t="n"/>
      <c r="E2634" s="8" t="n"/>
      <c r="F2634" s="9" t="n"/>
      <c r="G2634" s="9" t="n"/>
      <c r="H2634" s="3">
        <f>IF(AND(D2634&lt;&gt;"",F2634&lt;&gt;""),F2634-D2634-G2634,"")</f>
        <v/>
      </c>
      <c r="I2634" s="14">
        <f>IF(E2634&lt;&gt;"", YEARFRAC(C2634, E2634) * 12, "")</f>
        <v/>
      </c>
      <c r="J2634" s="2">
        <f>IF(I2634="", "", IF(AND(A2634="MF (Equity)", I2634&gt;12), "Long Term", "Short Term"))</f>
        <v/>
      </c>
      <c r="K2634" s="5">
        <f>IF(J2634="", "", IF(J2634="Long Term", 12.5%, 20%))</f>
        <v/>
      </c>
      <c r="L2634" s="3">
        <f>+IFERROR(IF(J2634="","",H2634*K2634),"")</f>
        <v/>
      </c>
    </row>
    <row r="2635">
      <c r="A2635" s="11" t="n"/>
      <c r="B2635" s="7" t="n"/>
      <c r="C2635" s="8" t="n"/>
      <c r="D2635" s="9" t="n"/>
      <c r="E2635" s="8" t="n"/>
      <c r="F2635" s="9" t="n"/>
      <c r="G2635" s="9" t="n"/>
      <c r="H2635" s="3">
        <f>IF(AND(D2635&lt;&gt;"",F2635&lt;&gt;""),F2635-D2635-G2635,"")</f>
        <v/>
      </c>
      <c r="I2635" s="14">
        <f>IF(E2635&lt;&gt;"", YEARFRAC(C2635, E2635) * 12, "")</f>
        <v/>
      </c>
      <c r="J2635" s="2">
        <f>IF(I2635="", "", IF(AND(A2635="MF (Equity)", I2635&gt;12), "Long Term", "Short Term"))</f>
        <v/>
      </c>
      <c r="K2635" s="5">
        <f>IF(J2635="", "", IF(J2635="Long Term", 12.5%, 20%))</f>
        <v/>
      </c>
      <c r="L2635" s="3">
        <f>+IFERROR(IF(J2635="","",H2635*K2635),"")</f>
        <v/>
      </c>
    </row>
    <row r="2636">
      <c r="A2636" s="11" t="n"/>
      <c r="B2636" s="7" t="n"/>
      <c r="C2636" s="8" t="n"/>
      <c r="D2636" s="9" t="n"/>
      <c r="E2636" s="8" t="n"/>
      <c r="F2636" s="9" t="n"/>
      <c r="G2636" s="9" t="n"/>
      <c r="H2636" s="3">
        <f>IF(AND(D2636&lt;&gt;"",F2636&lt;&gt;""),F2636-D2636-G2636,"")</f>
        <v/>
      </c>
      <c r="I2636" s="14">
        <f>IF(E2636&lt;&gt;"", YEARFRAC(C2636, E2636) * 12, "")</f>
        <v/>
      </c>
      <c r="J2636" s="2">
        <f>IF(I2636="", "", IF(AND(A2636="MF (Equity)", I2636&gt;12), "Long Term", "Short Term"))</f>
        <v/>
      </c>
      <c r="K2636" s="5">
        <f>IF(J2636="", "", IF(J2636="Long Term", 12.5%, 20%))</f>
        <v/>
      </c>
      <c r="L2636" s="3">
        <f>+IFERROR(IF(J2636="","",H2636*K2636),"")</f>
        <v/>
      </c>
    </row>
    <row r="2637">
      <c r="A2637" s="11" t="n"/>
      <c r="B2637" s="7" t="n"/>
      <c r="C2637" s="8" t="n"/>
      <c r="D2637" s="9" t="n"/>
      <c r="E2637" s="8" t="n"/>
      <c r="F2637" s="9" t="n"/>
      <c r="G2637" s="9" t="n"/>
      <c r="H2637" s="3">
        <f>IF(AND(D2637&lt;&gt;"",F2637&lt;&gt;""),F2637-D2637-G2637,"")</f>
        <v/>
      </c>
      <c r="I2637" s="14">
        <f>IF(E2637&lt;&gt;"", YEARFRAC(C2637, E2637) * 12, "")</f>
        <v/>
      </c>
      <c r="J2637" s="2">
        <f>IF(I2637="", "", IF(AND(A2637="MF (Equity)", I2637&gt;12), "Long Term", "Short Term"))</f>
        <v/>
      </c>
      <c r="K2637" s="5">
        <f>IF(J2637="", "", IF(J2637="Long Term", 12.5%, 20%))</f>
        <v/>
      </c>
      <c r="L2637" s="3">
        <f>+IFERROR(IF(J2637="","",H2637*K2637),"")</f>
        <v/>
      </c>
    </row>
    <row r="2638">
      <c r="A2638" s="11" t="n"/>
      <c r="B2638" s="7" t="n"/>
      <c r="C2638" s="8" t="n"/>
      <c r="D2638" s="9" t="n"/>
      <c r="E2638" s="8" t="n"/>
      <c r="F2638" s="9" t="n"/>
      <c r="G2638" s="9" t="n"/>
      <c r="H2638" s="3">
        <f>IF(AND(D2638&lt;&gt;"",F2638&lt;&gt;""),F2638-D2638-G2638,"")</f>
        <v/>
      </c>
      <c r="I2638" s="14">
        <f>IF(E2638&lt;&gt;"", YEARFRAC(C2638, E2638) * 12, "")</f>
        <v/>
      </c>
      <c r="J2638" s="2">
        <f>IF(I2638="", "", IF(AND(A2638="MF (Equity)", I2638&gt;12), "Long Term", "Short Term"))</f>
        <v/>
      </c>
      <c r="K2638" s="5">
        <f>IF(J2638="", "", IF(J2638="Long Term", 12.5%, 20%))</f>
        <v/>
      </c>
      <c r="L2638" s="3">
        <f>+IFERROR(IF(J2638="","",H2638*K2638),"")</f>
        <v/>
      </c>
    </row>
    <row r="2639">
      <c r="A2639" s="11" t="n"/>
      <c r="B2639" s="7" t="n"/>
      <c r="C2639" s="8" t="n"/>
      <c r="D2639" s="9" t="n"/>
      <c r="E2639" s="8" t="n"/>
      <c r="F2639" s="9" t="n"/>
      <c r="G2639" s="9" t="n"/>
      <c r="H2639" s="3">
        <f>IF(AND(D2639&lt;&gt;"",F2639&lt;&gt;""),F2639-D2639-G2639,"")</f>
        <v/>
      </c>
      <c r="I2639" s="14">
        <f>IF(E2639&lt;&gt;"", YEARFRAC(C2639, E2639) * 12, "")</f>
        <v/>
      </c>
      <c r="J2639" s="2">
        <f>IF(I2639="", "", IF(AND(A2639="MF (Equity)", I2639&gt;12), "Long Term", "Short Term"))</f>
        <v/>
      </c>
      <c r="K2639" s="5">
        <f>IF(J2639="", "", IF(J2639="Long Term", 12.5%, 20%))</f>
        <v/>
      </c>
      <c r="L2639" s="3">
        <f>+IFERROR(IF(J2639="","",H2639*K2639),"")</f>
        <v/>
      </c>
    </row>
    <row r="2640">
      <c r="A2640" s="11" t="n"/>
      <c r="B2640" s="7" t="n"/>
      <c r="C2640" s="8" t="n"/>
      <c r="D2640" s="9" t="n"/>
      <c r="E2640" s="8" t="n"/>
      <c r="F2640" s="9" t="n"/>
      <c r="G2640" s="9" t="n"/>
      <c r="H2640" s="3">
        <f>IF(AND(D2640&lt;&gt;"",F2640&lt;&gt;""),F2640-D2640-G2640,"")</f>
        <v/>
      </c>
      <c r="I2640" s="14">
        <f>IF(E2640&lt;&gt;"", YEARFRAC(C2640, E2640) * 12, "")</f>
        <v/>
      </c>
      <c r="J2640" s="2">
        <f>IF(I2640="", "", IF(AND(A2640="MF (Equity)", I2640&gt;12), "Long Term", "Short Term"))</f>
        <v/>
      </c>
      <c r="K2640" s="5">
        <f>IF(J2640="", "", IF(J2640="Long Term", 12.5%, 20%))</f>
        <v/>
      </c>
      <c r="L2640" s="3">
        <f>+IFERROR(IF(J2640="","",H2640*K2640),"")</f>
        <v/>
      </c>
    </row>
    <row r="2641">
      <c r="A2641" s="11" t="n"/>
      <c r="B2641" s="7" t="n"/>
      <c r="C2641" s="8" t="n"/>
      <c r="D2641" s="9" t="n"/>
      <c r="E2641" s="8" t="n"/>
      <c r="F2641" s="9" t="n"/>
      <c r="G2641" s="9" t="n"/>
      <c r="H2641" s="3">
        <f>IF(AND(D2641&lt;&gt;"",F2641&lt;&gt;""),F2641-D2641-G2641,"")</f>
        <v/>
      </c>
      <c r="I2641" s="14">
        <f>IF(E2641&lt;&gt;"", YEARFRAC(C2641, E2641) * 12, "")</f>
        <v/>
      </c>
      <c r="J2641" s="2">
        <f>IF(I2641="", "", IF(AND(A2641="MF (Equity)", I2641&gt;12), "Long Term", "Short Term"))</f>
        <v/>
      </c>
      <c r="K2641" s="5">
        <f>IF(J2641="", "", IF(J2641="Long Term", 12.5%, 20%))</f>
        <v/>
      </c>
      <c r="L2641" s="3">
        <f>+IFERROR(IF(J2641="","",H2641*K2641),"")</f>
        <v/>
      </c>
    </row>
    <row r="2642">
      <c r="A2642" s="11" t="n"/>
      <c r="B2642" s="7" t="n"/>
      <c r="C2642" s="8" t="n"/>
      <c r="D2642" s="9" t="n"/>
      <c r="E2642" s="8" t="n"/>
      <c r="F2642" s="9" t="n"/>
      <c r="G2642" s="9" t="n"/>
      <c r="H2642" s="3">
        <f>IF(AND(D2642&lt;&gt;"",F2642&lt;&gt;""),F2642-D2642-G2642,"")</f>
        <v/>
      </c>
      <c r="I2642" s="14">
        <f>IF(E2642&lt;&gt;"", YEARFRAC(C2642, E2642) * 12, "")</f>
        <v/>
      </c>
      <c r="J2642" s="2">
        <f>IF(I2642="", "", IF(AND(A2642="MF (Equity)", I2642&gt;12), "Long Term", "Short Term"))</f>
        <v/>
      </c>
      <c r="K2642" s="5">
        <f>IF(J2642="", "", IF(J2642="Long Term", 12.5%, 20%))</f>
        <v/>
      </c>
      <c r="L2642" s="3">
        <f>+IFERROR(IF(J2642="","",H2642*K2642),"")</f>
        <v/>
      </c>
    </row>
    <row r="2643">
      <c r="A2643" s="11" t="n"/>
      <c r="B2643" s="7" t="n"/>
      <c r="C2643" s="8" t="n"/>
      <c r="D2643" s="9" t="n"/>
      <c r="E2643" s="8" t="n"/>
      <c r="F2643" s="9" t="n"/>
      <c r="G2643" s="9" t="n"/>
      <c r="H2643" s="3">
        <f>IF(AND(D2643&lt;&gt;"",F2643&lt;&gt;""),F2643-D2643-G2643,"")</f>
        <v/>
      </c>
      <c r="I2643" s="14">
        <f>IF(E2643&lt;&gt;"", YEARFRAC(C2643, E2643) * 12, "")</f>
        <v/>
      </c>
      <c r="J2643" s="2">
        <f>IF(I2643="", "", IF(AND(A2643="MF (Equity)", I2643&gt;12), "Long Term", "Short Term"))</f>
        <v/>
      </c>
      <c r="K2643" s="5">
        <f>IF(J2643="", "", IF(J2643="Long Term", 12.5%, 20%))</f>
        <v/>
      </c>
      <c r="L2643" s="3">
        <f>+IFERROR(IF(J2643="","",H2643*K2643),"")</f>
        <v/>
      </c>
    </row>
    <row r="2644">
      <c r="A2644" s="11" t="n"/>
      <c r="B2644" s="7" t="n"/>
      <c r="C2644" s="8" t="n"/>
      <c r="D2644" s="9" t="n"/>
      <c r="E2644" s="8" t="n"/>
      <c r="F2644" s="9" t="n"/>
      <c r="G2644" s="9" t="n"/>
      <c r="H2644" s="3">
        <f>IF(AND(D2644&lt;&gt;"",F2644&lt;&gt;""),F2644-D2644-G2644,"")</f>
        <v/>
      </c>
      <c r="I2644" s="14">
        <f>IF(E2644&lt;&gt;"", YEARFRAC(C2644, E2644) * 12, "")</f>
        <v/>
      </c>
      <c r="J2644" s="2">
        <f>IF(I2644="", "", IF(AND(A2644="MF (Equity)", I2644&gt;12), "Long Term", "Short Term"))</f>
        <v/>
      </c>
      <c r="K2644" s="5">
        <f>IF(J2644="", "", IF(J2644="Long Term", 12.5%, 20%))</f>
        <v/>
      </c>
      <c r="L2644" s="3">
        <f>+IFERROR(IF(J2644="","",H2644*K2644),"")</f>
        <v/>
      </c>
    </row>
    <row r="2645">
      <c r="A2645" s="11" t="n"/>
      <c r="B2645" s="7" t="n"/>
      <c r="C2645" s="8" t="n"/>
      <c r="D2645" s="9" t="n"/>
      <c r="E2645" s="8" t="n"/>
      <c r="F2645" s="9" t="n"/>
      <c r="G2645" s="9" t="n"/>
      <c r="H2645" s="3">
        <f>IF(AND(D2645&lt;&gt;"",F2645&lt;&gt;""),F2645-D2645-G2645,"")</f>
        <v/>
      </c>
      <c r="I2645" s="14">
        <f>IF(E2645&lt;&gt;"", YEARFRAC(C2645, E2645) * 12, "")</f>
        <v/>
      </c>
      <c r="J2645" s="2">
        <f>IF(I2645="", "", IF(AND(A2645="MF (Equity)", I2645&gt;12), "Long Term", "Short Term"))</f>
        <v/>
      </c>
      <c r="K2645" s="5">
        <f>IF(J2645="", "", IF(J2645="Long Term", 12.5%, 20%))</f>
        <v/>
      </c>
      <c r="L2645" s="3">
        <f>+IFERROR(IF(J2645="","",H2645*K2645),"")</f>
        <v/>
      </c>
    </row>
    <row r="2646">
      <c r="A2646" s="11" t="n"/>
      <c r="B2646" s="7" t="n"/>
      <c r="C2646" s="8" t="n"/>
      <c r="D2646" s="9" t="n"/>
      <c r="E2646" s="8" t="n"/>
      <c r="F2646" s="9" t="n"/>
      <c r="G2646" s="9" t="n"/>
      <c r="H2646" s="3">
        <f>IF(AND(D2646&lt;&gt;"",F2646&lt;&gt;""),F2646-D2646-G2646,"")</f>
        <v/>
      </c>
      <c r="I2646" s="14">
        <f>IF(E2646&lt;&gt;"", YEARFRAC(C2646, E2646) * 12, "")</f>
        <v/>
      </c>
      <c r="J2646" s="2">
        <f>IF(I2646="", "", IF(AND(A2646="MF (Equity)", I2646&gt;12), "Long Term", "Short Term"))</f>
        <v/>
      </c>
      <c r="K2646" s="5">
        <f>IF(J2646="", "", IF(J2646="Long Term", 12.5%, 20%))</f>
        <v/>
      </c>
      <c r="L2646" s="3">
        <f>+IFERROR(IF(J2646="","",H2646*K2646),"")</f>
        <v/>
      </c>
    </row>
    <row r="2647">
      <c r="A2647" s="11" t="n"/>
      <c r="B2647" s="7" t="n"/>
      <c r="C2647" s="8" t="n"/>
      <c r="D2647" s="9" t="n"/>
      <c r="E2647" s="8" t="n"/>
      <c r="F2647" s="9" t="n"/>
      <c r="G2647" s="9" t="n"/>
      <c r="H2647" s="3">
        <f>IF(AND(D2647&lt;&gt;"",F2647&lt;&gt;""),F2647-D2647-G2647,"")</f>
        <v/>
      </c>
      <c r="I2647" s="14">
        <f>IF(E2647&lt;&gt;"", YEARFRAC(C2647, E2647) * 12, "")</f>
        <v/>
      </c>
      <c r="J2647" s="2">
        <f>IF(I2647="", "", IF(AND(A2647="MF (Equity)", I2647&gt;12), "Long Term", "Short Term"))</f>
        <v/>
      </c>
      <c r="K2647" s="5">
        <f>IF(J2647="", "", IF(J2647="Long Term", 12.5%, 20%))</f>
        <v/>
      </c>
      <c r="L2647" s="3">
        <f>+IFERROR(IF(J2647="","",H2647*K2647),"")</f>
        <v/>
      </c>
    </row>
    <row r="2648">
      <c r="A2648" s="11" t="n"/>
      <c r="B2648" s="7" t="n"/>
      <c r="C2648" s="8" t="n"/>
      <c r="D2648" s="9" t="n"/>
      <c r="E2648" s="8" t="n"/>
      <c r="F2648" s="9" t="n"/>
      <c r="G2648" s="9" t="n"/>
      <c r="H2648" s="3">
        <f>IF(AND(D2648&lt;&gt;"",F2648&lt;&gt;""),F2648-D2648-G2648,"")</f>
        <v/>
      </c>
      <c r="I2648" s="14">
        <f>IF(E2648&lt;&gt;"", YEARFRAC(C2648, E2648) * 12, "")</f>
        <v/>
      </c>
      <c r="J2648" s="2">
        <f>IF(I2648="", "", IF(AND(A2648="MF (Equity)", I2648&gt;12), "Long Term", "Short Term"))</f>
        <v/>
      </c>
      <c r="K2648" s="5">
        <f>IF(J2648="", "", IF(J2648="Long Term", 12.5%, 20%))</f>
        <v/>
      </c>
      <c r="L2648" s="3">
        <f>+IFERROR(IF(J2648="","",H2648*K2648),"")</f>
        <v/>
      </c>
    </row>
    <row r="2649">
      <c r="A2649" s="11" t="n"/>
      <c r="B2649" s="7" t="n"/>
      <c r="C2649" s="8" t="n"/>
      <c r="D2649" s="9" t="n"/>
      <c r="E2649" s="8" t="n"/>
      <c r="F2649" s="9" t="n"/>
      <c r="G2649" s="9" t="n"/>
      <c r="H2649" s="3">
        <f>IF(AND(D2649&lt;&gt;"",F2649&lt;&gt;""),F2649-D2649-G2649,"")</f>
        <v/>
      </c>
      <c r="I2649" s="14">
        <f>IF(E2649&lt;&gt;"", YEARFRAC(C2649, E2649) * 12, "")</f>
        <v/>
      </c>
      <c r="J2649" s="2">
        <f>IF(I2649="", "", IF(AND(A2649="MF (Equity)", I2649&gt;12), "Long Term", "Short Term"))</f>
        <v/>
      </c>
      <c r="K2649" s="5">
        <f>IF(J2649="", "", IF(J2649="Long Term", 12.5%, 20%))</f>
        <v/>
      </c>
      <c r="L2649" s="3">
        <f>+IFERROR(IF(J2649="","",H2649*K2649),"")</f>
        <v/>
      </c>
    </row>
    <row r="2650">
      <c r="A2650" s="11" t="n"/>
      <c r="B2650" s="7" t="n"/>
      <c r="C2650" s="8" t="n"/>
      <c r="D2650" s="9" t="n"/>
      <c r="E2650" s="8" t="n"/>
      <c r="F2650" s="9" t="n"/>
      <c r="G2650" s="9" t="n"/>
      <c r="H2650" s="3">
        <f>IF(AND(D2650&lt;&gt;"",F2650&lt;&gt;""),F2650-D2650-G2650,"")</f>
        <v/>
      </c>
      <c r="I2650" s="14">
        <f>IF(E2650&lt;&gt;"", YEARFRAC(C2650, E2650) * 12, "")</f>
        <v/>
      </c>
      <c r="J2650" s="2">
        <f>IF(I2650="", "", IF(AND(A2650="MF (Equity)", I2650&gt;12), "Long Term", "Short Term"))</f>
        <v/>
      </c>
      <c r="K2650" s="5">
        <f>IF(J2650="", "", IF(J2650="Long Term", 12.5%, 20%))</f>
        <v/>
      </c>
      <c r="L2650" s="3">
        <f>+IFERROR(IF(J2650="","",H2650*K2650),"")</f>
        <v/>
      </c>
    </row>
    <row r="2651">
      <c r="A2651" s="11" t="n"/>
      <c r="B2651" s="7" t="n"/>
      <c r="C2651" s="8" t="n"/>
      <c r="D2651" s="9" t="n"/>
      <c r="E2651" s="8" t="n"/>
      <c r="F2651" s="9" t="n"/>
      <c r="G2651" s="9" t="n"/>
      <c r="H2651" s="3">
        <f>IF(AND(D2651&lt;&gt;"",F2651&lt;&gt;""),F2651-D2651-G2651,"")</f>
        <v/>
      </c>
      <c r="I2651" s="14">
        <f>IF(E2651&lt;&gt;"", YEARFRAC(C2651, E2651) * 12, "")</f>
        <v/>
      </c>
      <c r="J2651" s="2">
        <f>IF(I2651="", "", IF(AND(A2651="MF (Equity)", I2651&gt;12), "Long Term", "Short Term"))</f>
        <v/>
      </c>
      <c r="K2651" s="5">
        <f>IF(J2651="", "", IF(J2651="Long Term", 12.5%, 20%))</f>
        <v/>
      </c>
      <c r="L2651" s="3">
        <f>+IFERROR(IF(J2651="","",H2651*K2651),"")</f>
        <v/>
      </c>
    </row>
    <row r="2652">
      <c r="A2652" s="11" t="n"/>
      <c r="B2652" s="7" t="n"/>
      <c r="C2652" s="8" t="n"/>
      <c r="D2652" s="9" t="n"/>
      <c r="E2652" s="8" t="n"/>
      <c r="F2652" s="9" t="n"/>
      <c r="G2652" s="9" t="n"/>
      <c r="H2652" s="3">
        <f>IF(AND(D2652&lt;&gt;"",F2652&lt;&gt;""),F2652-D2652-G2652,"")</f>
        <v/>
      </c>
      <c r="I2652" s="14">
        <f>IF(E2652&lt;&gt;"", YEARFRAC(C2652, E2652) * 12, "")</f>
        <v/>
      </c>
      <c r="J2652" s="2">
        <f>IF(I2652="", "", IF(AND(A2652="MF (Equity)", I2652&gt;12), "Long Term", "Short Term"))</f>
        <v/>
      </c>
      <c r="K2652" s="5">
        <f>IF(J2652="", "", IF(J2652="Long Term", 12.5%, 20%))</f>
        <v/>
      </c>
      <c r="L2652" s="3">
        <f>+IFERROR(IF(J2652="","",H2652*K2652),"")</f>
        <v/>
      </c>
    </row>
    <row r="2653">
      <c r="A2653" s="11" t="n"/>
      <c r="B2653" s="7" t="n"/>
      <c r="C2653" s="8" t="n"/>
      <c r="D2653" s="9" t="n"/>
      <c r="E2653" s="8" t="n"/>
      <c r="F2653" s="9" t="n"/>
      <c r="G2653" s="9" t="n"/>
      <c r="H2653" s="3">
        <f>IF(AND(D2653&lt;&gt;"",F2653&lt;&gt;""),F2653-D2653-G2653,"")</f>
        <v/>
      </c>
      <c r="I2653" s="14">
        <f>IF(E2653&lt;&gt;"", YEARFRAC(C2653, E2653) * 12, "")</f>
        <v/>
      </c>
      <c r="J2653" s="2">
        <f>IF(I2653="", "", IF(AND(A2653="MF (Equity)", I2653&gt;12), "Long Term", "Short Term"))</f>
        <v/>
      </c>
      <c r="K2653" s="5">
        <f>IF(J2653="", "", IF(J2653="Long Term", 12.5%, 20%))</f>
        <v/>
      </c>
      <c r="L2653" s="3">
        <f>+IFERROR(IF(J2653="","",H2653*K2653),"")</f>
        <v/>
      </c>
    </row>
    <row r="2654">
      <c r="A2654" s="11" t="n"/>
      <c r="B2654" s="7" t="n"/>
      <c r="C2654" s="8" t="n"/>
      <c r="D2654" s="9" t="n"/>
      <c r="E2654" s="8" t="n"/>
      <c r="F2654" s="9" t="n"/>
      <c r="G2654" s="9" t="n"/>
      <c r="H2654" s="3">
        <f>IF(AND(D2654&lt;&gt;"",F2654&lt;&gt;""),F2654-D2654-G2654,"")</f>
        <v/>
      </c>
      <c r="I2654" s="14">
        <f>IF(E2654&lt;&gt;"", YEARFRAC(C2654, E2654) * 12, "")</f>
        <v/>
      </c>
      <c r="J2654" s="2">
        <f>IF(I2654="", "", IF(AND(A2654="MF (Equity)", I2654&gt;12), "Long Term", "Short Term"))</f>
        <v/>
      </c>
      <c r="K2654" s="5">
        <f>IF(J2654="", "", IF(J2654="Long Term", 12.5%, 20%))</f>
        <v/>
      </c>
      <c r="L2654" s="3">
        <f>+IFERROR(IF(J2654="","",H2654*K2654),"")</f>
        <v/>
      </c>
    </row>
    <row r="2655">
      <c r="A2655" s="11" t="n"/>
      <c r="B2655" s="7" t="n"/>
      <c r="C2655" s="8" t="n"/>
      <c r="D2655" s="9" t="n"/>
      <c r="E2655" s="8" t="n"/>
      <c r="F2655" s="9" t="n"/>
      <c r="G2655" s="9" t="n"/>
      <c r="H2655" s="3">
        <f>IF(AND(D2655&lt;&gt;"",F2655&lt;&gt;""),F2655-D2655-G2655,"")</f>
        <v/>
      </c>
      <c r="I2655" s="14">
        <f>IF(E2655&lt;&gt;"", YEARFRAC(C2655, E2655) * 12, "")</f>
        <v/>
      </c>
      <c r="J2655" s="2">
        <f>IF(I2655="", "", IF(AND(A2655="MF (Equity)", I2655&gt;12), "Long Term", "Short Term"))</f>
        <v/>
      </c>
      <c r="K2655" s="5">
        <f>IF(J2655="", "", IF(J2655="Long Term", 12.5%, 20%))</f>
        <v/>
      </c>
      <c r="L2655" s="3">
        <f>+IFERROR(IF(J2655="","",H2655*K2655),"")</f>
        <v/>
      </c>
    </row>
    <row r="2656">
      <c r="A2656" s="11" t="n"/>
      <c r="B2656" s="7" t="n"/>
      <c r="C2656" s="8" t="n"/>
      <c r="D2656" s="9" t="n"/>
      <c r="E2656" s="8" t="n"/>
      <c r="F2656" s="9" t="n"/>
      <c r="G2656" s="9" t="n"/>
      <c r="H2656" s="3">
        <f>IF(AND(D2656&lt;&gt;"",F2656&lt;&gt;""),F2656-D2656-G2656,"")</f>
        <v/>
      </c>
      <c r="I2656" s="14">
        <f>IF(E2656&lt;&gt;"", YEARFRAC(C2656, E2656) * 12, "")</f>
        <v/>
      </c>
      <c r="J2656" s="2">
        <f>IF(I2656="", "", IF(AND(A2656="MF (Equity)", I2656&gt;12), "Long Term", "Short Term"))</f>
        <v/>
      </c>
      <c r="K2656" s="5">
        <f>IF(J2656="", "", IF(J2656="Long Term", 12.5%, 20%))</f>
        <v/>
      </c>
      <c r="L2656" s="3">
        <f>+IFERROR(IF(J2656="","",H2656*K2656),"")</f>
        <v/>
      </c>
    </row>
    <row r="2657">
      <c r="A2657" s="11" t="n"/>
      <c r="B2657" s="7" t="n"/>
      <c r="C2657" s="8" t="n"/>
      <c r="D2657" s="9" t="n"/>
      <c r="E2657" s="8" t="n"/>
      <c r="F2657" s="9" t="n"/>
      <c r="G2657" s="9" t="n"/>
      <c r="H2657" s="3">
        <f>IF(AND(D2657&lt;&gt;"",F2657&lt;&gt;""),F2657-D2657-G2657,"")</f>
        <v/>
      </c>
      <c r="I2657" s="14">
        <f>IF(E2657&lt;&gt;"", YEARFRAC(C2657, E2657) * 12, "")</f>
        <v/>
      </c>
      <c r="J2657" s="2">
        <f>IF(I2657="", "", IF(AND(A2657="MF (Equity)", I2657&gt;12), "Long Term", "Short Term"))</f>
        <v/>
      </c>
      <c r="K2657" s="5">
        <f>IF(J2657="", "", IF(J2657="Long Term", 12.5%, 20%))</f>
        <v/>
      </c>
      <c r="L2657" s="3">
        <f>+IFERROR(IF(J2657="","",H2657*K2657),"")</f>
        <v/>
      </c>
    </row>
    <row r="2658">
      <c r="A2658" s="11" t="n"/>
      <c r="B2658" s="7" t="n"/>
      <c r="C2658" s="8" t="n"/>
      <c r="D2658" s="9" t="n"/>
      <c r="E2658" s="8" t="n"/>
      <c r="F2658" s="9" t="n"/>
      <c r="G2658" s="9" t="n"/>
      <c r="H2658" s="3">
        <f>IF(AND(D2658&lt;&gt;"",F2658&lt;&gt;""),F2658-D2658-G2658,"")</f>
        <v/>
      </c>
      <c r="I2658" s="14">
        <f>IF(E2658&lt;&gt;"", YEARFRAC(C2658, E2658) * 12, "")</f>
        <v/>
      </c>
      <c r="J2658" s="2">
        <f>IF(I2658="", "", IF(AND(A2658="MF (Equity)", I2658&gt;12), "Long Term", "Short Term"))</f>
        <v/>
      </c>
      <c r="K2658" s="5">
        <f>IF(J2658="", "", IF(J2658="Long Term", 12.5%, 20%))</f>
        <v/>
      </c>
      <c r="L2658" s="3">
        <f>+IFERROR(IF(J2658="","",H2658*K2658),"")</f>
        <v/>
      </c>
    </row>
    <row r="2659">
      <c r="A2659" s="11" t="n"/>
      <c r="B2659" s="7" t="n"/>
      <c r="C2659" s="8" t="n"/>
      <c r="D2659" s="9" t="n"/>
      <c r="E2659" s="8" t="n"/>
      <c r="F2659" s="9" t="n"/>
      <c r="G2659" s="9" t="n"/>
      <c r="H2659" s="3">
        <f>IF(AND(D2659&lt;&gt;"",F2659&lt;&gt;""),F2659-D2659-G2659,"")</f>
        <v/>
      </c>
      <c r="I2659" s="14">
        <f>IF(E2659&lt;&gt;"", YEARFRAC(C2659, E2659) * 12, "")</f>
        <v/>
      </c>
      <c r="J2659" s="2">
        <f>IF(I2659="", "", IF(AND(A2659="MF (Equity)", I2659&gt;12), "Long Term", "Short Term"))</f>
        <v/>
      </c>
      <c r="K2659" s="5">
        <f>IF(J2659="", "", IF(J2659="Long Term", 12.5%, 20%))</f>
        <v/>
      </c>
      <c r="L2659" s="3">
        <f>+IFERROR(IF(J2659="","",H2659*K2659),"")</f>
        <v/>
      </c>
    </row>
    <row r="2660">
      <c r="A2660" s="11" t="n"/>
      <c r="B2660" s="7" t="n"/>
      <c r="C2660" s="8" t="n"/>
      <c r="D2660" s="9" t="n"/>
      <c r="E2660" s="8" t="n"/>
      <c r="F2660" s="9" t="n"/>
      <c r="G2660" s="9" t="n"/>
      <c r="H2660" s="3">
        <f>IF(AND(D2660&lt;&gt;"",F2660&lt;&gt;""),F2660-D2660-G2660,"")</f>
        <v/>
      </c>
      <c r="I2660" s="14">
        <f>IF(E2660&lt;&gt;"", YEARFRAC(C2660, E2660) * 12, "")</f>
        <v/>
      </c>
      <c r="J2660" s="2">
        <f>IF(I2660="", "", IF(AND(A2660="MF (Equity)", I2660&gt;12), "Long Term", "Short Term"))</f>
        <v/>
      </c>
      <c r="K2660" s="5">
        <f>IF(J2660="", "", IF(J2660="Long Term", 12.5%, 20%))</f>
        <v/>
      </c>
      <c r="L2660" s="3">
        <f>+IFERROR(IF(J2660="","",H2660*K2660),"")</f>
        <v/>
      </c>
    </row>
    <row r="2661">
      <c r="A2661" s="11" t="n"/>
      <c r="B2661" s="7" t="n"/>
      <c r="C2661" s="8" t="n"/>
      <c r="D2661" s="9" t="n"/>
      <c r="E2661" s="8" t="n"/>
      <c r="F2661" s="9" t="n"/>
      <c r="G2661" s="9" t="n"/>
      <c r="H2661" s="3">
        <f>IF(AND(D2661&lt;&gt;"",F2661&lt;&gt;""),F2661-D2661-G2661,"")</f>
        <v/>
      </c>
      <c r="I2661" s="14">
        <f>IF(E2661&lt;&gt;"", YEARFRAC(C2661, E2661) * 12, "")</f>
        <v/>
      </c>
      <c r="J2661" s="2">
        <f>IF(I2661="", "", IF(AND(A2661="MF (Equity)", I2661&gt;12), "Long Term", "Short Term"))</f>
        <v/>
      </c>
      <c r="K2661" s="5">
        <f>IF(J2661="", "", IF(J2661="Long Term", 12.5%, 20%))</f>
        <v/>
      </c>
      <c r="L2661" s="3">
        <f>+IFERROR(IF(J2661="","",H2661*K2661),"")</f>
        <v/>
      </c>
    </row>
    <row r="2662">
      <c r="A2662" s="11" t="n"/>
      <c r="B2662" s="7" t="n"/>
      <c r="C2662" s="8" t="n"/>
      <c r="D2662" s="9" t="n"/>
      <c r="E2662" s="8" t="n"/>
      <c r="F2662" s="9" t="n"/>
      <c r="G2662" s="9" t="n"/>
      <c r="H2662" s="3">
        <f>IF(AND(D2662&lt;&gt;"",F2662&lt;&gt;""),F2662-D2662-G2662,"")</f>
        <v/>
      </c>
      <c r="I2662" s="14">
        <f>IF(E2662&lt;&gt;"", YEARFRAC(C2662, E2662) * 12, "")</f>
        <v/>
      </c>
      <c r="J2662" s="2">
        <f>IF(I2662="", "", IF(AND(A2662="MF (Equity)", I2662&gt;12), "Long Term", "Short Term"))</f>
        <v/>
      </c>
      <c r="K2662" s="5">
        <f>IF(J2662="", "", IF(J2662="Long Term", 12.5%, 20%))</f>
        <v/>
      </c>
      <c r="L2662" s="3">
        <f>+IFERROR(IF(J2662="","",H2662*K2662),"")</f>
        <v/>
      </c>
    </row>
    <row r="2663">
      <c r="A2663" s="11" t="n"/>
      <c r="B2663" s="7" t="n"/>
      <c r="C2663" s="8" t="n"/>
      <c r="D2663" s="9" t="n"/>
      <c r="E2663" s="8" t="n"/>
      <c r="F2663" s="9" t="n"/>
      <c r="G2663" s="9" t="n"/>
      <c r="H2663" s="3">
        <f>IF(AND(D2663&lt;&gt;"",F2663&lt;&gt;""),F2663-D2663-G2663,"")</f>
        <v/>
      </c>
      <c r="I2663" s="14">
        <f>IF(E2663&lt;&gt;"", YEARFRAC(C2663, E2663) * 12, "")</f>
        <v/>
      </c>
      <c r="J2663" s="2">
        <f>IF(I2663="", "", IF(AND(A2663="MF (Equity)", I2663&gt;12), "Long Term", "Short Term"))</f>
        <v/>
      </c>
      <c r="K2663" s="5">
        <f>IF(J2663="", "", IF(J2663="Long Term", 12.5%, 20%))</f>
        <v/>
      </c>
      <c r="L2663" s="3">
        <f>+IFERROR(IF(J2663="","",H2663*K2663),"")</f>
        <v/>
      </c>
    </row>
    <row r="2664">
      <c r="A2664" s="11" t="n"/>
      <c r="B2664" s="7" t="n"/>
      <c r="C2664" s="8" t="n"/>
      <c r="D2664" s="9" t="n"/>
      <c r="E2664" s="8" t="n"/>
      <c r="F2664" s="9" t="n"/>
      <c r="G2664" s="9" t="n"/>
      <c r="H2664" s="3">
        <f>IF(AND(D2664&lt;&gt;"",F2664&lt;&gt;""),F2664-D2664-G2664,"")</f>
        <v/>
      </c>
      <c r="I2664" s="14">
        <f>IF(E2664&lt;&gt;"", YEARFRAC(C2664, E2664) * 12, "")</f>
        <v/>
      </c>
      <c r="J2664" s="2">
        <f>IF(I2664="", "", IF(AND(A2664="MF (Equity)", I2664&gt;12), "Long Term", "Short Term"))</f>
        <v/>
      </c>
      <c r="K2664" s="5">
        <f>IF(J2664="", "", IF(J2664="Long Term", 12.5%, 20%))</f>
        <v/>
      </c>
      <c r="L2664" s="3">
        <f>+IFERROR(IF(J2664="","",H2664*K2664),"")</f>
        <v/>
      </c>
    </row>
    <row r="2665">
      <c r="A2665" s="11" t="n"/>
      <c r="B2665" s="7" t="n"/>
      <c r="C2665" s="8" t="n"/>
      <c r="D2665" s="9" t="n"/>
      <c r="E2665" s="8" t="n"/>
      <c r="F2665" s="9" t="n"/>
      <c r="G2665" s="9" t="n"/>
      <c r="H2665" s="3">
        <f>IF(AND(D2665&lt;&gt;"",F2665&lt;&gt;""),F2665-D2665-G2665,"")</f>
        <v/>
      </c>
      <c r="I2665" s="14">
        <f>IF(E2665&lt;&gt;"", YEARFRAC(C2665, E2665) * 12, "")</f>
        <v/>
      </c>
      <c r="J2665" s="2">
        <f>IF(I2665="", "", IF(AND(A2665="MF (Equity)", I2665&gt;12), "Long Term", "Short Term"))</f>
        <v/>
      </c>
      <c r="K2665" s="5">
        <f>IF(J2665="", "", IF(J2665="Long Term", 12.5%, 20%))</f>
        <v/>
      </c>
      <c r="L2665" s="3">
        <f>+IFERROR(IF(J2665="","",H2665*K2665),"")</f>
        <v/>
      </c>
    </row>
    <row r="2666">
      <c r="A2666" s="11" t="n"/>
      <c r="B2666" s="7" t="n"/>
      <c r="C2666" s="8" t="n"/>
      <c r="D2666" s="9" t="n"/>
      <c r="E2666" s="8" t="n"/>
      <c r="F2666" s="9" t="n"/>
      <c r="G2666" s="9" t="n"/>
      <c r="H2666" s="3">
        <f>IF(AND(D2666&lt;&gt;"",F2666&lt;&gt;""),F2666-D2666-G2666,"")</f>
        <v/>
      </c>
      <c r="I2666" s="14">
        <f>IF(E2666&lt;&gt;"", YEARFRAC(C2666, E2666) * 12, "")</f>
        <v/>
      </c>
      <c r="J2666" s="2">
        <f>IF(I2666="", "", IF(AND(A2666="MF (Equity)", I2666&gt;12), "Long Term", "Short Term"))</f>
        <v/>
      </c>
      <c r="K2666" s="5">
        <f>IF(J2666="", "", IF(J2666="Long Term", 12.5%, 20%))</f>
        <v/>
      </c>
      <c r="L2666" s="3">
        <f>+IFERROR(IF(J2666="","",H2666*K2666),"")</f>
        <v/>
      </c>
    </row>
    <row r="2667">
      <c r="A2667" s="11" t="n"/>
      <c r="B2667" s="7" t="n"/>
      <c r="C2667" s="8" t="n"/>
      <c r="D2667" s="9" t="n"/>
      <c r="E2667" s="8" t="n"/>
      <c r="F2667" s="9" t="n"/>
      <c r="G2667" s="9" t="n"/>
      <c r="H2667" s="3">
        <f>IF(AND(D2667&lt;&gt;"",F2667&lt;&gt;""),F2667-D2667-G2667,"")</f>
        <v/>
      </c>
      <c r="I2667" s="14">
        <f>IF(E2667&lt;&gt;"", YEARFRAC(C2667, E2667) * 12, "")</f>
        <v/>
      </c>
      <c r="J2667" s="2">
        <f>IF(I2667="", "", IF(AND(A2667="MF (Equity)", I2667&gt;12), "Long Term", "Short Term"))</f>
        <v/>
      </c>
      <c r="K2667" s="5">
        <f>IF(J2667="", "", IF(J2667="Long Term", 12.5%, 20%))</f>
        <v/>
      </c>
      <c r="L2667" s="3">
        <f>+IFERROR(IF(J2667="","",H2667*K2667),"")</f>
        <v/>
      </c>
    </row>
    <row r="2668">
      <c r="A2668" s="11" t="n"/>
      <c r="B2668" s="7" t="n"/>
      <c r="C2668" s="8" t="n"/>
      <c r="D2668" s="9" t="n"/>
      <c r="E2668" s="8" t="n"/>
      <c r="F2668" s="9" t="n"/>
      <c r="G2668" s="9" t="n"/>
      <c r="H2668" s="3">
        <f>IF(AND(D2668&lt;&gt;"",F2668&lt;&gt;""),F2668-D2668-G2668,"")</f>
        <v/>
      </c>
      <c r="I2668" s="14">
        <f>IF(E2668&lt;&gt;"", YEARFRAC(C2668, E2668) * 12, "")</f>
        <v/>
      </c>
      <c r="J2668" s="2">
        <f>IF(I2668="", "", IF(AND(A2668="MF (Equity)", I2668&gt;12), "Long Term", "Short Term"))</f>
        <v/>
      </c>
      <c r="K2668" s="5">
        <f>IF(J2668="", "", IF(J2668="Long Term", 12.5%, 20%))</f>
        <v/>
      </c>
      <c r="L2668" s="3">
        <f>+IFERROR(IF(J2668="","",H2668*K2668),"")</f>
        <v/>
      </c>
    </row>
    <row r="2669">
      <c r="A2669" s="11" t="n"/>
      <c r="B2669" s="7" t="n"/>
      <c r="C2669" s="8" t="n"/>
      <c r="D2669" s="9" t="n"/>
      <c r="E2669" s="8" t="n"/>
      <c r="F2669" s="9" t="n"/>
      <c r="G2669" s="9" t="n"/>
      <c r="H2669" s="3">
        <f>IF(AND(D2669&lt;&gt;"",F2669&lt;&gt;""),F2669-D2669-G2669,"")</f>
        <v/>
      </c>
      <c r="I2669" s="14">
        <f>IF(E2669&lt;&gt;"", YEARFRAC(C2669, E2669) * 12, "")</f>
        <v/>
      </c>
      <c r="J2669" s="2">
        <f>IF(I2669="", "", IF(AND(A2669="MF (Equity)", I2669&gt;12), "Long Term", "Short Term"))</f>
        <v/>
      </c>
      <c r="K2669" s="5">
        <f>IF(J2669="", "", IF(J2669="Long Term", 12.5%, 20%))</f>
        <v/>
      </c>
      <c r="L2669" s="3">
        <f>+IFERROR(IF(J2669="","",H2669*K2669),"")</f>
        <v/>
      </c>
    </row>
    <row r="2670">
      <c r="A2670" s="11" t="n"/>
      <c r="B2670" s="7" t="n"/>
      <c r="C2670" s="8" t="n"/>
      <c r="D2670" s="9" t="n"/>
      <c r="E2670" s="8" t="n"/>
      <c r="F2670" s="9" t="n"/>
      <c r="G2670" s="9" t="n"/>
      <c r="H2670" s="3">
        <f>IF(AND(D2670&lt;&gt;"",F2670&lt;&gt;""),F2670-D2670-G2670,"")</f>
        <v/>
      </c>
      <c r="I2670" s="14">
        <f>IF(E2670&lt;&gt;"", YEARFRAC(C2670, E2670) * 12, "")</f>
        <v/>
      </c>
      <c r="J2670" s="2">
        <f>IF(I2670="", "", IF(AND(A2670="MF (Equity)", I2670&gt;12), "Long Term", "Short Term"))</f>
        <v/>
      </c>
      <c r="K2670" s="5">
        <f>IF(J2670="", "", IF(J2670="Long Term", 12.5%, 20%))</f>
        <v/>
      </c>
      <c r="L2670" s="3">
        <f>+IFERROR(IF(J2670="","",H2670*K2670),"")</f>
        <v/>
      </c>
    </row>
    <row r="2671">
      <c r="A2671" s="11" t="n"/>
      <c r="B2671" s="7" t="n"/>
      <c r="C2671" s="8" t="n"/>
      <c r="D2671" s="9" t="n"/>
      <c r="E2671" s="8" t="n"/>
      <c r="F2671" s="9" t="n"/>
      <c r="G2671" s="9" t="n"/>
      <c r="H2671" s="3">
        <f>IF(AND(D2671&lt;&gt;"",F2671&lt;&gt;""),F2671-D2671-G2671,"")</f>
        <v/>
      </c>
      <c r="I2671" s="14">
        <f>IF(E2671&lt;&gt;"", YEARFRAC(C2671, E2671) * 12, "")</f>
        <v/>
      </c>
      <c r="J2671" s="2">
        <f>IF(I2671="", "", IF(AND(A2671="MF (Equity)", I2671&gt;12), "Long Term", "Short Term"))</f>
        <v/>
      </c>
      <c r="K2671" s="5">
        <f>IF(J2671="", "", IF(J2671="Long Term", 12.5%, 20%))</f>
        <v/>
      </c>
      <c r="L2671" s="3">
        <f>+IFERROR(IF(J2671="","",H2671*K2671),"")</f>
        <v/>
      </c>
    </row>
    <row r="2672">
      <c r="A2672" s="11" t="n"/>
      <c r="B2672" s="7" t="n"/>
      <c r="C2672" s="8" t="n"/>
      <c r="D2672" s="9" t="n"/>
      <c r="E2672" s="8" t="n"/>
      <c r="F2672" s="9" t="n"/>
      <c r="G2672" s="9" t="n"/>
      <c r="H2672" s="3">
        <f>IF(AND(D2672&lt;&gt;"",F2672&lt;&gt;""),F2672-D2672-G2672,"")</f>
        <v/>
      </c>
      <c r="I2672" s="14">
        <f>IF(E2672&lt;&gt;"", YEARFRAC(C2672, E2672) * 12, "")</f>
        <v/>
      </c>
      <c r="J2672" s="2">
        <f>IF(I2672="", "", IF(AND(A2672="MF (Equity)", I2672&gt;12), "Long Term", "Short Term"))</f>
        <v/>
      </c>
      <c r="K2672" s="5">
        <f>IF(J2672="", "", IF(J2672="Long Term", 12.5%, 20%))</f>
        <v/>
      </c>
      <c r="L2672" s="3">
        <f>+IFERROR(IF(J2672="","",H2672*K2672),"")</f>
        <v/>
      </c>
    </row>
    <row r="2673">
      <c r="A2673" s="11" t="n"/>
      <c r="B2673" s="7" t="n"/>
      <c r="C2673" s="8" t="n"/>
      <c r="D2673" s="9" t="n"/>
      <c r="E2673" s="8" t="n"/>
      <c r="F2673" s="9" t="n"/>
      <c r="G2673" s="9" t="n"/>
      <c r="H2673" s="3">
        <f>IF(AND(D2673&lt;&gt;"",F2673&lt;&gt;""),F2673-D2673-G2673,"")</f>
        <v/>
      </c>
      <c r="I2673" s="14">
        <f>IF(E2673&lt;&gt;"", YEARFRAC(C2673, E2673) * 12, "")</f>
        <v/>
      </c>
      <c r="J2673" s="2">
        <f>IF(I2673="", "", IF(AND(A2673="MF (Equity)", I2673&gt;12), "Long Term", "Short Term"))</f>
        <v/>
      </c>
      <c r="K2673" s="5">
        <f>IF(J2673="", "", IF(J2673="Long Term", 12.5%, 20%))</f>
        <v/>
      </c>
      <c r="L2673" s="3">
        <f>+IFERROR(IF(J2673="","",H2673*K2673),"")</f>
        <v/>
      </c>
    </row>
    <row r="2674">
      <c r="A2674" s="11" t="n"/>
      <c r="B2674" s="7" t="n"/>
      <c r="C2674" s="8" t="n"/>
      <c r="D2674" s="9" t="n"/>
      <c r="E2674" s="8" t="n"/>
      <c r="F2674" s="9" t="n"/>
      <c r="G2674" s="9" t="n"/>
      <c r="H2674" s="3">
        <f>IF(AND(D2674&lt;&gt;"",F2674&lt;&gt;""),F2674-D2674-G2674,"")</f>
        <v/>
      </c>
      <c r="I2674" s="14">
        <f>IF(E2674&lt;&gt;"", YEARFRAC(C2674, E2674) * 12, "")</f>
        <v/>
      </c>
      <c r="J2674" s="2">
        <f>IF(I2674="", "", IF(AND(A2674="MF (Equity)", I2674&gt;12), "Long Term", "Short Term"))</f>
        <v/>
      </c>
      <c r="K2674" s="5">
        <f>IF(J2674="", "", IF(J2674="Long Term", 12.5%, 20%))</f>
        <v/>
      </c>
      <c r="L2674" s="3">
        <f>+IFERROR(IF(J2674="","",H2674*K2674),"")</f>
        <v/>
      </c>
    </row>
    <row r="2675">
      <c r="A2675" s="11" t="n"/>
      <c r="B2675" s="7" t="n"/>
      <c r="C2675" s="8" t="n"/>
      <c r="D2675" s="9" t="n"/>
      <c r="E2675" s="8" t="n"/>
      <c r="F2675" s="9" t="n"/>
      <c r="G2675" s="9" t="n"/>
      <c r="H2675" s="3">
        <f>IF(AND(D2675&lt;&gt;"",F2675&lt;&gt;""),F2675-D2675-G2675,"")</f>
        <v/>
      </c>
      <c r="I2675" s="14">
        <f>IF(E2675&lt;&gt;"", YEARFRAC(C2675, E2675) * 12, "")</f>
        <v/>
      </c>
      <c r="J2675" s="2">
        <f>IF(I2675="", "", IF(AND(A2675="MF (Equity)", I2675&gt;12), "Long Term", "Short Term"))</f>
        <v/>
      </c>
      <c r="K2675" s="5">
        <f>IF(J2675="", "", IF(J2675="Long Term", 12.5%, 20%))</f>
        <v/>
      </c>
      <c r="L2675" s="3">
        <f>+IFERROR(IF(J2675="","",H2675*K2675),"")</f>
        <v/>
      </c>
    </row>
    <row r="2676">
      <c r="A2676" s="11" t="n"/>
      <c r="B2676" s="7" t="n"/>
      <c r="C2676" s="8" t="n"/>
      <c r="D2676" s="9" t="n"/>
      <c r="E2676" s="8" t="n"/>
      <c r="F2676" s="9" t="n"/>
      <c r="G2676" s="9" t="n"/>
      <c r="H2676" s="3">
        <f>IF(AND(D2676&lt;&gt;"",F2676&lt;&gt;""),F2676-D2676-G2676,"")</f>
        <v/>
      </c>
      <c r="I2676" s="14">
        <f>IF(E2676&lt;&gt;"", YEARFRAC(C2676, E2676) * 12, "")</f>
        <v/>
      </c>
      <c r="J2676" s="2">
        <f>IF(I2676="", "", IF(AND(A2676="MF (Equity)", I2676&gt;12), "Long Term", "Short Term"))</f>
        <v/>
      </c>
      <c r="K2676" s="5">
        <f>IF(J2676="", "", IF(J2676="Long Term", 12.5%, 20%))</f>
        <v/>
      </c>
      <c r="L2676" s="3">
        <f>+IFERROR(IF(J2676="","",H2676*K2676),"")</f>
        <v/>
      </c>
    </row>
    <row r="2677">
      <c r="A2677" s="11" t="n"/>
      <c r="B2677" s="7" t="n"/>
      <c r="C2677" s="8" t="n"/>
      <c r="D2677" s="9" t="n"/>
      <c r="E2677" s="8" t="n"/>
      <c r="F2677" s="9" t="n"/>
      <c r="G2677" s="9" t="n"/>
      <c r="H2677" s="3">
        <f>IF(AND(D2677&lt;&gt;"",F2677&lt;&gt;""),F2677-D2677-G2677,"")</f>
        <v/>
      </c>
      <c r="I2677" s="14">
        <f>IF(E2677&lt;&gt;"", YEARFRAC(C2677, E2677) * 12, "")</f>
        <v/>
      </c>
      <c r="J2677" s="2">
        <f>IF(I2677="", "", IF(AND(A2677="MF (Equity)", I2677&gt;12), "Long Term", "Short Term"))</f>
        <v/>
      </c>
      <c r="K2677" s="5">
        <f>IF(J2677="", "", IF(J2677="Long Term", 12.5%, 20%))</f>
        <v/>
      </c>
      <c r="L2677" s="3">
        <f>+IFERROR(IF(J2677="","",H2677*K2677),"")</f>
        <v/>
      </c>
    </row>
    <row r="2678">
      <c r="A2678" s="11" t="n"/>
      <c r="B2678" s="7" t="n"/>
      <c r="C2678" s="8" t="n"/>
      <c r="D2678" s="9" t="n"/>
      <c r="E2678" s="8" t="n"/>
      <c r="F2678" s="9" t="n"/>
      <c r="G2678" s="9" t="n"/>
      <c r="H2678" s="3">
        <f>IF(AND(D2678&lt;&gt;"",F2678&lt;&gt;""),F2678-D2678-G2678,"")</f>
        <v/>
      </c>
      <c r="I2678" s="14">
        <f>IF(E2678&lt;&gt;"", YEARFRAC(C2678, E2678) * 12, "")</f>
        <v/>
      </c>
      <c r="J2678" s="2">
        <f>IF(I2678="", "", IF(AND(A2678="MF (Equity)", I2678&gt;12), "Long Term", "Short Term"))</f>
        <v/>
      </c>
      <c r="K2678" s="5">
        <f>IF(J2678="", "", IF(J2678="Long Term", 12.5%, 20%))</f>
        <v/>
      </c>
      <c r="L2678" s="3">
        <f>+IFERROR(IF(J2678="","",H2678*K2678),"")</f>
        <v/>
      </c>
    </row>
    <row r="2679">
      <c r="A2679" s="11" t="n"/>
      <c r="B2679" s="7" t="n"/>
      <c r="C2679" s="8" t="n"/>
      <c r="D2679" s="9" t="n"/>
      <c r="E2679" s="8" t="n"/>
      <c r="F2679" s="9" t="n"/>
      <c r="G2679" s="9" t="n"/>
      <c r="H2679" s="3">
        <f>IF(AND(D2679&lt;&gt;"",F2679&lt;&gt;""),F2679-D2679-G2679,"")</f>
        <v/>
      </c>
      <c r="I2679" s="14">
        <f>IF(E2679&lt;&gt;"", YEARFRAC(C2679, E2679) * 12, "")</f>
        <v/>
      </c>
      <c r="J2679" s="2">
        <f>IF(I2679="", "", IF(AND(A2679="MF (Equity)", I2679&gt;12), "Long Term", "Short Term"))</f>
        <v/>
      </c>
      <c r="K2679" s="5">
        <f>IF(J2679="", "", IF(J2679="Long Term", 12.5%, 20%))</f>
        <v/>
      </c>
      <c r="L2679" s="3">
        <f>+IFERROR(IF(J2679="","",H2679*K2679),"")</f>
        <v/>
      </c>
    </row>
    <row r="2680">
      <c r="A2680" s="11" t="n"/>
      <c r="B2680" s="7" t="n"/>
      <c r="C2680" s="8" t="n"/>
      <c r="D2680" s="9" t="n"/>
      <c r="E2680" s="8" t="n"/>
      <c r="F2680" s="9" t="n"/>
      <c r="G2680" s="9" t="n"/>
      <c r="H2680" s="3">
        <f>IF(AND(D2680&lt;&gt;"",F2680&lt;&gt;""),F2680-D2680-G2680,"")</f>
        <v/>
      </c>
      <c r="I2680" s="14">
        <f>IF(E2680&lt;&gt;"", YEARFRAC(C2680, E2680) * 12, "")</f>
        <v/>
      </c>
      <c r="J2680" s="2">
        <f>IF(I2680="", "", IF(AND(A2680="MF (Equity)", I2680&gt;12), "Long Term", "Short Term"))</f>
        <v/>
      </c>
      <c r="K2680" s="5">
        <f>IF(J2680="", "", IF(J2680="Long Term", 12.5%, 20%))</f>
        <v/>
      </c>
      <c r="L2680" s="3">
        <f>+IFERROR(IF(J2680="","",H2680*K2680),"")</f>
        <v/>
      </c>
    </row>
    <row r="2681">
      <c r="A2681" s="11" t="n"/>
      <c r="B2681" s="7" t="n"/>
      <c r="C2681" s="8" t="n"/>
      <c r="D2681" s="9" t="n"/>
      <c r="E2681" s="8" t="n"/>
      <c r="F2681" s="9" t="n"/>
      <c r="G2681" s="9" t="n"/>
      <c r="H2681" s="3">
        <f>IF(AND(D2681&lt;&gt;"",F2681&lt;&gt;""),F2681-D2681-G2681,"")</f>
        <v/>
      </c>
      <c r="I2681" s="14">
        <f>IF(E2681&lt;&gt;"", YEARFRAC(C2681, E2681) * 12, "")</f>
        <v/>
      </c>
      <c r="J2681" s="2">
        <f>IF(I2681="", "", IF(AND(A2681="MF (Equity)", I2681&gt;12), "Long Term", "Short Term"))</f>
        <v/>
      </c>
      <c r="K2681" s="5">
        <f>IF(J2681="", "", IF(J2681="Long Term", 12.5%, 20%))</f>
        <v/>
      </c>
      <c r="L2681" s="3">
        <f>+IFERROR(IF(J2681="","",H2681*K2681),"")</f>
        <v/>
      </c>
    </row>
    <row r="2682">
      <c r="A2682" s="11" t="n"/>
      <c r="B2682" s="7" t="n"/>
      <c r="C2682" s="8" t="n"/>
      <c r="D2682" s="9" t="n"/>
      <c r="E2682" s="8" t="n"/>
      <c r="F2682" s="9" t="n"/>
      <c r="G2682" s="9" t="n"/>
      <c r="H2682" s="3">
        <f>IF(AND(D2682&lt;&gt;"",F2682&lt;&gt;""),F2682-D2682-G2682,"")</f>
        <v/>
      </c>
      <c r="I2682" s="14">
        <f>IF(E2682&lt;&gt;"", YEARFRAC(C2682, E2682) * 12, "")</f>
        <v/>
      </c>
      <c r="J2682" s="2">
        <f>IF(I2682="", "", IF(AND(A2682="MF (Equity)", I2682&gt;12), "Long Term", "Short Term"))</f>
        <v/>
      </c>
      <c r="K2682" s="5">
        <f>IF(J2682="", "", IF(J2682="Long Term", 12.5%, 20%))</f>
        <v/>
      </c>
      <c r="L2682" s="3">
        <f>+IFERROR(IF(J2682="","",H2682*K2682),"")</f>
        <v/>
      </c>
    </row>
    <row r="2683">
      <c r="A2683" s="11" t="n"/>
      <c r="B2683" s="7" t="n"/>
      <c r="C2683" s="8" t="n"/>
      <c r="D2683" s="9" t="n"/>
      <c r="E2683" s="8" t="n"/>
      <c r="F2683" s="9" t="n"/>
      <c r="G2683" s="9" t="n"/>
      <c r="H2683" s="3">
        <f>IF(AND(D2683&lt;&gt;"",F2683&lt;&gt;""),F2683-D2683-G2683,"")</f>
        <v/>
      </c>
      <c r="I2683" s="14">
        <f>IF(E2683&lt;&gt;"", YEARFRAC(C2683, E2683) * 12, "")</f>
        <v/>
      </c>
      <c r="J2683" s="2">
        <f>IF(I2683="", "", IF(AND(A2683="MF (Equity)", I2683&gt;12), "Long Term", "Short Term"))</f>
        <v/>
      </c>
      <c r="K2683" s="5">
        <f>IF(J2683="", "", IF(J2683="Long Term", 12.5%, 20%))</f>
        <v/>
      </c>
      <c r="L2683" s="3">
        <f>+IFERROR(IF(J2683="","",H2683*K2683),"")</f>
        <v/>
      </c>
    </row>
    <row r="2684">
      <c r="A2684" s="11" t="n"/>
      <c r="B2684" s="7" t="n"/>
      <c r="C2684" s="8" t="n"/>
      <c r="D2684" s="9" t="n"/>
      <c r="E2684" s="8" t="n"/>
      <c r="F2684" s="9" t="n"/>
      <c r="G2684" s="9" t="n"/>
      <c r="H2684" s="3">
        <f>IF(AND(D2684&lt;&gt;"",F2684&lt;&gt;""),F2684-D2684-G2684,"")</f>
        <v/>
      </c>
      <c r="I2684" s="14">
        <f>IF(E2684&lt;&gt;"", YEARFRAC(C2684, E2684) * 12, "")</f>
        <v/>
      </c>
      <c r="J2684" s="2">
        <f>IF(I2684="", "", IF(AND(A2684="MF (Equity)", I2684&gt;12), "Long Term", "Short Term"))</f>
        <v/>
      </c>
      <c r="K2684" s="5">
        <f>IF(J2684="", "", IF(J2684="Long Term", 12.5%, 20%))</f>
        <v/>
      </c>
      <c r="L2684" s="3">
        <f>+IFERROR(IF(J2684="","",H2684*K2684),"")</f>
        <v/>
      </c>
    </row>
    <row r="2685">
      <c r="A2685" s="11" t="n"/>
      <c r="B2685" s="7" t="n"/>
      <c r="C2685" s="8" t="n"/>
      <c r="D2685" s="9" t="n"/>
      <c r="E2685" s="8" t="n"/>
      <c r="F2685" s="9" t="n"/>
      <c r="G2685" s="9" t="n"/>
      <c r="H2685" s="3">
        <f>IF(AND(D2685&lt;&gt;"",F2685&lt;&gt;""),F2685-D2685-G2685,"")</f>
        <v/>
      </c>
      <c r="I2685" s="14">
        <f>IF(E2685&lt;&gt;"", YEARFRAC(C2685, E2685) * 12, "")</f>
        <v/>
      </c>
      <c r="J2685" s="2">
        <f>IF(I2685="", "", IF(AND(A2685="MF (Equity)", I2685&gt;12), "Long Term", "Short Term"))</f>
        <v/>
      </c>
      <c r="K2685" s="5">
        <f>IF(J2685="", "", IF(J2685="Long Term", 12.5%, 20%))</f>
        <v/>
      </c>
      <c r="L2685" s="3">
        <f>+IFERROR(IF(J2685="","",H2685*K2685),"")</f>
        <v/>
      </c>
    </row>
    <row r="2686">
      <c r="A2686" s="11" t="n"/>
      <c r="B2686" s="7" t="n"/>
      <c r="C2686" s="8" t="n"/>
      <c r="D2686" s="9" t="n"/>
      <c r="E2686" s="8" t="n"/>
      <c r="F2686" s="9" t="n"/>
      <c r="G2686" s="9" t="n"/>
      <c r="H2686" s="3">
        <f>IF(AND(D2686&lt;&gt;"",F2686&lt;&gt;""),F2686-D2686-G2686,"")</f>
        <v/>
      </c>
      <c r="I2686" s="14">
        <f>IF(E2686&lt;&gt;"", YEARFRAC(C2686, E2686) * 12, "")</f>
        <v/>
      </c>
      <c r="J2686" s="2">
        <f>IF(I2686="", "", IF(AND(A2686="MF (Equity)", I2686&gt;12), "Long Term", "Short Term"))</f>
        <v/>
      </c>
      <c r="K2686" s="5">
        <f>IF(J2686="", "", IF(J2686="Long Term", 12.5%, 20%))</f>
        <v/>
      </c>
      <c r="L2686" s="3">
        <f>+IFERROR(IF(J2686="","",H2686*K2686),"")</f>
        <v/>
      </c>
    </row>
    <row r="2687">
      <c r="A2687" s="11" t="n"/>
      <c r="B2687" s="7" t="n"/>
      <c r="C2687" s="8" t="n"/>
      <c r="D2687" s="9" t="n"/>
      <c r="E2687" s="8" t="n"/>
      <c r="F2687" s="9" t="n"/>
      <c r="G2687" s="9" t="n"/>
      <c r="H2687" s="3">
        <f>IF(AND(D2687&lt;&gt;"",F2687&lt;&gt;""),F2687-D2687-G2687,"")</f>
        <v/>
      </c>
      <c r="I2687" s="14">
        <f>IF(E2687&lt;&gt;"", YEARFRAC(C2687, E2687) * 12, "")</f>
        <v/>
      </c>
      <c r="J2687" s="2">
        <f>IF(I2687="", "", IF(AND(A2687="MF (Equity)", I2687&gt;12), "Long Term", "Short Term"))</f>
        <v/>
      </c>
      <c r="K2687" s="5">
        <f>IF(J2687="", "", IF(J2687="Long Term", 12.5%, 20%))</f>
        <v/>
      </c>
      <c r="L2687" s="3">
        <f>+IFERROR(IF(J2687="","",H2687*K2687),"")</f>
        <v/>
      </c>
    </row>
    <row r="2688">
      <c r="A2688" s="11" t="n"/>
      <c r="B2688" s="7" t="n"/>
      <c r="C2688" s="8" t="n"/>
      <c r="D2688" s="9" t="n"/>
      <c r="E2688" s="8" t="n"/>
      <c r="F2688" s="9" t="n"/>
      <c r="G2688" s="9" t="n"/>
      <c r="H2688" s="3">
        <f>IF(AND(D2688&lt;&gt;"",F2688&lt;&gt;""),F2688-D2688-G2688,"")</f>
        <v/>
      </c>
      <c r="I2688" s="14">
        <f>IF(E2688&lt;&gt;"", YEARFRAC(C2688, E2688) * 12, "")</f>
        <v/>
      </c>
      <c r="J2688" s="2">
        <f>IF(I2688="", "", IF(AND(A2688="MF (Equity)", I2688&gt;12), "Long Term", "Short Term"))</f>
        <v/>
      </c>
      <c r="K2688" s="5">
        <f>IF(J2688="", "", IF(J2688="Long Term", 12.5%, 20%))</f>
        <v/>
      </c>
      <c r="L2688" s="3">
        <f>+IFERROR(IF(J2688="","",H2688*K2688),"")</f>
        <v/>
      </c>
    </row>
    <row r="2689">
      <c r="A2689" s="11" t="n"/>
      <c r="B2689" s="7" t="n"/>
      <c r="C2689" s="8" t="n"/>
      <c r="D2689" s="9" t="n"/>
      <c r="E2689" s="8" t="n"/>
      <c r="F2689" s="9" t="n"/>
      <c r="G2689" s="9" t="n"/>
      <c r="H2689" s="3">
        <f>IF(AND(D2689&lt;&gt;"",F2689&lt;&gt;""),F2689-D2689-G2689,"")</f>
        <v/>
      </c>
      <c r="I2689" s="14">
        <f>IF(E2689&lt;&gt;"", YEARFRAC(C2689, E2689) * 12, "")</f>
        <v/>
      </c>
      <c r="J2689" s="2">
        <f>IF(I2689="", "", IF(AND(A2689="MF (Equity)", I2689&gt;12), "Long Term", "Short Term"))</f>
        <v/>
      </c>
      <c r="K2689" s="5">
        <f>IF(J2689="", "", IF(J2689="Long Term", 12.5%, 20%))</f>
        <v/>
      </c>
      <c r="L2689" s="3">
        <f>+IFERROR(IF(J2689="","",H2689*K2689),"")</f>
        <v/>
      </c>
    </row>
    <row r="2690">
      <c r="A2690" s="11" t="n"/>
      <c r="B2690" s="7" t="n"/>
      <c r="C2690" s="8" t="n"/>
      <c r="D2690" s="9" t="n"/>
      <c r="E2690" s="8" t="n"/>
      <c r="F2690" s="9" t="n"/>
      <c r="G2690" s="9" t="n"/>
      <c r="H2690" s="3">
        <f>IF(AND(D2690&lt;&gt;"",F2690&lt;&gt;""),F2690-D2690-G2690,"")</f>
        <v/>
      </c>
      <c r="I2690" s="14">
        <f>IF(E2690&lt;&gt;"", YEARFRAC(C2690, E2690) * 12, "")</f>
        <v/>
      </c>
      <c r="J2690" s="2">
        <f>IF(I2690="", "", IF(AND(A2690="MF (Equity)", I2690&gt;12), "Long Term", "Short Term"))</f>
        <v/>
      </c>
      <c r="K2690" s="5">
        <f>IF(J2690="", "", IF(J2690="Long Term", 12.5%, 20%))</f>
        <v/>
      </c>
      <c r="L2690" s="3">
        <f>+IFERROR(IF(J2690="","",H2690*K2690),"")</f>
        <v/>
      </c>
    </row>
    <row r="2691">
      <c r="A2691" s="11" t="n"/>
      <c r="B2691" s="7" t="n"/>
      <c r="C2691" s="8" t="n"/>
      <c r="D2691" s="9" t="n"/>
      <c r="E2691" s="8" t="n"/>
      <c r="F2691" s="9" t="n"/>
      <c r="G2691" s="9" t="n"/>
      <c r="H2691" s="3">
        <f>IF(AND(D2691&lt;&gt;"",F2691&lt;&gt;""),F2691-D2691-G2691,"")</f>
        <v/>
      </c>
      <c r="I2691" s="14">
        <f>IF(E2691&lt;&gt;"", YEARFRAC(C2691, E2691) * 12, "")</f>
        <v/>
      </c>
      <c r="J2691" s="2">
        <f>IF(I2691="", "", IF(AND(A2691="MF (Equity)", I2691&gt;12), "Long Term", "Short Term"))</f>
        <v/>
      </c>
      <c r="K2691" s="5">
        <f>IF(J2691="", "", IF(J2691="Long Term", 12.5%, 20%))</f>
        <v/>
      </c>
      <c r="L2691" s="3">
        <f>+IFERROR(IF(J2691="","",H2691*K2691),"")</f>
        <v/>
      </c>
    </row>
    <row r="2692">
      <c r="A2692" s="11" t="n"/>
      <c r="B2692" s="7" t="n"/>
      <c r="C2692" s="8" t="n"/>
      <c r="D2692" s="9" t="n"/>
      <c r="E2692" s="8" t="n"/>
      <c r="F2692" s="9" t="n"/>
      <c r="G2692" s="9" t="n"/>
      <c r="H2692" s="3">
        <f>IF(AND(D2692&lt;&gt;"",F2692&lt;&gt;""),F2692-D2692-G2692,"")</f>
        <v/>
      </c>
      <c r="I2692" s="14">
        <f>IF(E2692&lt;&gt;"", YEARFRAC(C2692, E2692) * 12, "")</f>
        <v/>
      </c>
      <c r="J2692" s="2">
        <f>IF(I2692="", "", IF(AND(A2692="MF (Equity)", I2692&gt;12), "Long Term", "Short Term"))</f>
        <v/>
      </c>
      <c r="K2692" s="5">
        <f>IF(J2692="", "", IF(J2692="Long Term", 12.5%, 20%))</f>
        <v/>
      </c>
      <c r="L2692" s="3">
        <f>+IFERROR(IF(J2692="","",H2692*K2692),"")</f>
        <v/>
      </c>
    </row>
    <row r="2693">
      <c r="A2693" s="11" t="n"/>
      <c r="B2693" s="7" t="n"/>
      <c r="C2693" s="8" t="n"/>
      <c r="D2693" s="9" t="n"/>
      <c r="E2693" s="8" t="n"/>
      <c r="F2693" s="9" t="n"/>
      <c r="G2693" s="9" t="n"/>
      <c r="H2693" s="3">
        <f>IF(AND(D2693&lt;&gt;"",F2693&lt;&gt;""),F2693-D2693-G2693,"")</f>
        <v/>
      </c>
      <c r="I2693" s="14">
        <f>IF(E2693&lt;&gt;"", YEARFRAC(C2693, E2693) * 12, "")</f>
        <v/>
      </c>
      <c r="J2693" s="2">
        <f>IF(I2693="", "", IF(AND(A2693="MF (Equity)", I2693&gt;12), "Long Term", "Short Term"))</f>
        <v/>
      </c>
      <c r="K2693" s="5">
        <f>IF(J2693="", "", IF(J2693="Long Term", 12.5%, 20%))</f>
        <v/>
      </c>
      <c r="L2693" s="3">
        <f>+IFERROR(IF(J2693="","",H2693*K2693),"")</f>
        <v/>
      </c>
    </row>
    <row r="2694">
      <c r="A2694" s="11" t="n"/>
      <c r="B2694" s="7" t="n"/>
      <c r="C2694" s="8" t="n"/>
      <c r="D2694" s="9" t="n"/>
      <c r="E2694" s="8" t="n"/>
      <c r="F2694" s="9" t="n"/>
      <c r="G2694" s="9" t="n"/>
      <c r="H2694" s="3">
        <f>IF(AND(D2694&lt;&gt;"",F2694&lt;&gt;""),F2694-D2694-G2694,"")</f>
        <v/>
      </c>
      <c r="I2694" s="14">
        <f>IF(E2694&lt;&gt;"", YEARFRAC(C2694, E2694) * 12, "")</f>
        <v/>
      </c>
      <c r="J2694" s="2">
        <f>IF(I2694="", "", IF(AND(A2694="MF (Equity)", I2694&gt;12), "Long Term", "Short Term"))</f>
        <v/>
      </c>
      <c r="K2694" s="5">
        <f>IF(J2694="", "", IF(J2694="Long Term", 12.5%, 20%))</f>
        <v/>
      </c>
      <c r="L2694" s="3">
        <f>+IFERROR(IF(J2694="","",H2694*K2694),"")</f>
        <v/>
      </c>
    </row>
    <row r="2695">
      <c r="A2695" s="11" t="n"/>
      <c r="B2695" s="7" t="n"/>
      <c r="C2695" s="8" t="n"/>
      <c r="D2695" s="9" t="n"/>
      <c r="E2695" s="8" t="n"/>
      <c r="F2695" s="9" t="n"/>
      <c r="G2695" s="9" t="n"/>
      <c r="H2695" s="3">
        <f>IF(AND(D2695&lt;&gt;"",F2695&lt;&gt;""),F2695-D2695-G2695,"")</f>
        <v/>
      </c>
      <c r="I2695" s="14">
        <f>IF(E2695&lt;&gt;"", YEARFRAC(C2695, E2695) * 12, "")</f>
        <v/>
      </c>
      <c r="J2695" s="2">
        <f>IF(I2695="", "", IF(AND(A2695="MF (Equity)", I2695&gt;12), "Long Term", "Short Term"))</f>
        <v/>
      </c>
      <c r="K2695" s="5">
        <f>IF(J2695="", "", IF(J2695="Long Term", 12.5%, 20%))</f>
        <v/>
      </c>
      <c r="L2695" s="3">
        <f>+IFERROR(IF(J2695="","",H2695*K2695),"")</f>
        <v/>
      </c>
    </row>
    <row r="2696">
      <c r="A2696" s="11" t="n"/>
      <c r="B2696" s="7" t="n"/>
      <c r="C2696" s="8" t="n"/>
      <c r="D2696" s="9" t="n"/>
      <c r="E2696" s="8" t="n"/>
      <c r="F2696" s="9" t="n"/>
      <c r="G2696" s="9" t="n"/>
      <c r="H2696" s="3">
        <f>IF(AND(D2696&lt;&gt;"",F2696&lt;&gt;""),F2696-D2696-G2696,"")</f>
        <v/>
      </c>
      <c r="I2696" s="14">
        <f>IF(E2696&lt;&gt;"", YEARFRAC(C2696, E2696) * 12, "")</f>
        <v/>
      </c>
      <c r="J2696" s="2">
        <f>IF(I2696="", "", IF(AND(A2696="MF (Equity)", I2696&gt;12), "Long Term", "Short Term"))</f>
        <v/>
      </c>
      <c r="K2696" s="5">
        <f>IF(J2696="", "", IF(J2696="Long Term", 12.5%, 20%))</f>
        <v/>
      </c>
      <c r="L2696" s="3">
        <f>+IFERROR(IF(J2696="","",H2696*K2696),"")</f>
        <v/>
      </c>
    </row>
    <row r="2697">
      <c r="A2697" s="11" t="n"/>
      <c r="B2697" s="7" t="n"/>
      <c r="C2697" s="8" t="n"/>
      <c r="D2697" s="9" t="n"/>
      <c r="E2697" s="8" t="n"/>
      <c r="F2697" s="9" t="n"/>
      <c r="G2697" s="9" t="n"/>
      <c r="H2697" s="3">
        <f>IF(AND(D2697&lt;&gt;"",F2697&lt;&gt;""),F2697-D2697-G2697,"")</f>
        <v/>
      </c>
      <c r="I2697" s="14">
        <f>IF(E2697&lt;&gt;"", YEARFRAC(C2697, E2697) * 12, "")</f>
        <v/>
      </c>
      <c r="J2697" s="2">
        <f>IF(I2697="", "", IF(AND(A2697="MF (Equity)", I2697&gt;12), "Long Term", "Short Term"))</f>
        <v/>
      </c>
      <c r="K2697" s="5">
        <f>IF(J2697="", "", IF(J2697="Long Term", 12.5%, 20%))</f>
        <v/>
      </c>
      <c r="L2697" s="3">
        <f>+IFERROR(IF(J2697="","",H2697*K2697),"")</f>
        <v/>
      </c>
    </row>
    <row r="2698">
      <c r="A2698" s="11" t="n"/>
      <c r="B2698" s="7" t="n"/>
      <c r="C2698" s="8" t="n"/>
      <c r="D2698" s="9" t="n"/>
      <c r="E2698" s="8" t="n"/>
      <c r="F2698" s="9" t="n"/>
      <c r="G2698" s="9" t="n"/>
      <c r="H2698" s="3">
        <f>IF(AND(D2698&lt;&gt;"",F2698&lt;&gt;""),F2698-D2698-G2698,"")</f>
        <v/>
      </c>
      <c r="I2698" s="14">
        <f>IF(E2698&lt;&gt;"", YEARFRAC(C2698, E2698) * 12, "")</f>
        <v/>
      </c>
      <c r="J2698" s="2">
        <f>IF(I2698="", "", IF(AND(A2698="MF (Equity)", I2698&gt;12), "Long Term", "Short Term"))</f>
        <v/>
      </c>
      <c r="K2698" s="5">
        <f>IF(J2698="", "", IF(J2698="Long Term", 12.5%, 20%))</f>
        <v/>
      </c>
      <c r="L2698" s="3">
        <f>+IFERROR(IF(J2698="","",H2698*K2698),"")</f>
        <v/>
      </c>
    </row>
    <row r="2699">
      <c r="A2699" s="11" t="n"/>
      <c r="B2699" s="7" t="n"/>
      <c r="C2699" s="8" t="n"/>
      <c r="D2699" s="9" t="n"/>
      <c r="E2699" s="8" t="n"/>
      <c r="F2699" s="9" t="n"/>
      <c r="G2699" s="9" t="n"/>
      <c r="H2699" s="3">
        <f>IF(AND(D2699&lt;&gt;"",F2699&lt;&gt;""),F2699-D2699-G2699,"")</f>
        <v/>
      </c>
      <c r="I2699" s="14">
        <f>IF(E2699&lt;&gt;"", YEARFRAC(C2699, E2699) * 12, "")</f>
        <v/>
      </c>
      <c r="J2699" s="2">
        <f>IF(I2699="", "", IF(AND(A2699="MF (Equity)", I2699&gt;12), "Long Term", "Short Term"))</f>
        <v/>
      </c>
      <c r="K2699" s="5">
        <f>IF(J2699="", "", IF(J2699="Long Term", 12.5%, 20%))</f>
        <v/>
      </c>
      <c r="L2699" s="3">
        <f>+IFERROR(IF(J2699="","",H2699*K2699),"")</f>
        <v/>
      </c>
    </row>
    <row r="2700">
      <c r="A2700" s="11" t="n"/>
      <c r="B2700" s="7" t="n"/>
      <c r="C2700" s="8" t="n"/>
      <c r="D2700" s="9" t="n"/>
      <c r="E2700" s="8" t="n"/>
      <c r="F2700" s="9" t="n"/>
      <c r="G2700" s="9" t="n"/>
      <c r="H2700" s="3">
        <f>IF(AND(D2700&lt;&gt;"",F2700&lt;&gt;""),F2700-D2700-G2700,"")</f>
        <v/>
      </c>
      <c r="I2700" s="14">
        <f>IF(E2700&lt;&gt;"", YEARFRAC(C2700, E2700) * 12, "")</f>
        <v/>
      </c>
      <c r="J2700" s="2">
        <f>IF(I2700="", "", IF(AND(A2700="MF (Equity)", I2700&gt;12), "Long Term", "Short Term"))</f>
        <v/>
      </c>
      <c r="K2700" s="5">
        <f>IF(J2700="", "", IF(J2700="Long Term", 12.5%, 20%))</f>
        <v/>
      </c>
      <c r="L2700" s="3">
        <f>+IFERROR(IF(J2700="","",H2700*K2700),"")</f>
        <v/>
      </c>
    </row>
    <row r="2701">
      <c r="A2701" s="11" t="n"/>
      <c r="B2701" s="7" t="n"/>
      <c r="C2701" s="8" t="n"/>
      <c r="D2701" s="9" t="n"/>
      <c r="E2701" s="8" t="n"/>
      <c r="F2701" s="9" t="n"/>
      <c r="G2701" s="9" t="n"/>
      <c r="H2701" s="3">
        <f>IF(AND(D2701&lt;&gt;"",F2701&lt;&gt;""),F2701-D2701-G2701,"")</f>
        <v/>
      </c>
      <c r="I2701" s="14">
        <f>IF(E2701&lt;&gt;"", YEARFRAC(C2701, E2701) * 12, "")</f>
        <v/>
      </c>
      <c r="J2701" s="2">
        <f>IF(I2701="", "", IF(AND(A2701="MF (Equity)", I2701&gt;12), "Long Term", "Short Term"))</f>
        <v/>
      </c>
      <c r="K2701" s="5">
        <f>IF(J2701="", "", IF(J2701="Long Term", 12.5%, 20%))</f>
        <v/>
      </c>
      <c r="L2701" s="3">
        <f>+IFERROR(IF(J2701="","",H2701*K2701),"")</f>
        <v/>
      </c>
    </row>
    <row r="2702">
      <c r="A2702" s="11" t="n"/>
      <c r="B2702" s="7" t="n"/>
      <c r="C2702" s="8" t="n"/>
      <c r="D2702" s="9" t="n"/>
      <c r="E2702" s="8" t="n"/>
      <c r="F2702" s="9" t="n"/>
      <c r="G2702" s="9" t="n"/>
      <c r="H2702" s="3">
        <f>IF(AND(D2702&lt;&gt;"",F2702&lt;&gt;""),F2702-D2702-G2702,"")</f>
        <v/>
      </c>
      <c r="I2702" s="14">
        <f>IF(E2702&lt;&gt;"", YEARFRAC(C2702, E2702) * 12, "")</f>
        <v/>
      </c>
      <c r="J2702" s="2">
        <f>IF(I2702="", "", IF(AND(A2702="MF (Equity)", I2702&gt;12), "Long Term", "Short Term"))</f>
        <v/>
      </c>
      <c r="K2702" s="5">
        <f>IF(J2702="", "", IF(J2702="Long Term", 12.5%, 20%))</f>
        <v/>
      </c>
      <c r="L2702" s="3">
        <f>+IFERROR(IF(J2702="","",H2702*K2702),"")</f>
        <v/>
      </c>
    </row>
    <row r="2703">
      <c r="A2703" s="11" t="n"/>
      <c r="B2703" s="7" t="n"/>
      <c r="C2703" s="8" t="n"/>
      <c r="D2703" s="9" t="n"/>
      <c r="E2703" s="8" t="n"/>
      <c r="F2703" s="9" t="n"/>
      <c r="G2703" s="9" t="n"/>
      <c r="H2703" s="3">
        <f>IF(AND(D2703&lt;&gt;"",F2703&lt;&gt;""),F2703-D2703-G2703,"")</f>
        <v/>
      </c>
      <c r="I2703" s="14">
        <f>IF(E2703&lt;&gt;"", YEARFRAC(C2703, E2703) * 12, "")</f>
        <v/>
      </c>
      <c r="J2703" s="2">
        <f>IF(I2703="", "", IF(AND(A2703="MF (Equity)", I2703&gt;12), "Long Term", "Short Term"))</f>
        <v/>
      </c>
      <c r="K2703" s="5">
        <f>IF(J2703="", "", IF(J2703="Long Term", 12.5%, 20%))</f>
        <v/>
      </c>
      <c r="L2703" s="3">
        <f>+IFERROR(IF(J2703="","",H2703*K2703),"")</f>
        <v/>
      </c>
    </row>
    <row r="2704">
      <c r="A2704" s="11" t="n"/>
      <c r="B2704" s="7" t="n"/>
      <c r="C2704" s="8" t="n"/>
      <c r="D2704" s="9" t="n"/>
      <c r="E2704" s="8" t="n"/>
      <c r="F2704" s="9" t="n"/>
      <c r="G2704" s="9" t="n"/>
      <c r="H2704" s="3">
        <f>IF(AND(D2704&lt;&gt;"",F2704&lt;&gt;""),F2704-D2704-G2704,"")</f>
        <v/>
      </c>
      <c r="I2704" s="14">
        <f>IF(E2704&lt;&gt;"", YEARFRAC(C2704, E2704) * 12, "")</f>
        <v/>
      </c>
      <c r="J2704" s="2">
        <f>IF(I2704="", "", IF(AND(A2704="MF (Equity)", I2704&gt;12), "Long Term", "Short Term"))</f>
        <v/>
      </c>
      <c r="K2704" s="5">
        <f>IF(J2704="", "", IF(J2704="Long Term", 12.5%, 20%))</f>
        <v/>
      </c>
      <c r="L2704" s="3">
        <f>+IFERROR(IF(J2704="","",H2704*K2704),"")</f>
        <v/>
      </c>
    </row>
    <row r="2705">
      <c r="A2705" s="11" t="n"/>
      <c r="B2705" s="7" t="n"/>
      <c r="C2705" s="8" t="n"/>
      <c r="D2705" s="9" t="n"/>
      <c r="E2705" s="8" t="n"/>
      <c r="F2705" s="9" t="n"/>
      <c r="G2705" s="9" t="n"/>
      <c r="H2705" s="3">
        <f>IF(AND(D2705&lt;&gt;"",F2705&lt;&gt;""),F2705-D2705-G2705,"")</f>
        <v/>
      </c>
      <c r="I2705" s="14">
        <f>IF(E2705&lt;&gt;"", YEARFRAC(C2705, E2705) * 12, "")</f>
        <v/>
      </c>
      <c r="J2705" s="2">
        <f>IF(I2705="", "", IF(AND(A2705="MF (Equity)", I2705&gt;12), "Long Term", "Short Term"))</f>
        <v/>
      </c>
      <c r="K2705" s="5">
        <f>IF(J2705="", "", IF(J2705="Long Term", 12.5%, 20%))</f>
        <v/>
      </c>
      <c r="L2705" s="3">
        <f>+IFERROR(IF(J2705="","",H2705*K2705),"")</f>
        <v/>
      </c>
    </row>
    <row r="2706">
      <c r="A2706" s="11" t="n"/>
      <c r="B2706" s="7" t="n"/>
      <c r="C2706" s="8" t="n"/>
      <c r="D2706" s="9" t="n"/>
      <c r="E2706" s="8" t="n"/>
      <c r="F2706" s="9" t="n"/>
      <c r="G2706" s="9" t="n"/>
      <c r="H2706" s="3">
        <f>IF(AND(D2706&lt;&gt;"",F2706&lt;&gt;""),F2706-D2706-G2706,"")</f>
        <v/>
      </c>
      <c r="I2706" s="14">
        <f>IF(E2706&lt;&gt;"", YEARFRAC(C2706, E2706) * 12, "")</f>
        <v/>
      </c>
      <c r="J2706" s="2">
        <f>IF(I2706="", "", IF(AND(A2706="MF (Equity)", I2706&gt;12), "Long Term", "Short Term"))</f>
        <v/>
      </c>
      <c r="K2706" s="5">
        <f>IF(J2706="", "", IF(J2706="Long Term", 12.5%, 20%))</f>
        <v/>
      </c>
      <c r="L2706" s="3">
        <f>+IFERROR(IF(J2706="","",H2706*K2706),"")</f>
        <v/>
      </c>
    </row>
    <row r="2707">
      <c r="A2707" s="11" t="n"/>
      <c r="B2707" s="7" t="n"/>
      <c r="C2707" s="8" t="n"/>
      <c r="D2707" s="9" t="n"/>
      <c r="E2707" s="8" t="n"/>
      <c r="F2707" s="9" t="n"/>
      <c r="G2707" s="9" t="n"/>
      <c r="H2707" s="3">
        <f>IF(AND(D2707&lt;&gt;"",F2707&lt;&gt;""),F2707-D2707-G2707,"")</f>
        <v/>
      </c>
      <c r="I2707" s="14">
        <f>IF(E2707&lt;&gt;"", YEARFRAC(C2707, E2707) * 12, "")</f>
        <v/>
      </c>
      <c r="J2707" s="2">
        <f>IF(I2707="", "", IF(AND(A2707="MF (Equity)", I2707&gt;12), "Long Term", "Short Term"))</f>
        <v/>
      </c>
      <c r="K2707" s="5">
        <f>IF(J2707="", "", IF(J2707="Long Term", 12.5%, 20%))</f>
        <v/>
      </c>
      <c r="L2707" s="3">
        <f>+IFERROR(IF(J2707="","",H2707*K2707),"")</f>
        <v/>
      </c>
    </row>
    <row r="2708">
      <c r="A2708" s="11" t="n"/>
      <c r="B2708" s="7" t="n"/>
      <c r="C2708" s="8" t="n"/>
      <c r="D2708" s="9" t="n"/>
      <c r="E2708" s="8" t="n"/>
      <c r="F2708" s="9" t="n"/>
      <c r="G2708" s="9" t="n"/>
      <c r="H2708" s="3">
        <f>IF(AND(D2708&lt;&gt;"",F2708&lt;&gt;""),F2708-D2708-G2708,"")</f>
        <v/>
      </c>
      <c r="I2708" s="14">
        <f>IF(E2708&lt;&gt;"", YEARFRAC(C2708, E2708) * 12, "")</f>
        <v/>
      </c>
      <c r="J2708" s="2">
        <f>IF(I2708="", "", IF(AND(A2708="MF (Equity)", I2708&gt;12), "Long Term", "Short Term"))</f>
        <v/>
      </c>
      <c r="K2708" s="5">
        <f>IF(J2708="", "", IF(J2708="Long Term", 12.5%, 20%))</f>
        <v/>
      </c>
      <c r="L2708" s="3">
        <f>+IFERROR(IF(J2708="","",H2708*K2708),"")</f>
        <v/>
      </c>
    </row>
    <row r="2709">
      <c r="A2709" s="11" t="n"/>
      <c r="B2709" s="7" t="n"/>
      <c r="C2709" s="8" t="n"/>
      <c r="D2709" s="9" t="n"/>
      <c r="E2709" s="8" t="n"/>
      <c r="F2709" s="9" t="n"/>
      <c r="G2709" s="9" t="n"/>
      <c r="H2709" s="3">
        <f>IF(AND(D2709&lt;&gt;"",F2709&lt;&gt;""),F2709-D2709-G2709,"")</f>
        <v/>
      </c>
      <c r="I2709" s="14">
        <f>IF(E2709&lt;&gt;"", YEARFRAC(C2709, E2709) * 12, "")</f>
        <v/>
      </c>
      <c r="J2709" s="2">
        <f>IF(I2709="", "", IF(AND(A2709="MF (Equity)", I2709&gt;12), "Long Term", "Short Term"))</f>
        <v/>
      </c>
      <c r="K2709" s="5">
        <f>IF(J2709="", "", IF(J2709="Long Term", 12.5%, 20%))</f>
        <v/>
      </c>
      <c r="L2709" s="3">
        <f>+IFERROR(IF(J2709="","",H2709*K2709),"")</f>
        <v/>
      </c>
    </row>
    <row r="2710">
      <c r="A2710" s="11" t="n"/>
      <c r="B2710" s="7" t="n"/>
      <c r="C2710" s="8" t="n"/>
      <c r="D2710" s="9" t="n"/>
      <c r="E2710" s="8" t="n"/>
      <c r="F2710" s="9" t="n"/>
      <c r="G2710" s="9" t="n"/>
      <c r="H2710" s="3">
        <f>IF(AND(D2710&lt;&gt;"",F2710&lt;&gt;""),F2710-D2710-G2710,"")</f>
        <v/>
      </c>
      <c r="I2710" s="14">
        <f>IF(E2710&lt;&gt;"", YEARFRAC(C2710, E2710) * 12, "")</f>
        <v/>
      </c>
      <c r="J2710" s="2">
        <f>IF(I2710="", "", IF(AND(A2710="MF (Equity)", I2710&gt;12), "Long Term", "Short Term"))</f>
        <v/>
      </c>
      <c r="K2710" s="5">
        <f>IF(J2710="", "", IF(J2710="Long Term", 12.5%, 20%))</f>
        <v/>
      </c>
      <c r="L2710" s="3">
        <f>+IFERROR(IF(J2710="","",H2710*K2710),"")</f>
        <v/>
      </c>
    </row>
    <row r="2711">
      <c r="A2711" s="11" t="n"/>
      <c r="B2711" s="7" t="n"/>
      <c r="C2711" s="8" t="n"/>
      <c r="D2711" s="9" t="n"/>
      <c r="E2711" s="8" t="n"/>
      <c r="F2711" s="9" t="n"/>
      <c r="G2711" s="9" t="n"/>
      <c r="H2711" s="3">
        <f>IF(AND(D2711&lt;&gt;"",F2711&lt;&gt;""),F2711-D2711-G2711,"")</f>
        <v/>
      </c>
      <c r="I2711" s="14">
        <f>IF(E2711&lt;&gt;"", YEARFRAC(C2711, E2711) * 12, "")</f>
        <v/>
      </c>
      <c r="J2711" s="2">
        <f>IF(I2711="", "", IF(AND(A2711="MF (Equity)", I2711&gt;12), "Long Term", "Short Term"))</f>
        <v/>
      </c>
      <c r="K2711" s="5">
        <f>IF(J2711="", "", IF(J2711="Long Term", 12.5%, 20%))</f>
        <v/>
      </c>
      <c r="L2711" s="3">
        <f>+IFERROR(IF(J2711="","",H2711*K2711),"")</f>
        <v/>
      </c>
    </row>
    <row r="2712">
      <c r="A2712" s="11" t="n"/>
      <c r="B2712" s="7" t="n"/>
      <c r="C2712" s="8" t="n"/>
      <c r="D2712" s="9" t="n"/>
      <c r="E2712" s="8" t="n"/>
      <c r="F2712" s="9" t="n"/>
      <c r="G2712" s="9" t="n"/>
      <c r="H2712" s="3">
        <f>IF(AND(D2712&lt;&gt;"",F2712&lt;&gt;""),F2712-D2712-G2712,"")</f>
        <v/>
      </c>
      <c r="I2712" s="14">
        <f>IF(E2712&lt;&gt;"", YEARFRAC(C2712, E2712) * 12, "")</f>
        <v/>
      </c>
      <c r="J2712" s="2">
        <f>IF(I2712="", "", IF(AND(A2712="MF (Equity)", I2712&gt;12), "Long Term", "Short Term"))</f>
        <v/>
      </c>
      <c r="K2712" s="5">
        <f>IF(J2712="", "", IF(J2712="Long Term", 12.5%, 20%))</f>
        <v/>
      </c>
      <c r="L2712" s="3">
        <f>+IFERROR(IF(J2712="","",H2712*K2712),"")</f>
        <v/>
      </c>
    </row>
    <row r="2713">
      <c r="A2713" s="11" t="n"/>
      <c r="B2713" s="7" t="n"/>
      <c r="C2713" s="8" t="n"/>
      <c r="D2713" s="9" t="n"/>
      <c r="E2713" s="8" t="n"/>
      <c r="F2713" s="9" t="n"/>
      <c r="G2713" s="9" t="n"/>
      <c r="H2713" s="3">
        <f>IF(AND(D2713&lt;&gt;"",F2713&lt;&gt;""),F2713-D2713-G2713,"")</f>
        <v/>
      </c>
      <c r="I2713" s="14">
        <f>IF(E2713&lt;&gt;"", YEARFRAC(C2713, E2713) * 12, "")</f>
        <v/>
      </c>
      <c r="J2713" s="2">
        <f>IF(I2713="", "", IF(AND(A2713="MF (Equity)", I2713&gt;12), "Long Term", "Short Term"))</f>
        <v/>
      </c>
      <c r="K2713" s="5">
        <f>IF(J2713="", "", IF(J2713="Long Term", 12.5%, 20%))</f>
        <v/>
      </c>
      <c r="L2713" s="3">
        <f>+IFERROR(IF(J2713="","",H2713*K2713),"")</f>
        <v/>
      </c>
    </row>
    <row r="2714">
      <c r="A2714" s="11" t="n"/>
      <c r="B2714" s="7" t="n"/>
      <c r="C2714" s="8" t="n"/>
      <c r="D2714" s="9" t="n"/>
      <c r="E2714" s="8" t="n"/>
      <c r="F2714" s="9" t="n"/>
      <c r="G2714" s="9" t="n"/>
      <c r="H2714" s="3">
        <f>IF(AND(D2714&lt;&gt;"",F2714&lt;&gt;""),F2714-D2714-G2714,"")</f>
        <v/>
      </c>
      <c r="I2714" s="14">
        <f>IF(E2714&lt;&gt;"", YEARFRAC(C2714, E2714) * 12, "")</f>
        <v/>
      </c>
      <c r="J2714" s="2">
        <f>IF(I2714="", "", IF(AND(A2714="MF (Equity)", I2714&gt;12), "Long Term", "Short Term"))</f>
        <v/>
      </c>
      <c r="K2714" s="5">
        <f>IF(J2714="", "", IF(J2714="Long Term", 12.5%, 20%))</f>
        <v/>
      </c>
      <c r="L2714" s="3">
        <f>+IFERROR(IF(J2714="","",H2714*K2714),"")</f>
        <v/>
      </c>
    </row>
    <row r="2715">
      <c r="A2715" s="11" t="n"/>
      <c r="B2715" s="7" t="n"/>
      <c r="C2715" s="8" t="n"/>
      <c r="D2715" s="9" t="n"/>
      <c r="E2715" s="8" t="n"/>
      <c r="F2715" s="9" t="n"/>
      <c r="G2715" s="9" t="n"/>
      <c r="H2715" s="3">
        <f>IF(AND(D2715&lt;&gt;"",F2715&lt;&gt;""),F2715-D2715-G2715,"")</f>
        <v/>
      </c>
      <c r="I2715" s="14">
        <f>IF(E2715&lt;&gt;"", YEARFRAC(C2715, E2715) * 12, "")</f>
        <v/>
      </c>
      <c r="J2715" s="2">
        <f>IF(I2715="", "", IF(AND(A2715="MF (Equity)", I2715&gt;12), "Long Term", "Short Term"))</f>
        <v/>
      </c>
      <c r="K2715" s="5">
        <f>IF(J2715="", "", IF(J2715="Long Term", 12.5%, 20%))</f>
        <v/>
      </c>
      <c r="L2715" s="3">
        <f>+IFERROR(IF(J2715="","",H2715*K2715),"")</f>
        <v/>
      </c>
    </row>
    <row r="2716">
      <c r="A2716" s="11" t="n"/>
      <c r="B2716" s="7" t="n"/>
      <c r="C2716" s="8" t="n"/>
      <c r="D2716" s="9" t="n"/>
      <c r="E2716" s="8" t="n"/>
      <c r="F2716" s="9" t="n"/>
      <c r="G2716" s="9" t="n"/>
      <c r="H2716" s="3">
        <f>IF(AND(D2716&lt;&gt;"",F2716&lt;&gt;""),F2716-D2716-G2716,"")</f>
        <v/>
      </c>
      <c r="I2716" s="14">
        <f>IF(E2716&lt;&gt;"", YEARFRAC(C2716, E2716) * 12, "")</f>
        <v/>
      </c>
      <c r="J2716" s="2">
        <f>IF(I2716="", "", IF(AND(A2716="MF (Equity)", I2716&gt;12), "Long Term", "Short Term"))</f>
        <v/>
      </c>
      <c r="K2716" s="5">
        <f>IF(J2716="", "", IF(J2716="Long Term", 12.5%, 20%))</f>
        <v/>
      </c>
      <c r="L2716" s="3">
        <f>+IFERROR(IF(J2716="","",H2716*K2716),"")</f>
        <v/>
      </c>
    </row>
    <row r="2717">
      <c r="A2717" s="11" t="n"/>
      <c r="B2717" s="7" t="n"/>
      <c r="C2717" s="8" t="n"/>
      <c r="D2717" s="9" t="n"/>
      <c r="E2717" s="8" t="n"/>
      <c r="F2717" s="9" t="n"/>
      <c r="G2717" s="9" t="n"/>
      <c r="H2717" s="3">
        <f>IF(AND(D2717&lt;&gt;"",F2717&lt;&gt;""),F2717-D2717-G2717,"")</f>
        <v/>
      </c>
      <c r="I2717" s="14">
        <f>IF(E2717&lt;&gt;"", YEARFRAC(C2717, E2717) * 12, "")</f>
        <v/>
      </c>
      <c r="J2717" s="2">
        <f>IF(I2717="", "", IF(AND(A2717="MF (Equity)", I2717&gt;12), "Long Term", "Short Term"))</f>
        <v/>
      </c>
      <c r="K2717" s="5">
        <f>IF(J2717="", "", IF(J2717="Long Term", 12.5%, 20%))</f>
        <v/>
      </c>
      <c r="L2717" s="3">
        <f>+IFERROR(IF(J2717="","",H2717*K2717),"")</f>
        <v/>
      </c>
    </row>
    <row r="2718">
      <c r="A2718" s="11" t="n"/>
      <c r="B2718" s="7" t="n"/>
      <c r="C2718" s="8" t="n"/>
      <c r="D2718" s="9" t="n"/>
      <c r="E2718" s="8" t="n"/>
      <c r="F2718" s="9" t="n"/>
      <c r="G2718" s="9" t="n"/>
      <c r="H2718" s="3">
        <f>IF(AND(D2718&lt;&gt;"",F2718&lt;&gt;""),F2718-D2718-G2718,"")</f>
        <v/>
      </c>
      <c r="I2718" s="14">
        <f>IF(E2718&lt;&gt;"", YEARFRAC(C2718, E2718) * 12, "")</f>
        <v/>
      </c>
      <c r="J2718" s="2">
        <f>IF(I2718="", "", IF(AND(A2718="MF (Equity)", I2718&gt;12), "Long Term", "Short Term"))</f>
        <v/>
      </c>
      <c r="K2718" s="5">
        <f>IF(J2718="", "", IF(J2718="Long Term", 12.5%, 20%))</f>
        <v/>
      </c>
      <c r="L2718" s="3">
        <f>+IFERROR(IF(J2718="","",H2718*K2718),"")</f>
        <v/>
      </c>
    </row>
    <row r="2719">
      <c r="A2719" s="11" t="n"/>
      <c r="B2719" s="7" t="n"/>
      <c r="C2719" s="8" t="n"/>
      <c r="D2719" s="9" t="n"/>
      <c r="E2719" s="8" t="n"/>
      <c r="F2719" s="9" t="n"/>
      <c r="G2719" s="9" t="n"/>
      <c r="H2719" s="3">
        <f>IF(AND(D2719&lt;&gt;"",F2719&lt;&gt;""),F2719-D2719-G2719,"")</f>
        <v/>
      </c>
      <c r="I2719" s="14">
        <f>IF(E2719&lt;&gt;"", YEARFRAC(C2719, E2719) * 12, "")</f>
        <v/>
      </c>
      <c r="J2719" s="2">
        <f>IF(I2719="", "", IF(AND(A2719="MF (Equity)", I2719&gt;12), "Long Term", "Short Term"))</f>
        <v/>
      </c>
      <c r="K2719" s="5">
        <f>IF(J2719="", "", IF(J2719="Long Term", 12.5%, 20%))</f>
        <v/>
      </c>
      <c r="L2719" s="3">
        <f>+IFERROR(IF(J2719="","",H2719*K2719),"")</f>
        <v/>
      </c>
    </row>
    <row r="2720">
      <c r="A2720" s="11" t="n"/>
      <c r="B2720" s="7" t="n"/>
      <c r="C2720" s="8" t="n"/>
      <c r="D2720" s="9" t="n"/>
      <c r="E2720" s="8" t="n"/>
      <c r="F2720" s="9" t="n"/>
      <c r="G2720" s="9" t="n"/>
      <c r="H2720" s="3">
        <f>IF(AND(D2720&lt;&gt;"",F2720&lt;&gt;""),F2720-D2720-G2720,"")</f>
        <v/>
      </c>
      <c r="I2720" s="14">
        <f>IF(E2720&lt;&gt;"", YEARFRAC(C2720, E2720) * 12, "")</f>
        <v/>
      </c>
      <c r="J2720" s="2">
        <f>IF(I2720="", "", IF(AND(A2720="MF (Equity)", I2720&gt;12), "Long Term", "Short Term"))</f>
        <v/>
      </c>
      <c r="K2720" s="5">
        <f>IF(J2720="", "", IF(J2720="Long Term", 12.5%, 20%))</f>
        <v/>
      </c>
      <c r="L2720" s="3">
        <f>+IFERROR(IF(J2720="","",H2720*K2720),"")</f>
        <v/>
      </c>
    </row>
    <row r="2721">
      <c r="A2721" s="11" t="n"/>
      <c r="B2721" s="7" t="n"/>
      <c r="C2721" s="8" t="n"/>
      <c r="D2721" s="9" t="n"/>
      <c r="E2721" s="8" t="n"/>
      <c r="F2721" s="9" t="n"/>
      <c r="G2721" s="9" t="n"/>
      <c r="H2721" s="3">
        <f>IF(AND(D2721&lt;&gt;"",F2721&lt;&gt;""),F2721-D2721-G2721,"")</f>
        <v/>
      </c>
      <c r="I2721" s="14">
        <f>IF(E2721&lt;&gt;"", YEARFRAC(C2721, E2721) * 12, "")</f>
        <v/>
      </c>
      <c r="J2721" s="2">
        <f>IF(I2721="", "", IF(AND(A2721="MF (Equity)", I2721&gt;12), "Long Term", "Short Term"))</f>
        <v/>
      </c>
      <c r="K2721" s="5">
        <f>IF(J2721="", "", IF(J2721="Long Term", 12.5%, 20%))</f>
        <v/>
      </c>
      <c r="L2721" s="3">
        <f>+IFERROR(IF(J2721="","",H2721*K2721),"")</f>
        <v/>
      </c>
    </row>
    <row r="2722">
      <c r="A2722" s="11" t="n"/>
      <c r="B2722" s="7" t="n"/>
      <c r="C2722" s="8" t="n"/>
      <c r="D2722" s="9" t="n"/>
      <c r="E2722" s="8" t="n"/>
      <c r="F2722" s="9" t="n"/>
      <c r="G2722" s="9" t="n"/>
      <c r="H2722" s="3">
        <f>IF(AND(D2722&lt;&gt;"",F2722&lt;&gt;""),F2722-D2722-G2722,"")</f>
        <v/>
      </c>
      <c r="I2722" s="14">
        <f>IF(E2722&lt;&gt;"", YEARFRAC(C2722, E2722) * 12, "")</f>
        <v/>
      </c>
      <c r="J2722" s="2">
        <f>IF(I2722="", "", IF(AND(A2722="MF (Equity)", I2722&gt;12), "Long Term", "Short Term"))</f>
        <v/>
      </c>
      <c r="K2722" s="5">
        <f>IF(J2722="", "", IF(J2722="Long Term", 12.5%, 20%))</f>
        <v/>
      </c>
      <c r="L2722" s="3">
        <f>+IFERROR(IF(J2722="","",H2722*K2722),"")</f>
        <v/>
      </c>
    </row>
    <row r="2723">
      <c r="A2723" s="11" t="n"/>
      <c r="B2723" s="7" t="n"/>
      <c r="C2723" s="8" t="n"/>
      <c r="D2723" s="9" t="n"/>
      <c r="E2723" s="8" t="n"/>
      <c r="F2723" s="9" t="n"/>
      <c r="G2723" s="9" t="n"/>
      <c r="H2723" s="3">
        <f>IF(AND(D2723&lt;&gt;"",F2723&lt;&gt;""),F2723-D2723-G2723,"")</f>
        <v/>
      </c>
      <c r="I2723" s="14">
        <f>IF(E2723&lt;&gt;"", YEARFRAC(C2723, E2723) * 12, "")</f>
        <v/>
      </c>
      <c r="J2723" s="2">
        <f>IF(I2723="", "", IF(AND(A2723="MF (Equity)", I2723&gt;12), "Long Term", "Short Term"))</f>
        <v/>
      </c>
      <c r="K2723" s="5">
        <f>IF(J2723="", "", IF(J2723="Long Term", 12.5%, 20%))</f>
        <v/>
      </c>
      <c r="L2723" s="3">
        <f>+IFERROR(IF(J2723="","",H2723*K2723),"")</f>
        <v/>
      </c>
    </row>
    <row r="2724">
      <c r="A2724" s="11" t="n"/>
      <c r="B2724" s="7" t="n"/>
      <c r="C2724" s="8" t="n"/>
      <c r="D2724" s="9" t="n"/>
      <c r="E2724" s="8" t="n"/>
      <c r="F2724" s="9" t="n"/>
      <c r="G2724" s="9" t="n"/>
      <c r="H2724" s="3">
        <f>IF(AND(D2724&lt;&gt;"",F2724&lt;&gt;""),F2724-D2724-G2724,"")</f>
        <v/>
      </c>
      <c r="I2724" s="14">
        <f>IF(E2724&lt;&gt;"", YEARFRAC(C2724, E2724) * 12, "")</f>
        <v/>
      </c>
      <c r="J2724" s="2">
        <f>IF(I2724="", "", IF(AND(A2724="MF (Equity)", I2724&gt;12), "Long Term", "Short Term"))</f>
        <v/>
      </c>
      <c r="K2724" s="5">
        <f>IF(J2724="", "", IF(J2724="Long Term", 12.5%, 20%))</f>
        <v/>
      </c>
      <c r="L2724" s="3">
        <f>+IFERROR(IF(J2724="","",H2724*K2724),"")</f>
        <v/>
      </c>
    </row>
    <row r="2725">
      <c r="A2725" s="11" t="n"/>
      <c r="B2725" s="7" t="n"/>
      <c r="C2725" s="8" t="n"/>
      <c r="D2725" s="9" t="n"/>
      <c r="E2725" s="8" t="n"/>
      <c r="F2725" s="9" t="n"/>
      <c r="G2725" s="9" t="n"/>
      <c r="H2725" s="3">
        <f>IF(AND(D2725&lt;&gt;"",F2725&lt;&gt;""),F2725-D2725-G2725,"")</f>
        <v/>
      </c>
      <c r="I2725" s="14">
        <f>IF(E2725&lt;&gt;"", YEARFRAC(C2725, E2725) * 12, "")</f>
        <v/>
      </c>
      <c r="J2725" s="2">
        <f>IF(I2725="", "", IF(AND(A2725="MF (Equity)", I2725&gt;12), "Long Term", "Short Term"))</f>
        <v/>
      </c>
      <c r="K2725" s="5">
        <f>IF(J2725="", "", IF(J2725="Long Term", 12.5%, 20%))</f>
        <v/>
      </c>
      <c r="L2725" s="3">
        <f>+IFERROR(IF(J2725="","",H2725*K2725),"")</f>
        <v/>
      </c>
    </row>
    <row r="2726">
      <c r="A2726" s="11" t="n"/>
      <c r="B2726" s="7" t="n"/>
      <c r="C2726" s="8" t="n"/>
      <c r="D2726" s="9" t="n"/>
      <c r="E2726" s="8" t="n"/>
      <c r="F2726" s="9" t="n"/>
      <c r="G2726" s="9" t="n"/>
      <c r="H2726" s="3">
        <f>IF(AND(D2726&lt;&gt;"",F2726&lt;&gt;""),F2726-D2726-G2726,"")</f>
        <v/>
      </c>
      <c r="I2726" s="14">
        <f>IF(E2726&lt;&gt;"", YEARFRAC(C2726, E2726) * 12, "")</f>
        <v/>
      </c>
      <c r="J2726" s="2">
        <f>IF(I2726="", "", IF(AND(A2726="MF (Equity)", I2726&gt;12), "Long Term", "Short Term"))</f>
        <v/>
      </c>
      <c r="K2726" s="5">
        <f>IF(J2726="", "", IF(J2726="Long Term", 12.5%, 20%))</f>
        <v/>
      </c>
      <c r="L2726" s="3">
        <f>+IFERROR(IF(J2726="","",H2726*K2726),"")</f>
        <v/>
      </c>
    </row>
    <row r="2727">
      <c r="A2727" s="11" t="n"/>
      <c r="B2727" s="7" t="n"/>
      <c r="C2727" s="8" t="n"/>
      <c r="D2727" s="9" t="n"/>
      <c r="E2727" s="8" t="n"/>
      <c r="F2727" s="9" t="n"/>
      <c r="G2727" s="9" t="n"/>
      <c r="H2727" s="3">
        <f>IF(AND(D2727&lt;&gt;"",F2727&lt;&gt;""),F2727-D2727-G2727,"")</f>
        <v/>
      </c>
      <c r="I2727" s="14">
        <f>IF(E2727&lt;&gt;"", YEARFRAC(C2727, E2727) * 12, "")</f>
        <v/>
      </c>
      <c r="J2727" s="2">
        <f>IF(I2727="", "", IF(AND(A2727="MF (Equity)", I2727&gt;12), "Long Term", "Short Term"))</f>
        <v/>
      </c>
      <c r="K2727" s="5">
        <f>IF(J2727="", "", IF(J2727="Long Term", 12.5%, 20%))</f>
        <v/>
      </c>
      <c r="L2727" s="3">
        <f>+IFERROR(IF(J2727="","",H2727*K2727),"")</f>
        <v/>
      </c>
    </row>
    <row r="2728">
      <c r="A2728" s="11" t="n"/>
      <c r="B2728" s="7" t="n"/>
      <c r="C2728" s="8" t="n"/>
      <c r="D2728" s="9" t="n"/>
      <c r="E2728" s="8" t="n"/>
      <c r="F2728" s="9" t="n"/>
      <c r="G2728" s="9" t="n"/>
      <c r="H2728" s="3">
        <f>IF(AND(D2728&lt;&gt;"",F2728&lt;&gt;""),F2728-D2728-G2728,"")</f>
        <v/>
      </c>
      <c r="I2728" s="14">
        <f>IF(E2728&lt;&gt;"", YEARFRAC(C2728, E2728) * 12, "")</f>
        <v/>
      </c>
      <c r="J2728" s="2">
        <f>IF(I2728="", "", IF(AND(A2728="MF (Equity)", I2728&gt;12), "Long Term", "Short Term"))</f>
        <v/>
      </c>
      <c r="K2728" s="5">
        <f>IF(J2728="", "", IF(J2728="Long Term", 12.5%, 20%))</f>
        <v/>
      </c>
      <c r="L2728" s="3">
        <f>+IFERROR(IF(J2728="","",H2728*K2728),"")</f>
        <v/>
      </c>
    </row>
    <row r="2729">
      <c r="A2729" s="11" t="n"/>
      <c r="B2729" s="7" t="n"/>
      <c r="C2729" s="8" t="n"/>
      <c r="D2729" s="9" t="n"/>
      <c r="E2729" s="8" t="n"/>
      <c r="F2729" s="9" t="n"/>
      <c r="G2729" s="9" t="n"/>
      <c r="H2729" s="3">
        <f>IF(AND(D2729&lt;&gt;"",F2729&lt;&gt;""),F2729-D2729-G2729,"")</f>
        <v/>
      </c>
      <c r="I2729" s="14">
        <f>IF(E2729&lt;&gt;"", YEARFRAC(C2729, E2729) * 12, "")</f>
        <v/>
      </c>
      <c r="J2729" s="2">
        <f>IF(I2729="", "", IF(AND(A2729="MF (Equity)", I2729&gt;12), "Long Term", "Short Term"))</f>
        <v/>
      </c>
      <c r="K2729" s="5">
        <f>IF(J2729="", "", IF(J2729="Long Term", 12.5%, 20%))</f>
        <v/>
      </c>
      <c r="L2729" s="3">
        <f>+IFERROR(IF(J2729="","",H2729*K2729),"")</f>
        <v/>
      </c>
    </row>
    <row r="2730">
      <c r="A2730" s="11" t="n"/>
      <c r="B2730" s="7" t="n"/>
      <c r="C2730" s="8" t="n"/>
      <c r="D2730" s="9" t="n"/>
      <c r="E2730" s="8" t="n"/>
      <c r="F2730" s="9" t="n"/>
      <c r="G2730" s="9" t="n"/>
      <c r="H2730" s="3">
        <f>IF(AND(D2730&lt;&gt;"",F2730&lt;&gt;""),F2730-D2730-G2730,"")</f>
        <v/>
      </c>
      <c r="I2730" s="14">
        <f>IF(E2730&lt;&gt;"", YEARFRAC(C2730, E2730) * 12, "")</f>
        <v/>
      </c>
      <c r="J2730" s="2">
        <f>IF(I2730="", "", IF(AND(A2730="MF (Equity)", I2730&gt;12), "Long Term", "Short Term"))</f>
        <v/>
      </c>
      <c r="K2730" s="5">
        <f>IF(J2730="", "", IF(J2730="Long Term", 12.5%, 20%))</f>
        <v/>
      </c>
      <c r="L2730" s="3">
        <f>+IFERROR(IF(J2730="","",H2730*K2730),"")</f>
        <v/>
      </c>
    </row>
    <row r="2731">
      <c r="A2731" s="11" t="n"/>
      <c r="B2731" s="7" t="n"/>
      <c r="C2731" s="8" t="n"/>
      <c r="D2731" s="9" t="n"/>
      <c r="E2731" s="8" t="n"/>
      <c r="F2731" s="9" t="n"/>
      <c r="G2731" s="9" t="n"/>
      <c r="H2731" s="3">
        <f>IF(AND(D2731&lt;&gt;"",F2731&lt;&gt;""),F2731-D2731-G2731,"")</f>
        <v/>
      </c>
      <c r="I2731" s="14">
        <f>IF(E2731&lt;&gt;"", YEARFRAC(C2731, E2731) * 12, "")</f>
        <v/>
      </c>
      <c r="J2731" s="2">
        <f>IF(I2731="", "", IF(AND(A2731="MF (Equity)", I2731&gt;12), "Long Term", "Short Term"))</f>
        <v/>
      </c>
      <c r="K2731" s="5">
        <f>IF(J2731="", "", IF(J2731="Long Term", 12.5%, 20%))</f>
        <v/>
      </c>
      <c r="L2731" s="3">
        <f>+IFERROR(IF(J2731="","",H2731*K2731),"")</f>
        <v/>
      </c>
    </row>
    <row r="2732">
      <c r="A2732" s="11" t="n"/>
      <c r="B2732" s="7" t="n"/>
      <c r="C2732" s="8" t="n"/>
      <c r="D2732" s="9" t="n"/>
      <c r="E2732" s="8" t="n"/>
      <c r="F2732" s="9" t="n"/>
      <c r="G2732" s="9" t="n"/>
      <c r="H2732" s="3">
        <f>IF(AND(D2732&lt;&gt;"",F2732&lt;&gt;""),F2732-D2732-G2732,"")</f>
        <v/>
      </c>
      <c r="I2732" s="14">
        <f>IF(E2732&lt;&gt;"", YEARFRAC(C2732, E2732) * 12, "")</f>
        <v/>
      </c>
      <c r="J2732" s="2">
        <f>IF(I2732="", "", IF(AND(A2732="MF (Equity)", I2732&gt;12), "Long Term", "Short Term"))</f>
        <v/>
      </c>
      <c r="K2732" s="5">
        <f>IF(J2732="", "", IF(J2732="Long Term", 12.5%, 20%))</f>
        <v/>
      </c>
      <c r="L2732" s="3">
        <f>+IFERROR(IF(J2732="","",H2732*K2732),"")</f>
        <v/>
      </c>
    </row>
    <row r="2733">
      <c r="A2733" s="11" t="n"/>
      <c r="B2733" s="7" t="n"/>
      <c r="C2733" s="8" t="n"/>
      <c r="D2733" s="9" t="n"/>
      <c r="E2733" s="8" t="n"/>
      <c r="F2733" s="9" t="n"/>
      <c r="G2733" s="9" t="n"/>
      <c r="H2733" s="3">
        <f>IF(AND(D2733&lt;&gt;"",F2733&lt;&gt;""),F2733-D2733-G2733,"")</f>
        <v/>
      </c>
      <c r="I2733" s="14">
        <f>IF(E2733&lt;&gt;"", YEARFRAC(C2733, E2733) * 12, "")</f>
        <v/>
      </c>
      <c r="J2733" s="2">
        <f>IF(I2733="", "", IF(AND(A2733="MF (Equity)", I2733&gt;12), "Long Term", "Short Term"))</f>
        <v/>
      </c>
      <c r="K2733" s="5">
        <f>IF(J2733="", "", IF(J2733="Long Term", 12.5%, 20%))</f>
        <v/>
      </c>
      <c r="L2733" s="3">
        <f>+IFERROR(IF(J2733="","",H2733*K2733),"")</f>
        <v/>
      </c>
    </row>
    <row r="2734">
      <c r="A2734" s="11" t="n"/>
      <c r="B2734" s="7" t="n"/>
      <c r="C2734" s="8" t="n"/>
      <c r="D2734" s="9" t="n"/>
      <c r="E2734" s="8" t="n"/>
      <c r="F2734" s="9" t="n"/>
      <c r="G2734" s="9" t="n"/>
      <c r="H2734" s="3">
        <f>IF(AND(D2734&lt;&gt;"",F2734&lt;&gt;""),F2734-D2734-G2734,"")</f>
        <v/>
      </c>
      <c r="I2734" s="14">
        <f>IF(E2734&lt;&gt;"", YEARFRAC(C2734, E2734) * 12, "")</f>
        <v/>
      </c>
      <c r="J2734" s="2">
        <f>IF(I2734="", "", IF(AND(A2734="MF (Equity)", I2734&gt;12), "Long Term", "Short Term"))</f>
        <v/>
      </c>
      <c r="K2734" s="5">
        <f>IF(J2734="", "", IF(J2734="Long Term", 12.5%, 20%))</f>
        <v/>
      </c>
      <c r="L2734" s="3">
        <f>+IFERROR(IF(J2734="","",H2734*K2734),"")</f>
        <v/>
      </c>
    </row>
    <row r="2735">
      <c r="A2735" s="11" t="n"/>
      <c r="B2735" s="7" t="n"/>
      <c r="C2735" s="8" t="n"/>
      <c r="D2735" s="9" t="n"/>
      <c r="E2735" s="8" t="n"/>
      <c r="F2735" s="9" t="n"/>
      <c r="G2735" s="9" t="n"/>
      <c r="H2735" s="3">
        <f>IF(AND(D2735&lt;&gt;"",F2735&lt;&gt;""),F2735-D2735-G2735,"")</f>
        <v/>
      </c>
      <c r="I2735" s="14">
        <f>IF(E2735&lt;&gt;"", YEARFRAC(C2735, E2735) * 12, "")</f>
        <v/>
      </c>
      <c r="J2735" s="2">
        <f>IF(I2735="", "", IF(AND(A2735="MF (Equity)", I2735&gt;12), "Long Term", "Short Term"))</f>
        <v/>
      </c>
      <c r="K2735" s="5">
        <f>IF(J2735="", "", IF(J2735="Long Term", 12.5%, 20%))</f>
        <v/>
      </c>
      <c r="L2735" s="3">
        <f>+IFERROR(IF(J2735="","",H2735*K2735),"")</f>
        <v/>
      </c>
    </row>
    <row r="2736">
      <c r="A2736" s="11" t="n"/>
      <c r="B2736" s="7" t="n"/>
      <c r="C2736" s="8" t="n"/>
      <c r="D2736" s="9" t="n"/>
      <c r="E2736" s="8" t="n"/>
      <c r="F2736" s="9" t="n"/>
      <c r="G2736" s="9" t="n"/>
      <c r="H2736" s="3">
        <f>IF(AND(D2736&lt;&gt;"",F2736&lt;&gt;""),F2736-D2736-G2736,"")</f>
        <v/>
      </c>
      <c r="I2736" s="14">
        <f>IF(E2736&lt;&gt;"", YEARFRAC(C2736, E2736) * 12, "")</f>
        <v/>
      </c>
      <c r="J2736" s="2">
        <f>IF(I2736="", "", IF(AND(A2736="MF (Equity)", I2736&gt;12), "Long Term", "Short Term"))</f>
        <v/>
      </c>
      <c r="K2736" s="5">
        <f>IF(J2736="", "", IF(J2736="Long Term", 12.5%, 20%))</f>
        <v/>
      </c>
      <c r="L2736" s="3">
        <f>+IFERROR(IF(J2736="","",H2736*K2736),"")</f>
        <v/>
      </c>
    </row>
    <row r="2737">
      <c r="A2737" s="11" t="n"/>
      <c r="B2737" s="7" t="n"/>
      <c r="C2737" s="8" t="n"/>
      <c r="D2737" s="9" t="n"/>
      <c r="E2737" s="8" t="n"/>
      <c r="F2737" s="9" t="n"/>
      <c r="G2737" s="9" t="n"/>
      <c r="H2737" s="3">
        <f>IF(AND(D2737&lt;&gt;"",F2737&lt;&gt;""),F2737-D2737-G2737,"")</f>
        <v/>
      </c>
      <c r="I2737" s="14">
        <f>IF(E2737&lt;&gt;"", YEARFRAC(C2737, E2737) * 12, "")</f>
        <v/>
      </c>
      <c r="J2737" s="2">
        <f>IF(I2737="", "", IF(AND(A2737="MF (Equity)", I2737&gt;12), "Long Term", "Short Term"))</f>
        <v/>
      </c>
      <c r="K2737" s="5">
        <f>IF(J2737="", "", IF(J2737="Long Term", 12.5%, 20%))</f>
        <v/>
      </c>
      <c r="L2737" s="3">
        <f>+IFERROR(IF(J2737="","",H2737*K2737),"")</f>
        <v/>
      </c>
    </row>
    <row r="2738">
      <c r="A2738" s="11" t="n"/>
      <c r="B2738" s="7" t="n"/>
      <c r="C2738" s="8" t="n"/>
      <c r="D2738" s="9" t="n"/>
      <c r="E2738" s="8" t="n"/>
      <c r="F2738" s="9" t="n"/>
      <c r="G2738" s="9" t="n"/>
      <c r="H2738" s="3">
        <f>IF(AND(D2738&lt;&gt;"",F2738&lt;&gt;""),F2738-D2738-G2738,"")</f>
        <v/>
      </c>
      <c r="I2738" s="14">
        <f>IF(E2738&lt;&gt;"", YEARFRAC(C2738, E2738) * 12, "")</f>
        <v/>
      </c>
      <c r="J2738" s="2">
        <f>IF(I2738="", "", IF(AND(A2738="MF (Equity)", I2738&gt;12), "Long Term", "Short Term"))</f>
        <v/>
      </c>
      <c r="K2738" s="5">
        <f>IF(J2738="", "", IF(J2738="Long Term", 12.5%, 20%))</f>
        <v/>
      </c>
      <c r="L2738" s="3">
        <f>+IFERROR(IF(J2738="","",H2738*K2738),"")</f>
        <v/>
      </c>
    </row>
    <row r="2739">
      <c r="A2739" s="11" t="n"/>
      <c r="B2739" s="7" t="n"/>
      <c r="C2739" s="8" t="n"/>
      <c r="D2739" s="9" t="n"/>
      <c r="E2739" s="8" t="n"/>
      <c r="F2739" s="9" t="n"/>
      <c r="G2739" s="9" t="n"/>
      <c r="H2739" s="3">
        <f>IF(AND(D2739&lt;&gt;"",F2739&lt;&gt;""),F2739-D2739-G2739,"")</f>
        <v/>
      </c>
      <c r="I2739" s="14">
        <f>IF(E2739&lt;&gt;"", YEARFRAC(C2739, E2739) * 12, "")</f>
        <v/>
      </c>
      <c r="J2739" s="2">
        <f>IF(I2739="", "", IF(AND(A2739="MF (Equity)", I2739&gt;12), "Long Term", "Short Term"))</f>
        <v/>
      </c>
      <c r="K2739" s="5">
        <f>IF(J2739="", "", IF(J2739="Long Term", 12.5%, 20%))</f>
        <v/>
      </c>
      <c r="L2739" s="3">
        <f>+IFERROR(IF(J2739="","",H2739*K2739),"")</f>
        <v/>
      </c>
    </row>
    <row r="2740">
      <c r="A2740" s="11" t="n"/>
      <c r="B2740" s="7" t="n"/>
      <c r="C2740" s="8" t="n"/>
      <c r="D2740" s="9" t="n"/>
      <c r="E2740" s="8" t="n"/>
      <c r="F2740" s="9" t="n"/>
      <c r="G2740" s="9" t="n"/>
      <c r="H2740" s="3">
        <f>IF(AND(D2740&lt;&gt;"",F2740&lt;&gt;""),F2740-D2740-G2740,"")</f>
        <v/>
      </c>
      <c r="I2740" s="14">
        <f>IF(E2740&lt;&gt;"", YEARFRAC(C2740, E2740) * 12, "")</f>
        <v/>
      </c>
      <c r="J2740" s="2">
        <f>IF(I2740="", "", IF(AND(A2740="MF (Equity)", I2740&gt;12), "Long Term", "Short Term"))</f>
        <v/>
      </c>
      <c r="K2740" s="5">
        <f>IF(J2740="", "", IF(J2740="Long Term", 12.5%, 20%))</f>
        <v/>
      </c>
      <c r="L2740" s="3">
        <f>+IFERROR(IF(J2740="","",H2740*K2740),"")</f>
        <v/>
      </c>
    </row>
    <row r="2741">
      <c r="A2741" s="11" t="n"/>
      <c r="B2741" s="7" t="n"/>
      <c r="C2741" s="8" t="n"/>
      <c r="D2741" s="9" t="n"/>
      <c r="E2741" s="8" t="n"/>
      <c r="F2741" s="9" t="n"/>
      <c r="G2741" s="9" t="n"/>
      <c r="H2741" s="3">
        <f>IF(AND(D2741&lt;&gt;"",F2741&lt;&gt;""),F2741-D2741-G2741,"")</f>
        <v/>
      </c>
      <c r="I2741" s="14">
        <f>IF(E2741&lt;&gt;"", YEARFRAC(C2741, E2741) * 12, "")</f>
        <v/>
      </c>
      <c r="J2741" s="2">
        <f>IF(I2741="", "", IF(AND(A2741="MF (Equity)", I2741&gt;12), "Long Term", "Short Term"))</f>
        <v/>
      </c>
      <c r="K2741" s="5">
        <f>IF(J2741="", "", IF(J2741="Long Term", 12.5%, 20%))</f>
        <v/>
      </c>
      <c r="L2741" s="3">
        <f>+IFERROR(IF(J2741="","",H2741*K2741),"")</f>
        <v/>
      </c>
    </row>
    <row r="2742">
      <c r="A2742" s="11" t="n"/>
      <c r="B2742" s="7" t="n"/>
      <c r="C2742" s="8" t="n"/>
      <c r="D2742" s="9" t="n"/>
      <c r="E2742" s="8" t="n"/>
      <c r="F2742" s="9" t="n"/>
      <c r="G2742" s="9" t="n"/>
      <c r="H2742" s="3">
        <f>IF(AND(D2742&lt;&gt;"",F2742&lt;&gt;""),F2742-D2742-G2742,"")</f>
        <v/>
      </c>
      <c r="I2742" s="14">
        <f>IF(E2742&lt;&gt;"", YEARFRAC(C2742, E2742) * 12, "")</f>
        <v/>
      </c>
      <c r="J2742" s="2">
        <f>IF(I2742="", "", IF(AND(A2742="MF (Equity)", I2742&gt;12), "Long Term", "Short Term"))</f>
        <v/>
      </c>
      <c r="K2742" s="5">
        <f>IF(J2742="", "", IF(J2742="Long Term", 12.5%, 20%))</f>
        <v/>
      </c>
      <c r="L2742" s="3">
        <f>+IFERROR(IF(J2742="","",H2742*K2742),"")</f>
        <v/>
      </c>
    </row>
    <row r="2743">
      <c r="A2743" s="11" t="n"/>
      <c r="B2743" s="7" t="n"/>
      <c r="C2743" s="8" t="n"/>
      <c r="D2743" s="9" t="n"/>
      <c r="E2743" s="8" t="n"/>
      <c r="F2743" s="9" t="n"/>
      <c r="G2743" s="9" t="n"/>
      <c r="H2743" s="3">
        <f>IF(AND(D2743&lt;&gt;"",F2743&lt;&gt;""),F2743-D2743-G2743,"")</f>
        <v/>
      </c>
      <c r="I2743" s="14">
        <f>IF(E2743&lt;&gt;"", YEARFRAC(C2743, E2743) * 12, "")</f>
        <v/>
      </c>
      <c r="J2743" s="2">
        <f>IF(I2743="", "", IF(AND(A2743="MF (Equity)", I2743&gt;12), "Long Term", "Short Term"))</f>
        <v/>
      </c>
      <c r="K2743" s="5">
        <f>IF(J2743="", "", IF(J2743="Long Term", 12.5%, 20%))</f>
        <v/>
      </c>
      <c r="L2743" s="3">
        <f>+IFERROR(IF(J2743="","",H2743*K2743),"")</f>
        <v/>
      </c>
    </row>
    <row r="2744">
      <c r="A2744" s="11" t="n"/>
      <c r="B2744" s="7" t="n"/>
      <c r="C2744" s="8" t="n"/>
      <c r="D2744" s="9" t="n"/>
      <c r="E2744" s="8" t="n"/>
      <c r="F2744" s="9" t="n"/>
      <c r="G2744" s="9" t="n"/>
      <c r="H2744" s="3">
        <f>IF(AND(D2744&lt;&gt;"",F2744&lt;&gt;""),F2744-D2744-G2744,"")</f>
        <v/>
      </c>
      <c r="I2744" s="14">
        <f>IF(E2744&lt;&gt;"", YEARFRAC(C2744, E2744) * 12, "")</f>
        <v/>
      </c>
      <c r="J2744" s="2">
        <f>IF(I2744="", "", IF(AND(A2744="MF (Equity)", I2744&gt;12), "Long Term", "Short Term"))</f>
        <v/>
      </c>
      <c r="K2744" s="5">
        <f>IF(J2744="", "", IF(J2744="Long Term", 12.5%, 20%))</f>
        <v/>
      </c>
      <c r="L2744" s="3">
        <f>+IFERROR(IF(J2744="","",H2744*K2744),"")</f>
        <v/>
      </c>
    </row>
    <row r="2745">
      <c r="A2745" s="11" t="n"/>
      <c r="B2745" s="7" t="n"/>
      <c r="C2745" s="8" t="n"/>
      <c r="D2745" s="9" t="n"/>
      <c r="E2745" s="8" t="n"/>
      <c r="F2745" s="9" t="n"/>
      <c r="G2745" s="9" t="n"/>
      <c r="H2745" s="3">
        <f>IF(AND(D2745&lt;&gt;"",F2745&lt;&gt;""),F2745-D2745-G2745,"")</f>
        <v/>
      </c>
      <c r="I2745" s="14">
        <f>IF(E2745&lt;&gt;"", YEARFRAC(C2745, E2745) * 12, "")</f>
        <v/>
      </c>
      <c r="J2745" s="2">
        <f>IF(I2745="", "", IF(AND(A2745="MF (Equity)", I2745&gt;12), "Long Term", "Short Term"))</f>
        <v/>
      </c>
      <c r="K2745" s="5">
        <f>IF(J2745="", "", IF(J2745="Long Term", 12.5%, 20%))</f>
        <v/>
      </c>
      <c r="L2745" s="3">
        <f>+IFERROR(IF(J2745="","",H2745*K2745),"")</f>
        <v/>
      </c>
    </row>
    <row r="2746">
      <c r="A2746" s="11" t="n"/>
      <c r="B2746" s="7" t="n"/>
      <c r="C2746" s="8" t="n"/>
      <c r="D2746" s="9" t="n"/>
      <c r="E2746" s="8" t="n"/>
      <c r="F2746" s="9" t="n"/>
      <c r="G2746" s="9" t="n"/>
      <c r="H2746" s="3">
        <f>IF(AND(D2746&lt;&gt;"",F2746&lt;&gt;""),F2746-D2746-G2746,"")</f>
        <v/>
      </c>
      <c r="I2746" s="14">
        <f>IF(E2746&lt;&gt;"", YEARFRAC(C2746, E2746) * 12, "")</f>
        <v/>
      </c>
      <c r="J2746" s="2">
        <f>IF(I2746="", "", IF(AND(A2746="MF (Equity)", I2746&gt;12), "Long Term", "Short Term"))</f>
        <v/>
      </c>
      <c r="K2746" s="5">
        <f>IF(J2746="", "", IF(J2746="Long Term", 12.5%, 20%))</f>
        <v/>
      </c>
      <c r="L2746" s="3">
        <f>+IFERROR(IF(J2746="","",H2746*K2746),"")</f>
        <v/>
      </c>
    </row>
    <row r="2747">
      <c r="A2747" s="11" t="n"/>
      <c r="B2747" s="7" t="n"/>
      <c r="C2747" s="8" t="n"/>
      <c r="D2747" s="9" t="n"/>
      <c r="E2747" s="8" t="n"/>
      <c r="F2747" s="9" t="n"/>
      <c r="G2747" s="9" t="n"/>
      <c r="H2747" s="3">
        <f>IF(AND(D2747&lt;&gt;"",F2747&lt;&gt;""),F2747-D2747-G2747,"")</f>
        <v/>
      </c>
      <c r="I2747" s="14">
        <f>IF(E2747&lt;&gt;"", YEARFRAC(C2747, E2747) * 12, "")</f>
        <v/>
      </c>
      <c r="J2747" s="2">
        <f>IF(I2747="", "", IF(AND(A2747="MF (Equity)", I2747&gt;12), "Long Term", "Short Term"))</f>
        <v/>
      </c>
      <c r="K2747" s="5">
        <f>IF(J2747="", "", IF(J2747="Long Term", 12.5%, 20%))</f>
        <v/>
      </c>
      <c r="L2747" s="3">
        <f>+IFERROR(IF(J2747="","",H2747*K2747),"")</f>
        <v/>
      </c>
    </row>
    <row r="2748">
      <c r="A2748" s="11" t="n"/>
      <c r="B2748" s="7" t="n"/>
      <c r="C2748" s="8" t="n"/>
      <c r="D2748" s="9" t="n"/>
      <c r="E2748" s="8" t="n"/>
      <c r="F2748" s="9" t="n"/>
      <c r="G2748" s="9" t="n"/>
      <c r="H2748" s="3">
        <f>IF(AND(D2748&lt;&gt;"",F2748&lt;&gt;""),F2748-D2748-G2748,"")</f>
        <v/>
      </c>
      <c r="I2748" s="14">
        <f>IF(E2748&lt;&gt;"", YEARFRAC(C2748, E2748) * 12, "")</f>
        <v/>
      </c>
      <c r="J2748" s="2">
        <f>IF(I2748="", "", IF(AND(A2748="MF (Equity)", I2748&gt;12), "Long Term", "Short Term"))</f>
        <v/>
      </c>
      <c r="K2748" s="5">
        <f>IF(J2748="", "", IF(J2748="Long Term", 12.5%, 20%))</f>
        <v/>
      </c>
      <c r="L2748" s="3">
        <f>+IFERROR(IF(J2748="","",H2748*K2748),"")</f>
        <v/>
      </c>
    </row>
    <row r="2749">
      <c r="A2749" s="11" t="n"/>
      <c r="B2749" s="7" t="n"/>
      <c r="C2749" s="8" t="n"/>
      <c r="D2749" s="9" t="n"/>
      <c r="E2749" s="8" t="n"/>
      <c r="F2749" s="9" t="n"/>
      <c r="G2749" s="9" t="n"/>
      <c r="H2749" s="3">
        <f>IF(AND(D2749&lt;&gt;"",F2749&lt;&gt;""),F2749-D2749-G2749,"")</f>
        <v/>
      </c>
      <c r="I2749" s="14">
        <f>IF(E2749&lt;&gt;"", YEARFRAC(C2749, E2749) * 12, "")</f>
        <v/>
      </c>
      <c r="J2749" s="2">
        <f>IF(I2749="", "", IF(AND(A2749="MF (Equity)", I2749&gt;12), "Long Term", "Short Term"))</f>
        <v/>
      </c>
      <c r="K2749" s="5">
        <f>IF(J2749="", "", IF(J2749="Long Term", 12.5%, 20%))</f>
        <v/>
      </c>
      <c r="L2749" s="3">
        <f>+IFERROR(IF(J2749="","",H2749*K2749),"")</f>
        <v/>
      </c>
    </row>
    <row r="2750">
      <c r="A2750" s="11" t="n"/>
      <c r="B2750" s="7" t="n"/>
      <c r="C2750" s="8" t="n"/>
      <c r="D2750" s="9" t="n"/>
      <c r="E2750" s="8" t="n"/>
      <c r="F2750" s="9" t="n"/>
      <c r="G2750" s="9" t="n"/>
      <c r="H2750" s="3">
        <f>IF(AND(D2750&lt;&gt;"",F2750&lt;&gt;""),F2750-D2750-G2750,"")</f>
        <v/>
      </c>
      <c r="I2750" s="14">
        <f>IF(E2750&lt;&gt;"", YEARFRAC(C2750, E2750) * 12, "")</f>
        <v/>
      </c>
      <c r="J2750" s="2">
        <f>IF(I2750="", "", IF(AND(A2750="MF (Equity)", I2750&gt;12), "Long Term", "Short Term"))</f>
        <v/>
      </c>
      <c r="K2750" s="5">
        <f>IF(J2750="", "", IF(J2750="Long Term", 12.5%, 20%))</f>
        <v/>
      </c>
      <c r="L2750" s="3">
        <f>+IFERROR(IF(J2750="","",H2750*K2750),"")</f>
        <v/>
      </c>
    </row>
    <row r="2751">
      <c r="A2751" s="11" t="n"/>
      <c r="B2751" s="7" t="n"/>
      <c r="C2751" s="8" t="n"/>
      <c r="D2751" s="9" t="n"/>
      <c r="E2751" s="8" t="n"/>
      <c r="F2751" s="9" t="n"/>
      <c r="G2751" s="9" t="n"/>
      <c r="H2751" s="3">
        <f>IF(AND(D2751&lt;&gt;"",F2751&lt;&gt;""),F2751-D2751-G2751,"")</f>
        <v/>
      </c>
      <c r="I2751" s="14">
        <f>IF(E2751&lt;&gt;"", YEARFRAC(C2751, E2751) * 12, "")</f>
        <v/>
      </c>
      <c r="J2751" s="2">
        <f>IF(I2751="", "", IF(AND(A2751="MF (Equity)", I2751&gt;12), "Long Term", "Short Term"))</f>
        <v/>
      </c>
      <c r="K2751" s="5">
        <f>IF(J2751="", "", IF(J2751="Long Term", 12.5%, 20%))</f>
        <v/>
      </c>
      <c r="L2751" s="3">
        <f>+IFERROR(IF(J2751="","",H2751*K2751),"")</f>
        <v/>
      </c>
    </row>
    <row r="2752">
      <c r="A2752" s="11" t="n"/>
      <c r="B2752" s="7" t="n"/>
      <c r="C2752" s="8" t="n"/>
      <c r="D2752" s="9" t="n"/>
      <c r="E2752" s="8" t="n"/>
      <c r="F2752" s="9" t="n"/>
      <c r="G2752" s="9" t="n"/>
      <c r="H2752" s="3">
        <f>IF(AND(D2752&lt;&gt;"",F2752&lt;&gt;""),F2752-D2752-G2752,"")</f>
        <v/>
      </c>
      <c r="I2752" s="14">
        <f>IF(E2752&lt;&gt;"", YEARFRAC(C2752, E2752) * 12, "")</f>
        <v/>
      </c>
      <c r="J2752" s="2">
        <f>IF(I2752="", "", IF(AND(A2752="MF (Equity)", I2752&gt;12), "Long Term", "Short Term"))</f>
        <v/>
      </c>
      <c r="K2752" s="5">
        <f>IF(J2752="", "", IF(J2752="Long Term", 12.5%, 20%))</f>
        <v/>
      </c>
      <c r="L2752" s="3">
        <f>+IFERROR(IF(J2752="","",H2752*K2752),"")</f>
        <v/>
      </c>
    </row>
    <row r="2753">
      <c r="A2753" s="11" t="n"/>
      <c r="B2753" s="7" t="n"/>
      <c r="C2753" s="8" t="n"/>
      <c r="D2753" s="9" t="n"/>
      <c r="E2753" s="8" t="n"/>
      <c r="F2753" s="9" t="n"/>
      <c r="G2753" s="9" t="n"/>
      <c r="H2753" s="3">
        <f>IF(AND(D2753&lt;&gt;"",F2753&lt;&gt;""),F2753-D2753-G2753,"")</f>
        <v/>
      </c>
      <c r="I2753" s="14">
        <f>IF(E2753&lt;&gt;"", YEARFRAC(C2753, E2753) * 12, "")</f>
        <v/>
      </c>
      <c r="J2753" s="2">
        <f>IF(I2753="", "", IF(AND(A2753="MF (Equity)", I2753&gt;12), "Long Term", "Short Term"))</f>
        <v/>
      </c>
      <c r="K2753" s="5">
        <f>IF(J2753="", "", IF(J2753="Long Term", 12.5%, 20%))</f>
        <v/>
      </c>
      <c r="L2753" s="3">
        <f>+IFERROR(IF(J2753="","",H2753*K2753),"")</f>
        <v/>
      </c>
    </row>
    <row r="2754">
      <c r="A2754" s="11" t="n"/>
      <c r="B2754" s="7" t="n"/>
      <c r="C2754" s="8" t="n"/>
      <c r="D2754" s="9" t="n"/>
      <c r="E2754" s="8" t="n"/>
      <c r="F2754" s="9" t="n"/>
      <c r="G2754" s="9" t="n"/>
      <c r="H2754" s="3">
        <f>IF(AND(D2754&lt;&gt;"",F2754&lt;&gt;""),F2754-D2754-G2754,"")</f>
        <v/>
      </c>
      <c r="I2754" s="14">
        <f>IF(E2754&lt;&gt;"", YEARFRAC(C2754, E2754) * 12, "")</f>
        <v/>
      </c>
      <c r="J2754" s="2">
        <f>IF(I2754="", "", IF(AND(A2754="MF (Equity)", I2754&gt;12), "Long Term", "Short Term"))</f>
        <v/>
      </c>
      <c r="K2754" s="5">
        <f>IF(J2754="", "", IF(J2754="Long Term", 12.5%, 20%))</f>
        <v/>
      </c>
      <c r="L2754" s="3">
        <f>+IFERROR(IF(J2754="","",H2754*K2754),"")</f>
        <v/>
      </c>
    </row>
    <row r="2755">
      <c r="A2755" s="11" t="n"/>
      <c r="B2755" s="7" t="n"/>
      <c r="C2755" s="8" t="n"/>
      <c r="D2755" s="9" t="n"/>
      <c r="E2755" s="8" t="n"/>
      <c r="F2755" s="9" t="n"/>
      <c r="G2755" s="9" t="n"/>
      <c r="H2755" s="3">
        <f>IF(AND(D2755&lt;&gt;"",F2755&lt;&gt;""),F2755-D2755-G2755,"")</f>
        <v/>
      </c>
      <c r="I2755" s="14">
        <f>IF(E2755&lt;&gt;"", YEARFRAC(C2755, E2755) * 12, "")</f>
        <v/>
      </c>
      <c r="J2755" s="2">
        <f>IF(I2755="", "", IF(AND(A2755="MF (Equity)", I2755&gt;12), "Long Term", "Short Term"))</f>
        <v/>
      </c>
      <c r="K2755" s="5">
        <f>IF(J2755="", "", IF(J2755="Long Term", 12.5%, 20%))</f>
        <v/>
      </c>
      <c r="L2755" s="3">
        <f>+IFERROR(IF(J2755="","",H2755*K2755),"")</f>
        <v/>
      </c>
    </row>
    <row r="2756">
      <c r="A2756" s="11" t="n"/>
      <c r="B2756" s="7" t="n"/>
      <c r="C2756" s="8" t="n"/>
      <c r="D2756" s="9" t="n"/>
      <c r="E2756" s="8" t="n"/>
      <c r="F2756" s="9" t="n"/>
      <c r="G2756" s="9" t="n"/>
      <c r="H2756" s="3">
        <f>IF(AND(D2756&lt;&gt;"",F2756&lt;&gt;""),F2756-D2756-G2756,"")</f>
        <v/>
      </c>
      <c r="I2756" s="14">
        <f>IF(E2756&lt;&gt;"", YEARFRAC(C2756, E2756) * 12, "")</f>
        <v/>
      </c>
      <c r="J2756" s="2">
        <f>IF(I2756="", "", IF(AND(A2756="MF (Equity)", I2756&gt;12), "Long Term", "Short Term"))</f>
        <v/>
      </c>
      <c r="K2756" s="5">
        <f>IF(J2756="", "", IF(J2756="Long Term", 12.5%, 20%))</f>
        <v/>
      </c>
      <c r="L2756" s="3">
        <f>+IFERROR(IF(J2756="","",H2756*K2756),"")</f>
        <v/>
      </c>
    </row>
    <row r="2757">
      <c r="A2757" s="11" t="n"/>
      <c r="B2757" s="7" t="n"/>
      <c r="C2757" s="8" t="n"/>
      <c r="D2757" s="9" t="n"/>
      <c r="E2757" s="8" t="n"/>
      <c r="F2757" s="9" t="n"/>
      <c r="G2757" s="9" t="n"/>
      <c r="H2757" s="3">
        <f>IF(AND(D2757&lt;&gt;"",F2757&lt;&gt;""),F2757-D2757-G2757,"")</f>
        <v/>
      </c>
      <c r="I2757" s="14">
        <f>IF(E2757&lt;&gt;"", YEARFRAC(C2757, E2757) * 12, "")</f>
        <v/>
      </c>
      <c r="J2757" s="2">
        <f>IF(I2757="", "", IF(AND(A2757="MF (Equity)", I2757&gt;12), "Long Term", "Short Term"))</f>
        <v/>
      </c>
      <c r="K2757" s="5">
        <f>IF(J2757="", "", IF(J2757="Long Term", 12.5%, 20%))</f>
        <v/>
      </c>
      <c r="L2757" s="3">
        <f>+IFERROR(IF(J2757="","",H2757*K2757),"")</f>
        <v/>
      </c>
    </row>
    <row r="2758">
      <c r="A2758" s="11" t="n"/>
      <c r="B2758" s="7" t="n"/>
      <c r="C2758" s="8" t="n"/>
      <c r="D2758" s="9" t="n"/>
      <c r="E2758" s="8" t="n"/>
      <c r="F2758" s="9" t="n"/>
      <c r="G2758" s="9" t="n"/>
      <c r="H2758" s="3">
        <f>IF(AND(D2758&lt;&gt;"",F2758&lt;&gt;""),F2758-D2758-G2758,"")</f>
        <v/>
      </c>
      <c r="I2758" s="14">
        <f>IF(E2758&lt;&gt;"", YEARFRAC(C2758, E2758) * 12, "")</f>
        <v/>
      </c>
      <c r="J2758" s="2">
        <f>IF(I2758="", "", IF(AND(A2758="MF (Equity)", I2758&gt;12), "Long Term", "Short Term"))</f>
        <v/>
      </c>
      <c r="K2758" s="5">
        <f>IF(J2758="", "", IF(J2758="Long Term", 12.5%, 20%))</f>
        <v/>
      </c>
      <c r="L2758" s="3">
        <f>+IFERROR(IF(J2758="","",H2758*K2758),"")</f>
        <v/>
      </c>
    </row>
    <row r="2759">
      <c r="A2759" s="11" t="n"/>
      <c r="B2759" s="7" t="n"/>
      <c r="C2759" s="8" t="n"/>
      <c r="D2759" s="9" t="n"/>
      <c r="E2759" s="8" t="n"/>
      <c r="F2759" s="9" t="n"/>
      <c r="G2759" s="9" t="n"/>
      <c r="H2759" s="3">
        <f>IF(AND(D2759&lt;&gt;"",F2759&lt;&gt;""),F2759-D2759-G2759,"")</f>
        <v/>
      </c>
      <c r="I2759" s="14">
        <f>IF(E2759&lt;&gt;"", YEARFRAC(C2759, E2759) * 12, "")</f>
        <v/>
      </c>
      <c r="J2759" s="2">
        <f>IF(I2759="", "", IF(AND(A2759="MF (Equity)", I2759&gt;12), "Long Term", "Short Term"))</f>
        <v/>
      </c>
      <c r="K2759" s="5">
        <f>IF(J2759="", "", IF(J2759="Long Term", 12.5%, 20%))</f>
        <v/>
      </c>
      <c r="L2759" s="3">
        <f>+IFERROR(IF(J2759="","",H2759*K2759),"")</f>
        <v/>
      </c>
    </row>
    <row r="2760">
      <c r="A2760" s="11" t="n"/>
      <c r="B2760" s="7" t="n"/>
      <c r="C2760" s="8" t="n"/>
      <c r="D2760" s="9" t="n"/>
      <c r="E2760" s="8" t="n"/>
      <c r="F2760" s="9" t="n"/>
      <c r="G2760" s="9" t="n"/>
      <c r="H2760" s="3">
        <f>IF(AND(D2760&lt;&gt;"",F2760&lt;&gt;""),F2760-D2760-G2760,"")</f>
        <v/>
      </c>
      <c r="I2760" s="14">
        <f>IF(E2760&lt;&gt;"", YEARFRAC(C2760, E2760) * 12, "")</f>
        <v/>
      </c>
      <c r="J2760" s="2">
        <f>IF(I2760="", "", IF(AND(A2760="MF (Equity)", I2760&gt;12), "Long Term", "Short Term"))</f>
        <v/>
      </c>
      <c r="K2760" s="5">
        <f>IF(J2760="", "", IF(J2760="Long Term", 12.5%, 20%))</f>
        <v/>
      </c>
      <c r="L2760" s="3">
        <f>+IFERROR(IF(J2760="","",H2760*K2760),"")</f>
        <v/>
      </c>
    </row>
    <row r="2761">
      <c r="A2761" s="11" t="n"/>
      <c r="B2761" s="7" t="n"/>
      <c r="C2761" s="8" t="n"/>
      <c r="D2761" s="9" t="n"/>
      <c r="E2761" s="8" t="n"/>
      <c r="F2761" s="9" t="n"/>
      <c r="G2761" s="9" t="n"/>
      <c r="H2761" s="3">
        <f>IF(AND(D2761&lt;&gt;"",F2761&lt;&gt;""),F2761-D2761-G2761,"")</f>
        <v/>
      </c>
      <c r="I2761" s="14">
        <f>IF(E2761&lt;&gt;"", YEARFRAC(C2761, E2761) * 12, "")</f>
        <v/>
      </c>
      <c r="J2761" s="2">
        <f>IF(I2761="", "", IF(AND(A2761="MF (Equity)", I2761&gt;12), "Long Term", "Short Term"))</f>
        <v/>
      </c>
      <c r="K2761" s="5">
        <f>IF(J2761="", "", IF(J2761="Long Term", 12.5%, 20%))</f>
        <v/>
      </c>
      <c r="L2761" s="3">
        <f>+IFERROR(IF(J2761="","",H2761*K2761),"")</f>
        <v/>
      </c>
    </row>
    <row r="2762">
      <c r="A2762" s="11" t="n"/>
      <c r="B2762" s="7" t="n"/>
      <c r="C2762" s="8" t="n"/>
      <c r="D2762" s="9" t="n"/>
      <c r="E2762" s="8" t="n"/>
      <c r="F2762" s="9" t="n"/>
      <c r="G2762" s="9" t="n"/>
      <c r="H2762" s="3">
        <f>IF(AND(D2762&lt;&gt;"",F2762&lt;&gt;""),F2762-D2762-G2762,"")</f>
        <v/>
      </c>
      <c r="I2762" s="14">
        <f>IF(E2762&lt;&gt;"", YEARFRAC(C2762, E2762) * 12, "")</f>
        <v/>
      </c>
      <c r="J2762" s="2">
        <f>IF(I2762="", "", IF(AND(A2762="MF (Equity)", I2762&gt;12), "Long Term", "Short Term"))</f>
        <v/>
      </c>
      <c r="K2762" s="5">
        <f>IF(J2762="", "", IF(J2762="Long Term", 12.5%, 20%))</f>
        <v/>
      </c>
      <c r="L2762" s="3">
        <f>+IFERROR(IF(J2762="","",H2762*K2762),"")</f>
        <v/>
      </c>
    </row>
    <row r="2763">
      <c r="A2763" s="11" t="n"/>
      <c r="B2763" s="7" t="n"/>
      <c r="C2763" s="8" t="n"/>
      <c r="D2763" s="9" t="n"/>
      <c r="E2763" s="8" t="n"/>
      <c r="F2763" s="9" t="n"/>
      <c r="G2763" s="9" t="n"/>
      <c r="H2763" s="3">
        <f>IF(AND(D2763&lt;&gt;"",F2763&lt;&gt;""),F2763-D2763-G2763,"")</f>
        <v/>
      </c>
      <c r="I2763" s="14">
        <f>IF(E2763&lt;&gt;"", YEARFRAC(C2763, E2763) * 12, "")</f>
        <v/>
      </c>
      <c r="J2763" s="2">
        <f>IF(I2763="", "", IF(AND(A2763="MF (Equity)", I2763&gt;12), "Long Term", "Short Term"))</f>
        <v/>
      </c>
      <c r="K2763" s="5">
        <f>IF(J2763="", "", IF(J2763="Long Term", 12.5%, 20%))</f>
        <v/>
      </c>
      <c r="L2763" s="3">
        <f>+IFERROR(IF(J2763="","",H2763*K2763),"")</f>
        <v/>
      </c>
    </row>
    <row r="2764">
      <c r="A2764" s="11" t="n"/>
      <c r="B2764" s="7" t="n"/>
      <c r="C2764" s="8" t="n"/>
      <c r="D2764" s="9" t="n"/>
      <c r="E2764" s="8" t="n"/>
      <c r="F2764" s="9" t="n"/>
      <c r="G2764" s="9" t="n"/>
      <c r="H2764" s="3">
        <f>IF(AND(D2764&lt;&gt;"",F2764&lt;&gt;""),F2764-D2764-G2764,"")</f>
        <v/>
      </c>
      <c r="I2764" s="14">
        <f>IF(E2764&lt;&gt;"", YEARFRAC(C2764, E2764) * 12, "")</f>
        <v/>
      </c>
      <c r="J2764" s="2">
        <f>IF(I2764="", "", IF(AND(A2764="MF (Equity)", I2764&gt;12), "Long Term", "Short Term"))</f>
        <v/>
      </c>
      <c r="K2764" s="5">
        <f>IF(J2764="", "", IF(J2764="Long Term", 12.5%, 20%))</f>
        <v/>
      </c>
      <c r="L2764" s="3">
        <f>+IFERROR(IF(J2764="","",H2764*K2764),"")</f>
        <v/>
      </c>
    </row>
    <row r="2765">
      <c r="A2765" s="11" t="n"/>
      <c r="B2765" s="7" t="n"/>
      <c r="C2765" s="8" t="n"/>
      <c r="D2765" s="9" t="n"/>
      <c r="E2765" s="8" t="n"/>
      <c r="F2765" s="9" t="n"/>
      <c r="G2765" s="9" t="n"/>
      <c r="H2765" s="3">
        <f>IF(AND(D2765&lt;&gt;"",F2765&lt;&gt;""),F2765-D2765-G2765,"")</f>
        <v/>
      </c>
      <c r="I2765" s="14">
        <f>IF(E2765&lt;&gt;"", YEARFRAC(C2765, E2765) * 12, "")</f>
        <v/>
      </c>
      <c r="J2765" s="2">
        <f>IF(I2765="", "", IF(AND(A2765="MF (Equity)", I2765&gt;12), "Long Term", "Short Term"))</f>
        <v/>
      </c>
      <c r="K2765" s="5">
        <f>IF(J2765="", "", IF(J2765="Long Term", 12.5%, 20%))</f>
        <v/>
      </c>
      <c r="L2765" s="3">
        <f>+IFERROR(IF(J2765="","",H2765*K2765),"")</f>
        <v/>
      </c>
    </row>
    <row r="2766">
      <c r="A2766" s="11" t="n"/>
      <c r="B2766" s="7" t="n"/>
      <c r="C2766" s="8" t="n"/>
      <c r="D2766" s="9" t="n"/>
      <c r="E2766" s="8" t="n"/>
      <c r="F2766" s="9" t="n"/>
      <c r="G2766" s="9" t="n"/>
      <c r="H2766" s="3">
        <f>IF(AND(D2766&lt;&gt;"",F2766&lt;&gt;""),F2766-D2766-G2766,"")</f>
        <v/>
      </c>
      <c r="I2766" s="14">
        <f>IF(E2766&lt;&gt;"", YEARFRAC(C2766, E2766) * 12, "")</f>
        <v/>
      </c>
      <c r="J2766" s="2">
        <f>IF(I2766="", "", IF(AND(A2766="MF (Equity)", I2766&gt;12), "Long Term", "Short Term"))</f>
        <v/>
      </c>
      <c r="K2766" s="5">
        <f>IF(J2766="", "", IF(J2766="Long Term", 12.5%, 20%))</f>
        <v/>
      </c>
      <c r="L2766" s="3">
        <f>+IFERROR(IF(J2766="","",H2766*K2766),"")</f>
        <v/>
      </c>
    </row>
    <row r="2767">
      <c r="A2767" s="11" t="n"/>
      <c r="B2767" s="7" t="n"/>
      <c r="C2767" s="8" t="n"/>
      <c r="D2767" s="9" t="n"/>
      <c r="E2767" s="8" t="n"/>
      <c r="F2767" s="9" t="n"/>
      <c r="G2767" s="9" t="n"/>
      <c r="H2767" s="3">
        <f>IF(AND(D2767&lt;&gt;"",F2767&lt;&gt;""),F2767-D2767-G2767,"")</f>
        <v/>
      </c>
      <c r="I2767" s="14">
        <f>IF(E2767&lt;&gt;"", YEARFRAC(C2767, E2767) * 12, "")</f>
        <v/>
      </c>
      <c r="J2767" s="2">
        <f>IF(I2767="", "", IF(AND(A2767="MF (Equity)", I2767&gt;12), "Long Term", "Short Term"))</f>
        <v/>
      </c>
      <c r="K2767" s="5">
        <f>IF(J2767="", "", IF(J2767="Long Term", 12.5%, 20%))</f>
        <v/>
      </c>
      <c r="L2767" s="3">
        <f>+IFERROR(IF(J2767="","",H2767*K2767),"")</f>
        <v/>
      </c>
    </row>
    <row r="2768">
      <c r="A2768" s="11" t="n"/>
      <c r="B2768" s="7" t="n"/>
      <c r="C2768" s="8" t="n"/>
      <c r="D2768" s="9" t="n"/>
      <c r="E2768" s="8" t="n"/>
      <c r="F2768" s="9" t="n"/>
      <c r="G2768" s="9" t="n"/>
      <c r="H2768" s="3">
        <f>IF(AND(D2768&lt;&gt;"",F2768&lt;&gt;""),F2768-D2768-G2768,"")</f>
        <v/>
      </c>
      <c r="I2768" s="14">
        <f>IF(E2768&lt;&gt;"", YEARFRAC(C2768, E2768) * 12, "")</f>
        <v/>
      </c>
      <c r="J2768" s="2">
        <f>IF(I2768="", "", IF(AND(A2768="MF (Equity)", I2768&gt;12), "Long Term", "Short Term"))</f>
        <v/>
      </c>
      <c r="K2768" s="5">
        <f>IF(J2768="", "", IF(J2768="Long Term", 12.5%, 20%))</f>
        <v/>
      </c>
      <c r="L2768" s="3">
        <f>+IFERROR(IF(J2768="","",H2768*K2768),"")</f>
        <v/>
      </c>
    </row>
    <row r="2769">
      <c r="A2769" s="11" t="n"/>
      <c r="B2769" s="7" t="n"/>
      <c r="C2769" s="8" t="n"/>
      <c r="D2769" s="9" t="n"/>
      <c r="E2769" s="8" t="n"/>
      <c r="F2769" s="9" t="n"/>
      <c r="G2769" s="9" t="n"/>
      <c r="H2769" s="3">
        <f>IF(AND(D2769&lt;&gt;"",F2769&lt;&gt;""),F2769-D2769-G2769,"")</f>
        <v/>
      </c>
      <c r="I2769" s="14">
        <f>IF(E2769&lt;&gt;"", YEARFRAC(C2769, E2769) * 12, "")</f>
        <v/>
      </c>
      <c r="J2769" s="2">
        <f>IF(I2769="", "", IF(AND(A2769="MF (Equity)", I2769&gt;12), "Long Term", "Short Term"))</f>
        <v/>
      </c>
      <c r="K2769" s="5">
        <f>IF(J2769="", "", IF(J2769="Long Term", 12.5%, 20%))</f>
        <v/>
      </c>
      <c r="L2769" s="3">
        <f>+IFERROR(IF(J2769="","",H2769*K2769),"")</f>
        <v/>
      </c>
    </row>
    <row r="2770">
      <c r="A2770" s="11" t="n"/>
      <c r="B2770" s="7" t="n"/>
      <c r="C2770" s="8" t="n"/>
      <c r="D2770" s="9" t="n"/>
      <c r="E2770" s="8" t="n"/>
      <c r="F2770" s="9" t="n"/>
      <c r="G2770" s="9" t="n"/>
      <c r="H2770" s="3">
        <f>IF(AND(D2770&lt;&gt;"",F2770&lt;&gt;""),F2770-D2770-G2770,"")</f>
        <v/>
      </c>
      <c r="I2770" s="14">
        <f>IF(E2770&lt;&gt;"", YEARFRAC(C2770, E2770) * 12, "")</f>
        <v/>
      </c>
      <c r="J2770" s="2">
        <f>IF(I2770="", "", IF(AND(A2770="MF (Equity)", I2770&gt;12), "Long Term", "Short Term"))</f>
        <v/>
      </c>
      <c r="K2770" s="5">
        <f>IF(J2770="", "", IF(J2770="Long Term", 12.5%, 20%))</f>
        <v/>
      </c>
      <c r="L2770" s="3">
        <f>+IFERROR(IF(J2770="","",H2770*K2770),"")</f>
        <v/>
      </c>
    </row>
    <row r="2771">
      <c r="A2771" s="11" t="n"/>
      <c r="B2771" s="7" t="n"/>
      <c r="C2771" s="8" t="n"/>
      <c r="D2771" s="9" t="n"/>
      <c r="E2771" s="8" t="n"/>
      <c r="F2771" s="9" t="n"/>
      <c r="G2771" s="9" t="n"/>
      <c r="H2771" s="3">
        <f>IF(AND(D2771&lt;&gt;"",F2771&lt;&gt;""),F2771-D2771-G2771,"")</f>
        <v/>
      </c>
      <c r="I2771" s="14">
        <f>IF(E2771&lt;&gt;"", YEARFRAC(C2771, E2771) * 12, "")</f>
        <v/>
      </c>
      <c r="J2771" s="2">
        <f>IF(I2771="", "", IF(AND(A2771="MF (Equity)", I2771&gt;12), "Long Term", "Short Term"))</f>
        <v/>
      </c>
      <c r="K2771" s="5">
        <f>IF(J2771="", "", IF(J2771="Long Term", 12.5%, 20%))</f>
        <v/>
      </c>
      <c r="L2771" s="3">
        <f>+IFERROR(IF(J2771="","",H2771*K2771),"")</f>
        <v/>
      </c>
    </row>
    <row r="2772">
      <c r="A2772" s="11" t="n"/>
      <c r="B2772" s="7" t="n"/>
      <c r="C2772" s="8" t="n"/>
      <c r="D2772" s="9" t="n"/>
      <c r="E2772" s="8" t="n"/>
      <c r="F2772" s="9" t="n"/>
      <c r="G2772" s="9" t="n"/>
      <c r="H2772" s="3">
        <f>IF(AND(D2772&lt;&gt;"",F2772&lt;&gt;""),F2772-D2772-G2772,"")</f>
        <v/>
      </c>
      <c r="I2772" s="14">
        <f>IF(E2772&lt;&gt;"", YEARFRAC(C2772, E2772) * 12, "")</f>
        <v/>
      </c>
      <c r="J2772" s="2">
        <f>IF(I2772="", "", IF(AND(A2772="MF (Equity)", I2772&gt;12), "Long Term", "Short Term"))</f>
        <v/>
      </c>
      <c r="K2772" s="5">
        <f>IF(J2772="", "", IF(J2772="Long Term", 12.5%, 20%))</f>
        <v/>
      </c>
      <c r="L2772" s="3">
        <f>+IFERROR(IF(J2772="","",H2772*K2772),"")</f>
        <v/>
      </c>
    </row>
    <row r="2773">
      <c r="A2773" s="11" t="n"/>
      <c r="B2773" s="7" t="n"/>
      <c r="C2773" s="8" t="n"/>
      <c r="D2773" s="9" t="n"/>
      <c r="E2773" s="8" t="n"/>
      <c r="F2773" s="9" t="n"/>
      <c r="G2773" s="9" t="n"/>
      <c r="H2773" s="3">
        <f>IF(AND(D2773&lt;&gt;"",F2773&lt;&gt;""),F2773-D2773-G2773,"")</f>
        <v/>
      </c>
      <c r="I2773" s="14">
        <f>IF(E2773&lt;&gt;"", YEARFRAC(C2773, E2773) * 12, "")</f>
        <v/>
      </c>
      <c r="J2773" s="2">
        <f>IF(I2773="", "", IF(AND(A2773="MF (Equity)", I2773&gt;12), "Long Term", "Short Term"))</f>
        <v/>
      </c>
      <c r="K2773" s="5">
        <f>IF(J2773="", "", IF(J2773="Long Term", 12.5%, 20%))</f>
        <v/>
      </c>
      <c r="L2773" s="3">
        <f>+IFERROR(IF(J2773="","",H2773*K2773),"")</f>
        <v/>
      </c>
    </row>
    <row r="2774">
      <c r="A2774" s="11" t="n"/>
      <c r="B2774" s="7" t="n"/>
      <c r="C2774" s="8" t="n"/>
      <c r="D2774" s="9" t="n"/>
      <c r="E2774" s="8" t="n"/>
      <c r="F2774" s="9" t="n"/>
      <c r="G2774" s="9" t="n"/>
      <c r="H2774" s="3">
        <f>IF(AND(D2774&lt;&gt;"",F2774&lt;&gt;""),F2774-D2774-G2774,"")</f>
        <v/>
      </c>
      <c r="I2774" s="14">
        <f>IF(E2774&lt;&gt;"", YEARFRAC(C2774, E2774) * 12, "")</f>
        <v/>
      </c>
      <c r="J2774" s="2">
        <f>IF(I2774="", "", IF(AND(A2774="MF (Equity)", I2774&gt;12), "Long Term", "Short Term"))</f>
        <v/>
      </c>
      <c r="K2774" s="5">
        <f>IF(J2774="", "", IF(J2774="Long Term", 12.5%, 20%))</f>
        <v/>
      </c>
      <c r="L2774" s="3">
        <f>+IFERROR(IF(J2774="","",H2774*K2774),"")</f>
        <v/>
      </c>
    </row>
    <row r="2775">
      <c r="A2775" s="11" t="n"/>
      <c r="B2775" s="7" t="n"/>
      <c r="C2775" s="8" t="n"/>
      <c r="D2775" s="9" t="n"/>
      <c r="E2775" s="8" t="n"/>
      <c r="F2775" s="9" t="n"/>
      <c r="G2775" s="9" t="n"/>
      <c r="H2775" s="3">
        <f>IF(AND(D2775&lt;&gt;"",F2775&lt;&gt;""),F2775-D2775-G2775,"")</f>
        <v/>
      </c>
      <c r="I2775" s="14">
        <f>IF(E2775&lt;&gt;"", YEARFRAC(C2775, E2775) * 12, "")</f>
        <v/>
      </c>
      <c r="J2775" s="2">
        <f>IF(I2775="", "", IF(AND(A2775="MF (Equity)", I2775&gt;12), "Long Term", "Short Term"))</f>
        <v/>
      </c>
      <c r="K2775" s="5">
        <f>IF(J2775="", "", IF(J2775="Long Term", 12.5%, 20%))</f>
        <v/>
      </c>
      <c r="L2775" s="3">
        <f>+IFERROR(IF(J2775="","",H2775*K2775),"")</f>
        <v/>
      </c>
    </row>
    <row r="2776">
      <c r="A2776" s="11" t="n"/>
      <c r="B2776" s="7" t="n"/>
      <c r="C2776" s="8" t="n"/>
      <c r="D2776" s="9" t="n"/>
      <c r="E2776" s="8" t="n"/>
      <c r="F2776" s="9" t="n"/>
      <c r="G2776" s="9" t="n"/>
      <c r="H2776" s="3">
        <f>IF(AND(D2776&lt;&gt;"",F2776&lt;&gt;""),F2776-D2776-G2776,"")</f>
        <v/>
      </c>
      <c r="I2776" s="14">
        <f>IF(E2776&lt;&gt;"", YEARFRAC(C2776, E2776) * 12, "")</f>
        <v/>
      </c>
      <c r="J2776" s="2">
        <f>IF(I2776="", "", IF(AND(A2776="MF (Equity)", I2776&gt;12), "Long Term", "Short Term"))</f>
        <v/>
      </c>
      <c r="K2776" s="5">
        <f>IF(J2776="", "", IF(J2776="Long Term", 12.5%, 20%))</f>
        <v/>
      </c>
      <c r="L2776" s="3">
        <f>+IFERROR(IF(J2776="","",H2776*K2776),"")</f>
        <v/>
      </c>
    </row>
    <row r="2777">
      <c r="A2777" s="11" t="n"/>
      <c r="B2777" s="7" t="n"/>
      <c r="C2777" s="8" t="n"/>
      <c r="D2777" s="9" t="n"/>
      <c r="E2777" s="8" t="n"/>
      <c r="F2777" s="9" t="n"/>
      <c r="G2777" s="9" t="n"/>
      <c r="H2777" s="3">
        <f>IF(AND(D2777&lt;&gt;"",F2777&lt;&gt;""),F2777-D2777-G2777,"")</f>
        <v/>
      </c>
      <c r="I2777" s="14">
        <f>IF(E2777&lt;&gt;"", YEARFRAC(C2777, E2777) * 12, "")</f>
        <v/>
      </c>
      <c r="J2777" s="2">
        <f>IF(I2777="", "", IF(AND(A2777="MF (Equity)", I2777&gt;12), "Long Term", "Short Term"))</f>
        <v/>
      </c>
      <c r="K2777" s="5">
        <f>IF(J2777="", "", IF(J2777="Long Term", 12.5%, 20%))</f>
        <v/>
      </c>
      <c r="L2777" s="3">
        <f>+IFERROR(IF(J2777="","",H2777*K2777),"")</f>
        <v/>
      </c>
    </row>
    <row r="2778">
      <c r="A2778" s="11" t="n"/>
      <c r="B2778" s="7" t="n"/>
      <c r="C2778" s="8" t="n"/>
      <c r="D2778" s="9" t="n"/>
      <c r="E2778" s="8" t="n"/>
      <c r="F2778" s="9" t="n"/>
      <c r="G2778" s="9" t="n"/>
      <c r="H2778" s="3">
        <f>IF(AND(D2778&lt;&gt;"",F2778&lt;&gt;""),F2778-D2778-G2778,"")</f>
        <v/>
      </c>
      <c r="I2778" s="14">
        <f>IF(E2778&lt;&gt;"", YEARFRAC(C2778, E2778) * 12, "")</f>
        <v/>
      </c>
      <c r="J2778" s="2">
        <f>IF(I2778="", "", IF(AND(A2778="MF (Equity)", I2778&gt;12), "Long Term", "Short Term"))</f>
        <v/>
      </c>
      <c r="K2778" s="5">
        <f>IF(J2778="", "", IF(J2778="Long Term", 12.5%, 20%))</f>
        <v/>
      </c>
      <c r="L2778" s="3">
        <f>+IFERROR(IF(J2778="","",H2778*K2778),"")</f>
        <v/>
      </c>
    </row>
    <row r="2779">
      <c r="A2779" s="11" t="n"/>
      <c r="B2779" s="7" t="n"/>
      <c r="C2779" s="8" t="n"/>
      <c r="D2779" s="9" t="n"/>
      <c r="E2779" s="8" t="n"/>
      <c r="F2779" s="9" t="n"/>
      <c r="G2779" s="9" t="n"/>
      <c r="H2779" s="3">
        <f>IF(AND(D2779&lt;&gt;"",F2779&lt;&gt;""),F2779-D2779-G2779,"")</f>
        <v/>
      </c>
      <c r="I2779" s="14">
        <f>IF(E2779&lt;&gt;"", YEARFRAC(C2779, E2779) * 12, "")</f>
        <v/>
      </c>
      <c r="J2779" s="2">
        <f>IF(I2779="", "", IF(AND(A2779="MF (Equity)", I2779&gt;12), "Long Term", "Short Term"))</f>
        <v/>
      </c>
      <c r="K2779" s="5">
        <f>IF(J2779="", "", IF(J2779="Long Term", 12.5%, 20%))</f>
        <v/>
      </c>
      <c r="L2779" s="3">
        <f>+IFERROR(IF(J2779="","",H2779*K2779),"")</f>
        <v/>
      </c>
    </row>
    <row r="2780">
      <c r="A2780" s="11" t="n"/>
      <c r="B2780" s="7" t="n"/>
      <c r="C2780" s="8" t="n"/>
      <c r="D2780" s="9" t="n"/>
      <c r="E2780" s="8" t="n"/>
      <c r="F2780" s="9" t="n"/>
      <c r="G2780" s="9" t="n"/>
      <c r="H2780" s="3">
        <f>IF(AND(D2780&lt;&gt;"",F2780&lt;&gt;""),F2780-D2780-G2780,"")</f>
        <v/>
      </c>
      <c r="I2780" s="14">
        <f>IF(E2780&lt;&gt;"", YEARFRAC(C2780, E2780) * 12, "")</f>
        <v/>
      </c>
      <c r="J2780" s="2">
        <f>IF(I2780="", "", IF(AND(A2780="MF (Equity)", I2780&gt;12), "Long Term", "Short Term"))</f>
        <v/>
      </c>
      <c r="K2780" s="5">
        <f>IF(J2780="", "", IF(J2780="Long Term", 12.5%, 20%))</f>
        <v/>
      </c>
      <c r="L2780" s="3">
        <f>+IFERROR(IF(J2780="","",H2780*K2780),"")</f>
        <v/>
      </c>
    </row>
    <row r="2781">
      <c r="A2781" s="11" t="n"/>
      <c r="B2781" s="7" t="n"/>
      <c r="C2781" s="8" t="n"/>
      <c r="D2781" s="9" t="n"/>
      <c r="E2781" s="8" t="n"/>
      <c r="F2781" s="9" t="n"/>
      <c r="G2781" s="9" t="n"/>
      <c r="H2781" s="3">
        <f>IF(AND(D2781&lt;&gt;"",F2781&lt;&gt;""),F2781-D2781-G2781,"")</f>
        <v/>
      </c>
      <c r="I2781" s="14">
        <f>IF(E2781&lt;&gt;"", YEARFRAC(C2781, E2781) * 12, "")</f>
        <v/>
      </c>
      <c r="J2781" s="2">
        <f>IF(I2781="", "", IF(AND(A2781="MF (Equity)", I2781&gt;12), "Long Term", "Short Term"))</f>
        <v/>
      </c>
      <c r="K2781" s="5">
        <f>IF(J2781="", "", IF(J2781="Long Term", 12.5%, 20%))</f>
        <v/>
      </c>
      <c r="L2781" s="3">
        <f>+IFERROR(IF(J2781="","",H2781*K2781),"")</f>
        <v/>
      </c>
    </row>
    <row r="2782">
      <c r="A2782" s="11" t="n"/>
      <c r="B2782" s="7" t="n"/>
      <c r="C2782" s="8" t="n"/>
      <c r="D2782" s="9" t="n"/>
      <c r="E2782" s="8" t="n"/>
      <c r="F2782" s="9" t="n"/>
      <c r="G2782" s="9" t="n"/>
      <c r="H2782" s="3">
        <f>IF(AND(D2782&lt;&gt;"",F2782&lt;&gt;""),F2782-D2782-G2782,"")</f>
        <v/>
      </c>
      <c r="I2782" s="14">
        <f>IF(E2782&lt;&gt;"", YEARFRAC(C2782, E2782) * 12, "")</f>
        <v/>
      </c>
      <c r="J2782" s="2">
        <f>IF(I2782="", "", IF(AND(A2782="MF (Equity)", I2782&gt;12), "Long Term", "Short Term"))</f>
        <v/>
      </c>
      <c r="K2782" s="5">
        <f>IF(J2782="", "", IF(J2782="Long Term", 12.5%, 20%))</f>
        <v/>
      </c>
      <c r="L2782" s="3">
        <f>+IFERROR(IF(J2782="","",H2782*K2782),"")</f>
        <v/>
      </c>
    </row>
    <row r="2783">
      <c r="A2783" s="11" t="n"/>
      <c r="B2783" s="7" t="n"/>
      <c r="C2783" s="8" t="n"/>
      <c r="D2783" s="9" t="n"/>
      <c r="E2783" s="8" t="n"/>
      <c r="F2783" s="9" t="n"/>
      <c r="G2783" s="9" t="n"/>
      <c r="H2783" s="3">
        <f>IF(AND(D2783&lt;&gt;"",F2783&lt;&gt;""),F2783-D2783-G2783,"")</f>
        <v/>
      </c>
      <c r="I2783" s="14">
        <f>IF(E2783&lt;&gt;"", YEARFRAC(C2783, E2783) * 12, "")</f>
        <v/>
      </c>
      <c r="J2783" s="2">
        <f>IF(I2783="", "", IF(AND(A2783="MF (Equity)", I2783&gt;12), "Long Term", "Short Term"))</f>
        <v/>
      </c>
      <c r="K2783" s="5">
        <f>IF(J2783="", "", IF(J2783="Long Term", 12.5%, 20%))</f>
        <v/>
      </c>
      <c r="L2783" s="3">
        <f>+IFERROR(IF(J2783="","",H2783*K2783),"")</f>
        <v/>
      </c>
    </row>
    <row r="2784">
      <c r="A2784" s="11" t="n"/>
      <c r="B2784" s="7" t="n"/>
      <c r="C2784" s="8" t="n"/>
      <c r="D2784" s="9" t="n"/>
      <c r="E2784" s="8" t="n"/>
      <c r="F2784" s="9" t="n"/>
      <c r="G2784" s="9" t="n"/>
      <c r="H2784" s="3">
        <f>IF(AND(D2784&lt;&gt;"",F2784&lt;&gt;""),F2784-D2784-G2784,"")</f>
        <v/>
      </c>
      <c r="I2784" s="14">
        <f>IF(E2784&lt;&gt;"", YEARFRAC(C2784, E2784) * 12, "")</f>
        <v/>
      </c>
      <c r="J2784" s="2">
        <f>IF(I2784="", "", IF(AND(A2784="MF (Equity)", I2784&gt;12), "Long Term", "Short Term"))</f>
        <v/>
      </c>
      <c r="K2784" s="5">
        <f>IF(J2784="", "", IF(J2784="Long Term", 12.5%, 20%))</f>
        <v/>
      </c>
      <c r="L2784" s="3">
        <f>+IFERROR(IF(J2784="","",H2784*K2784),"")</f>
        <v/>
      </c>
    </row>
    <row r="2785">
      <c r="A2785" s="11" t="n"/>
      <c r="B2785" s="7" t="n"/>
      <c r="C2785" s="8" t="n"/>
      <c r="D2785" s="9" t="n"/>
      <c r="E2785" s="8" t="n"/>
      <c r="F2785" s="9" t="n"/>
      <c r="G2785" s="9" t="n"/>
      <c r="H2785" s="3">
        <f>IF(AND(D2785&lt;&gt;"",F2785&lt;&gt;""),F2785-D2785-G2785,"")</f>
        <v/>
      </c>
      <c r="I2785" s="14">
        <f>IF(E2785&lt;&gt;"", YEARFRAC(C2785, E2785) * 12, "")</f>
        <v/>
      </c>
      <c r="J2785" s="2">
        <f>IF(I2785="", "", IF(AND(A2785="MF (Equity)", I2785&gt;12), "Long Term", "Short Term"))</f>
        <v/>
      </c>
      <c r="K2785" s="5">
        <f>IF(J2785="", "", IF(J2785="Long Term", 12.5%, 20%))</f>
        <v/>
      </c>
      <c r="L2785" s="3">
        <f>+IFERROR(IF(J2785="","",H2785*K2785),"")</f>
        <v/>
      </c>
    </row>
    <row r="2786">
      <c r="A2786" s="11" t="n"/>
      <c r="B2786" s="7" t="n"/>
      <c r="C2786" s="8" t="n"/>
      <c r="D2786" s="9" t="n"/>
      <c r="E2786" s="8" t="n"/>
      <c r="F2786" s="9" t="n"/>
      <c r="G2786" s="9" t="n"/>
      <c r="H2786" s="3">
        <f>IF(AND(D2786&lt;&gt;"",F2786&lt;&gt;""),F2786-D2786-G2786,"")</f>
        <v/>
      </c>
      <c r="I2786" s="14">
        <f>IF(E2786&lt;&gt;"", YEARFRAC(C2786, E2786) * 12, "")</f>
        <v/>
      </c>
      <c r="J2786" s="2">
        <f>IF(I2786="", "", IF(AND(A2786="MF (Equity)", I2786&gt;12), "Long Term", "Short Term"))</f>
        <v/>
      </c>
      <c r="K2786" s="5">
        <f>IF(J2786="", "", IF(J2786="Long Term", 12.5%, 20%))</f>
        <v/>
      </c>
      <c r="L2786" s="3">
        <f>+IFERROR(IF(J2786="","",H2786*K2786),"")</f>
        <v/>
      </c>
    </row>
    <row r="2787">
      <c r="A2787" s="11" t="n"/>
      <c r="B2787" s="7" t="n"/>
      <c r="C2787" s="8" t="n"/>
      <c r="D2787" s="9" t="n"/>
      <c r="E2787" s="8" t="n"/>
      <c r="F2787" s="9" t="n"/>
      <c r="G2787" s="9" t="n"/>
      <c r="H2787" s="3">
        <f>IF(AND(D2787&lt;&gt;"",F2787&lt;&gt;""),F2787-D2787-G2787,"")</f>
        <v/>
      </c>
      <c r="I2787" s="14">
        <f>IF(E2787&lt;&gt;"", YEARFRAC(C2787, E2787) * 12, "")</f>
        <v/>
      </c>
      <c r="J2787" s="2">
        <f>IF(I2787="", "", IF(AND(A2787="MF (Equity)", I2787&gt;12), "Long Term", "Short Term"))</f>
        <v/>
      </c>
      <c r="K2787" s="5">
        <f>IF(J2787="", "", IF(J2787="Long Term", 12.5%, 20%))</f>
        <v/>
      </c>
      <c r="L2787" s="3">
        <f>+IFERROR(IF(J2787="","",H2787*K2787),"")</f>
        <v/>
      </c>
    </row>
    <row r="2788">
      <c r="A2788" s="11" t="n"/>
      <c r="B2788" s="7" t="n"/>
      <c r="C2788" s="8" t="n"/>
      <c r="D2788" s="9" t="n"/>
      <c r="E2788" s="8" t="n"/>
      <c r="F2788" s="9" t="n"/>
      <c r="G2788" s="9" t="n"/>
      <c r="H2788" s="3">
        <f>IF(AND(D2788&lt;&gt;"",F2788&lt;&gt;""),F2788-D2788-G2788,"")</f>
        <v/>
      </c>
      <c r="I2788" s="14">
        <f>IF(E2788&lt;&gt;"", YEARFRAC(C2788, E2788) * 12, "")</f>
        <v/>
      </c>
      <c r="J2788" s="2">
        <f>IF(I2788="", "", IF(AND(A2788="MF (Equity)", I2788&gt;12), "Long Term", "Short Term"))</f>
        <v/>
      </c>
      <c r="K2788" s="5">
        <f>IF(J2788="", "", IF(J2788="Long Term", 12.5%, 20%))</f>
        <v/>
      </c>
      <c r="L2788" s="3">
        <f>+IFERROR(IF(J2788="","",H2788*K2788),"")</f>
        <v/>
      </c>
    </row>
    <row r="2789">
      <c r="A2789" s="11" t="n"/>
      <c r="B2789" s="7" t="n"/>
      <c r="C2789" s="8" t="n"/>
      <c r="D2789" s="9" t="n"/>
      <c r="E2789" s="8" t="n"/>
      <c r="F2789" s="9" t="n"/>
      <c r="G2789" s="9" t="n"/>
      <c r="H2789" s="3">
        <f>IF(AND(D2789&lt;&gt;"",F2789&lt;&gt;""),F2789-D2789-G2789,"")</f>
        <v/>
      </c>
      <c r="I2789" s="14">
        <f>IF(E2789&lt;&gt;"", YEARFRAC(C2789, E2789) * 12, "")</f>
        <v/>
      </c>
      <c r="J2789" s="2">
        <f>IF(I2789="", "", IF(AND(A2789="MF (Equity)", I2789&gt;12), "Long Term", "Short Term"))</f>
        <v/>
      </c>
      <c r="K2789" s="5">
        <f>IF(J2789="", "", IF(J2789="Long Term", 12.5%, 20%))</f>
        <v/>
      </c>
      <c r="L2789" s="3">
        <f>+IFERROR(IF(J2789="","",H2789*K2789),"")</f>
        <v/>
      </c>
    </row>
    <row r="2790">
      <c r="A2790" s="11" t="n"/>
      <c r="B2790" s="7" t="n"/>
      <c r="C2790" s="8" t="n"/>
      <c r="D2790" s="9" t="n"/>
      <c r="E2790" s="8" t="n"/>
      <c r="F2790" s="9" t="n"/>
      <c r="G2790" s="9" t="n"/>
      <c r="H2790" s="3">
        <f>IF(AND(D2790&lt;&gt;"",F2790&lt;&gt;""),F2790-D2790-G2790,"")</f>
        <v/>
      </c>
      <c r="I2790" s="14">
        <f>IF(E2790&lt;&gt;"", YEARFRAC(C2790, E2790) * 12, "")</f>
        <v/>
      </c>
      <c r="J2790" s="2">
        <f>IF(I2790="", "", IF(AND(A2790="MF (Equity)", I2790&gt;12), "Long Term", "Short Term"))</f>
        <v/>
      </c>
      <c r="K2790" s="5">
        <f>IF(J2790="", "", IF(J2790="Long Term", 12.5%, 20%))</f>
        <v/>
      </c>
      <c r="L2790" s="3">
        <f>+IFERROR(IF(J2790="","",H2790*K2790),"")</f>
        <v/>
      </c>
    </row>
    <row r="2791">
      <c r="A2791" s="11" t="n"/>
      <c r="B2791" s="7" t="n"/>
      <c r="C2791" s="8" t="n"/>
      <c r="D2791" s="9" t="n"/>
      <c r="E2791" s="8" t="n"/>
      <c r="F2791" s="9" t="n"/>
      <c r="G2791" s="9" t="n"/>
      <c r="H2791" s="3">
        <f>IF(AND(D2791&lt;&gt;"",F2791&lt;&gt;""),F2791-D2791-G2791,"")</f>
        <v/>
      </c>
      <c r="I2791" s="14">
        <f>IF(E2791&lt;&gt;"", YEARFRAC(C2791, E2791) * 12, "")</f>
        <v/>
      </c>
      <c r="J2791" s="2">
        <f>IF(I2791="", "", IF(AND(A2791="MF (Equity)", I2791&gt;12), "Long Term", "Short Term"))</f>
        <v/>
      </c>
      <c r="K2791" s="5">
        <f>IF(J2791="", "", IF(J2791="Long Term", 12.5%, 20%))</f>
        <v/>
      </c>
      <c r="L2791" s="3">
        <f>+IFERROR(IF(J2791="","",H2791*K2791),"")</f>
        <v/>
      </c>
    </row>
    <row r="2792">
      <c r="A2792" s="11" t="n"/>
      <c r="B2792" s="7" t="n"/>
      <c r="C2792" s="8" t="n"/>
      <c r="D2792" s="9" t="n"/>
      <c r="E2792" s="8" t="n"/>
      <c r="F2792" s="9" t="n"/>
      <c r="G2792" s="9" t="n"/>
      <c r="H2792" s="3">
        <f>IF(AND(D2792&lt;&gt;"",F2792&lt;&gt;""),F2792-D2792-G2792,"")</f>
        <v/>
      </c>
      <c r="I2792" s="14">
        <f>IF(E2792&lt;&gt;"", YEARFRAC(C2792, E2792) * 12, "")</f>
        <v/>
      </c>
      <c r="J2792" s="2">
        <f>IF(I2792="", "", IF(AND(A2792="MF (Equity)", I2792&gt;12), "Long Term", "Short Term"))</f>
        <v/>
      </c>
      <c r="K2792" s="5">
        <f>IF(J2792="", "", IF(J2792="Long Term", 12.5%, 20%))</f>
        <v/>
      </c>
      <c r="L2792" s="3">
        <f>+IFERROR(IF(J2792="","",H2792*K2792),"")</f>
        <v/>
      </c>
    </row>
    <row r="2793">
      <c r="A2793" s="11" t="n"/>
      <c r="B2793" s="7" t="n"/>
      <c r="C2793" s="8" t="n"/>
      <c r="D2793" s="9" t="n"/>
      <c r="E2793" s="8" t="n"/>
      <c r="F2793" s="9" t="n"/>
      <c r="G2793" s="9" t="n"/>
      <c r="H2793" s="3">
        <f>IF(AND(D2793&lt;&gt;"",F2793&lt;&gt;""),F2793-D2793-G2793,"")</f>
        <v/>
      </c>
      <c r="I2793" s="14">
        <f>IF(E2793&lt;&gt;"", YEARFRAC(C2793, E2793) * 12, "")</f>
        <v/>
      </c>
      <c r="J2793" s="2">
        <f>IF(I2793="", "", IF(AND(A2793="MF (Equity)", I2793&gt;12), "Long Term", "Short Term"))</f>
        <v/>
      </c>
      <c r="K2793" s="5">
        <f>IF(J2793="", "", IF(J2793="Long Term", 12.5%, 20%))</f>
        <v/>
      </c>
      <c r="L2793" s="3">
        <f>+IFERROR(IF(J2793="","",H2793*K2793),"")</f>
        <v/>
      </c>
    </row>
    <row r="2794">
      <c r="A2794" s="11" t="n"/>
      <c r="B2794" s="7" t="n"/>
      <c r="C2794" s="8" t="n"/>
      <c r="D2794" s="9" t="n"/>
      <c r="E2794" s="8" t="n"/>
      <c r="F2794" s="9" t="n"/>
      <c r="G2794" s="9" t="n"/>
      <c r="H2794" s="3">
        <f>IF(AND(D2794&lt;&gt;"",F2794&lt;&gt;""),F2794-D2794-G2794,"")</f>
        <v/>
      </c>
      <c r="I2794" s="14">
        <f>IF(E2794&lt;&gt;"", YEARFRAC(C2794, E2794) * 12, "")</f>
        <v/>
      </c>
      <c r="J2794" s="2">
        <f>IF(I2794="", "", IF(AND(A2794="MF (Equity)", I2794&gt;12), "Long Term", "Short Term"))</f>
        <v/>
      </c>
      <c r="K2794" s="5">
        <f>IF(J2794="", "", IF(J2794="Long Term", 12.5%, 20%))</f>
        <v/>
      </c>
      <c r="L2794" s="3">
        <f>+IFERROR(IF(J2794="","",H2794*K2794),"")</f>
        <v/>
      </c>
    </row>
    <row r="2795">
      <c r="A2795" s="11" t="n"/>
      <c r="B2795" s="7" t="n"/>
      <c r="C2795" s="8" t="n"/>
      <c r="D2795" s="9" t="n"/>
      <c r="E2795" s="8" t="n"/>
      <c r="F2795" s="9" t="n"/>
      <c r="G2795" s="9" t="n"/>
      <c r="H2795" s="3">
        <f>IF(AND(D2795&lt;&gt;"",F2795&lt;&gt;""),F2795-D2795-G2795,"")</f>
        <v/>
      </c>
      <c r="I2795" s="14">
        <f>IF(E2795&lt;&gt;"", YEARFRAC(C2795, E2795) * 12, "")</f>
        <v/>
      </c>
      <c r="J2795" s="2">
        <f>IF(I2795="", "", IF(AND(A2795="MF (Equity)", I2795&gt;12), "Long Term", "Short Term"))</f>
        <v/>
      </c>
      <c r="K2795" s="5">
        <f>IF(J2795="", "", IF(J2795="Long Term", 12.5%, 20%))</f>
        <v/>
      </c>
      <c r="L2795" s="3">
        <f>+IFERROR(IF(J2795="","",H2795*K2795),"")</f>
        <v/>
      </c>
    </row>
    <row r="2796">
      <c r="A2796" s="11" t="n"/>
      <c r="B2796" s="7" t="n"/>
      <c r="C2796" s="8" t="n"/>
      <c r="D2796" s="9" t="n"/>
      <c r="E2796" s="8" t="n"/>
      <c r="F2796" s="9" t="n"/>
      <c r="G2796" s="9" t="n"/>
      <c r="H2796" s="3">
        <f>IF(AND(D2796&lt;&gt;"",F2796&lt;&gt;""),F2796-D2796-G2796,"")</f>
        <v/>
      </c>
      <c r="I2796" s="14">
        <f>IF(E2796&lt;&gt;"", YEARFRAC(C2796, E2796) * 12, "")</f>
        <v/>
      </c>
      <c r="J2796" s="2">
        <f>IF(I2796="", "", IF(AND(A2796="MF (Equity)", I2796&gt;12), "Long Term", "Short Term"))</f>
        <v/>
      </c>
      <c r="K2796" s="5">
        <f>IF(J2796="", "", IF(J2796="Long Term", 12.5%, 20%))</f>
        <v/>
      </c>
      <c r="L2796" s="3">
        <f>+IFERROR(IF(J2796="","",H2796*K2796),"")</f>
        <v/>
      </c>
    </row>
    <row r="2797">
      <c r="A2797" s="11" t="n"/>
      <c r="B2797" s="7" t="n"/>
      <c r="C2797" s="8" t="n"/>
      <c r="D2797" s="9" t="n"/>
      <c r="E2797" s="8" t="n"/>
      <c r="F2797" s="9" t="n"/>
      <c r="G2797" s="9" t="n"/>
      <c r="H2797" s="3">
        <f>IF(AND(D2797&lt;&gt;"",F2797&lt;&gt;""),F2797-D2797-G2797,"")</f>
        <v/>
      </c>
      <c r="I2797" s="14">
        <f>IF(E2797&lt;&gt;"", YEARFRAC(C2797, E2797) * 12, "")</f>
        <v/>
      </c>
      <c r="J2797" s="2">
        <f>IF(I2797="", "", IF(AND(A2797="MF (Equity)", I2797&gt;12), "Long Term", "Short Term"))</f>
        <v/>
      </c>
      <c r="K2797" s="5">
        <f>IF(J2797="", "", IF(J2797="Long Term", 12.5%, 20%))</f>
        <v/>
      </c>
      <c r="L2797" s="3">
        <f>+IFERROR(IF(J2797="","",H2797*K2797),"")</f>
        <v/>
      </c>
    </row>
    <row r="2798">
      <c r="A2798" s="11" t="n"/>
      <c r="B2798" s="7" t="n"/>
      <c r="C2798" s="8" t="n"/>
      <c r="D2798" s="9" t="n"/>
      <c r="E2798" s="8" t="n"/>
      <c r="F2798" s="9" t="n"/>
      <c r="G2798" s="9" t="n"/>
      <c r="H2798" s="3">
        <f>IF(AND(D2798&lt;&gt;"",F2798&lt;&gt;""),F2798-D2798-G2798,"")</f>
        <v/>
      </c>
      <c r="I2798" s="14">
        <f>IF(E2798&lt;&gt;"", YEARFRAC(C2798, E2798) * 12, "")</f>
        <v/>
      </c>
      <c r="J2798" s="2">
        <f>IF(I2798="", "", IF(AND(A2798="MF (Equity)", I2798&gt;12), "Long Term", "Short Term"))</f>
        <v/>
      </c>
      <c r="K2798" s="5">
        <f>IF(J2798="", "", IF(J2798="Long Term", 12.5%, 20%))</f>
        <v/>
      </c>
      <c r="L2798" s="3">
        <f>+IFERROR(IF(J2798="","",H2798*K2798),"")</f>
        <v/>
      </c>
    </row>
    <row r="2799">
      <c r="A2799" s="11" t="n"/>
      <c r="B2799" s="7" t="n"/>
      <c r="C2799" s="8" t="n"/>
      <c r="D2799" s="9" t="n"/>
      <c r="E2799" s="8" t="n"/>
      <c r="F2799" s="9" t="n"/>
      <c r="G2799" s="9" t="n"/>
      <c r="H2799" s="3">
        <f>IF(AND(D2799&lt;&gt;"",F2799&lt;&gt;""),F2799-D2799-G2799,"")</f>
        <v/>
      </c>
      <c r="I2799" s="14">
        <f>IF(E2799&lt;&gt;"", YEARFRAC(C2799, E2799) * 12, "")</f>
        <v/>
      </c>
      <c r="J2799" s="2">
        <f>IF(I2799="", "", IF(AND(A2799="MF (Equity)", I2799&gt;12), "Long Term", "Short Term"))</f>
        <v/>
      </c>
      <c r="K2799" s="5">
        <f>IF(J2799="", "", IF(J2799="Long Term", 12.5%, 20%))</f>
        <v/>
      </c>
      <c r="L2799" s="3">
        <f>+IFERROR(IF(J2799="","",H2799*K2799),"")</f>
        <v/>
      </c>
    </row>
    <row r="2800">
      <c r="A2800" s="11" t="n"/>
      <c r="B2800" s="7" t="n"/>
      <c r="C2800" s="8" t="n"/>
      <c r="D2800" s="9" t="n"/>
      <c r="E2800" s="8" t="n"/>
      <c r="F2800" s="9" t="n"/>
      <c r="G2800" s="9" t="n"/>
      <c r="H2800" s="3">
        <f>IF(AND(D2800&lt;&gt;"",F2800&lt;&gt;""),F2800-D2800-G2800,"")</f>
        <v/>
      </c>
      <c r="I2800" s="14">
        <f>IF(E2800&lt;&gt;"", YEARFRAC(C2800, E2800) * 12, "")</f>
        <v/>
      </c>
      <c r="J2800" s="2">
        <f>IF(I2800="", "", IF(AND(A2800="MF (Equity)", I2800&gt;12), "Long Term", "Short Term"))</f>
        <v/>
      </c>
      <c r="K2800" s="5">
        <f>IF(J2800="", "", IF(J2800="Long Term", 12.5%, 20%))</f>
        <v/>
      </c>
      <c r="L2800" s="3">
        <f>+IFERROR(IF(J2800="","",H2800*K2800),"")</f>
        <v/>
      </c>
    </row>
    <row r="2801">
      <c r="A2801" s="11" t="n"/>
      <c r="B2801" s="7" t="n"/>
      <c r="C2801" s="8" t="n"/>
      <c r="D2801" s="9" t="n"/>
      <c r="E2801" s="8" t="n"/>
      <c r="F2801" s="9" t="n"/>
      <c r="G2801" s="9" t="n"/>
      <c r="H2801" s="3">
        <f>IF(AND(D2801&lt;&gt;"",F2801&lt;&gt;""),F2801-D2801-G2801,"")</f>
        <v/>
      </c>
      <c r="I2801" s="14">
        <f>IF(E2801&lt;&gt;"", YEARFRAC(C2801, E2801) * 12, "")</f>
        <v/>
      </c>
      <c r="J2801" s="2">
        <f>IF(I2801="", "", IF(AND(A2801="MF (Equity)", I2801&gt;12), "Long Term", "Short Term"))</f>
        <v/>
      </c>
      <c r="K2801" s="5">
        <f>IF(J2801="", "", IF(J2801="Long Term", 12.5%, 20%))</f>
        <v/>
      </c>
      <c r="L2801" s="3">
        <f>+IFERROR(IF(J2801="","",H2801*K2801),"")</f>
        <v/>
      </c>
    </row>
    <row r="2802">
      <c r="A2802" s="11" t="n"/>
      <c r="B2802" s="7" t="n"/>
      <c r="C2802" s="8" t="n"/>
      <c r="D2802" s="9" t="n"/>
      <c r="E2802" s="8" t="n"/>
      <c r="F2802" s="9" t="n"/>
      <c r="G2802" s="9" t="n"/>
      <c r="H2802" s="3">
        <f>IF(AND(D2802&lt;&gt;"",F2802&lt;&gt;""),F2802-D2802-G2802,"")</f>
        <v/>
      </c>
      <c r="I2802" s="14">
        <f>IF(E2802&lt;&gt;"", YEARFRAC(C2802, E2802) * 12, "")</f>
        <v/>
      </c>
      <c r="J2802" s="2">
        <f>IF(I2802="", "", IF(AND(A2802="MF (Equity)", I2802&gt;12), "Long Term", "Short Term"))</f>
        <v/>
      </c>
      <c r="K2802" s="5">
        <f>IF(J2802="", "", IF(J2802="Long Term", 12.5%, 20%))</f>
        <v/>
      </c>
      <c r="L2802" s="3">
        <f>+IFERROR(IF(J2802="","",H2802*K2802),"")</f>
        <v/>
      </c>
    </row>
    <row r="2803">
      <c r="A2803" s="11" t="n"/>
      <c r="B2803" s="7" t="n"/>
      <c r="C2803" s="8" t="n"/>
      <c r="D2803" s="9" t="n"/>
      <c r="E2803" s="8" t="n"/>
      <c r="F2803" s="9" t="n"/>
      <c r="G2803" s="9" t="n"/>
      <c r="H2803" s="3">
        <f>IF(AND(D2803&lt;&gt;"",F2803&lt;&gt;""),F2803-D2803-G2803,"")</f>
        <v/>
      </c>
      <c r="I2803" s="14">
        <f>IF(E2803&lt;&gt;"", YEARFRAC(C2803, E2803) * 12, "")</f>
        <v/>
      </c>
      <c r="J2803" s="2">
        <f>IF(I2803="", "", IF(AND(A2803="MF (Equity)", I2803&gt;12), "Long Term", "Short Term"))</f>
        <v/>
      </c>
      <c r="K2803" s="5">
        <f>IF(J2803="", "", IF(J2803="Long Term", 12.5%, 20%))</f>
        <v/>
      </c>
      <c r="L2803" s="3">
        <f>+IFERROR(IF(J2803="","",H2803*K2803),"")</f>
        <v/>
      </c>
    </row>
    <row r="2804">
      <c r="A2804" s="11" t="n"/>
      <c r="B2804" s="7" t="n"/>
      <c r="C2804" s="8" t="n"/>
      <c r="D2804" s="9" t="n"/>
      <c r="E2804" s="8" t="n"/>
      <c r="F2804" s="9" t="n"/>
      <c r="G2804" s="9" t="n"/>
      <c r="H2804" s="3">
        <f>IF(AND(D2804&lt;&gt;"",F2804&lt;&gt;""),F2804-D2804-G2804,"")</f>
        <v/>
      </c>
      <c r="I2804" s="14">
        <f>IF(E2804&lt;&gt;"", YEARFRAC(C2804, E2804) * 12, "")</f>
        <v/>
      </c>
      <c r="J2804" s="2">
        <f>IF(I2804="", "", IF(AND(A2804="MF (Equity)", I2804&gt;12), "Long Term", "Short Term"))</f>
        <v/>
      </c>
      <c r="K2804" s="5">
        <f>IF(J2804="", "", IF(J2804="Long Term", 12.5%, 20%))</f>
        <v/>
      </c>
      <c r="L2804" s="3">
        <f>+IFERROR(IF(J2804="","",H2804*K2804),"")</f>
        <v/>
      </c>
    </row>
    <row r="2805">
      <c r="A2805" s="11" t="n"/>
      <c r="B2805" s="7" t="n"/>
      <c r="C2805" s="8" t="n"/>
      <c r="D2805" s="9" t="n"/>
      <c r="E2805" s="8" t="n"/>
      <c r="F2805" s="9" t="n"/>
      <c r="G2805" s="9" t="n"/>
      <c r="H2805" s="3">
        <f>IF(AND(D2805&lt;&gt;"",F2805&lt;&gt;""),F2805-D2805-G2805,"")</f>
        <v/>
      </c>
      <c r="I2805" s="14">
        <f>IF(E2805&lt;&gt;"", YEARFRAC(C2805, E2805) * 12, "")</f>
        <v/>
      </c>
      <c r="J2805" s="2">
        <f>IF(I2805="", "", IF(AND(A2805="MF (Equity)", I2805&gt;12), "Long Term", "Short Term"))</f>
        <v/>
      </c>
      <c r="K2805" s="5">
        <f>IF(J2805="", "", IF(J2805="Long Term", 12.5%, 20%))</f>
        <v/>
      </c>
      <c r="L2805" s="3">
        <f>+IFERROR(IF(J2805="","",H2805*K2805),"")</f>
        <v/>
      </c>
    </row>
    <row r="2806">
      <c r="A2806" s="11" t="n"/>
      <c r="B2806" s="7" t="n"/>
      <c r="C2806" s="8" t="n"/>
      <c r="D2806" s="9" t="n"/>
      <c r="E2806" s="8" t="n"/>
      <c r="F2806" s="9" t="n"/>
      <c r="G2806" s="9" t="n"/>
      <c r="H2806" s="3">
        <f>IF(AND(D2806&lt;&gt;"",F2806&lt;&gt;""),F2806-D2806-G2806,"")</f>
        <v/>
      </c>
      <c r="I2806" s="14">
        <f>IF(E2806&lt;&gt;"", YEARFRAC(C2806, E2806) * 12, "")</f>
        <v/>
      </c>
      <c r="J2806" s="2">
        <f>IF(I2806="", "", IF(AND(A2806="MF (Equity)", I2806&gt;12), "Long Term", "Short Term"))</f>
        <v/>
      </c>
      <c r="K2806" s="5">
        <f>IF(J2806="", "", IF(J2806="Long Term", 12.5%, 20%))</f>
        <v/>
      </c>
      <c r="L2806" s="3">
        <f>+IFERROR(IF(J2806="","",H2806*K2806),"")</f>
        <v/>
      </c>
    </row>
    <row r="2807">
      <c r="A2807" s="11" t="n"/>
      <c r="B2807" s="7" t="n"/>
      <c r="C2807" s="8" t="n"/>
      <c r="D2807" s="9" t="n"/>
      <c r="E2807" s="8" t="n"/>
      <c r="F2807" s="9" t="n"/>
      <c r="G2807" s="9" t="n"/>
      <c r="H2807" s="3">
        <f>IF(AND(D2807&lt;&gt;"",F2807&lt;&gt;""),F2807-D2807-G2807,"")</f>
        <v/>
      </c>
      <c r="I2807" s="14">
        <f>IF(E2807&lt;&gt;"", YEARFRAC(C2807, E2807) * 12, "")</f>
        <v/>
      </c>
      <c r="J2807" s="2">
        <f>IF(I2807="", "", IF(AND(A2807="MF (Equity)", I2807&gt;12), "Long Term", "Short Term"))</f>
        <v/>
      </c>
      <c r="K2807" s="5">
        <f>IF(J2807="", "", IF(J2807="Long Term", 12.5%, 20%))</f>
        <v/>
      </c>
      <c r="L2807" s="3">
        <f>+IFERROR(IF(J2807="","",H2807*K2807),"")</f>
        <v/>
      </c>
    </row>
    <row r="2808">
      <c r="A2808" s="11" t="n"/>
      <c r="B2808" s="7" t="n"/>
      <c r="C2808" s="8" t="n"/>
      <c r="D2808" s="9" t="n"/>
      <c r="E2808" s="8" t="n"/>
      <c r="F2808" s="9" t="n"/>
      <c r="G2808" s="9" t="n"/>
      <c r="H2808" s="3">
        <f>IF(AND(D2808&lt;&gt;"",F2808&lt;&gt;""),F2808-D2808-G2808,"")</f>
        <v/>
      </c>
      <c r="I2808" s="14">
        <f>IF(E2808&lt;&gt;"", YEARFRAC(C2808, E2808) * 12, "")</f>
        <v/>
      </c>
      <c r="J2808" s="2">
        <f>IF(I2808="", "", IF(AND(A2808="MF (Equity)", I2808&gt;12), "Long Term", "Short Term"))</f>
        <v/>
      </c>
      <c r="K2808" s="5">
        <f>IF(J2808="", "", IF(J2808="Long Term", 12.5%, 20%))</f>
        <v/>
      </c>
      <c r="L2808" s="3">
        <f>+IFERROR(IF(J2808="","",H2808*K2808),"")</f>
        <v/>
      </c>
    </row>
    <row r="2809">
      <c r="A2809" s="11" t="n"/>
      <c r="B2809" s="7" t="n"/>
      <c r="C2809" s="8" t="n"/>
      <c r="D2809" s="9" t="n"/>
      <c r="E2809" s="8" t="n"/>
      <c r="F2809" s="9" t="n"/>
      <c r="G2809" s="9" t="n"/>
      <c r="H2809" s="3">
        <f>IF(AND(D2809&lt;&gt;"",F2809&lt;&gt;""),F2809-D2809-G2809,"")</f>
        <v/>
      </c>
      <c r="I2809" s="14">
        <f>IF(E2809&lt;&gt;"", YEARFRAC(C2809, E2809) * 12, "")</f>
        <v/>
      </c>
      <c r="J2809" s="2">
        <f>IF(I2809="", "", IF(AND(A2809="MF (Equity)", I2809&gt;12), "Long Term", "Short Term"))</f>
        <v/>
      </c>
      <c r="K2809" s="5">
        <f>IF(J2809="", "", IF(J2809="Long Term", 12.5%, 20%))</f>
        <v/>
      </c>
      <c r="L2809" s="3">
        <f>+IFERROR(IF(J2809="","",H2809*K2809),"")</f>
        <v/>
      </c>
    </row>
    <row r="2810">
      <c r="A2810" s="11" t="n"/>
      <c r="B2810" s="7" t="n"/>
      <c r="C2810" s="8" t="n"/>
      <c r="D2810" s="9" t="n"/>
      <c r="E2810" s="8" t="n"/>
      <c r="F2810" s="9" t="n"/>
      <c r="G2810" s="9" t="n"/>
      <c r="H2810" s="3">
        <f>IF(AND(D2810&lt;&gt;"",F2810&lt;&gt;""),F2810-D2810-G2810,"")</f>
        <v/>
      </c>
      <c r="I2810" s="14">
        <f>IF(E2810&lt;&gt;"", YEARFRAC(C2810, E2810) * 12, "")</f>
        <v/>
      </c>
      <c r="J2810" s="2">
        <f>IF(I2810="", "", IF(AND(A2810="MF (Equity)", I2810&gt;12), "Long Term", "Short Term"))</f>
        <v/>
      </c>
      <c r="K2810" s="5">
        <f>IF(J2810="", "", IF(J2810="Long Term", 12.5%, 20%))</f>
        <v/>
      </c>
      <c r="L2810" s="3">
        <f>+IFERROR(IF(J2810="","",H2810*K2810),"")</f>
        <v/>
      </c>
    </row>
    <row r="2811">
      <c r="A2811" s="11" t="n"/>
      <c r="B2811" s="7" t="n"/>
      <c r="C2811" s="8" t="n"/>
      <c r="D2811" s="9" t="n"/>
      <c r="E2811" s="8" t="n"/>
      <c r="F2811" s="9" t="n"/>
      <c r="G2811" s="9" t="n"/>
      <c r="H2811" s="3">
        <f>IF(AND(D2811&lt;&gt;"",F2811&lt;&gt;""),F2811-D2811-G2811,"")</f>
        <v/>
      </c>
      <c r="I2811" s="14">
        <f>IF(E2811&lt;&gt;"", YEARFRAC(C2811, E2811) * 12, "")</f>
        <v/>
      </c>
      <c r="J2811" s="2">
        <f>IF(I2811="", "", IF(AND(A2811="MF (Equity)", I2811&gt;12), "Long Term", "Short Term"))</f>
        <v/>
      </c>
      <c r="K2811" s="5">
        <f>IF(J2811="", "", IF(J2811="Long Term", 12.5%, 20%))</f>
        <v/>
      </c>
      <c r="L2811" s="3">
        <f>+IFERROR(IF(J2811="","",H2811*K2811),"")</f>
        <v/>
      </c>
    </row>
    <row r="2812">
      <c r="A2812" s="11" t="n"/>
      <c r="B2812" s="7" t="n"/>
      <c r="C2812" s="8" t="n"/>
      <c r="D2812" s="9" t="n"/>
      <c r="E2812" s="8" t="n"/>
      <c r="F2812" s="9" t="n"/>
      <c r="G2812" s="9" t="n"/>
      <c r="H2812" s="3">
        <f>IF(AND(D2812&lt;&gt;"",F2812&lt;&gt;""),F2812-D2812-G2812,"")</f>
        <v/>
      </c>
      <c r="I2812" s="14">
        <f>IF(E2812&lt;&gt;"", YEARFRAC(C2812, E2812) * 12, "")</f>
        <v/>
      </c>
      <c r="J2812" s="2">
        <f>IF(I2812="", "", IF(AND(A2812="MF (Equity)", I2812&gt;12), "Long Term", "Short Term"))</f>
        <v/>
      </c>
      <c r="K2812" s="5">
        <f>IF(J2812="", "", IF(J2812="Long Term", 12.5%, 20%))</f>
        <v/>
      </c>
      <c r="L2812" s="3">
        <f>+IFERROR(IF(J2812="","",H2812*K2812),"")</f>
        <v/>
      </c>
    </row>
    <row r="2813">
      <c r="A2813" s="11" t="n"/>
      <c r="B2813" s="7" t="n"/>
      <c r="C2813" s="8" t="n"/>
      <c r="D2813" s="9" t="n"/>
      <c r="E2813" s="8" t="n"/>
      <c r="F2813" s="9" t="n"/>
      <c r="G2813" s="9" t="n"/>
      <c r="H2813" s="3">
        <f>IF(AND(D2813&lt;&gt;"",F2813&lt;&gt;""),F2813-D2813-G2813,"")</f>
        <v/>
      </c>
      <c r="I2813" s="14">
        <f>IF(E2813&lt;&gt;"", YEARFRAC(C2813, E2813) * 12, "")</f>
        <v/>
      </c>
      <c r="J2813" s="2">
        <f>IF(I2813="", "", IF(AND(A2813="MF (Equity)", I2813&gt;12), "Long Term", "Short Term"))</f>
        <v/>
      </c>
      <c r="K2813" s="5">
        <f>IF(J2813="", "", IF(J2813="Long Term", 12.5%, 20%))</f>
        <v/>
      </c>
      <c r="L2813" s="3">
        <f>+IFERROR(IF(J2813="","",H2813*K2813),"")</f>
        <v/>
      </c>
    </row>
    <row r="2814">
      <c r="A2814" s="11" t="n"/>
      <c r="B2814" s="7" t="n"/>
      <c r="C2814" s="8" t="n"/>
      <c r="D2814" s="9" t="n"/>
      <c r="E2814" s="8" t="n"/>
      <c r="F2814" s="9" t="n"/>
      <c r="G2814" s="9" t="n"/>
      <c r="H2814" s="3">
        <f>IF(AND(D2814&lt;&gt;"",F2814&lt;&gt;""),F2814-D2814-G2814,"")</f>
        <v/>
      </c>
      <c r="I2814" s="14">
        <f>IF(E2814&lt;&gt;"", YEARFRAC(C2814, E2814) * 12, "")</f>
        <v/>
      </c>
      <c r="J2814" s="2">
        <f>IF(I2814="", "", IF(AND(A2814="MF (Equity)", I2814&gt;12), "Long Term", "Short Term"))</f>
        <v/>
      </c>
      <c r="K2814" s="5">
        <f>IF(J2814="", "", IF(J2814="Long Term", 12.5%, 20%))</f>
        <v/>
      </c>
      <c r="L2814" s="3">
        <f>+IFERROR(IF(J2814="","",H2814*K2814),"")</f>
        <v/>
      </c>
    </row>
    <row r="2815">
      <c r="A2815" s="11" t="n"/>
      <c r="B2815" s="7" t="n"/>
      <c r="C2815" s="8" t="n"/>
      <c r="D2815" s="9" t="n"/>
      <c r="E2815" s="8" t="n"/>
      <c r="F2815" s="9" t="n"/>
      <c r="G2815" s="9" t="n"/>
      <c r="H2815" s="3">
        <f>IF(AND(D2815&lt;&gt;"",F2815&lt;&gt;""),F2815-D2815-G2815,"")</f>
        <v/>
      </c>
      <c r="I2815" s="14">
        <f>IF(E2815&lt;&gt;"", YEARFRAC(C2815, E2815) * 12, "")</f>
        <v/>
      </c>
      <c r="J2815" s="2">
        <f>IF(I2815="", "", IF(AND(A2815="MF (Equity)", I2815&gt;12), "Long Term", "Short Term"))</f>
        <v/>
      </c>
      <c r="K2815" s="5">
        <f>IF(J2815="", "", IF(J2815="Long Term", 12.5%, 20%))</f>
        <v/>
      </c>
      <c r="L2815" s="3">
        <f>+IFERROR(IF(J2815="","",H2815*K2815),"")</f>
        <v/>
      </c>
    </row>
    <row r="2816">
      <c r="A2816" s="11" t="n"/>
      <c r="B2816" s="7" t="n"/>
      <c r="C2816" s="8" t="n"/>
      <c r="D2816" s="9" t="n"/>
      <c r="E2816" s="8" t="n"/>
      <c r="F2816" s="9" t="n"/>
      <c r="G2816" s="9" t="n"/>
      <c r="H2816" s="3">
        <f>IF(AND(D2816&lt;&gt;"",F2816&lt;&gt;""),F2816-D2816-G2816,"")</f>
        <v/>
      </c>
      <c r="I2816" s="14">
        <f>IF(E2816&lt;&gt;"", YEARFRAC(C2816, E2816) * 12, "")</f>
        <v/>
      </c>
      <c r="J2816" s="2">
        <f>IF(I2816="", "", IF(AND(A2816="MF (Equity)", I2816&gt;12), "Long Term", "Short Term"))</f>
        <v/>
      </c>
      <c r="K2816" s="5">
        <f>IF(J2816="", "", IF(J2816="Long Term", 12.5%, 20%))</f>
        <v/>
      </c>
      <c r="L2816" s="3">
        <f>+IFERROR(IF(J2816="","",H2816*K2816),"")</f>
        <v/>
      </c>
    </row>
    <row r="2817">
      <c r="A2817" s="11" t="n"/>
      <c r="B2817" s="7" t="n"/>
      <c r="C2817" s="8" t="n"/>
      <c r="D2817" s="9" t="n"/>
      <c r="E2817" s="8" t="n"/>
      <c r="F2817" s="9" t="n"/>
      <c r="G2817" s="9" t="n"/>
      <c r="H2817" s="3">
        <f>IF(AND(D2817&lt;&gt;"",F2817&lt;&gt;""),F2817-D2817-G2817,"")</f>
        <v/>
      </c>
      <c r="I2817" s="14">
        <f>IF(E2817&lt;&gt;"", YEARFRAC(C2817, E2817) * 12, "")</f>
        <v/>
      </c>
      <c r="J2817" s="2">
        <f>IF(I2817="", "", IF(AND(A2817="MF (Equity)", I2817&gt;12), "Long Term", "Short Term"))</f>
        <v/>
      </c>
      <c r="K2817" s="5">
        <f>IF(J2817="", "", IF(J2817="Long Term", 12.5%, 20%))</f>
        <v/>
      </c>
      <c r="L2817" s="3">
        <f>+IFERROR(IF(J2817="","",H2817*K2817),"")</f>
        <v/>
      </c>
    </row>
    <row r="2818">
      <c r="A2818" s="11" t="n"/>
      <c r="B2818" s="7" t="n"/>
      <c r="C2818" s="8" t="n"/>
      <c r="D2818" s="9" t="n"/>
      <c r="E2818" s="8" t="n"/>
      <c r="F2818" s="9" t="n"/>
      <c r="G2818" s="9" t="n"/>
      <c r="H2818" s="3">
        <f>IF(AND(D2818&lt;&gt;"",F2818&lt;&gt;""),F2818-D2818-G2818,"")</f>
        <v/>
      </c>
      <c r="I2818" s="14">
        <f>IF(E2818&lt;&gt;"", YEARFRAC(C2818, E2818) * 12, "")</f>
        <v/>
      </c>
      <c r="J2818" s="2">
        <f>IF(I2818="", "", IF(AND(A2818="MF (Equity)", I2818&gt;12), "Long Term", "Short Term"))</f>
        <v/>
      </c>
      <c r="K2818" s="5">
        <f>IF(J2818="", "", IF(J2818="Long Term", 12.5%, 20%))</f>
        <v/>
      </c>
      <c r="L2818" s="3">
        <f>+IFERROR(IF(J2818="","",H2818*K2818),"")</f>
        <v/>
      </c>
    </row>
    <row r="2819">
      <c r="A2819" s="11" t="n"/>
      <c r="B2819" s="7" t="n"/>
      <c r="C2819" s="8" t="n"/>
      <c r="D2819" s="9" t="n"/>
      <c r="E2819" s="8" t="n"/>
      <c r="F2819" s="9" t="n"/>
      <c r="G2819" s="9" t="n"/>
      <c r="H2819" s="3">
        <f>IF(AND(D2819&lt;&gt;"",F2819&lt;&gt;""),F2819-D2819-G2819,"")</f>
        <v/>
      </c>
      <c r="I2819" s="14">
        <f>IF(E2819&lt;&gt;"", YEARFRAC(C2819, E2819) * 12, "")</f>
        <v/>
      </c>
      <c r="J2819" s="2">
        <f>IF(I2819="", "", IF(AND(A2819="MF (Equity)", I2819&gt;12), "Long Term", "Short Term"))</f>
        <v/>
      </c>
      <c r="K2819" s="5">
        <f>IF(J2819="", "", IF(J2819="Long Term", 12.5%, 20%))</f>
        <v/>
      </c>
      <c r="L2819" s="3">
        <f>+IFERROR(IF(J2819="","",H2819*K2819),"")</f>
        <v/>
      </c>
    </row>
    <row r="2820">
      <c r="A2820" s="11" t="n"/>
      <c r="B2820" s="7" t="n"/>
      <c r="C2820" s="8" t="n"/>
      <c r="D2820" s="9" t="n"/>
      <c r="E2820" s="8" t="n"/>
      <c r="F2820" s="9" t="n"/>
      <c r="G2820" s="9" t="n"/>
      <c r="H2820" s="3">
        <f>IF(AND(D2820&lt;&gt;"",F2820&lt;&gt;""),F2820-D2820-G2820,"")</f>
        <v/>
      </c>
      <c r="I2820" s="14">
        <f>IF(E2820&lt;&gt;"", YEARFRAC(C2820, E2820) * 12, "")</f>
        <v/>
      </c>
      <c r="J2820" s="2">
        <f>IF(I2820="", "", IF(AND(A2820="MF (Equity)", I2820&gt;12), "Long Term", "Short Term"))</f>
        <v/>
      </c>
      <c r="K2820" s="5">
        <f>IF(J2820="", "", IF(J2820="Long Term", 12.5%, 20%))</f>
        <v/>
      </c>
      <c r="L2820" s="3">
        <f>+IFERROR(IF(J2820="","",H2820*K2820),"")</f>
        <v/>
      </c>
    </row>
    <row r="2821">
      <c r="A2821" s="11" t="n"/>
      <c r="B2821" s="7" t="n"/>
      <c r="C2821" s="8" t="n"/>
      <c r="D2821" s="9" t="n"/>
      <c r="E2821" s="8" t="n"/>
      <c r="F2821" s="9" t="n"/>
      <c r="G2821" s="9" t="n"/>
      <c r="H2821" s="3">
        <f>IF(AND(D2821&lt;&gt;"",F2821&lt;&gt;""),F2821-D2821-G2821,"")</f>
        <v/>
      </c>
      <c r="I2821" s="14">
        <f>IF(E2821&lt;&gt;"", YEARFRAC(C2821, E2821) * 12, "")</f>
        <v/>
      </c>
      <c r="J2821" s="2">
        <f>IF(I2821="", "", IF(AND(A2821="MF (Equity)", I2821&gt;12), "Long Term", "Short Term"))</f>
        <v/>
      </c>
      <c r="K2821" s="5">
        <f>IF(J2821="", "", IF(J2821="Long Term", 12.5%, 20%))</f>
        <v/>
      </c>
      <c r="L2821" s="3">
        <f>+IFERROR(IF(J2821="","",H2821*K2821),"")</f>
        <v/>
      </c>
    </row>
    <row r="2822">
      <c r="A2822" s="11" t="n"/>
      <c r="B2822" s="7" t="n"/>
      <c r="C2822" s="8" t="n"/>
      <c r="D2822" s="9" t="n"/>
      <c r="E2822" s="8" t="n"/>
      <c r="F2822" s="9" t="n"/>
      <c r="G2822" s="9" t="n"/>
      <c r="H2822" s="3">
        <f>IF(AND(D2822&lt;&gt;"",F2822&lt;&gt;""),F2822-D2822-G2822,"")</f>
        <v/>
      </c>
      <c r="I2822" s="14">
        <f>IF(E2822&lt;&gt;"", YEARFRAC(C2822, E2822) * 12, "")</f>
        <v/>
      </c>
      <c r="J2822" s="2">
        <f>IF(I2822="", "", IF(AND(A2822="MF (Equity)", I2822&gt;12), "Long Term", "Short Term"))</f>
        <v/>
      </c>
      <c r="K2822" s="5">
        <f>IF(J2822="", "", IF(J2822="Long Term", 12.5%, 20%))</f>
        <v/>
      </c>
      <c r="L2822" s="3">
        <f>+IFERROR(IF(J2822="","",H2822*K2822),"")</f>
        <v/>
      </c>
    </row>
    <row r="2823">
      <c r="A2823" s="11" t="n"/>
      <c r="B2823" s="7" t="n"/>
      <c r="C2823" s="8" t="n"/>
      <c r="D2823" s="9" t="n"/>
      <c r="E2823" s="8" t="n"/>
      <c r="F2823" s="9" t="n"/>
      <c r="G2823" s="9" t="n"/>
      <c r="H2823" s="3">
        <f>IF(AND(D2823&lt;&gt;"",F2823&lt;&gt;""),F2823-D2823-G2823,"")</f>
        <v/>
      </c>
      <c r="I2823" s="14">
        <f>IF(E2823&lt;&gt;"", YEARFRAC(C2823, E2823) * 12, "")</f>
        <v/>
      </c>
      <c r="J2823" s="2">
        <f>IF(I2823="", "", IF(AND(A2823="MF (Equity)", I2823&gt;12), "Long Term", "Short Term"))</f>
        <v/>
      </c>
      <c r="K2823" s="5">
        <f>IF(J2823="", "", IF(J2823="Long Term", 12.5%, 20%))</f>
        <v/>
      </c>
      <c r="L2823" s="3">
        <f>+IFERROR(IF(J2823="","",H2823*K2823),"")</f>
        <v/>
      </c>
    </row>
    <row r="2824">
      <c r="A2824" s="11" t="n"/>
      <c r="B2824" s="7" t="n"/>
      <c r="C2824" s="8" t="n"/>
      <c r="D2824" s="9" t="n"/>
      <c r="E2824" s="8" t="n"/>
      <c r="F2824" s="9" t="n"/>
      <c r="G2824" s="9" t="n"/>
      <c r="H2824" s="3">
        <f>IF(AND(D2824&lt;&gt;"",F2824&lt;&gt;""),F2824-D2824-G2824,"")</f>
        <v/>
      </c>
      <c r="I2824" s="14">
        <f>IF(E2824&lt;&gt;"", YEARFRAC(C2824, E2824) * 12, "")</f>
        <v/>
      </c>
      <c r="J2824" s="2">
        <f>IF(I2824="", "", IF(AND(A2824="MF (Equity)", I2824&gt;12), "Long Term", "Short Term"))</f>
        <v/>
      </c>
      <c r="K2824" s="5">
        <f>IF(J2824="", "", IF(J2824="Long Term", 12.5%, 20%))</f>
        <v/>
      </c>
      <c r="L2824" s="3">
        <f>+IFERROR(IF(J2824="","",H2824*K2824),"")</f>
        <v/>
      </c>
    </row>
    <row r="2825">
      <c r="A2825" s="11" t="n"/>
      <c r="B2825" s="7" t="n"/>
      <c r="C2825" s="8" t="n"/>
      <c r="D2825" s="9" t="n"/>
      <c r="E2825" s="8" t="n"/>
      <c r="F2825" s="9" t="n"/>
      <c r="G2825" s="9" t="n"/>
      <c r="H2825" s="3">
        <f>IF(AND(D2825&lt;&gt;"",F2825&lt;&gt;""),F2825-D2825-G2825,"")</f>
        <v/>
      </c>
      <c r="I2825" s="14">
        <f>IF(E2825&lt;&gt;"", YEARFRAC(C2825, E2825) * 12, "")</f>
        <v/>
      </c>
      <c r="J2825" s="2">
        <f>IF(I2825="", "", IF(AND(A2825="MF (Equity)", I2825&gt;12), "Long Term", "Short Term"))</f>
        <v/>
      </c>
      <c r="K2825" s="5">
        <f>IF(J2825="", "", IF(J2825="Long Term", 12.5%, 20%))</f>
        <v/>
      </c>
      <c r="L2825" s="3">
        <f>+IFERROR(IF(J2825="","",H2825*K2825),"")</f>
        <v/>
      </c>
    </row>
    <row r="2826">
      <c r="A2826" s="11" t="n"/>
      <c r="B2826" s="7" t="n"/>
      <c r="C2826" s="8" t="n"/>
      <c r="D2826" s="9" t="n"/>
      <c r="E2826" s="8" t="n"/>
      <c r="F2826" s="9" t="n"/>
      <c r="G2826" s="9" t="n"/>
      <c r="H2826" s="3">
        <f>IF(AND(D2826&lt;&gt;"",F2826&lt;&gt;""),F2826-D2826-G2826,"")</f>
        <v/>
      </c>
      <c r="I2826" s="14">
        <f>IF(E2826&lt;&gt;"", YEARFRAC(C2826, E2826) * 12, "")</f>
        <v/>
      </c>
      <c r="J2826" s="2">
        <f>IF(I2826="", "", IF(AND(A2826="MF (Equity)", I2826&gt;12), "Long Term", "Short Term"))</f>
        <v/>
      </c>
      <c r="K2826" s="5">
        <f>IF(J2826="", "", IF(J2826="Long Term", 12.5%, 20%))</f>
        <v/>
      </c>
      <c r="L2826" s="3">
        <f>+IFERROR(IF(J2826="","",H2826*K2826),"")</f>
        <v/>
      </c>
    </row>
    <row r="2827">
      <c r="A2827" s="11" t="n"/>
      <c r="B2827" s="7" t="n"/>
      <c r="C2827" s="8" t="n"/>
      <c r="D2827" s="9" t="n"/>
      <c r="E2827" s="8" t="n"/>
      <c r="F2827" s="9" t="n"/>
      <c r="G2827" s="9" t="n"/>
      <c r="H2827" s="3">
        <f>IF(AND(D2827&lt;&gt;"",F2827&lt;&gt;""),F2827-D2827-G2827,"")</f>
        <v/>
      </c>
      <c r="I2827" s="14">
        <f>IF(E2827&lt;&gt;"", YEARFRAC(C2827, E2827) * 12, "")</f>
        <v/>
      </c>
      <c r="J2827" s="2">
        <f>IF(I2827="", "", IF(AND(A2827="MF (Equity)", I2827&gt;12), "Long Term", "Short Term"))</f>
        <v/>
      </c>
      <c r="K2827" s="5">
        <f>IF(J2827="", "", IF(J2827="Long Term", 12.5%, 20%))</f>
        <v/>
      </c>
      <c r="L2827" s="3">
        <f>+IFERROR(IF(J2827="","",H2827*K2827),"")</f>
        <v/>
      </c>
    </row>
    <row r="2828">
      <c r="A2828" s="11" t="n"/>
      <c r="B2828" s="7" t="n"/>
      <c r="C2828" s="8" t="n"/>
      <c r="D2828" s="9" t="n"/>
      <c r="E2828" s="8" t="n"/>
      <c r="F2828" s="9" t="n"/>
      <c r="G2828" s="9" t="n"/>
      <c r="H2828" s="3">
        <f>IF(AND(D2828&lt;&gt;"",F2828&lt;&gt;""),F2828-D2828-G2828,"")</f>
        <v/>
      </c>
      <c r="I2828" s="14">
        <f>IF(E2828&lt;&gt;"", YEARFRAC(C2828, E2828) * 12, "")</f>
        <v/>
      </c>
      <c r="J2828" s="2">
        <f>IF(I2828="", "", IF(AND(A2828="MF (Equity)", I2828&gt;12), "Long Term", "Short Term"))</f>
        <v/>
      </c>
      <c r="K2828" s="5">
        <f>IF(J2828="", "", IF(J2828="Long Term", 12.5%, 20%))</f>
        <v/>
      </c>
      <c r="L2828" s="3">
        <f>+IFERROR(IF(J2828="","",H2828*K2828),"")</f>
        <v/>
      </c>
    </row>
    <row r="2829">
      <c r="A2829" s="11" t="n"/>
      <c r="B2829" s="7" t="n"/>
      <c r="C2829" s="8" t="n"/>
      <c r="D2829" s="9" t="n"/>
      <c r="E2829" s="8" t="n"/>
      <c r="F2829" s="9" t="n"/>
      <c r="G2829" s="9" t="n"/>
      <c r="H2829" s="3">
        <f>IF(AND(D2829&lt;&gt;"",F2829&lt;&gt;""),F2829-D2829-G2829,"")</f>
        <v/>
      </c>
      <c r="I2829" s="14">
        <f>IF(E2829&lt;&gt;"", YEARFRAC(C2829, E2829) * 12, "")</f>
        <v/>
      </c>
      <c r="J2829" s="2">
        <f>IF(I2829="", "", IF(AND(A2829="MF (Equity)", I2829&gt;12), "Long Term", "Short Term"))</f>
        <v/>
      </c>
      <c r="K2829" s="5">
        <f>IF(J2829="", "", IF(J2829="Long Term", 12.5%, 20%))</f>
        <v/>
      </c>
      <c r="L2829" s="3">
        <f>+IFERROR(IF(J2829="","",H2829*K2829),"")</f>
        <v/>
      </c>
    </row>
    <row r="2830">
      <c r="A2830" s="11" t="n"/>
      <c r="B2830" s="7" t="n"/>
      <c r="C2830" s="8" t="n"/>
      <c r="D2830" s="9" t="n"/>
      <c r="E2830" s="8" t="n"/>
      <c r="F2830" s="9" t="n"/>
      <c r="G2830" s="9" t="n"/>
      <c r="H2830" s="3">
        <f>IF(AND(D2830&lt;&gt;"",F2830&lt;&gt;""),F2830-D2830-G2830,"")</f>
        <v/>
      </c>
      <c r="I2830" s="14">
        <f>IF(E2830&lt;&gt;"", YEARFRAC(C2830, E2830) * 12, "")</f>
        <v/>
      </c>
      <c r="J2830" s="2">
        <f>IF(I2830="", "", IF(AND(A2830="MF (Equity)", I2830&gt;12), "Long Term", "Short Term"))</f>
        <v/>
      </c>
      <c r="K2830" s="5">
        <f>IF(J2830="", "", IF(J2830="Long Term", 12.5%, 20%))</f>
        <v/>
      </c>
      <c r="L2830" s="3">
        <f>+IFERROR(IF(J2830="","",H2830*K2830),"")</f>
        <v/>
      </c>
    </row>
    <row r="2831">
      <c r="A2831" s="11" t="n"/>
      <c r="B2831" s="7" t="n"/>
      <c r="C2831" s="8" t="n"/>
      <c r="D2831" s="9" t="n"/>
      <c r="E2831" s="8" t="n"/>
      <c r="F2831" s="9" t="n"/>
      <c r="G2831" s="9" t="n"/>
      <c r="H2831" s="3">
        <f>IF(AND(D2831&lt;&gt;"",F2831&lt;&gt;""),F2831-D2831-G2831,"")</f>
        <v/>
      </c>
      <c r="I2831" s="14">
        <f>IF(E2831&lt;&gt;"", YEARFRAC(C2831, E2831) * 12, "")</f>
        <v/>
      </c>
      <c r="J2831" s="2">
        <f>IF(I2831="", "", IF(AND(A2831="MF (Equity)", I2831&gt;12), "Long Term", "Short Term"))</f>
        <v/>
      </c>
      <c r="K2831" s="5">
        <f>IF(J2831="", "", IF(J2831="Long Term", 12.5%, 20%))</f>
        <v/>
      </c>
      <c r="L2831" s="3">
        <f>+IFERROR(IF(J2831="","",H2831*K2831),"")</f>
        <v/>
      </c>
    </row>
    <row r="2832">
      <c r="A2832" s="11" t="n"/>
      <c r="B2832" s="7" t="n"/>
      <c r="C2832" s="8" t="n"/>
      <c r="D2832" s="9" t="n"/>
      <c r="E2832" s="8" t="n"/>
      <c r="F2832" s="9" t="n"/>
      <c r="G2832" s="9" t="n"/>
      <c r="H2832" s="3">
        <f>IF(AND(D2832&lt;&gt;"",F2832&lt;&gt;""),F2832-D2832-G2832,"")</f>
        <v/>
      </c>
      <c r="I2832" s="14">
        <f>IF(E2832&lt;&gt;"", YEARFRAC(C2832, E2832) * 12, "")</f>
        <v/>
      </c>
      <c r="J2832" s="2">
        <f>IF(I2832="", "", IF(AND(A2832="MF (Equity)", I2832&gt;12), "Long Term", "Short Term"))</f>
        <v/>
      </c>
      <c r="K2832" s="5">
        <f>IF(J2832="", "", IF(J2832="Long Term", 12.5%, 20%))</f>
        <v/>
      </c>
      <c r="L2832" s="3">
        <f>+IFERROR(IF(J2832="","",H2832*K2832),"")</f>
        <v/>
      </c>
    </row>
    <row r="2833">
      <c r="A2833" s="11" t="n"/>
      <c r="B2833" s="7" t="n"/>
      <c r="C2833" s="8" t="n"/>
      <c r="D2833" s="9" t="n"/>
      <c r="E2833" s="8" t="n"/>
      <c r="F2833" s="9" t="n"/>
      <c r="G2833" s="9" t="n"/>
      <c r="H2833" s="3">
        <f>IF(AND(D2833&lt;&gt;"",F2833&lt;&gt;""),F2833-D2833-G2833,"")</f>
        <v/>
      </c>
      <c r="I2833" s="14">
        <f>IF(E2833&lt;&gt;"", YEARFRAC(C2833, E2833) * 12, "")</f>
        <v/>
      </c>
      <c r="J2833" s="2">
        <f>IF(I2833="", "", IF(AND(A2833="MF (Equity)", I2833&gt;12), "Long Term", "Short Term"))</f>
        <v/>
      </c>
      <c r="K2833" s="5">
        <f>IF(J2833="", "", IF(J2833="Long Term", 12.5%, 20%))</f>
        <v/>
      </c>
      <c r="L2833" s="3">
        <f>+IFERROR(IF(J2833="","",H2833*K2833),"")</f>
        <v/>
      </c>
    </row>
    <row r="2834">
      <c r="A2834" s="11" t="n"/>
      <c r="B2834" s="7" t="n"/>
      <c r="C2834" s="8" t="n"/>
      <c r="D2834" s="9" t="n"/>
      <c r="E2834" s="8" t="n"/>
      <c r="F2834" s="9" t="n"/>
      <c r="G2834" s="9" t="n"/>
      <c r="H2834" s="3">
        <f>IF(AND(D2834&lt;&gt;"",F2834&lt;&gt;""),F2834-D2834-G2834,"")</f>
        <v/>
      </c>
      <c r="I2834" s="14">
        <f>IF(E2834&lt;&gt;"", YEARFRAC(C2834, E2834) * 12, "")</f>
        <v/>
      </c>
      <c r="J2834" s="2">
        <f>IF(I2834="", "", IF(AND(A2834="MF (Equity)", I2834&gt;12), "Long Term", "Short Term"))</f>
        <v/>
      </c>
      <c r="K2834" s="5">
        <f>IF(J2834="", "", IF(J2834="Long Term", 12.5%, 20%))</f>
        <v/>
      </c>
      <c r="L2834" s="3">
        <f>+IFERROR(IF(J2834="","",H2834*K2834),"")</f>
        <v/>
      </c>
    </row>
    <row r="2835">
      <c r="A2835" s="11" t="n"/>
      <c r="B2835" s="7" t="n"/>
      <c r="C2835" s="8" t="n"/>
      <c r="D2835" s="9" t="n"/>
      <c r="E2835" s="8" t="n"/>
      <c r="F2835" s="9" t="n"/>
      <c r="G2835" s="9" t="n"/>
      <c r="H2835" s="3">
        <f>IF(AND(D2835&lt;&gt;"",F2835&lt;&gt;""),F2835-D2835-G2835,"")</f>
        <v/>
      </c>
      <c r="I2835" s="14">
        <f>IF(E2835&lt;&gt;"", YEARFRAC(C2835, E2835) * 12, "")</f>
        <v/>
      </c>
      <c r="J2835" s="2">
        <f>IF(I2835="", "", IF(AND(A2835="MF (Equity)", I2835&gt;12), "Long Term", "Short Term"))</f>
        <v/>
      </c>
      <c r="K2835" s="5">
        <f>IF(J2835="", "", IF(J2835="Long Term", 12.5%, 20%))</f>
        <v/>
      </c>
      <c r="L2835" s="3">
        <f>+IFERROR(IF(J2835="","",H2835*K2835),"")</f>
        <v/>
      </c>
    </row>
    <row r="2836">
      <c r="A2836" s="11" t="n"/>
      <c r="B2836" s="7" t="n"/>
      <c r="C2836" s="8" t="n"/>
      <c r="D2836" s="9" t="n"/>
      <c r="E2836" s="8" t="n"/>
      <c r="F2836" s="9" t="n"/>
      <c r="G2836" s="9" t="n"/>
      <c r="H2836" s="3">
        <f>IF(AND(D2836&lt;&gt;"",F2836&lt;&gt;""),F2836-D2836-G2836,"")</f>
        <v/>
      </c>
      <c r="I2836" s="14">
        <f>IF(E2836&lt;&gt;"", YEARFRAC(C2836, E2836) * 12, "")</f>
        <v/>
      </c>
      <c r="J2836" s="2">
        <f>IF(I2836="", "", IF(AND(A2836="MF (Equity)", I2836&gt;12), "Long Term", "Short Term"))</f>
        <v/>
      </c>
      <c r="K2836" s="5">
        <f>IF(J2836="", "", IF(J2836="Long Term", 12.5%, 20%))</f>
        <v/>
      </c>
      <c r="L2836" s="3">
        <f>+IFERROR(IF(J2836="","",H2836*K2836),"")</f>
        <v/>
      </c>
    </row>
    <row r="2837">
      <c r="A2837" s="11" t="n"/>
      <c r="B2837" s="7" t="n"/>
      <c r="C2837" s="8" t="n"/>
      <c r="D2837" s="9" t="n"/>
      <c r="E2837" s="8" t="n"/>
      <c r="F2837" s="9" t="n"/>
      <c r="G2837" s="9" t="n"/>
      <c r="H2837" s="3">
        <f>IF(AND(D2837&lt;&gt;"",F2837&lt;&gt;""),F2837-D2837-G2837,"")</f>
        <v/>
      </c>
      <c r="I2837" s="14">
        <f>IF(E2837&lt;&gt;"", YEARFRAC(C2837, E2837) * 12, "")</f>
        <v/>
      </c>
      <c r="J2837" s="2">
        <f>IF(I2837="", "", IF(AND(A2837="MF (Equity)", I2837&gt;12), "Long Term", "Short Term"))</f>
        <v/>
      </c>
      <c r="K2837" s="5">
        <f>IF(J2837="", "", IF(J2837="Long Term", 12.5%, 20%))</f>
        <v/>
      </c>
      <c r="L2837" s="3">
        <f>+IFERROR(IF(J2837="","",H2837*K2837),"")</f>
        <v/>
      </c>
    </row>
    <row r="2838">
      <c r="A2838" s="11" t="n"/>
      <c r="B2838" s="7" t="n"/>
      <c r="C2838" s="8" t="n"/>
      <c r="D2838" s="9" t="n"/>
      <c r="E2838" s="8" t="n"/>
      <c r="F2838" s="9" t="n"/>
      <c r="G2838" s="9" t="n"/>
      <c r="H2838" s="3">
        <f>IF(AND(D2838&lt;&gt;"",F2838&lt;&gt;""),F2838-D2838-G2838,"")</f>
        <v/>
      </c>
      <c r="I2838" s="14">
        <f>IF(E2838&lt;&gt;"", YEARFRAC(C2838, E2838) * 12, "")</f>
        <v/>
      </c>
      <c r="J2838" s="2">
        <f>IF(I2838="", "", IF(AND(A2838="MF (Equity)", I2838&gt;12), "Long Term", "Short Term"))</f>
        <v/>
      </c>
      <c r="K2838" s="5">
        <f>IF(J2838="", "", IF(J2838="Long Term", 12.5%, 20%))</f>
        <v/>
      </c>
      <c r="L2838" s="3">
        <f>+IFERROR(IF(J2838="","",H2838*K2838),"")</f>
        <v/>
      </c>
    </row>
    <row r="2839">
      <c r="A2839" s="11" t="n"/>
      <c r="B2839" s="7" t="n"/>
      <c r="C2839" s="8" t="n"/>
      <c r="D2839" s="9" t="n"/>
      <c r="E2839" s="8" t="n"/>
      <c r="F2839" s="9" t="n"/>
      <c r="G2839" s="9" t="n"/>
      <c r="H2839" s="3">
        <f>IF(AND(D2839&lt;&gt;"",F2839&lt;&gt;""),F2839-D2839-G2839,"")</f>
        <v/>
      </c>
      <c r="I2839" s="14">
        <f>IF(E2839&lt;&gt;"", YEARFRAC(C2839, E2839) * 12, "")</f>
        <v/>
      </c>
      <c r="J2839" s="2">
        <f>IF(I2839="", "", IF(AND(A2839="MF (Equity)", I2839&gt;12), "Long Term", "Short Term"))</f>
        <v/>
      </c>
      <c r="K2839" s="5">
        <f>IF(J2839="", "", IF(J2839="Long Term", 12.5%, 20%))</f>
        <v/>
      </c>
      <c r="L2839" s="3">
        <f>+IFERROR(IF(J2839="","",H2839*K2839),"")</f>
        <v/>
      </c>
    </row>
    <row r="2840">
      <c r="A2840" s="11" t="n"/>
      <c r="B2840" s="7" t="n"/>
      <c r="C2840" s="8" t="n"/>
      <c r="D2840" s="9" t="n"/>
      <c r="E2840" s="8" t="n"/>
      <c r="F2840" s="9" t="n"/>
      <c r="G2840" s="9" t="n"/>
      <c r="H2840" s="3">
        <f>IF(AND(D2840&lt;&gt;"",F2840&lt;&gt;""),F2840-D2840-G2840,"")</f>
        <v/>
      </c>
      <c r="I2840" s="14">
        <f>IF(E2840&lt;&gt;"", YEARFRAC(C2840, E2840) * 12, "")</f>
        <v/>
      </c>
      <c r="J2840" s="2">
        <f>IF(I2840="", "", IF(AND(A2840="MF (Equity)", I2840&gt;12), "Long Term", "Short Term"))</f>
        <v/>
      </c>
      <c r="K2840" s="5">
        <f>IF(J2840="", "", IF(J2840="Long Term", 12.5%, 20%))</f>
        <v/>
      </c>
      <c r="L2840" s="3">
        <f>+IFERROR(IF(J2840="","",H2840*K2840),"")</f>
        <v/>
      </c>
    </row>
    <row r="2841">
      <c r="A2841" s="11" t="n"/>
      <c r="B2841" s="7" t="n"/>
      <c r="C2841" s="8" t="n"/>
      <c r="D2841" s="9" t="n"/>
      <c r="E2841" s="8" t="n"/>
      <c r="F2841" s="9" t="n"/>
      <c r="G2841" s="9" t="n"/>
      <c r="H2841" s="3">
        <f>IF(AND(D2841&lt;&gt;"",F2841&lt;&gt;""),F2841-D2841-G2841,"")</f>
        <v/>
      </c>
      <c r="I2841" s="14">
        <f>IF(E2841&lt;&gt;"", YEARFRAC(C2841, E2841) * 12, "")</f>
        <v/>
      </c>
      <c r="J2841" s="2">
        <f>IF(I2841="", "", IF(AND(A2841="MF (Equity)", I2841&gt;12), "Long Term", "Short Term"))</f>
        <v/>
      </c>
      <c r="K2841" s="5">
        <f>IF(J2841="", "", IF(J2841="Long Term", 12.5%, 20%))</f>
        <v/>
      </c>
      <c r="L2841" s="3">
        <f>+IFERROR(IF(J2841="","",H2841*K2841),"")</f>
        <v/>
      </c>
    </row>
    <row r="2842">
      <c r="A2842" s="11" t="n"/>
      <c r="B2842" s="7" t="n"/>
      <c r="C2842" s="8" t="n"/>
      <c r="D2842" s="9" t="n"/>
      <c r="E2842" s="8" t="n"/>
      <c r="F2842" s="9" t="n"/>
      <c r="G2842" s="9" t="n"/>
      <c r="H2842" s="3">
        <f>IF(AND(D2842&lt;&gt;"",F2842&lt;&gt;""),F2842-D2842-G2842,"")</f>
        <v/>
      </c>
      <c r="I2842" s="14">
        <f>IF(E2842&lt;&gt;"", YEARFRAC(C2842, E2842) * 12, "")</f>
        <v/>
      </c>
      <c r="J2842" s="2">
        <f>IF(I2842="", "", IF(AND(A2842="MF (Equity)", I2842&gt;12), "Long Term", "Short Term"))</f>
        <v/>
      </c>
      <c r="K2842" s="5">
        <f>IF(J2842="", "", IF(J2842="Long Term", 12.5%, 20%))</f>
        <v/>
      </c>
      <c r="L2842" s="3">
        <f>+IFERROR(IF(J2842="","",H2842*K2842),"")</f>
        <v/>
      </c>
    </row>
    <row r="2843">
      <c r="A2843" s="11" t="n"/>
      <c r="B2843" s="7" t="n"/>
      <c r="C2843" s="8" t="n"/>
      <c r="D2843" s="9" t="n"/>
      <c r="E2843" s="8" t="n"/>
      <c r="F2843" s="9" t="n"/>
      <c r="G2843" s="9" t="n"/>
      <c r="H2843" s="3">
        <f>IF(AND(D2843&lt;&gt;"",F2843&lt;&gt;""),F2843-D2843-G2843,"")</f>
        <v/>
      </c>
      <c r="I2843" s="14">
        <f>IF(E2843&lt;&gt;"", YEARFRAC(C2843, E2843) * 12, "")</f>
        <v/>
      </c>
      <c r="J2843" s="2">
        <f>IF(I2843="", "", IF(AND(A2843="MF (Equity)", I2843&gt;12), "Long Term", "Short Term"))</f>
        <v/>
      </c>
      <c r="K2843" s="5">
        <f>IF(J2843="", "", IF(J2843="Long Term", 12.5%, 20%))</f>
        <v/>
      </c>
      <c r="L2843" s="3">
        <f>+IFERROR(IF(J2843="","",H2843*K2843),"")</f>
        <v/>
      </c>
    </row>
    <row r="2844">
      <c r="A2844" s="11" t="n"/>
      <c r="B2844" s="7" t="n"/>
      <c r="C2844" s="8" t="n"/>
      <c r="D2844" s="9" t="n"/>
      <c r="E2844" s="8" t="n"/>
      <c r="F2844" s="9" t="n"/>
      <c r="G2844" s="9" t="n"/>
      <c r="H2844" s="3">
        <f>IF(AND(D2844&lt;&gt;"",F2844&lt;&gt;""),F2844-D2844-G2844,"")</f>
        <v/>
      </c>
      <c r="I2844" s="14">
        <f>IF(E2844&lt;&gt;"", YEARFRAC(C2844, E2844) * 12, "")</f>
        <v/>
      </c>
      <c r="J2844" s="2">
        <f>IF(I2844="", "", IF(AND(A2844="MF (Equity)", I2844&gt;12), "Long Term", "Short Term"))</f>
        <v/>
      </c>
      <c r="K2844" s="5">
        <f>IF(J2844="", "", IF(J2844="Long Term", 12.5%, 20%))</f>
        <v/>
      </c>
      <c r="L2844" s="3">
        <f>+IFERROR(IF(J2844="","",H2844*K2844),"")</f>
        <v/>
      </c>
    </row>
    <row r="2845">
      <c r="A2845" s="11" t="n"/>
      <c r="B2845" s="7" t="n"/>
      <c r="C2845" s="8" t="n"/>
      <c r="D2845" s="9" t="n"/>
      <c r="E2845" s="8" t="n"/>
      <c r="F2845" s="9" t="n"/>
      <c r="G2845" s="9" t="n"/>
      <c r="H2845" s="3">
        <f>IF(AND(D2845&lt;&gt;"",F2845&lt;&gt;""),F2845-D2845-G2845,"")</f>
        <v/>
      </c>
      <c r="I2845" s="14">
        <f>IF(E2845&lt;&gt;"", YEARFRAC(C2845, E2845) * 12, "")</f>
        <v/>
      </c>
      <c r="J2845" s="2">
        <f>IF(I2845="", "", IF(AND(A2845="MF (Equity)", I2845&gt;12), "Long Term", "Short Term"))</f>
        <v/>
      </c>
      <c r="K2845" s="5">
        <f>IF(J2845="", "", IF(J2845="Long Term", 12.5%, 20%))</f>
        <v/>
      </c>
      <c r="L2845" s="3">
        <f>+IFERROR(IF(J2845="","",H2845*K2845),"")</f>
        <v/>
      </c>
    </row>
    <row r="2846">
      <c r="A2846" s="11" t="n"/>
      <c r="B2846" s="7" t="n"/>
      <c r="C2846" s="8" t="n"/>
      <c r="D2846" s="9" t="n"/>
      <c r="E2846" s="8" t="n"/>
      <c r="F2846" s="9" t="n"/>
      <c r="G2846" s="9" t="n"/>
      <c r="H2846" s="3">
        <f>IF(AND(D2846&lt;&gt;"",F2846&lt;&gt;""),F2846-D2846-G2846,"")</f>
        <v/>
      </c>
      <c r="I2846" s="14">
        <f>IF(E2846&lt;&gt;"", YEARFRAC(C2846, E2846) * 12, "")</f>
        <v/>
      </c>
      <c r="J2846" s="2">
        <f>IF(I2846="", "", IF(AND(A2846="MF (Equity)", I2846&gt;12), "Long Term", "Short Term"))</f>
        <v/>
      </c>
      <c r="K2846" s="5">
        <f>IF(J2846="", "", IF(J2846="Long Term", 12.5%, 20%))</f>
        <v/>
      </c>
      <c r="L2846" s="3">
        <f>+IFERROR(IF(J2846="","",H2846*K2846),"")</f>
        <v/>
      </c>
    </row>
    <row r="2847">
      <c r="A2847" s="11" t="n"/>
      <c r="B2847" s="7" t="n"/>
      <c r="C2847" s="8" t="n"/>
      <c r="D2847" s="9" t="n"/>
      <c r="E2847" s="8" t="n"/>
      <c r="F2847" s="9" t="n"/>
      <c r="G2847" s="9" t="n"/>
      <c r="H2847" s="3">
        <f>IF(AND(D2847&lt;&gt;"",F2847&lt;&gt;""),F2847-D2847-G2847,"")</f>
        <v/>
      </c>
      <c r="I2847" s="14">
        <f>IF(E2847&lt;&gt;"", YEARFRAC(C2847, E2847) * 12, "")</f>
        <v/>
      </c>
      <c r="J2847" s="2">
        <f>IF(I2847="", "", IF(AND(A2847="MF (Equity)", I2847&gt;12), "Long Term", "Short Term"))</f>
        <v/>
      </c>
      <c r="K2847" s="5">
        <f>IF(J2847="", "", IF(J2847="Long Term", 12.5%, 20%))</f>
        <v/>
      </c>
      <c r="L2847" s="3">
        <f>+IFERROR(IF(J2847="","",H2847*K2847),"")</f>
        <v/>
      </c>
    </row>
    <row r="2848">
      <c r="A2848" s="11" t="n"/>
      <c r="B2848" s="7" t="n"/>
      <c r="C2848" s="8" t="n"/>
      <c r="D2848" s="9" t="n"/>
      <c r="E2848" s="8" t="n"/>
      <c r="F2848" s="9" t="n"/>
      <c r="G2848" s="9" t="n"/>
      <c r="H2848" s="3">
        <f>IF(AND(D2848&lt;&gt;"",F2848&lt;&gt;""),F2848-D2848-G2848,"")</f>
        <v/>
      </c>
      <c r="I2848" s="14">
        <f>IF(E2848&lt;&gt;"", YEARFRAC(C2848, E2848) * 12, "")</f>
        <v/>
      </c>
      <c r="J2848" s="2">
        <f>IF(I2848="", "", IF(AND(A2848="MF (Equity)", I2848&gt;12), "Long Term", "Short Term"))</f>
        <v/>
      </c>
      <c r="K2848" s="5">
        <f>IF(J2848="", "", IF(J2848="Long Term", 12.5%, 20%))</f>
        <v/>
      </c>
      <c r="L2848" s="3">
        <f>+IFERROR(IF(J2848="","",H2848*K2848),"")</f>
        <v/>
      </c>
    </row>
    <row r="2849">
      <c r="A2849" s="11" t="n"/>
      <c r="B2849" s="7" t="n"/>
      <c r="C2849" s="8" t="n"/>
      <c r="D2849" s="9" t="n"/>
      <c r="E2849" s="8" t="n"/>
      <c r="F2849" s="9" t="n"/>
      <c r="G2849" s="9" t="n"/>
      <c r="H2849" s="3">
        <f>IF(AND(D2849&lt;&gt;"",F2849&lt;&gt;""),F2849-D2849-G2849,"")</f>
        <v/>
      </c>
      <c r="I2849" s="14">
        <f>IF(E2849&lt;&gt;"", YEARFRAC(C2849, E2849) * 12, "")</f>
        <v/>
      </c>
      <c r="J2849" s="2">
        <f>IF(I2849="", "", IF(AND(A2849="MF (Equity)", I2849&gt;12), "Long Term", "Short Term"))</f>
        <v/>
      </c>
      <c r="K2849" s="5">
        <f>IF(J2849="", "", IF(J2849="Long Term", 12.5%, 20%))</f>
        <v/>
      </c>
      <c r="L2849" s="3">
        <f>+IFERROR(IF(J2849="","",H2849*K2849),"")</f>
        <v/>
      </c>
    </row>
    <row r="2850">
      <c r="A2850" s="11" t="n"/>
      <c r="B2850" s="7" t="n"/>
      <c r="C2850" s="8" t="n"/>
      <c r="D2850" s="9" t="n"/>
      <c r="E2850" s="8" t="n"/>
      <c r="F2850" s="9" t="n"/>
      <c r="G2850" s="9" t="n"/>
      <c r="H2850" s="3">
        <f>IF(AND(D2850&lt;&gt;"",F2850&lt;&gt;""),F2850-D2850-G2850,"")</f>
        <v/>
      </c>
      <c r="I2850" s="14">
        <f>IF(E2850&lt;&gt;"", YEARFRAC(C2850, E2850) * 12, "")</f>
        <v/>
      </c>
      <c r="J2850" s="2">
        <f>IF(I2850="", "", IF(AND(A2850="MF (Equity)", I2850&gt;12), "Long Term", "Short Term"))</f>
        <v/>
      </c>
      <c r="K2850" s="5">
        <f>IF(J2850="", "", IF(J2850="Long Term", 12.5%, 20%))</f>
        <v/>
      </c>
      <c r="L2850" s="3">
        <f>+IFERROR(IF(J2850="","",H2850*K2850),"")</f>
        <v/>
      </c>
    </row>
    <row r="2851">
      <c r="A2851" s="11" t="n"/>
      <c r="B2851" s="7" t="n"/>
      <c r="C2851" s="8" t="n"/>
      <c r="D2851" s="9" t="n"/>
      <c r="E2851" s="8" t="n"/>
      <c r="F2851" s="9" t="n"/>
      <c r="G2851" s="9" t="n"/>
      <c r="H2851" s="3">
        <f>IF(AND(D2851&lt;&gt;"",F2851&lt;&gt;""),F2851-D2851-G2851,"")</f>
        <v/>
      </c>
      <c r="I2851" s="14">
        <f>IF(E2851&lt;&gt;"", YEARFRAC(C2851, E2851) * 12, "")</f>
        <v/>
      </c>
      <c r="J2851" s="2">
        <f>IF(I2851="", "", IF(AND(A2851="MF (Equity)", I2851&gt;12), "Long Term", "Short Term"))</f>
        <v/>
      </c>
      <c r="K2851" s="5">
        <f>IF(J2851="", "", IF(J2851="Long Term", 12.5%, 20%))</f>
        <v/>
      </c>
      <c r="L2851" s="3">
        <f>+IFERROR(IF(J2851="","",H2851*K2851),"")</f>
        <v/>
      </c>
    </row>
    <row r="2852">
      <c r="A2852" s="11" t="n"/>
      <c r="B2852" s="7" t="n"/>
      <c r="C2852" s="8" t="n"/>
      <c r="D2852" s="9" t="n"/>
      <c r="E2852" s="8" t="n"/>
      <c r="F2852" s="9" t="n"/>
      <c r="G2852" s="9" t="n"/>
      <c r="H2852" s="3">
        <f>IF(AND(D2852&lt;&gt;"",F2852&lt;&gt;""),F2852-D2852-G2852,"")</f>
        <v/>
      </c>
      <c r="I2852" s="14">
        <f>IF(E2852&lt;&gt;"", YEARFRAC(C2852, E2852) * 12, "")</f>
        <v/>
      </c>
      <c r="J2852" s="2">
        <f>IF(I2852="", "", IF(AND(A2852="MF (Equity)", I2852&gt;12), "Long Term", "Short Term"))</f>
        <v/>
      </c>
      <c r="K2852" s="5">
        <f>IF(J2852="", "", IF(J2852="Long Term", 12.5%, 20%))</f>
        <v/>
      </c>
      <c r="L2852" s="3">
        <f>+IFERROR(IF(J2852="","",H2852*K2852),"")</f>
        <v/>
      </c>
    </row>
    <row r="2853">
      <c r="A2853" s="11" t="n"/>
      <c r="B2853" s="7" t="n"/>
      <c r="C2853" s="8" t="n"/>
      <c r="D2853" s="9" t="n"/>
      <c r="E2853" s="8" t="n"/>
      <c r="F2853" s="9" t="n"/>
      <c r="G2853" s="9" t="n"/>
      <c r="H2853" s="3">
        <f>IF(AND(D2853&lt;&gt;"",F2853&lt;&gt;""),F2853-D2853-G2853,"")</f>
        <v/>
      </c>
      <c r="I2853" s="14">
        <f>IF(E2853&lt;&gt;"", YEARFRAC(C2853, E2853) * 12, "")</f>
        <v/>
      </c>
      <c r="J2853" s="2">
        <f>IF(I2853="", "", IF(AND(A2853="MF (Equity)", I2853&gt;12), "Long Term", "Short Term"))</f>
        <v/>
      </c>
      <c r="K2853" s="5">
        <f>IF(J2853="", "", IF(J2853="Long Term", 12.5%, 20%))</f>
        <v/>
      </c>
      <c r="L2853" s="3">
        <f>+IFERROR(IF(J2853="","",H2853*K2853),"")</f>
        <v/>
      </c>
    </row>
    <row r="2854">
      <c r="A2854" s="11" t="n"/>
      <c r="B2854" s="7" t="n"/>
      <c r="C2854" s="8" t="n"/>
      <c r="D2854" s="9" t="n"/>
      <c r="E2854" s="8" t="n"/>
      <c r="F2854" s="9" t="n"/>
      <c r="G2854" s="9" t="n"/>
      <c r="H2854" s="3">
        <f>IF(AND(D2854&lt;&gt;"",F2854&lt;&gt;""),F2854-D2854-G2854,"")</f>
        <v/>
      </c>
      <c r="I2854" s="14">
        <f>IF(E2854&lt;&gt;"", YEARFRAC(C2854, E2854) * 12, "")</f>
        <v/>
      </c>
      <c r="J2854" s="2">
        <f>IF(I2854="", "", IF(AND(A2854="MF (Equity)", I2854&gt;12), "Long Term", "Short Term"))</f>
        <v/>
      </c>
      <c r="K2854" s="5">
        <f>IF(J2854="", "", IF(J2854="Long Term", 12.5%, 20%))</f>
        <v/>
      </c>
      <c r="L2854" s="3">
        <f>+IFERROR(IF(J2854="","",H2854*K2854),"")</f>
        <v/>
      </c>
    </row>
    <row r="2855">
      <c r="A2855" s="11" t="n"/>
      <c r="B2855" s="7" t="n"/>
      <c r="C2855" s="8" t="n"/>
      <c r="D2855" s="9" t="n"/>
      <c r="E2855" s="8" t="n"/>
      <c r="F2855" s="9" t="n"/>
      <c r="G2855" s="9" t="n"/>
      <c r="H2855" s="3">
        <f>IF(AND(D2855&lt;&gt;"",F2855&lt;&gt;""),F2855-D2855-G2855,"")</f>
        <v/>
      </c>
      <c r="I2855" s="14">
        <f>IF(E2855&lt;&gt;"", YEARFRAC(C2855, E2855) * 12, "")</f>
        <v/>
      </c>
      <c r="J2855" s="2">
        <f>IF(I2855="", "", IF(AND(A2855="MF (Equity)", I2855&gt;12), "Long Term", "Short Term"))</f>
        <v/>
      </c>
      <c r="K2855" s="5">
        <f>IF(J2855="", "", IF(J2855="Long Term", 12.5%, 20%))</f>
        <v/>
      </c>
      <c r="L2855" s="3">
        <f>+IFERROR(IF(J2855="","",H2855*K2855),"")</f>
        <v/>
      </c>
    </row>
    <row r="2856">
      <c r="A2856" s="11" t="n"/>
      <c r="B2856" s="7" t="n"/>
      <c r="C2856" s="8" t="n"/>
      <c r="D2856" s="9" t="n"/>
      <c r="E2856" s="8" t="n"/>
      <c r="F2856" s="9" t="n"/>
      <c r="G2856" s="9" t="n"/>
      <c r="H2856" s="3">
        <f>IF(AND(D2856&lt;&gt;"",F2856&lt;&gt;""),F2856-D2856-G2856,"")</f>
        <v/>
      </c>
      <c r="I2856" s="14">
        <f>IF(E2856&lt;&gt;"", YEARFRAC(C2856, E2856) * 12, "")</f>
        <v/>
      </c>
      <c r="J2856" s="2">
        <f>IF(I2856="", "", IF(AND(A2856="MF (Equity)", I2856&gt;12), "Long Term", "Short Term"))</f>
        <v/>
      </c>
      <c r="K2856" s="5">
        <f>IF(J2856="", "", IF(J2856="Long Term", 12.5%, 20%))</f>
        <v/>
      </c>
      <c r="L2856" s="3">
        <f>+IFERROR(IF(J2856="","",H2856*K2856),"")</f>
        <v/>
      </c>
    </row>
    <row r="2857">
      <c r="A2857" s="11" t="n"/>
      <c r="B2857" s="7" t="n"/>
      <c r="C2857" s="8" t="n"/>
      <c r="D2857" s="9" t="n"/>
      <c r="E2857" s="8" t="n"/>
      <c r="F2857" s="9" t="n"/>
      <c r="G2857" s="9" t="n"/>
      <c r="H2857" s="3">
        <f>IF(AND(D2857&lt;&gt;"",F2857&lt;&gt;""),F2857-D2857-G2857,"")</f>
        <v/>
      </c>
      <c r="I2857" s="14">
        <f>IF(E2857&lt;&gt;"", YEARFRAC(C2857, E2857) * 12, "")</f>
        <v/>
      </c>
      <c r="J2857" s="2">
        <f>IF(I2857="", "", IF(AND(A2857="MF (Equity)", I2857&gt;12), "Long Term", "Short Term"))</f>
        <v/>
      </c>
      <c r="K2857" s="5">
        <f>IF(J2857="", "", IF(J2857="Long Term", 12.5%, 20%))</f>
        <v/>
      </c>
      <c r="L2857" s="3">
        <f>+IFERROR(IF(J2857="","",H2857*K2857),"")</f>
        <v/>
      </c>
    </row>
    <row r="2858">
      <c r="A2858" s="11" t="n"/>
      <c r="B2858" s="7" t="n"/>
      <c r="C2858" s="8" t="n"/>
      <c r="D2858" s="9" t="n"/>
      <c r="E2858" s="8" t="n"/>
      <c r="F2858" s="9" t="n"/>
      <c r="G2858" s="9" t="n"/>
      <c r="H2858" s="3">
        <f>IF(AND(D2858&lt;&gt;"",F2858&lt;&gt;""),F2858-D2858-G2858,"")</f>
        <v/>
      </c>
      <c r="I2858" s="14">
        <f>IF(E2858&lt;&gt;"", YEARFRAC(C2858, E2858) * 12, "")</f>
        <v/>
      </c>
      <c r="J2858" s="2">
        <f>IF(I2858="", "", IF(AND(A2858="MF (Equity)", I2858&gt;12), "Long Term", "Short Term"))</f>
        <v/>
      </c>
      <c r="K2858" s="5">
        <f>IF(J2858="", "", IF(J2858="Long Term", 12.5%, 20%))</f>
        <v/>
      </c>
      <c r="L2858" s="3">
        <f>+IFERROR(IF(J2858="","",H2858*K2858),"")</f>
        <v/>
      </c>
    </row>
    <row r="2859">
      <c r="A2859" s="11" t="n"/>
      <c r="B2859" s="7" t="n"/>
      <c r="C2859" s="8" t="n"/>
      <c r="D2859" s="9" t="n"/>
      <c r="E2859" s="8" t="n"/>
      <c r="F2859" s="9" t="n"/>
      <c r="G2859" s="9" t="n"/>
      <c r="H2859" s="3">
        <f>IF(AND(D2859&lt;&gt;"",F2859&lt;&gt;""),F2859-D2859-G2859,"")</f>
        <v/>
      </c>
      <c r="I2859" s="14">
        <f>IF(E2859&lt;&gt;"", YEARFRAC(C2859, E2859) * 12, "")</f>
        <v/>
      </c>
      <c r="J2859" s="2">
        <f>IF(I2859="", "", IF(AND(A2859="MF (Equity)", I2859&gt;12), "Long Term", "Short Term"))</f>
        <v/>
      </c>
      <c r="K2859" s="5">
        <f>IF(J2859="", "", IF(J2859="Long Term", 12.5%, 20%))</f>
        <v/>
      </c>
      <c r="L2859" s="3">
        <f>+IFERROR(IF(J2859="","",H2859*K2859),"")</f>
        <v/>
      </c>
    </row>
    <row r="2860">
      <c r="A2860" s="11" t="n"/>
      <c r="B2860" s="7" t="n"/>
      <c r="C2860" s="8" t="n"/>
      <c r="D2860" s="9" t="n"/>
      <c r="E2860" s="8" t="n"/>
      <c r="F2860" s="9" t="n"/>
      <c r="G2860" s="9" t="n"/>
      <c r="H2860" s="3">
        <f>IF(AND(D2860&lt;&gt;"",F2860&lt;&gt;""),F2860-D2860-G2860,"")</f>
        <v/>
      </c>
      <c r="I2860" s="14">
        <f>IF(E2860&lt;&gt;"", YEARFRAC(C2860, E2860) * 12, "")</f>
        <v/>
      </c>
      <c r="J2860" s="2">
        <f>IF(I2860="", "", IF(AND(A2860="MF (Equity)", I2860&gt;12), "Long Term", "Short Term"))</f>
        <v/>
      </c>
      <c r="K2860" s="5">
        <f>IF(J2860="", "", IF(J2860="Long Term", 12.5%, 20%))</f>
        <v/>
      </c>
      <c r="L2860" s="3">
        <f>+IFERROR(IF(J2860="","",H2860*K2860),"")</f>
        <v/>
      </c>
    </row>
    <row r="2861">
      <c r="A2861" s="11" t="n"/>
      <c r="B2861" s="7" t="n"/>
      <c r="C2861" s="8" t="n"/>
      <c r="D2861" s="9" t="n"/>
      <c r="E2861" s="8" t="n"/>
      <c r="F2861" s="9" t="n"/>
      <c r="G2861" s="9" t="n"/>
      <c r="H2861" s="3">
        <f>IF(AND(D2861&lt;&gt;"",F2861&lt;&gt;""),F2861-D2861-G2861,"")</f>
        <v/>
      </c>
      <c r="I2861" s="14">
        <f>IF(E2861&lt;&gt;"", YEARFRAC(C2861, E2861) * 12, "")</f>
        <v/>
      </c>
      <c r="J2861" s="2">
        <f>IF(I2861="", "", IF(AND(A2861="MF (Equity)", I2861&gt;12), "Long Term", "Short Term"))</f>
        <v/>
      </c>
      <c r="K2861" s="5">
        <f>IF(J2861="", "", IF(J2861="Long Term", 12.5%, 20%))</f>
        <v/>
      </c>
      <c r="L2861" s="3">
        <f>+IFERROR(IF(J2861="","",H2861*K2861),"")</f>
        <v/>
      </c>
    </row>
    <row r="2862">
      <c r="A2862" s="11" t="n"/>
      <c r="B2862" s="7" t="n"/>
      <c r="C2862" s="8" t="n"/>
      <c r="D2862" s="9" t="n"/>
      <c r="E2862" s="8" t="n"/>
      <c r="F2862" s="9" t="n"/>
      <c r="G2862" s="9" t="n"/>
      <c r="H2862" s="3">
        <f>IF(AND(D2862&lt;&gt;"",F2862&lt;&gt;""),F2862-D2862-G2862,"")</f>
        <v/>
      </c>
      <c r="I2862" s="14">
        <f>IF(E2862&lt;&gt;"", YEARFRAC(C2862, E2862) * 12, "")</f>
        <v/>
      </c>
      <c r="J2862" s="2">
        <f>IF(I2862="", "", IF(AND(A2862="MF (Equity)", I2862&gt;12), "Long Term", "Short Term"))</f>
        <v/>
      </c>
      <c r="K2862" s="5">
        <f>IF(J2862="", "", IF(J2862="Long Term", 12.5%, 20%))</f>
        <v/>
      </c>
      <c r="L2862" s="3">
        <f>+IFERROR(IF(J2862="","",H2862*K2862),"")</f>
        <v/>
      </c>
    </row>
    <row r="2863">
      <c r="A2863" s="11" t="n"/>
      <c r="B2863" s="7" t="n"/>
      <c r="C2863" s="8" t="n"/>
      <c r="D2863" s="9" t="n"/>
      <c r="E2863" s="8" t="n"/>
      <c r="F2863" s="9" t="n"/>
      <c r="G2863" s="9" t="n"/>
      <c r="H2863" s="3">
        <f>IF(AND(D2863&lt;&gt;"",F2863&lt;&gt;""),F2863-D2863-G2863,"")</f>
        <v/>
      </c>
      <c r="I2863" s="14">
        <f>IF(E2863&lt;&gt;"", YEARFRAC(C2863, E2863) * 12, "")</f>
        <v/>
      </c>
      <c r="J2863" s="2">
        <f>IF(I2863="", "", IF(AND(A2863="MF (Equity)", I2863&gt;12), "Long Term", "Short Term"))</f>
        <v/>
      </c>
      <c r="K2863" s="5">
        <f>IF(J2863="", "", IF(J2863="Long Term", 12.5%, 20%))</f>
        <v/>
      </c>
      <c r="L2863" s="3">
        <f>+IFERROR(IF(J2863="","",H2863*K2863),"")</f>
        <v/>
      </c>
    </row>
    <row r="2864">
      <c r="A2864" s="11" t="n"/>
      <c r="B2864" s="7" t="n"/>
      <c r="C2864" s="8" t="n"/>
      <c r="D2864" s="9" t="n"/>
      <c r="E2864" s="8" t="n"/>
      <c r="F2864" s="9" t="n"/>
      <c r="G2864" s="9" t="n"/>
      <c r="H2864" s="3">
        <f>IF(AND(D2864&lt;&gt;"",F2864&lt;&gt;""),F2864-D2864-G2864,"")</f>
        <v/>
      </c>
      <c r="I2864" s="14">
        <f>IF(E2864&lt;&gt;"", YEARFRAC(C2864, E2864) * 12, "")</f>
        <v/>
      </c>
      <c r="J2864" s="2">
        <f>IF(I2864="", "", IF(AND(A2864="MF (Equity)", I2864&gt;12), "Long Term", "Short Term"))</f>
        <v/>
      </c>
      <c r="K2864" s="5">
        <f>IF(J2864="", "", IF(J2864="Long Term", 12.5%, 20%))</f>
        <v/>
      </c>
      <c r="L2864" s="3">
        <f>+IFERROR(IF(J2864="","",H2864*K2864),"")</f>
        <v/>
      </c>
    </row>
    <row r="2865">
      <c r="A2865" s="11" t="n"/>
      <c r="B2865" s="7" t="n"/>
      <c r="C2865" s="8" t="n"/>
      <c r="D2865" s="9" t="n"/>
      <c r="E2865" s="8" t="n"/>
      <c r="F2865" s="9" t="n"/>
      <c r="G2865" s="9" t="n"/>
      <c r="H2865" s="3">
        <f>IF(AND(D2865&lt;&gt;"",F2865&lt;&gt;""),F2865-D2865-G2865,"")</f>
        <v/>
      </c>
      <c r="I2865" s="14">
        <f>IF(E2865&lt;&gt;"", YEARFRAC(C2865, E2865) * 12, "")</f>
        <v/>
      </c>
      <c r="J2865" s="2">
        <f>IF(I2865="", "", IF(AND(A2865="MF (Equity)", I2865&gt;12), "Long Term", "Short Term"))</f>
        <v/>
      </c>
      <c r="K2865" s="5">
        <f>IF(J2865="", "", IF(J2865="Long Term", 12.5%, 20%))</f>
        <v/>
      </c>
      <c r="L2865" s="3">
        <f>+IFERROR(IF(J2865="","",H2865*K2865),"")</f>
        <v/>
      </c>
    </row>
    <row r="2866">
      <c r="A2866" s="11" t="n"/>
      <c r="B2866" s="7" t="n"/>
      <c r="C2866" s="8" t="n"/>
      <c r="D2866" s="9" t="n"/>
      <c r="E2866" s="8" t="n"/>
      <c r="F2866" s="9" t="n"/>
      <c r="G2866" s="9" t="n"/>
      <c r="H2866" s="3">
        <f>IF(AND(D2866&lt;&gt;"",F2866&lt;&gt;""),F2866-D2866-G2866,"")</f>
        <v/>
      </c>
      <c r="I2866" s="14">
        <f>IF(E2866&lt;&gt;"", YEARFRAC(C2866, E2866) * 12, "")</f>
        <v/>
      </c>
      <c r="J2866" s="2">
        <f>IF(I2866="", "", IF(AND(A2866="MF (Equity)", I2866&gt;12), "Long Term", "Short Term"))</f>
        <v/>
      </c>
      <c r="K2866" s="5">
        <f>IF(J2866="", "", IF(J2866="Long Term", 12.5%, 20%))</f>
        <v/>
      </c>
      <c r="L2866" s="3">
        <f>+IFERROR(IF(J2866="","",H2866*K2866),"")</f>
        <v/>
      </c>
    </row>
    <row r="2867">
      <c r="A2867" s="11" t="n"/>
      <c r="B2867" s="7" t="n"/>
      <c r="C2867" s="8" t="n"/>
      <c r="D2867" s="9" t="n"/>
      <c r="E2867" s="8" t="n"/>
      <c r="F2867" s="9" t="n"/>
      <c r="G2867" s="9" t="n"/>
      <c r="H2867" s="3">
        <f>IF(AND(D2867&lt;&gt;"",F2867&lt;&gt;""),F2867-D2867-G2867,"")</f>
        <v/>
      </c>
      <c r="I2867" s="14">
        <f>IF(E2867&lt;&gt;"", YEARFRAC(C2867, E2867) * 12, "")</f>
        <v/>
      </c>
      <c r="J2867" s="2">
        <f>IF(I2867="", "", IF(AND(A2867="MF (Equity)", I2867&gt;12), "Long Term", "Short Term"))</f>
        <v/>
      </c>
      <c r="K2867" s="5">
        <f>IF(J2867="", "", IF(J2867="Long Term", 12.5%, 20%))</f>
        <v/>
      </c>
      <c r="L2867" s="3">
        <f>+IFERROR(IF(J2867="","",H2867*K2867),"")</f>
        <v/>
      </c>
    </row>
    <row r="2868">
      <c r="A2868" s="11" t="n"/>
      <c r="B2868" s="7" t="n"/>
      <c r="C2868" s="8" t="n"/>
      <c r="D2868" s="9" t="n"/>
      <c r="E2868" s="8" t="n"/>
      <c r="F2868" s="9" t="n"/>
      <c r="G2868" s="9" t="n"/>
      <c r="H2868" s="3">
        <f>IF(AND(D2868&lt;&gt;"",F2868&lt;&gt;""),F2868-D2868-G2868,"")</f>
        <v/>
      </c>
      <c r="I2868" s="14">
        <f>IF(E2868&lt;&gt;"", YEARFRAC(C2868, E2868) * 12, "")</f>
        <v/>
      </c>
      <c r="J2868" s="2">
        <f>IF(I2868="", "", IF(AND(A2868="MF (Equity)", I2868&gt;12), "Long Term", "Short Term"))</f>
        <v/>
      </c>
      <c r="K2868" s="5">
        <f>IF(J2868="", "", IF(J2868="Long Term", 12.5%, 20%))</f>
        <v/>
      </c>
      <c r="L2868" s="3">
        <f>+IFERROR(IF(J2868="","",H2868*K2868),"")</f>
        <v/>
      </c>
    </row>
    <row r="2869">
      <c r="A2869" s="11" t="n"/>
      <c r="B2869" s="7" t="n"/>
      <c r="C2869" s="8" t="n"/>
      <c r="D2869" s="9" t="n"/>
      <c r="E2869" s="8" t="n"/>
      <c r="F2869" s="9" t="n"/>
      <c r="G2869" s="9" t="n"/>
      <c r="H2869" s="3">
        <f>IF(AND(D2869&lt;&gt;"",F2869&lt;&gt;""),F2869-D2869-G2869,"")</f>
        <v/>
      </c>
      <c r="I2869" s="14">
        <f>IF(E2869&lt;&gt;"", YEARFRAC(C2869, E2869) * 12, "")</f>
        <v/>
      </c>
      <c r="J2869" s="2">
        <f>IF(I2869="", "", IF(AND(A2869="MF (Equity)", I2869&gt;12), "Long Term", "Short Term"))</f>
        <v/>
      </c>
      <c r="K2869" s="5">
        <f>IF(J2869="", "", IF(J2869="Long Term", 12.5%, 20%))</f>
        <v/>
      </c>
      <c r="L2869" s="3">
        <f>+IFERROR(IF(J2869="","",H2869*K2869),"")</f>
        <v/>
      </c>
    </row>
    <row r="2870">
      <c r="A2870" s="11" t="n"/>
      <c r="B2870" s="7" t="n"/>
      <c r="C2870" s="8" t="n"/>
      <c r="D2870" s="9" t="n"/>
      <c r="E2870" s="8" t="n"/>
      <c r="F2870" s="9" t="n"/>
      <c r="G2870" s="9" t="n"/>
      <c r="H2870" s="3">
        <f>IF(AND(D2870&lt;&gt;"",F2870&lt;&gt;""),F2870-D2870-G2870,"")</f>
        <v/>
      </c>
      <c r="I2870" s="14">
        <f>IF(E2870&lt;&gt;"", YEARFRAC(C2870, E2870) * 12, "")</f>
        <v/>
      </c>
      <c r="J2870" s="2">
        <f>IF(I2870="", "", IF(AND(A2870="MF (Equity)", I2870&gt;12), "Long Term", "Short Term"))</f>
        <v/>
      </c>
      <c r="K2870" s="5">
        <f>IF(J2870="", "", IF(J2870="Long Term", 12.5%, 20%))</f>
        <v/>
      </c>
      <c r="L2870" s="3">
        <f>+IFERROR(IF(J2870="","",H2870*K2870),"")</f>
        <v/>
      </c>
    </row>
    <row r="2871">
      <c r="A2871" s="11" t="n"/>
      <c r="B2871" s="7" t="n"/>
      <c r="C2871" s="8" t="n"/>
      <c r="D2871" s="9" t="n"/>
      <c r="E2871" s="8" t="n"/>
      <c r="F2871" s="9" t="n"/>
      <c r="G2871" s="9" t="n"/>
      <c r="H2871" s="3">
        <f>IF(AND(D2871&lt;&gt;"",F2871&lt;&gt;""),F2871-D2871-G2871,"")</f>
        <v/>
      </c>
      <c r="I2871" s="14">
        <f>IF(E2871&lt;&gt;"", YEARFRAC(C2871, E2871) * 12, "")</f>
        <v/>
      </c>
      <c r="J2871" s="2">
        <f>IF(I2871="", "", IF(AND(A2871="MF (Equity)", I2871&gt;12), "Long Term", "Short Term"))</f>
        <v/>
      </c>
      <c r="K2871" s="5">
        <f>IF(J2871="", "", IF(J2871="Long Term", 12.5%, 20%))</f>
        <v/>
      </c>
      <c r="L2871" s="3">
        <f>+IFERROR(IF(J2871="","",H2871*K2871),"")</f>
        <v/>
      </c>
    </row>
    <row r="2872">
      <c r="A2872" s="11" t="n"/>
      <c r="B2872" s="7" t="n"/>
      <c r="C2872" s="8" t="n"/>
      <c r="D2872" s="9" t="n"/>
      <c r="E2872" s="8" t="n"/>
      <c r="F2872" s="9" t="n"/>
      <c r="G2872" s="9" t="n"/>
      <c r="H2872" s="3">
        <f>IF(AND(D2872&lt;&gt;"",F2872&lt;&gt;""),F2872-D2872-G2872,"")</f>
        <v/>
      </c>
      <c r="I2872" s="14">
        <f>IF(E2872&lt;&gt;"", YEARFRAC(C2872, E2872) * 12, "")</f>
        <v/>
      </c>
      <c r="J2872" s="2">
        <f>IF(I2872="", "", IF(AND(A2872="MF (Equity)", I2872&gt;12), "Long Term", "Short Term"))</f>
        <v/>
      </c>
      <c r="K2872" s="5">
        <f>IF(J2872="", "", IF(J2872="Long Term", 12.5%, 20%))</f>
        <v/>
      </c>
      <c r="L2872" s="3">
        <f>+IFERROR(IF(J2872="","",H2872*K2872),"")</f>
        <v/>
      </c>
    </row>
    <row r="2873">
      <c r="A2873" s="11" t="n"/>
      <c r="B2873" s="7" t="n"/>
      <c r="C2873" s="8" t="n"/>
      <c r="D2873" s="9" t="n"/>
      <c r="E2873" s="8" t="n"/>
      <c r="F2873" s="9" t="n"/>
      <c r="G2873" s="9" t="n"/>
      <c r="H2873" s="3">
        <f>IF(AND(D2873&lt;&gt;"",F2873&lt;&gt;""),F2873-D2873-G2873,"")</f>
        <v/>
      </c>
      <c r="I2873" s="14">
        <f>IF(E2873&lt;&gt;"", YEARFRAC(C2873, E2873) * 12, "")</f>
        <v/>
      </c>
      <c r="J2873" s="2">
        <f>IF(I2873="", "", IF(AND(A2873="MF (Equity)", I2873&gt;12), "Long Term", "Short Term"))</f>
        <v/>
      </c>
      <c r="K2873" s="5">
        <f>IF(J2873="", "", IF(J2873="Long Term", 12.5%, 20%))</f>
        <v/>
      </c>
      <c r="L2873" s="3">
        <f>+IFERROR(IF(J2873="","",H2873*K2873),"")</f>
        <v/>
      </c>
    </row>
    <row r="2874">
      <c r="A2874" s="11" t="n"/>
      <c r="B2874" s="7" t="n"/>
      <c r="C2874" s="8" t="n"/>
      <c r="D2874" s="9" t="n"/>
      <c r="E2874" s="8" t="n"/>
      <c r="F2874" s="9" t="n"/>
      <c r="G2874" s="9" t="n"/>
      <c r="H2874" s="3">
        <f>IF(AND(D2874&lt;&gt;"",F2874&lt;&gt;""),F2874-D2874-G2874,"")</f>
        <v/>
      </c>
      <c r="I2874" s="14">
        <f>IF(E2874&lt;&gt;"", YEARFRAC(C2874, E2874) * 12, "")</f>
        <v/>
      </c>
      <c r="J2874" s="2">
        <f>IF(I2874="", "", IF(AND(A2874="MF (Equity)", I2874&gt;12), "Long Term", "Short Term"))</f>
        <v/>
      </c>
      <c r="K2874" s="5">
        <f>IF(J2874="", "", IF(J2874="Long Term", 12.5%, 20%))</f>
        <v/>
      </c>
      <c r="L2874" s="3">
        <f>+IFERROR(IF(J2874="","",H2874*K2874),"")</f>
        <v/>
      </c>
    </row>
    <row r="2875">
      <c r="A2875" s="11" t="n"/>
      <c r="B2875" s="7" t="n"/>
      <c r="C2875" s="8" t="n"/>
      <c r="D2875" s="9" t="n"/>
      <c r="E2875" s="8" t="n"/>
      <c r="F2875" s="9" t="n"/>
      <c r="G2875" s="9" t="n"/>
      <c r="H2875" s="3">
        <f>IF(AND(D2875&lt;&gt;"",F2875&lt;&gt;""),F2875-D2875-G2875,"")</f>
        <v/>
      </c>
      <c r="I2875" s="14">
        <f>IF(E2875&lt;&gt;"", YEARFRAC(C2875, E2875) * 12, "")</f>
        <v/>
      </c>
      <c r="J2875" s="2">
        <f>IF(I2875="", "", IF(AND(A2875="MF (Equity)", I2875&gt;12), "Long Term", "Short Term"))</f>
        <v/>
      </c>
      <c r="K2875" s="5">
        <f>IF(J2875="", "", IF(J2875="Long Term", 12.5%, 20%))</f>
        <v/>
      </c>
      <c r="L2875" s="3">
        <f>+IFERROR(IF(J2875="","",H2875*K2875),"")</f>
        <v/>
      </c>
    </row>
    <row r="2876">
      <c r="A2876" s="11" t="n"/>
      <c r="B2876" s="7" t="n"/>
      <c r="C2876" s="8" t="n"/>
      <c r="D2876" s="9" t="n"/>
      <c r="E2876" s="8" t="n"/>
      <c r="F2876" s="9" t="n"/>
      <c r="G2876" s="9" t="n"/>
      <c r="H2876" s="3">
        <f>IF(AND(D2876&lt;&gt;"",F2876&lt;&gt;""),F2876-D2876-G2876,"")</f>
        <v/>
      </c>
      <c r="I2876" s="14">
        <f>IF(E2876&lt;&gt;"", YEARFRAC(C2876, E2876) * 12, "")</f>
        <v/>
      </c>
      <c r="J2876" s="2">
        <f>IF(I2876="", "", IF(AND(A2876="MF (Equity)", I2876&gt;12), "Long Term", "Short Term"))</f>
        <v/>
      </c>
      <c r="K2876" s="5">
        <f>IF(J2876="", "", IF(J2876="Long Term", 12.5%, 20%))</f>
        <v/>
      </c>
      <c r="L2876" s="3">
        <f>+IFERROR(IF(J2876="","",H2876*K2876),"")</f>
        <v/>
      </c>
    </row>
    <row r="2877">
      <c r="A2877" s="11" t="n"/>
      <c r="B2877" s="7" t="n"/>
      <c r="C2877" s="8" t="n"/>
      <c r="D2877" s="9" t="n"/>
      <c r="E2877" s="8" t="n"/>
      <c r="F2877" s="9" t="n"/>
      <c r="G2877" s="9" t="n"/>
      <c r="H2877" s="3">
        <f>IF(AND(D2877&lt;&gt;"",F2877&lt;&gt;""),F2877-D2877-G2877,"")</f>
        <v/>
      </c>
      <c r="I2877" s="14">
        <f>IF(E2877&lt;&gt;"", YEARFRAC(C2877, E2877) * 12, "")</f>
        <v/>
      </c>
      <c r="J2877" s="2">
        <f>IF(I2877="", "", IF(AND(A2877="MF (Equity)", I2877&gt;12), "Long Term", "Short Term"))</f>
        <v/>
      </c>
      <c r="K2877" s="5">
        <f>IF(J2877="", "", IF(J2877="Long Term", 12.5%, 20%))</f>
        <v/>
      </c>
      <c r="L2877" s="3">
        <f>+IFERROR(IF(J2877="","",H2877*K2877),"")</f>
        <v/>
      </c>
    </row>
    <row r="2878">
      <c r="A2878" s="11" t="n"/>
      <c r="B2878" s="7" t="n"/>
      <c r="C2878" s="8" t="n"/>
      <c r="D2878" s="9" t="n"/>
      <c r="E2878" s="8" t="n"/>
      <c r="F2878" s="9" t="n"/>
      <c r="G2878" s="9" t="n"/>
      <c r="H2878" s="3">
        <f>IF(AND(D2878&lt;&gt;"",F2878&lt;&gt;""),F2878-D2878-G2878,"")</f>
        <v/>
      </c>
      <c r="I2878" s="14">
        <f>IF(E2878&lt;&gt;"", YEARFRAC(C2878, E2878) * 12, "")</f>
        <v/>
      </c>
      <c r="J2878" s="2">
        <f>IF(I2878="", "", IF(AND(A2878="MF (Equity)", I2878&gt;12), "Long Term", "Short Term"))</f>
        <v/>
      </c>
      <c r="K2878" s="5">
        <f>IF(J2878="", "", IF(J2878="Long Term", 12.5%, 20%))</f>
        <v/>
      </c>
      <c r="L2878" s="3">
        <f>+IFERROR(IF(J2878="","",H2878*K2878),"")</f>
        <v/>
      </c>
    </row>
    <row r="2879">
      <c r="A2879" s="11" t="n"/>
      <c r="B2879" s="7" t="n"/>
      <c r="C2879" s="8" t="n"/>
      <c r="D2879" s="9" t="n"/>
      <c r="E2879" s="8" t="n"/>
      <c r="F2879" s="9" t="n"/>
      <c r="G2879" s="9" t="n"/>
      <c r="H2879" s="3">
        <f>IF(AND(D2879&lt;&gt;"",F2879&lt;&gt;""),F2879-D2879-G2879,"")</f>
        <v/>
      </c>
      <c r="I2879" s="14">
        <f>IF(E2879&lt;&gt;"", YEARFRAC(C2879, E2879) * 12, "")</f>
        <v/>
      </c>
      <c r="J2879" s="2">
        <f>IF(I2879="", "", IF(AND(A2879="MF (Equity)", I2879&gt;12), "Long Term", "Short Term"))</f>
        <v/>
      </c>
      <c r="K2879" s="5">
        <f>IF(J2879="", "", IF(J2879="Long Term", 12.5%, 20%))</f>
        <v/>
      </c>
      <c r="L2879" s="3">
        <f>+IFERROR(IF(J2879="","",H2879*K2879),"")</f>
        <v/>
      </c>
    </row>
    <row r="2880">
      <c r="A2880" s="11" t="n"/>
      <c r="B2880" s="7" t="n"/>
      <c r="C2880" s="8" t="n"/>
      <c r="D2880" s="9" t="n"/>
      <c r="E2880" s="8" t="n"/>
      <c r="F2880" s="9" t="n"/>
      <c r="G2880" s="9" t="n"/>
      <c r="H2880" s="3">
        <f>IF(AND(D2880&lt;&gt;"",F2880&lt;&gt;""),F2880-D2880-G2880,"")</f>
        <v/>
      </c>
      <c r="I2880" s="14">
        <f>IF(E2880&lt;&gt;"", YEARFRAC(C2880, E2880) * 12, "")</f>
        <v/>
      </c>
      <c r="J2880" s="2">
        <f>IF(I2880="", "", IF(AND(A2880="MF (Equity)", I2880&gt;12), "Long Term", "Short Term"))</f>
        <v/>
      </c>
      <c r="K2880" s="5">
        <f>IF(J2880="", "", IF(J2880="Long Term", 12.5%, 20%))</f>
        <v/>
      </c>
      <c r="L2880" s="3">
        <f>+IFERROR(IF(J2880="","",H2880*K2880),"")</f>
        <v/>
      </c>
    </row>
    <row r="2881">
      <c r="A2881" s="11" t="n"/>
      <c r="B2881" s="7" t="n"/>
      <c r="C2881" s="8" t="n"/>
      <c r="D2881" s="9" t="n"/>
      <c r="E2881" s="8" t="n"/>
      <c r="F2881" s="9" t="n"/>
      <c r="G2881" s="9" t="n"/>
      <c r="H2881" s="3">
        <f>IF(AND(D2881&lt;&gt;"",F2881&lt;&gt;""),F2881-D2881-G2881,"")</f>
        <v/>
      </c>
      <c r="I2881" s="14">
        <f>IF(E2881&lt;&gt;"", YEARFRAC(C2881, E2881) * 12, "")</f>
        <v/>
      </c>
      <c r="J2881" s="2">
        <f>IF(I2881="", "", IF(AND(A2881="MF (Equity)", I2881&gt;12), "Long Term", "Short Term"))</f>
        <v/>
      </c>
      <c r="K2881" s="5">
        <f>IF(J2881="", "", IF(J2881="Long Term", 12.5%, 20%))</f>
        <v/>
      </c>
      <c r="L2881" s="3">
        <f>+IFERROR(IF(J2881="","",H2881*K2881),"")</f>
        <v/>
      </c>
    </row>
    <row r="2882">
      <c r="A2882" s="11" t="n"/>
      <c r="B2882" s="7" t="n"/>
      <c r="C2882" s="8" t="n"/>
      <c r="D2882" s="9" t="n"/>
      <c r="E2882" s="8" t="n"/>
      <c r="F2882" s="9" t="n"/>
      <c r="G2882" s="9" t="n"/>
      <c r="H2882" s="3">
        <f>IF(AND(D2882&lt;&gt;"",F2882&lt;&gt;""),F2882-D2882-G2882,"")</f>
        <v/>
      </c>
      <c r="I2882" s="14">
        <f>IF(E2882&lt;&gt;"", YEARFRAC(C2882, E2882) * 12, "")</f>
        <v/>
      </c>
      <c r="J2882" s="2">
        <f>IF(I2882="", "", IF(AND(A2882="MF (Equity)", I2882&gt;12), "Long Term", "Short Term"))</f>
        <v/>
      </c>
      <c r="K2882" s="5">
        <f>IF(J2882="", "", IF(J2882="Long Term", 12.5%, 20%))</f>
        <v/>
      </c>
      <c r="L2882" s="3">
        <f>+IFERROR(IF(J2882="","",H2882*K2882),"")</f>
        <v/>
      </c>
    </row>
    <row r="2883">
      <c r="A2883" s="11" t="n"/>
      <c r="B2883" s="7" t="n"/>
      <c r="C2883" s="8" t="n"/>
      <c r="D2883" s="9" t="n"/>
      <c r="E2883" s="8" t="n"/>
      <c r="F2883" s="9" t="n"/>
      <c r="G2883" s="9" t="n"/>
      <c r="H2883" s="3">
        <f>IF(AND(D2883&lt;&gt;"",F2883&lt;&gt;""),F2883-D2883-G2883,"")</f>
        <v/>
      </c>
      <c r="I2883" s="14">
        <f>IF(E2883&lt;&gt;"", YEARFRAC(C2883, E2883) * 12, "")</f>
        <v/>
      </c>
      <c r="J2883" s="2">
        <f>IF(I2883="", "", IF(AND(A2883="MF (Equity)", I2883&gt;12), "Long Term", "Short Term"))</f>
        <v/>
      </c>
      <c r="K2883" s="5">
        <f>IF(J2883="", "", IF(J2883="Long Term", 12.5%, 20%))</f>
        <v/>
      </c>
      <c r="L2883" s="3">
        <f>+IFERROR(IF(J2883="","",H2883*K2883),"")</f>
        <v/>
      </c>
    </row>
    <row r="2884">
      <c r="A2884" s="11" t="n"/>
      <c r="B2884" s="7" t="n"/>
      <c r="C2884" s="8" t="n"/>
      <c r="D2884" s="9" t="n"/>
      <c r="E2884" s="8" t="n"/>
      <c r="F2884" s="9" t="n"/>
      <c r="G2884" s="9" t="n"/>
      <c r="H2884" s="3">
        <f>IF(AND(D2884&lt;&gt;"",F2884&lt;&gt;""),F2884-D2884-G2884,"")</f>
        <v/>
      </c>
      <c r="I2884" s="14">
        <f>IF(E2884&lt;&gt;"", YEARFRAC(C2884, E2884) * 12, "")</f>
        <v/>
      </c>
      <c r="J2884" s="2">
        <f>IF(I2884="", "", IF(AND(A2884="MF (Equity)", I2884&gt;12), "Long Term", "Short Term"))</f>
        <v/>
      </c>
      <c r="K2884" s="5">
        <f>IF(J2884="", "", IF(J2884="Long Term", 12.5%, 20%))</f>
        <v/>
      </c>
      <c r="L2884" s="3">
        <f>+IFERROR(IF(J2884="","",H2884*K2884),"")</f>
        <v/>
      </c>
    </row>
    <row r="2885">
      <c r="A2885" s="11" t="n"/>
      <c r="B2885" s="7" t="n"/>
      <c r="C2885" s="8" t="n"/>
      <c r="D2885" s="9" t="n"/>
      <c r="E2885" s="8" t="n"/>
      <c r="F2885" s="9" t="n"/>
      <c r="G2885" s="9" t="n"/>
      <c r="H2885" s="3">
        <f>IF(AND(D2885&lt;&gt;"",F2885&lt;&gt;""),F2885-D2885-G2885,"")</f>
        <v/>
      </c>
      <c r="I2885" s="14">
        <f>IF(E2885&lt;&gt;"", YEARFRAC(C2885, E2885) * 12, "")</f>
        <v/>
      </c>
      <c r="J2885" s="2">
        <f>IF(I2885="", "", IF(AND(A2885="MF (Equity)", I2885&gt;12), "Long Term", "Short Term"))</f>
        <v/>
      </c>
      <c r="K2885" s="5">
        <f>IF(J2885="", "", IF(J2885="Long Term", 12.5%, 20%))</f>
        <v/>
      </c>
      <c r="L2885" s="3">
        <f>+IFERROR(IF(J2885="","",H2885*K2885),"")</f>
        <v/>
      </c>
    </row>
    <row r="2886">
      <c r="A2886" s="11" t="n"/>
      <c r="B2886" s="7" t="n"/>
      <c r="C2886" s="8" t="n"/>
      <c r="D2886" s="9" t="n"/>
      <c r="E2886" s="8" t="n"/>
      <c r="F2886" s="9" t="n"/>
      <c r="G2886" s="9" t="n"/>
      <c r="H2886" s="3">
        <f>IF(AND(D2886&lt;&gt;"",F2886&lt;&gt;""),F2886-D2886-G2886,"")</f>
        <v/>
      </c>
      <c r="I2886" s="14">
        <f>IF(E2886&lt;&gt;"", YEARFRAC(C2886, E2886) * 12, "")</f>
        <v/>
      </c>
      <c r="J2886" s="2">
        <f>IF(I2886="", "", IF(AND(A2886="MF (Equity)", I2886&gt;12), "Long Term", "Short Term"))</f>
        <v/>
      </c>
      <c r="K2886" s="5">
        <f>IF(J2886="", "", IF(J2886="Long Term", 12.5%, 20%))</f>
        <v/>
      </c>
      <c r="L2886" s="3">
        <f>+IFERROR(IF(J2886="","",H2886*K2886),"")</f>
        <v/>
      </c>
    </row>
    <row r="2887">
      <c r="A2887" s="11" t="n"/>
      <c r="B2887" s="7" t="n"/>
      <c r="C2887" s="8" t="n"/>
      <c r="D2887" s="9" t="n"/>
      <c r="E2887" s="8" t="n"/>
      <c r="F2887" s="9" t="n"/>
      <c r="G2887" s="9" t="n"/>
      <c r="H2887" s="3">
        <f>IF(AND(D2887&lt;&gt;"",F2887&lt;&gt;""),F2887-D2887-G2887,"")</f>
        <v/>
      </c>
      <c r="I2887" s="14">
        <f>IF(E2887&lt;&gt;"", YEARFRAC(C2887, E2887) * 12, "")</f>
        <v/>
      </c>
      <c r="J2887" s="2">
        <f>IF(I2887="", "", IF(AND(A2887="MF (Equity)", I2887&gt;12), "Long Term", "Short Term"))</f>
        <v/>
      </c>
      <c r="K2887" s="5">
        <f>IF(J2887="", "", IF(J2887="Long Term", 12.5%, 20%))</f>
        <v/>
      </c>
      <c r="L2887" s="3">
        <f>+IFERROR(IF(J2887="","",H2887*K2887),"")</f>
        <v/>
      </c>
    </row>
    <row r="2888">
      <c r="A2888" s="11" t="n"/>
      <c r="B2888" s="7" t="n"/>
      <c r="C2888" s="8" t="n"/>
      <c r="D2888" s="9" t="n"/>
      <c r="E2888" s="8" t="n"/>
      <c r="F2888" s="9" t="n"/>
      <c r="G2888" s="9" t="n"/>
      <c r="H2888" s="3">
        <f>IF(AND(D2888&lt;&gt;"",F2888&lt;&gt;""),F2888-D2888-G2888,"")</f>
        <v/>
      </c>
      <c r="I2888" s="14">
        <f>IF(E2888&lt;&gt;"", YEARFRAC(C2888, E2888) * 12, "")</f>
        <v/>
      </c>
      <c r="J2888" s="2">
        <f>IF(I2888="", "", IF(AND(A2888="MF (Equity)", I2888&gt;12), "Long Term", "Short Term"))</f>
        <v/>
      </c>
      <c r="K2888" s="5">
        <f>IF(J2888="", "", IF(J2888="Long Term", 12.5%, 20%))</f>
        <v/>
      </c>
      <c r="L2888" s="3">
        <f>+IFERROR(IF(J2888="","",H2888*K2888),"")</f>
        <v/>
      </c>
    </row>
    <row r="2889">
      <c r="A2889" s="11" t="n"/>
      <c r="B2889" s="7" t="n"/>
      <c r="C2889" s="8" t="n"/>
      <c r="D2889" s="9" t="n"/>
      <c r="E2889" s="8" t="n"/>
      <c r="F2889" s="9" t="n"/>
      <c r="G2889" s="9" t="n"/>
      <c r="H2889" s="3">
        <f>IF(AND(D2889&lt;&gt;"",F2889&lt;&gt;""),F2889-D2889-G2889,"")</f>
        <v/>
      </c>
      <c r="I2889" s="14">
        <f>IF(E2889&lt;&gt;"", YEARFRAC(C2889, E2889) * 12, "")</f>
        <v/>
      </c>
      <c r="J2889" s="2">
        <f>IF(I2889="", "", IF(AND(A2889="MF (Equity)", I2889&gt;12), "Long Term", "Short Term"))</f>
        <v/>
      </c>
      <c r="K2889" s="5">
        <f>IF(J2889="", "", IF(J2889="Long Term", 12.5%, 20%))</f>
        <v/>
      </c>
      <c r="L2889" s="3">
        <f>+IFERROR(IF(J2889="","",H2889*K2889),"")</f>
        <v/>
      </c>
    </row>
    <row r="2890">
      <c r="A2890" s="11" t="n"/>
      <c r="B2890" s="7" t="n"/>
      <c r="C2890" s="8" t="n"/>
      <c r="D2890" s="9" t="n"/>
      <c r="E2890" s="8" t="n"/>
      <c r="F2890" s="9" t="n"/>
      <c r="G2890" s="9" t="n"/>
      <c r="H2890" s="3">
        <f>IF(AND(D2890&lt;&gt;"",F2890&lt;&gt;""),F2890-D2890-G2890,"")</f>
        <v/>
      </c>
      <c r="I2890" s="14">
        <f>IF(E2890&lt;&gt;"", YEARFRAC(C2890, E2890) * 12, "")</f>
        <v/>
      </c>
      <c r="J2890" s="2">
        <f>IF(I2890="", "", IF(AND(A2890="MF (Equity)", I2890&gt;12), "Long Term", "Short Term"))</f>
        <v/>
      </c>
      <c r="K2890" s="5">
        <f>IF(J2890="", "", IF(J2890="Long Term", 12.5%, 20%))</f>
        <v/>
      </c>
      <c r="L2890" s="3">
        <f>+IFERROR(IF(J2890="","",H2890*K2890),"")</f>
        <v/>
      </c>
    </row>
    <row r="2891">
      <c r="A2891" s="11" t="n"/>
      <c r="B2891" s="7" t="n"/>
      <c r="C2891" s="8" t="n"/>
      <c r="D2891" s="9" t="n"/>
      <c r="E2891" s="8" t="n"/>
      <c r="F2891" s="9" t="n"/>
      <c r="G2891" s="9" t="n"/>
      <c r="H2891" s="3">
        <f>IF(AND(D2891&lt;&gt;"",F2891&lt;&gt;""),F2891-D2891-G2891,"")</f>
        <v/>
      </c>
      <c r="I2891" s="14">
        <f>IF(E2891&lt;&gt;"", YEARFRAC(C2891, E2891) * 12, "")</f>
        <v/>
      </c>
      <c r="J2891" s="2">
        <f>IF(I2891="", "", IF(AND(A2891="MF (Equity)", I2891&gt;12), "Long Term", "Short Term"))</f>
        <v/>
      </c>
      <c r="K2891" s="5">
        <f>IF(J2891="", "", IF(J2891="Long Term", 12.5%, 20%))</f>
        <v/>
      </c>
      <c r="L2891" s="3">
        <f>+IFERROR(IF(J2891="","",H2891*K2891),"")</f>
        <v/>
      </c>
    </row>
    <row r="2892">
      <c r="A2892" s="11" t="n"/>
      <c r="B2892" s="7" t="n"/>
      <c r="C2892" s="8" t="n"/>
      <c r="D2892" s="9" t="n"/>
      <c r="E2892" s="8" t="n"/>
      <c r="F2892" s="9" t="n"/>
      <c r="G2892" s="9" t="n"/>
      <c r="H2892" s="3">
        <f>IF(AND(D2892&lt;&gt;"",F2892&lt;&gt;""),F2892-D2892-G2892,"")</f>
        <v/>
      </c>
      <c r="I2892" s="14">
        <f>IF(E2892&lt;&gt;"", YEARFRAC(C2892, E2892) * 12, "")</f>
        <v/>
      </c>
      <c r="J2892" s="2">
        <f>IF(I2892="", "", IF(AND(A2892="MF (Equity)", I2892&gt;12), "Long Term", "Short Term"))</f>
        <v/>
      </c>
      <c r="K2892" s="5">
        <f>IF(J2892="", "", IF(J2892="Long Term", 12.5%, 20%))</f>
        <v/>
      </c>
      <c r="L2892" s="3">
        <f>+IFERROR(IF(J2892="","",H2892*K2892),"")</f>
        <v/>
      </c>
    </row>
    <row r="2893">
      <c r="A2893" s="11" t="n"/>
      <c r="B2893" s="7" t="n"/>
      <c r="C2893" s="8" t="n"/>
      <c r="D2893" s="9" t="n"/>
      <c r="E2893" s="8" t="n"/>
      <c r="F2893" s="9" t="n"/>
      <c r="G2893" s="9" t="n"/>
      <c r="H2893" s="3">
        <f>IF(AND(D2893&lt;&gt;"",F2893&lt;&gt;""),F2893-D2893-G2893,"")</f>
        <v/>
      </c>
      <c r="I2893" s="14">
        <f>IF(E2893&lt;&gt;"", YEARFRAC(C2893, E2893) * 12, "")</f>
        <v/>
      </c>
      <c r="J2893" s="2">
        <f>IF(I2893="", "", IF(AND(A2893="MF (Equity)", I2893&gt;12), "Long Term", "Short Term"))</f>
        <v/>
      </c>
      <c r="K2893" s="5">
        <f>IF(J2893="", "", IF(J2893="Long Term", 12.5%, 20%))</f>
        <v/>
      </c>
      <c r="L2893" s="3">
        <f>+IFERROR(IF(J2893="","",H2893*K2893),"")</f>
        <v/>
      </c>
    </row>
    <row r="2894">
      <c r="A2894" s="11" t="n"/>
      <c r="B2894" s="7" t="n"/>
      <c r="C2894" s="8" t="n"/>
      <c r="D2894" s="9" t="n"/>
      <c r="E2894" s="8" t="n"/>
      <c r="F2894" s="9" t="n"/>
      <c r="G2894" s="9" t="n"/>
      <c r="H2894" s="3">
        <f>IF(AND(D2894&lt;&gt;"",F2894&lt;&gt;""),F2894-D2894-G2894,"")</f>
        <v/>
      </c>
      <c r="I2894" s="14">
        <f>IF(E2894&lt;&gt;"", YEARFRAC(C2894, E2894) * 12, "")</f>
        <v/>
      </c>
      <c r="J2894" s="2">
        <f>IF(I2894="", "", IF(AND(A2894="MF (Equity)", I2894&gt;12), "Long Term", "Short Term"))</f>
        <v/>
      </c>
      <c r="K2894" s="5">
        <f>IF(J2894="", "", IF(J2894="Long Term", 12.5%, 20%))</f>
        <v/>
      </c>
      <c r="L2894" s="3">
        <f>+IFERROR(IF(J2894="","",H2894*K2894),"")</f>
        <v/>
      </c>
    </row>
    <row r="2895">
      <c r="A2895" s="11" t="n"/>
      <c r="B2895" s="7" t="n"/>
      <c r="C2895" s="8" t="n"/>
      <c r="D2895" s="9" t="n"/>
      <c r="E2895" s="8" t="n"/>
      <c r="F2895" s="9" t="n"/>
      <c r="G2895" s="9" t="n"/>
      <c r="H2895" s="3">
        <f>IF(AND(D2895&lt;&gt;"",F2895&lt;&gt;""),F2895-D2895-G2895,"")</f>
        <v/>
      </c>
      <c r="I2895" s="14">
        <f>IF(E2895&lt;&gt;"", YEARFRAC(C2895, E2895) * 12, "")</f>
        <v/>
      </c>
      <c r="J2895" s="2">
        <f>IF(I2895="", "", IF(AND(A2895="MF (Equity)", I2895&gt;12), "Long Term", "Short Term"))</f>
        <v/>
      </c>
      <c r="K2895" s="5">
        <f>IF(J2895="", "", IF(J2895="Long Term", 12.5%, 20%))</f>
        <v/>
      </c>
      <c r="L2895" s="3">
        <f>+IFERROR(IF(J2895="","",H2895*K2895),"")</f>
        <v/>
      </c>
    </row>
    <row r="2896">
      <c r="A2896" s="11" t="n"/>
      <c r="B2896" s="7" t="n"/>
      <c r="C2896" s="8" t="n"/>
      <c r="D2896" s="9" t="n"/>
      <c r="E2896" s="8" t="n"/>
      <c r="F2896" s="9" t="n"/>
      <c r="G2896" s="9" t="n"/>
      <c r="H2896" s="3">
        <f>IF(AND(D2896&lt;&gt;"",F2896&lt;&gt;""),F2896-D2896-G2896,"")</f>
        <v/>
      </c>
      <c r="I2896" s="14">
        <f>IF(E2896&lt;&gt;"", YEARFRAC(C2896, E2896) * 12, "")</f>
        <v/>
      </c>
      <c r="J2896" s="2">
        <f>IF(I2896="", "", IF(AND(A2896="MF (Equity)", I2896&gt;12), "Long Term", "Short Term"))</f>
        <v/>
      </c>
      <c r="K2896" s="5">
        <f>IF(J2896="", "", IF(J2896="Long Term", 12.5%, 20%))</f>
        <v/>
      </c>
      <c r="L2896" s="3">
        <f>+IFERROR(IF(J2896="","",H2896*K2896),"")</f>
        <v/>
      </c>
    </row>
    <row r="2897">
      <c r="A2897" s="11" t="n"/>
      <c r="B2897" s="7" t="n"/>
      <c r="C2897" s="8" t="n"/>
      <c r="D2897" s="9" t="n"/>
      <c r="E2897" s="8" t="n"/>
      <c r="F2897" s="9" t="n"/>
      <c r="G2897" s="9" t="n"/>
      <c r="H2897" s="3">
        <f>IF(AND(D2897&lt;&gt;"",F2897&lt;&gt;""),F2897-D2897-G2897,"")</f>
        <v/>
      </c>
      <c r="I2897" s="14">
        <f>IF(E2897&lt;&gt;"", YEARFRAC(C2897, E2897) * 12, "")</f>
        <v/>
      </c>
      <c r="J2897" s="2">
        <f>IF(I2897="", "", IF(AND(A2897="MF (Equity)", I2897&gt;12), "Long Term", "Short Term"))</f>
        <v/>
      </c>
      <c r="K2897" s="5">
        <f>IF(J2897="", "", IF(J2897="Long Term", 12.5%, 20%))</f>
        <v/>
      </c>
      <c r="L2897" s="3">
        <f>+IFERROR(IF(J2897="","",H2897*K2897),"")</f>
        <v/>
      </c>
    </row>
    <row r="2898">
      <c r="A2898" s="11" t="n"/>
      <c r="B2898" s="7" t="n"/>
      <c r="C2898" s="8" t="n"/>
      <c r="D2898" s="9" t="n"/>
      <c r="E2898" s="8" t="n"/>
      <c r="F2898" s="9" t="n"/>
      <c r="G2898" s="9" t="n"/>
      <c r="H2898" s="3">
        <f>IF(AND(D2898&lt;&gt;"",F2898&lt;&gt;""),F2898-D2898-G2898,"")</f>
        <v/>
      </c>
      <c r="I2898" s="14">
        <f>IF(E2898&lt;&gt;"", YEARFRAC(C2898, E2898) * 12, "")</f>
        <v/>
      </c>
      <c r="J2898" s="2">
        <f>IF(I2898="", "", IF(AND(A2898="MF (Equity)", I2898&gt;12), "Long Term", "Short Term"))</f>
        <v/>
      </c>
      <c r="K2898" s="5">
        <f>IF(J2898="", "", IF(J2898="Long Term", 12.5%, 20%))</f>
        <v/>
      </c>
      <c r="L2898" s="3">
        <f>+IFERROR(IF(J2898="","",H2898*K2898),"")</f>
        <v/>
      </c>
    </row>
    <row r="2899">
      <c r="A2899" s="11" t="n"/>
      <c r="B2899" s="7" t="n"/>
      <c r="C2899" s="8" t="n"/>
      <c r="D2899" s="9" t="n"/>
      <c r="E2899" s="8" t="n"/>
      <c r="F2899" s="9" t="n"/>
      <c r="G2899" s="9" t="n"/>
      <c r="H2899" s="3">
        <f>IF(AND(D2899&lt;&gt;"",F2899&lt;&gt;""),F2899-D2899-G2899,"")</f>
        <v/>
      </c>
      <c r="I2899" s="14">
        <f>IF(E2899&lt;&gt;"", YEARFRAC(C2899, E2899) * 12, "")</f>
        <v/>
      </c>
      <c r="J2899" s="2">
        <f>IF(I2899="", "", IF(AND(A2899="MF (Equity)", I2899&gt;12), "Long Term", "Short Term"))</f>
        <v/>
      </c>
      <c r="K2899" s="5">
        <f>IF(J2899="", "", IF(J2899="Long Term", 12.5%, 20%))</f>
        <v/>
      </c>
      <c r="L2899" s="3">
        <f>+IFERROR(IF(J2899="","",H2899*K2899),"")</f>
        <v/>
      </c>
    </row>
    <row r="2900">
      <c r="A2900" s="11" t="n"/>
      <c r="B2900" s="7" t="n"/>
      <c r="C2900" s="8" t="n"/>
      <c r="D2900" s="9" t="n"/>
      <c r="E2900" s="8" t="n"/>
      <c r="F2900" s="9" t="n"/>
      <c r="G2900" s="9" t="n"/>
      <c r="H2900" s="3">
        <f>IF(AND(D2900&lt;&gt;"",F2900&lt;&gt;""),F2900-D2900-G2900,"")</f>
        <v/>
      </c>
      <c r="I2900" s="14">
        <f>IF(E2900&lt;&gt;"", YEARFRAC(C2900, E2900) * 12, "")</f>
        <v/>
      </c>
      <c r="J2900" s="2">
        <f>IF(I2900="", "", IF(AND(A2900="MF (Equity)", I2900&gt;12), "Long Term", "Short Term"))</f>
        <v/>
      </c>
      <c r="K2900" s="5">
        <f>IF(J2900="", "", IF(J2900="Long Term", 12.5%, 20%))</f>
        <v/>
      </c>
      <c r="L2900" s="3">
        <f>+IFERROR(IF(J2900="","",H2900*K2900),"")</f>
        <v/>
      </c>
    </row>
    <row r="2901">
      <c r="A2901" s="11" t="n"/>
      <c r="B2901" s="7" t="n"/>
      <c r="C2901" s="8" t="n"/>
      <c r="D2901" s="9" t="n"/>
      <c r="E2901" s="8" t="n"/>
      <c r="F2901" s="9" t="n"/>
      <c r="G2901" s="9" t="n"/>
      <c r="H2901" s="3">
        <f>IF(AND(D2901&lt;&gt;"",F2901&lt;&gt;""),F2901-D2901-G2901,"")</f>
        <v/>
      </c>
      <c r="I2901" s="14">
        <f>IF(E2901&lt;&gt;"", YEARFRAC(C2901, E2901) * 12, "")</f>
        <v/>
      </c>
      <c r="J2901" s="2">
        <f>IF(I2901="", "", IF(AND(A2901="MF (Equity)", I2901&gt;12), "Long Term", "Short Term"))</f>
        <v/>
      </c>
      <c r="K2901" s="5">
        <f>IF(J2901="", "", IF(J2901="Long Term", 12.5%, 20%))</f>
        <v/>
      </c>
      <c r="L2901" s="3">
        <f>+IFERROR(IF(J2901="","",H2901*K2901),"")</f>
        <v/>
      </c>
    </row>
    <row r="2902">
      <c r="A2902" s="11" t="n"/>
      <c r="B2902" s="7" t="n"/>
      <c r="C2902" s="8" t="n"/>
      <c r="D2902" s="9" t="n"/>
      <c r="E2902" s="8" t="n"/>
      <c r="F2902" s="9" t="n"/>
      <c r="G2902" s="9" t="n"/>
      <c r="H2902" s="3">
        <f>IF(AND(D2902&lt;&gt;"",F2902&lt;&gt;""),F2902-D2902-G2902,"")</f>
        <v/>
      </c>
      <c r="I2902" s="14">
        <f>IF(E2902&lt;&gt;"", YEARFRAC(C2902, E2902) * 12, "")</f>
        <v/>
      </c>
      <c r="J2902" s="2">
        <f>IF(I2902="", "", IF(AND(A2902="MF (Equity)", I2902&gt;12), "Long Term", "Short Term"))</f>
        <v/>
      </c>
      <c r="K2902" s="5">
        <f>IF(J2902="", "", IF(J2902="Long Term", 12.5%, 20%))</f>
        <v/>
      </c>
      <c r="L2902" s="3">
        <f>+IFERROR(IF(J2902="","",H2902*K2902),"")</f>
        <v/>
      </c>
    </row>
    <row r="2903">
      <c r="A2903" s="11" t="n"/>
      <c r="B2903" s="7" t="n"/>
      <c r="C2903" s="8" t="n"/>
      <c r="D2903" s="9" t="n"/>
      <c r="E2903" s="8" t="n"/>
      <c r="F2903" s="9" t="n"/>
      <c r="G2903" s="9" t="n"/>
      <c r="H2903" s="3">
        <f>IF(AND(D2903&lt;&gt;"",F2903&lt;&gt;""),F2903-D2903-G2903,"")</f>
        <v/>
      </c>
      <c r="I2903" s="14">
        <f>IF(E2903&lt;&gt;"", YEARFRAC(C2903, E2903) * 12, "")</f>
        <v/>
      </c>
      <c r="J2903" s="2">
        <f>IF(I2903="", "", IF(AND(A2903="MF (Equity)", I2903&gt;12), "Long Term", "Short Term"))</f>
        <v/>
      </c>
      <c r="K2903" s="5">
        <f>IF(J2903="", "", IF(J2903="Long Term", 12.5%, 20%))</f>
        <v/>
      </c>
      <c r="L2903" s="3">
        <f>+IFERROR(IF(J2903="","",H2903*K2903),"")</f>
        <v/>
      </c>
    </row>
    <row r="2904">
      <c r="A2904" s="11" t="n"/>
      <c r="B2904" s="7" t="n"/>
      <c r="C2904" s="8" t="n"/>
      <c r="D2904" s="9" t="n"/>
      <c r="E2904" s="8" t="n"/>
      <c r="F2904" s="9" t="n"/>
      <c r="G2904" s="9" t="n"/>
      <c r="H2904" s="3">
        <f>IF(AND(D2904&lt;&gt;"",F2904&lt;&gt;""),F2904-D2904-G2904,"")</f>
        <v/>
      </c>
      <c r="I2904" s="14">
        <f>IF(E2904&lt;&gt;"", YEARFRAC(C2904, E2904) * 12, "")</f>
        <v/>
      </c>
      <c r="J2904" s="2">
        <f>IF(I2904="", "", IF(AND(A2904="MF (Equity)", I2904&gt;12), "Long Term", "Short Term"))</f>
        <v/>
      </c>
      <c r="K2904" s="5">
        <f>IF(J2904="", "", IF(J2904="Long Term", 12.5%, 20%))</f>
        <v/>
      </c>
      <c r="L2904" s="3">
        <f>+IFERROR(IF(J2904="","",H2904*K2904),"")</f>
        <v/>
      </c>
    </row>
    <row r="2905">
      <c r="A2905" s="11" t="n"/>
      <c r="B2905" s="7" t="n"/>
      <c r="C2905" s="8" t="n"/>
      <c r="D2905" s="9" t="n"/>
      <c r="E2905" s="8" t="n"/>
      <c r="F2905" s="9" t="n"/>
      <c r="G2905" s="9" t="n"/>
      <c r="H2905" s="3">
        <f>IF(AND(D2905&lt;&gt;"",F2905&lt;&gt;""),F2905-D2905-G2905,"")</f>
        <v/>
      </c>
      <c r="I2905" s="14">
        <f>IF(E2905&lt;&gt;"", YEARFRAC(C2905, E2905) * 12, "")</f>
        <v/>
      </c>
      <c r="J2905" s="2">
        <f>IF(I2905="", "", IF(AND(A2905="MF (Equity)", I2905&gt;12), "Long Term", "Short Term"))</f>
        <v/>
      </c>
      <c r="K2905" s="5">
        <f>IF(J2905="", "", IF(J2905="Long Term", 12.5%, 20%))</f>
        <v/>
      </c>
      <c r="L2905" s="3">
        <f>+IFERROR(IF(J2905="","",H2905*K2905),"")</f>
        <v/>
      </c>
    </row>
    <row r="2906">
      <c r="A2906" s="11" t="n"/>
      <c r="B2906" s="7" t="n"/>
      <c r="C2906" s="8" t="n"/>
      <c r="D2906" s="9" t="n"/>
      <c r="E2906" s="8" t="n"/>
      <c r="F2906" s="9" t="n"/>
      <c r="G2906" s="9" t="n"/>
      <c r="H2906" s="3">
        <f>IF(AND(D2906&lt;&gt;"",F2906&lt;&gt;""),F2906-D2906-G2906,"")</f>
        <v/>
      </c>
      <c r="I2906" s="14">
        <f>IF(E2906&lt;&gt;"", YEARFRAC(C2906, E2906) * 12, "")</f>
        <v/>
      </c>
      <c r="J2906" s="2">
        <f>IF(I2906="", "", IF(AND(A2906="MF (Equity)", I2906&gt;12), "Long Term", "Short Term"))</f>
        <v/>
      </c>
      <c r="K2906" s="5">
        <f>IF(J2906="", "", IF(J2906="Long Term", 12.5%, 20%))</f>
        <v/>
      </c>
      <c r="L2906" s="3">
        <f>+IFERROR(IF(J2906="","",H2906*K2906),"")</f>
        <v/>
      </c>
    </row>
    <row r="2907">
      <c r="A2907" s="11" t="n"/>
      <c r="B2907" s="7" t="n"/>
      <c r="C2907" s="8" t="n"/>
      <c r="D2907" s="9" t="n"/>
      <c r="E2907" s="8" t="n"/>
      <c r="F2907" s="9" t="n"/>
      <c r="G2907" s="9" t="n"/>
      <c r="H2907" s="3">
        <f>IF(AND(D2907&lt;&gt;"",F2907&lt;&gt;""),F2907-D2907-G2907,"")</f>
        <v/>
      </c>
      <c r="I2907" s="14">
        <f>IF(E2907&lt;&gt;"", YEARFRAC(C2907, E2907) * 12, "")</f>
        <v/>
      </c>
      <c r="J2907" s="2">
        <f>IF(I2907="", "", IF(AND(A2907="MF (Equity)", I2907&gt;12), "Long Term", "Short Term"))</f>
        <v/>
      </c>
      <c r="K2907" s="5">
        <f>IF(J2907="", "", IF(J2907="Long Term", 12.5%, 20%))</f>
        <v/>
      </c>
      <c r="L2907" s="3">
        <f>+IFERROR(IF(J2907="","",H2907*K2907),"")</f>
        <v/>
      </c>
    </row>
    <row r="2908">
      <c r="A2908" s="11" t="n"/>
      <c r="B2908" s="7" t="n"/>
      <c r="C2908" s="8" t="n"/>
      <c r="D2908" s="9" t="n"/>
      <c r="E2908" s="8" t="n"/>
      <c r="F2908" s="9" t="n"/>
      <c r="G2908" s="9" t="n"/>
      <c r="H2908" s="3">
        <f>IF(AND(D2908&lt;&gt;"",F2908&lt;&gt;""),F2908-D2908-G2908,"")</f>
        <v/>
      </c>
      <c r="I2908" s="14">
        <f>IF(E2908&lt;&gt;"", YEARFRAC(C2908, E2908) * 12, "")</f>
        <v/>
      </c>
      <c r="J2908" s="2">
        <f>IF(I2908="", "", IF(AND(A2908="MF (Equity)", I2908&gt;12), "Long Term", "Short Term"))</f>
        <v/>
      </c>
      <c r="K2908" s="5">
        <f>IF(J2908="", "", IF(J2908="Long Term", 12.5%, 20%))</f>
        <v/>
      </c>
      <c r="L2908" s="3">
        <f>+IFERROR(IF(J2908="","",H2908*K2908),"")</f>
        <v/>
      </c>
    </row>
    <row r="2909">
      <c r="A2909" s="11" t="n"/>
      <c r="B2909" s="7" t="n"/>
      <c r="C2909" s="8" t="n"/>
      <c r="D2909" s="9" t="n"/>
      <c r="E2909" s="8" t="n"/>
      <c r="F2909" s="9" t="n"/>
      <c r="G2909" s="9" t="n"/>
      <c r="H2909" s="3">
        <f>IF(AND(D2909&lt;&gt;"",F2909&lt;&gt;""),F2909-D2909-G2909,"")</f>
        <v/>
      </c>
      <c r="I2909" s="14">
        <f>IF(E2909&lt;&gt;"", YEARFRAC(C2909, E2909) * 12, "")</f>
        <v/>
      </c>
      <c r="J2909" s="2">
        <f>IF(I2909="", "", IF(AND(A2909="MF (Equity)", I2909&gt;12), "Long Term", "Short Term"))</f>
        <v/>
      </c>
      <c r="K2909" s="5">
        <f>IF(J2909="", "", IF(J2909="Long Term", 12.5%, 20%))</f>
        <v/>
      </c>
      <c r="L2909" s="3">
        <f>+IFERROR(IF(J2909="","",H2909*K2909),"")</f>
        <v/>
      </c>
    </row>
    <row r="2910">
      <c r="A2910" s="11" t="n"/>
      <c r="B2910" s="7" t="n"/>
      <c r="C2910" s="8" t="n"/>
      <c r="D2910" s="9" t="n"/>
      <c r="E2910" s="8" t="n"/>
      <c r="F2910" s="9" t="n"/>
      <c r="G2910" s="9" t="n"/>
      <c r="H2910" s="3">
        <f>IF(AND(D2910&lt;&gt;"",F2910&lt;&gt;""),F2910-D2910-G2910,"")</f>
        <v/>
      </c>
      <c r="I2910" s="14">
        <f>IF(E2910&lt;&gt;"", YEARFRAC(C2910, E2910) * 12, "")</f>
        <v/>
      </c>
      <c r="J2910" s="2">
        <f>IF(I2910="", "", IF(AND(A2910="MF (Equity)", I2910&gt;12), "Long Term", "Short Term"))</f>
        <v/>
      </c>
      <c r="K2910" s="5">
        <f>IF(J2910="", "", IF(J2910="Long Term", 12.5%, 20%))</f>
        <v/>
      </c>
      <c r="L2910" s="3">
        <f>+IFERROR(IF(J2910="","",H2910*K2910),"")</f>
        <v/>
      </c>
    </row>
    <row r="2911">
      <c r="A2911" s="11" t="n"/>
      <c r="B2911" s="7" t="n"/>
      <c r="C2911" s="8" t="n"/>
      <c r="D2911" s="9" t="n"/>
      <c r="E2911" s="8" t="n"/>
      <c r="F2911" s="9" t="n"/>
      <c r="G2911" s="9" t="n"/>
      <c r="H2911" s="3">
        <f>IF(AND(D2911&lt;&gt;"",F2911&lt;&gt;""),F2911-D2911-G2911,"")</f>
        <v/>
      </c>
      <c r="I2911" s="14">
        <f>IF(E2911&lt;&gt;"", YEARFRAC(C2911, E2911) * 12, "")</f>
        <v/>
      </c>
      <c r="J2911" s="2">
        <f>IF(I2911="", "", IF(AND(A2911="MF (Equity)", I2911&gt;12), "Long Term", "Short Term"))</f>
        <v/>
      </c>
      <c r="K2911" s="5">
        <f>IF(J2911="", "", IF(J2911="Long Term", 12.5%, 20%))</f>
        <v/>
      </c>
      <c r="L2911" s="3">
        <f>+IFERROR(IF(J2911="","",H2911*K2911),"")</f>
        <v/>
      </c>
    </row>
    <row r="2912">
      <c r="A2912" s="11" t="n"/>
      <c r="B2912" s="7" t="n"/>
      <c r="C2912" s="8" t="n"/>
      <c r="D2912" s="9" t="n"/>
      <c r="E2912" s="8" t="n"/>
      <c r="F2912" s="9" t="n"/>
      <c r="G2912" s="9" t="n"/>
      <c r="H2912" s="3">
        <f>IF(AND(D2912&lt;&gt;"",F2912&lt;&gt;""),F2912-D2912-G2912,"")</f>
        <v/>
      </c>
      <c r="I2912" s="14">
        <f>IF(E2912&lt;&gt;"", YEARFRAC(C2912, E2912) * 12, "")</f>
        <v/>
      </c>
      <c r="J2912" s="2">
        <f>IF(I2912="", "", IF(AND(A2912="MF (Equity)", I2912&gt;12), "Long Term", "Short Term"))</f>
        <v/>
      </c>
      <c r="K2912" s="5">
        <f>IF(J2912="", "", IF(J2912="Long Term", 12.5%, 20%))</f>
        <v/>
      </c>
      <c r="L2912" s="3">
        <f>+IFERROR(IF(J2912="","",H2912*K2912),"")</f>
        <v/>
      </c>
    </row>
    <row r="2913">
      <c r="A2913" s="11" t="n"/>
      <c r="B2913" s="7" t="n"/>
      <c r="C2913" s="8" t="n"/>
      <c r="D2913" s="9" t="n"/>
      <c r="E2913" s="8" t="n"/>
      <c r="F2913" s="9" t="n"/>
      <c r="G2913" s="9" t="n"/>
      <c r="H2913" s="3">
        <f>IF(AND(D2913&lt;&gt;"",F2913&lt;&gt;""),F2913-D2913-G2913,"")</f>
        <v/>
      </c>
      <c r="I2913" s="14">
        <f>IF(E2913&lt;&gt;"", YEARFRAC(C2913, E2913) * 12, "")</f>
        <v/>
      </c>
      <c r="J2913" s="2">
        <f>IF(I2913="", "", IF(AND(A2913="MF (Equity)", I2913&gt;12), "Long Term", "Short Term"))</f>
        <v/>
      </c>
      <c r="K2913" s="5">
        <f>IF(J2913="", "", IF(J2913="Long Term", 12.5%, 20%))</f>
        <v/>
      </c>
      <c r="L2913" s="3">
        <f>+IFERROR(IF(J2913="","",H2913*K2913),"")</f>
        <v/>
      </c>
    </row>
    <row r="2914">
      <c r="A2914" s="11" t="n"/>
      <c r="B2914" s="7" t="n"/>
      <c r="C2914" s="8" t="n"/>
      <c r="D2914" s="9" t="n"/>
      <c r="E2914" s="8" t="n"/>
      <c r="F2914" s="9" t="n"/>
      <c r="G2914" s="9" t="n"/>
      <c r="H2914" s="3">
        <f>IF(AND(D2914&lt;&gt;"",F2914&lt;&gt;""),F2914-D2914-G2914,"")</f>
        <v/>
      </c>
      <c r="I2914" s="14">
        <f>IF(E2914&lt;&gt;"", YEARFRAC(C2914, E2914) * 12, "")</f>
        <v/>
      </c>
      <c r="J2914" s="2">
        <f>IF(I2914="", "", IF(AND(A2914="MF (Equity)", I2914&gt;12), "Long Term", "Short Term"))</f>
        <v/>
      </c>
      <c r="K2914" s="5">
        <f>IF(J2914="", "", IF(J2914="Long Term", 12.5%, 20%))</f>
        <v/>
      </c>
      <c r="L2914" s="3">
        <f>+IFERROR(IF(J2914="","",H2914*K2914),"")</f>
        <v/>
      </c>
    </row>
    <row r="2915">
      <c r="A2915" s="11" t="n"/>
      <c r="B2915" s="7" t="n"/>
      <c r="C2915" s="8" t="n"/>
      <c r="D2915" s="9" t="n"/>
      <c r="E2915" s="8" t="n"/>
      <c r="F2915" s="9" t="n"/>
      <c r="G2915" s="9" t="n"/>
      <c r="H2915" s="3">
        <f>IF(AND(D2915&lt;&gt;"",F2915&lt;&gt;""),F2915-D2915-G2915,"")</f>
        <v/>
      </c>
      <c r="I2915" s="14">
        <f>IF(E2915&lt;&gt;"", YEARFRAC(C2915, E2915) * 12, "")</f>
        <v/>
      </c>
      <c r="J2915" s="2">
        <f>IF(I2915="", "", IF(AND(A2915="MF (Equity)", I2915&gt;12), "Long Term", "Short Term"))</f>
        <v/>
      </c>
      <c r="K2915" s="5">
        <f>IF(J2915="", "", IF(J2915="Long Term", 12.5%, 20%))</f>
        <v/>
      </c>
      <c r="L2915" s="3">
        <f>+IFERROR(IF(J2915="","",H2915*K2915),"")</f>
        <v/>
      </c>
    </row>
    <row r="2916">
      <c r="A2916" s="11" t="n"/>
      <c r="B2916" s="7" t="n"/>
      <c r="C2916" s="8" t="n"/>
      <c r="D2916" s="9" t="n"/>
      <c r="E2916" s="8" t="n"/>
      <c r="F2916" s="9" t="n"/>
      <c r="G2916" s="9" t="n"/>
      <c r="H2916" s="3">
        <f>IF(AND(D2916&lt;&gt;"",F2916&lt;&gt;""),F2916-D2916-G2916,"")</f>
        <v/>
      </c>
      <c r="I2916" s="14">
        <f>IF(E2916&lt;&gt;"", YEARFRAC(C2916, E2916) * 12, "")</f>
        <v/>
      </c>
      <c r="J2916" s="2">
        <f>IF(I2916="", "", IF(AND(A2916="MF (Equity)", I2916&gt;12), "Long Term", "Short Term"))</f>
        <v/>
      </c>
      <c r="K2916" s="5">
        <f>IF(J2916="", "", IF(J2916="Long Term", 12.5%, 20%))</f>
        <v/>
      </c>
      <c r="L2916" s="3">
        <f>+IFERROR(IF(J2916="","",H2916*K2916),"")</f>
        <v/>
      </c>
    </row>
    <row r="2917">
      <c r="A2917" s="11" t="n"/>
      <c r="B2917" s="7" t="n"/>
      <c r="C2917" s="8" t="n"/>
      <c r="D2917" s="9" t="n"/>
      <c r="E2917" s="8" t="n"/>
      <c r="F2917" s="9" t="n"/>
      <c r="G2917" s="9" t="n"/>
      <c r="H2917" s="3">
        <f>IF(AND(D2917&lt;&gt;"",F2917&lt;&gt;""),F2917-D2917-G2917,"")</f>
        <v/>
      </c>
      <c r="I2917" s="14">
        <f>IF(E2917&lt;&gt;"", YEARFRAC(C2917, E2917) * 12, "")</f>
        <v/>
      </c>
      <c r="J2917" s="2">
        <f>IF(I2917="", "", IF(AND(A2917="MF (Equity)", I2917&gt;12), "Long Term", "Short Term"))</f>
        <v/>
      </c>
      <c r="K2917" s="5">
        <f>IF(J2917="", "", IF(J2917="Long Term", 12.5%, 20%))</f>
        <v/>
      </c>
      <c r="L2917" s="3">
        <f>+IFERROR(IF(J2917="","",H2917*K2917),"")</f>
        <v/>
      </c>
    </row>
    <row r="2918">
      <c r="A2918" s="11" t="n"/>
      <c r="B2918" s="7" t="n"/>
      <c r="C2918" s="8" t="n"/>
      <c r="D2918" s="9" t="n"/>
      <c r="E2918" s="8" t="n"/>
      <c r="F2918" s="9" t="n"/>
      <c r="G2918" s="9" t="n"/>
      <c r="H2918" s="3">
        <f>IF(AND(D2918&lt;&gt;"",F2918&lt;&gt;""),F2918-D2918-G2918,"")</f>
        <v/>
      </c>
      <c r="I2918" s="14">
        <f>IF(E2918&lt;&gt;"", YEARFRAC(C2918, E2918) * 12, "")</f>
        <v/>
      </c>
      <c r="J2918" s="2">
        <f>IF(I2918="", "", IF(AND(A2918="MF (Equity)", I2918&gt;12), "Long Term", "Short Term"))</f>
        <v/>
      </c>
      <c r="K2918" s="5">
        <f>IF(J2918="", "", IF(J2918="Long Term", 12.5%, 20%))</f>
        <v/>
      </c>
      <c r="L2918" s="3">
        <f>+IFERROR(IF(J2918="","",H2918*K2918),"")</f>
        <v/>
      </c>
    </row>
    <row r="2919">
      <c r="A2919" s="11" t="n"/>
      <c r="B2919" s="7" t="n"/>
      <c r="C2919" s="8" t="n"/>
      <c r="D2919" s="9" t="n"/>
      <c r="E2919" s="8" t="n"/>
      <c r="F2919" s="9" t="n"/>
      <c r="G2919" s="9" t="n"/>
      <c r="H2919" s="3">
        <f>IF(AND(D2919&lt;&gt;"",F2919&lt;&gt;""),F2919-D2919-G2919,"")</f>
        <v/>
      </c>
      <c r="I2919" s="14">
        <f>IF(E2919&lt;&gt;"", YEARFRAC(C2919, E2919) * 12, "")</f>
        <v/>
      </c>
      <c r="J2919" s="2">
        <f>IF(I2919="", "", IF(AND(A2919="MF (Equity)", I2919&gt;12), "Long Term", "Short Term"))</f>
        <v/>
      </c>
      <c r="K2919" s="5">
        <f>IF(J2919="", "", IF(J2919="Long Term", 12.5%, 20%))</f>
        <v/>
      </c>
      <c r="L2919" s="3">
        <f>+IFERROR(IF(J2919="","",H2919*K2919),"")</f>
        <v/>
      </c>
    </row>
    <row r="2920">
      <c r="A2920" s="11" t="n"/>
      <c r="B2920" s="7" t="n"/>
      <c r="C2920" s="8" t="n"/>
      <c r="D2920" s="9" t="n"/>
      <c r="E2920" s="8" t="n"/>
      <c r="F2920" s="9" t="n"/>
      <c r="G2920" s="9" t="n"/>
      <c r="H2920" s="3">
        <f>IF(AND(D2920&lt;&gt;"",F2920&lt;&gt;""),F2920-D2920-G2920,"")</f>
        <v/>
      </c>
      <c r="I2920" s="14">
        <f>IF(E2920&lt;&gt;"", YEARFRAC(C2920, E2920) * 12, "")</f>
        <v/>
      </c>
      <c r="J2920" s="2">
        <f>IF(I2920="", "", IF(AND(A2920="MF (Equity)", I2920&gt;12), "Long Term", "Short Term"))</f>
        <v/>
      </c>
      <c r="K2920" s="5">
        <f>IF(J2920="", "", IF(J2920="Long Term", 12.5%, 20%))</f>
        <v/>
      </c>
      <c r="L2920" s="3">
        <f>+IFERROR(IF(J2920="","",H2920*K2920),"")</f>
        <v/>
      </c>
    </row>
    <row r="2921">
      <c r="A2921" s="11" t="n"/>
      <c r="B2921" s="7" t="n"/>
      <c r="C2921" s="8" t="n"/>
      <c r="D2921" s="9" t="n"/>
      <c r="E2921" s="8" t="n"/>
      <c r="F2921" s="9" t="n"/>
      <c r="G2921" s="9" t="n"/>
      <c r="H2921" s="3">
        <f>IF(AND(D2921&lt;&gt;"",F2921&lt;&gt;""),F2921-D2921-G2921,"")</f>
        <v/>
      </c>
      <c r="I2921" s="14">
        <f>IF(E2921&lt;&gt;"", YEARFRAC(C2921, E2921) * 12, "")</f>
        <v/>
      </c>
      <c r="J2921" s="2">
        <f>IF(I2921="", "", IF(AND(A2921="MF (Equity)", I2921&gt;12), "Long Term", "Short Term"))</f>
        <v/>
      </c>
      <c r="K2921" s="5">
        <f>IF(J2921="", "", IF(J2921="Long Term", 12.5%, 20%))</f>
        <v/>
      </c>
      <c r="L2921" s="3">
        <f>+IFERROR(IF(J2921="","",H2921*K2921),"")</f>
        <v/>
      </c>
    </row>
    <row r="2922">
      <c r="A2922" s="11" t="n"/>
      <c r="B2922" s="7" t="n"/>
      <c r="C2922" s="8" t="n"/>
      <c r="D2922" s="9" t="n"/>
      <c r="E2922" s="8" t="n"/>
      <c r="F2922" s="9" t="n"/>
      <c r="G2922" s="9" t="n"/>
      <c r="H2922" s="3">
        <f>IF(AND(D2922&lt;&gt;"",F2922&lt;&gt;""),F2922-D2922-G2922,"")</f>
        <v/>
      </c>
      <c r="I2922" s="14">
        <f>IF(E2922&lt;&gt;"", YEARFRAC(C2922, E2922) * 12, "")</f>
        <v/>
      </c>
      <c r="J2922" s="2">
        <f>IF(I2922="", "", IF(AND(A2922="MF (Equity)", I2922&gt;12), "Long Term", "Short Term"))</f>
        <v/>
      </c>
      <c r="K2922" s="5">
        <f>IF(J2922="", "", IF(J2922="Long Term", 12.5%, 20%))</f>
        <v/>
      </c>
      <c r="L2922" s="3">
        <f>+IFERROR(IF(J2922="","",H2922*K2922),"")</f>
        <v/>
      </c>
    </row>
    <row r="2923">
      <c r="A2923" s="11" t="n"/>
      <c r="B2923" s="7" t="n"/>
      <c r="C2923" s="8" t="n"/>
      <c r="D2923" s="9" t="n"/>
      <c r="E2923" s="8" t="n"/>
      <c r="F2923" s="9" t="n"/>
      <c r="G2923" s="9" t="n"/>
      <c r="H2923" s="3">
        <f>IF(AND(D2923&lt;&gt;"",F2923&lt;&gt;""),F2923-D2923-G2923,"")</f>
        <v/>
      </c>
      <c r="I2923" s="14">
        <f>IF(E2923&lt;&gt;"", YEARFRAC(C2923, E2923) * 12, "")</f>
        <v/>
      </c>
      <c r="J2923" s="2">
        <f>IF(I2923="", "", IF(AND(A2923="MF (Equity)", I2923&gt;12), "Long Term", "Short Term"))</f>
        <v/>
      </c>
      <c r="K2923" s="5">
        <f>IF(J2923="", "", IF(J2923="Long Term", 12.5%, 20%))</f>
        <v/>
      </c>
      <c r="L2923" s="3">
        <f>+IFERROR(IF(J2923="","",H2923*K2923),"")</f>
        <v/>
      </c>
    </row>
    <row r="2924">
      <c r="A2924" s="11" t="n"/>
      <c r="B2924" s="7" t="n"/>
      <c r="C2924" s="8" t="n"/>
      <c r="D2924" s="9" t="n"/>
      <c r="E2924" s="8" t="n"/>
      <c r="F2924" s="9" t="n"/>
      <c r="G2924" s="9" t="n"/>
      <c r="H2924" s="3">
        <f>IF(AND(D2924&lt;&gt;"",F2924&lt;&gt;""),F2924-D2924-G2924,"")</f>
        <v/>
      </c>
      <c r="I2924" s="14">
        <f>IF(E2924&lt;&gt;"", YEARFRAC(C2924, E2924) * 12, "")</f>
        <v/>
      </c>
      <c r="J2924" s="2">
        <f>IF(I2924="", "", IF(AND(A2924="MF (Equity)", I2924&gt;12), "Long Term", "Short Term"))</f>
        <v/>
      </c>
      <c r="K2924" s="5">
        <f>IF(J2924="", "", IF(J2924="Long Term", 12.5%, 20%))</f>
        <v/>
      </c>
      <c r="L2924" s="3">
        <f>+IFERROR(IF(J2924="","",H2924*K2924),"")</f>
        <v/>
      </c>
    </row>
    <row r="2925">
      <c r="A2925" s="11" t="n"/>
      <c r="B2925" s="7" t="n"/>
      <c r="C2925" s="8" t="n"/>
      <c r="D2925" s="9" t="n"/>
      <c r="E2925" s="8" t="n"/>
      <c r="F2925" s="9" t="n"/>
      <c r="G2925" s="9" t="n"/>
      <c r="H2925" s="3">
        <f>IF(AND(D2925&lt;&gt;"",F2925&lt;&gt;""),F2925-D2925-G2925,"")</f>
        <v/>
      </c>
      <c r="I2925" s="14">
        <f>IF(E2925&lt;&gt;"", YEARFRAC(C2925, E2925) * 12, "")</f>
        <v/>
      </c>
      <c r="J2925" s="2">
        <f>IF(I2925="", "", IF(AND(A2925="MF (Equity)", I2925&gt;12), "Long Term", "Short Term"))</f>
        <v/>
      </c>
      <c r="K2925" s="5">
        <f>IF(J2925="", "", IF(J2925="Long Term", 12.5%, 20%))</f>
        <v/>
      </c>
      <c r="L2925" s="3">
        <f>+IFERROR(IF(J2925="","",H2925*K2925),"")</f>
        <v/>
      </c>
    </row>
    <row r="2926">
      <c r="A2926" s="11" t="n"/>
      <c r="B2926" s="7" t="n"/>
      <c r="C2926" s="8" t="n"/>
      <c r="D2926" s="9" t="n"/>
      <c r="E2926" s="8" t="n"/>
      <c r="F2926" s="9" t="n"/>
      <c r="G2926" s="9" t="n"/>
      <c r="H2926" s="3">
        <f>IF(AND(D2926&lt;&gt;"",F2926&lt;&gt;""),F2926-D2926-G2926,"")</f>
        <v/>
      </c>
      <c r="I2926" s="14">
        <f>IF(E2926&lt;&gt;"", YEARFRAC(C2926, E2926) * 12, "")</f>
        <v/>
      </c>
      <c r="J2926" s="2">
        <f>IF(I2926="", "", IF(AND(A2926="MF (Equity)", I2926&gt;12), "Long Term", "Short Term"))</f>
        <v/>
      </c>
      <c r="K2926" s="5">
        <f>IF(J2926="", "", IF(J2926="Long Term", 12.5%, 20%))</f>
        <v/>
      </c>
      <c r="L2926" s="3">
        <f>+IFERROR(IF(J2926="","",H2926*K2926),"")</f>
        <v/>
      </c>
    </row>
    <row r="2927">
      <c r="A2927" s="11" t="n"/>
      <c r="B2927" s="7" t="n"/>
      <c r="C2927" s="8" t="n"/>
      <c r="D2927" s="9" t="n"/>
      <c r="E2927" s="8" t="n"/>
      <c r="F2927" s="9" t="n"/>
      <c r="G2927" s="9" t="n"/>
      <c r="H2927" s="3">
        <f>IF(AND(D2927&lt;&gt;"",F2927&lt;&gt;""),F2927-D2927-G2927,"")</f>
        <v/>
      </c>
      <c r="I2927" s="14">
        <f>IF(E2927&lt;&gt;"", YEARFRAC(C2927, E2927) * 12, "")</f>
        <v/>
      </c>
      <c r="J2927" s="2">
        <f>IF(I2927="", "", IF(AND(A2927="MF (Equity)", I2927&gt;12), "Long Term", "Short Term"))</f>
        <v/>
      </c>
      <c r="K2927" s="5">
        <f>IF(J2927="", "", IF(J2927="Long Term", 12.5%, 20%))</f>
        <v/>
      </c>
      <c r="L2927" s="3">
        <f>+IFERROR(IF(J2927="","",H2927*K2927),"")</f>
        <v/>
      </c>
    </row>
    <row r="2928">
      <c r="A2928" s="11" t="n"/>
      <c r="B2928" s="7" t="n"/>
      <c r="C2928" s="8" t="n"/>
      <c r="D2928" s="9" t="n"/>
      <c r="E2928" s="8" t="n"/>
      <c r="F2928" s="9" t="n"/>
      <c r="G2928" s="9" t="n"/>
      <c r="H2928" s="3">
        <f>IF(AND(D2928&lt;&gt;"",F2928&lt;&gt;""),F2928-D2928-G2928,"")</f>
        <v/>
      </c>
      <c r="I2928" s="14">
        <f>IF(E2928&lt;&gt;"", YEARFRAC(C2928, E2928) * 12, "")</f>
        <v/>
      </c>
      <c r="J2928" s="2">
        <f>IF(I2928="", "", IF(AND(A2928="MF (Equity)", I2928&gt;12), "Long Term", "Short Term"))</f>
        <v/>
      </c>
      <c r="K2928" s="5">
        <f>IF(J2928="", "", IF(J2928="Long Term", 12.5%, 20%))</f>
        <v/>
      </c>
      <c r="L2928" s="3">
        <f>+IFERROR(IF(J2928="","",H2928*K2928),"")</f>
        <v/>
      </c>
    </row>
    <row r="2929">
      <c r="A2929" s="11" t="n"/>
      <c r="B2929" s="7" t="n"/>
      <c r="C2929" s="8" t="n"/>
      <c r="D2929" s="9" t="n"/>
      <c r="E2929" s="8" t="n"/>
      <c r="F2929" s="9" t="n"/>
      <c r="G2929" s="9" t="n"/>
      <c r="H2929" s="3">
        <f>IF(AND(D2929&lt;&gt;"",F2929&lt;&gt;""),F2929-D2929-G2929,"")</f>
        <v/>
      </c>
      <c r="I2929" s="14">
        <f>IF(E2929&lt;&gt;"", YEARFRAC(C2929, E2929) * 12, "")</f>
        <v/>
      </c>
      <c r="J2929" s="2">
        <f>IF(I2929="", "", IF(AND(A2929="MF (Equity)", I2929&gt;12), "Long Term", "Short Term"))</f>
        <v/>
      </c>
      <c r="K2929" s="5">
        <f>IF(J2929="", "", IF(J2929="Long Term", 12.5%, 20%))</f>
        <v/>
      </c>
      <c r="L2929" s="3">
        <f>+IFERROR(IF(J2929="","",H2929*K2929),"")</f>
        <v/>
      </c>
    </row>
    <row r="2930">
      <c r="A2930" s="11" t="n"/>
      <c r="B2930" s="7" t="n"/>
      <c r="C2930" s="8" t="n"/>
      <c r="D2930" s="9" t="n"/>
      <c r="E2930" s="8" t="n"/>
      <c r="F2930" s="9" t="n"/>
      <c r="G2930" s="9" t="n"/>
      <c r="H2930" s="3">
        <f>IF(AND(D2930&lt;&gt;"",F2930&lt;&gt;""),F2930-D2930-G2930,"")</f>
        <v/>
      </c>
      <c r="I2930" s="14">
        <f>IF(E2930&lt;&gt;"", YEARFRAC(C2930, E2930) * 12, "")</f>
        <v/>
      </c>
      <c r="J2930" s="2">
        <f>IF(I2930="", "", IF(AND(A2930="MF (Equity)", I2930&gt;12), "Long Term", "Short Term"))</f>
        <v/>
      </c>
      <c r="K2930" s="5">
        <f>IF(J2930="", "", IF(J2930="Long Term", 12.5%, 20%))</f>
        <v/>
      </c>
      <c r="L2930" s="3">
        <f>+IFERROR(IF(J2930="","",H2930*K2930),"")</f>
        <v/>
      </c>
    </row>
    <row r="2931">
      <c r="A2931" s="11" t="n"/>
      <c r="B2931" s="7" t="n"/>
      <c r="C2931" s="8" t="n"/>
      <c r="D2931" s="9" t="n"/>
      <c r="E2931" s="8" t="n"/>
      <c r="F2931" s="9" t="n"/>
      <c r="G2931" s="9" t="n"/>
      <c r="H2931" s="3">
        <f>IF(AND(D2931&lt;&gt;"",F2931&lt;&gt;""),F2931-D2931-G2931,"")</f>
        <v/>
      </c>
      <c r="I2931" s="14">
        <f>IF(E2931&lt;&gt;"", YEARFRAC(C2931, E2931) * 12, "")</f>
        <v/>
      </c>
      <c r="J2931" s="2">
        <f>IF(I2931="", "", IF(AND(A2931="MF (Equity)", I2931&gt;12), "Long Term", "Short Term"))</f>
        <v/>
      </c>
      <c r="K2931" s="5">
        <f>IF(J2931="", "", IF(J2931="Long Term", 12.5%, 20%))</f>
        <v/>
      </c>
      <c r="L2931" s="3">
        <f>+IFERROR(IF(J2931="","",H2931*K2931),"")</f>
        <v/>
      </c>
    </row>
    <row r="2932">
      <c r="A2932" s="11" t="n"/>
      <c r="B2932" s="7" t="n"/>
      <c r="C2932" s="8" t="n"/>
      <c r="D2932" s="9" t="n"/>
      <c r="E2932" s="8" t="n"/>
      <c r="F2932" s="9" t="n"/>
      <c r="G2932" s="9" t="n"/>
      <c r="H2932" s="3">
        <f>IF(AND(D2932&lt;&gt;"",F2932&lt;&gt;""),F2932-D2932-G2932,"")</f>
        <v/>
      </c>
      <c r="I2932" s="14">
        <f>IF(E2932&lt;&gt;"", YEARFRAC(C2932, E2932) * 12, "")</f>
        <v/>
      </c>
      <c r="J2932" s="2">
        <f>IF(I2932="", "", IF(AND(A2932="MF (Equity)", I2932&gt;12), "Long Term", "Short Term"))</f>
        <v/>
      </c>
      <c r="K2932" s="5">
        <f>IF(J2932="", "", IF(J2932="Long Term", 12.5%, 20%))</f>
        <v/>
      </c>
      <c r="L2932" s="3">
        <f>+IFERROR(IF(J2932="","",H2932*K2932),"")</f>
        <v/>
      </c>
    </row>
    <row r="2933">
      <c r="A2933" s="11" t="n"/>
      <c r="B2933" s="7" t="n"/>
      <c r="C2933" s="8" t="n"/>
      <c r="D2933" s="9" t="n"/>
      <c r="E2933" s="8" t="n"/>
      <c r="F2933" s="9" t="n"/>
      <c r="G2933" s="9" t="n"/>
      <c r="H2933" s="3">
        <f>IF(AND(D2933&lt;&gt;"",F2933&lt;&gt;""),F2933-D2933-G2933,"")</f>
        <v/>
      </c>
      <c r="I2933" s="14">
        <f>IF(E2933&lt;&gt;"", YEARFRAC(C2933, E2933) * 12, "")</f>
        <v/>
      </c>
      <c r="J2933" s="2">
        <f>IF(I2933="", "", IF(AND(A2933="MF (Equity)", I2933&gt;12), "Long Term", "Short Term"))</f>
        <v/>
      </c>
      <c r="K2933" s="5">
        <f>IF(J2933="", "", IF(J2933="Long Term", 12.5%, 20%))</f>
        <v/>
      </c>
      <c r="L2933" s="3">
        <f>+IFERROR(IF(J2933="","",H2933*K2933),"")</f>
        <v/>
      </c>
    </row>
    <row r="2934">
      <c r="A2934" s="11" t="n"/>
      <c r="B2934" s="7" t="n"/>
      <c r="C2934" s="8" t="n"/>
      <c r="D2934" s="9" t="n"/>
      <c r="E2934" s="8" t="n"/>
      <c r="F2934" s="9" t="n"/>
      <c r="G2934" s="9" t="n"/>
      <c r="H2934" s="3">
        <f>IF(AND(D2934&lt;&gt;"",F2934&lt;&gt;""),F2934-D2934-G2934,"")</f>
        <v/>
      </c>
      <c r="I2934" s="14">
        <f>IF(E2934&lt;&gt;"", YEARFRAC(C2934, E2934) * 12, "")</f>
        <v/>
      </c>
      <c r="J2934" s="2">
        <f>IF(I2934="", "", IF(AND(A2934="MF (Equity)", I2934&gt;12), "Long Term", "Short Term"))</f>
        <v/>
      </c>
      <c r="K2934" s="5">
        <f>IF(J2934="", "", IF(J2934="Long Term", 12.5%, 20%))</f>
        <v/>
      </c>
      <c r="L2934" s="3">
        <f>+IFERROR(IF(J2934="","",H2934*K2934),"")</f>
        <v/>
      </c>
    </row>
    <row r="2935">
      <c r="A2935" s="11" t="n"/>
      <c r="B2935" s="7" t="n"/>
      <c r="C2935" s="8" t="n"/>
      <c r="D2935" s="9" t="n"/>
      <c r="E2935" s="8" t="n"/>
      <c r="F2935" s="9" t="n"/>
      <c r="G2935" s="9" t="n"/>
      <c r="H2935" s="3">
        <f>IF(AND(D2935&lt;&gt;"",F2935&lt;&gt;""),F2935-D2935-G2935,"")</f>
        <v/>
      </c>
      <c r="I2935" s="14">
        <f>IF(E2935&lt;&gt;"", YEARFRAC(C2935, E2935) * 12, "")</f>
        <v/>
      </c>
      <c r="J2935" s="2">
        <f>IF(I2935="", "", IF(AND(A2935="MF (Equity)", I2935&gt;12), "Long Term", "Short Term"))</f>
        <v/>
      </c>
      <c r="K2935" s="5">
        <f>IF(J2935="", "", IF(J2935="Long Term", 12.5%, 20%))</f>
        <v/>
      </c>
      <c r="L2935" s="3">
        <f>+IFERROR(IF(J2935="","",H2935*K2935),"")</f>
        <v/>
      </c>
    </row>
    <row r="2936">
      <c r="A2936" s="11" t="n"/>
      <c r="B2936" s="7" t="n"/>
      <c r="C2936" s="8" t="n"/>
      <c r="D2936" s="9" t="n"/>
      <c r="E2936" s="8" t="n"/>
      <c r="F2936" s="9" t="n"/>
      <c r="G2936" s="9" t="n"/>
      <c r="H2936" s="3">
        <f>IF(AND(D2936&lt;&gt;"",F2936&lt;&gt;""),F2936-D2936-G2936,"")</f>
        <v/>
      </c>
      <c r="I2936" s="14">
        <f>IF(E2936&lt;&gt;"", YEARFRAC(C2936, E2936) * 12, "")</f>
        <v/>
      </c>
      <c r="J2936" s="2">
        <f>IF(I2936="", "", IF(AND(A2936="MF (Equity)", I2936&gt;12), "Long Term", "Short Term"))</f>
        <v/>
      </c>
      <c r="K2936" s="5">
        <f>IF(J2936="", "", IF(J2936="Long Term", 12.5%, 20%))</f>
        <v/>
      </c>
      <c r="L2936" s="3">
        <f>+IFERROR(IF(J2936="","",H2936*K2936),"")</f>
        <v/>
      </c>
    </row>
    <row r="2937">
      <c r="A2937" s="11" t="n"/>
      <c r="B2937" s="7" t="n"/>
      <c r="C2937" s="8" t="n"/>
      <c r="D2937" s="9" t="n"/>
      <c r="E2937" s="8" t="n"/>
      <c r="F2937" s="9" t="n"/>
      <c r="G2937" s="9" t="n"/>
      <c r="H2937" s="3">
        <f>IF(AND(D2937&lt;&gt;"",F2937&lt;&gt;""),F2937-D2937-G2937,"")</f>
        <v/>
      </c>
      <c r="I2937" s="14">
        <f>IF(E2937&lt;&gt;"", YEARFRAC(C2937, E2937) * 12, "")</f>
        <v/>
      </c>
      <c r="J2937" s="2">
        <f>IF(I2937="", "", IF(AND(A2937="MF (Equity)", I2937&gt;12), "Long Term", "Short Term"))</f>
        <v/>
      </c>
      <c r="K2937" s="5">
        <f>IF(J2937="", "", IF(J2937="Long Term", 12.5%, 20%))</f>
        <v/>
      </c>
      <c r="L2937" s="3">
        <f>+IFERROR(IF(J2937="","",H2937*K2937),"")</f>
        <v/>
      </c>
    </row>
    <row r="2938">
      <c r="A2938" s="11" t="n"/>
      <c r="B2938" s="7" t="n"/>
      <c r="C2938" s="8" t="n"/>
      <c r="D2938" s="9" t="n"/>
      <c r="E2938" s="8" t="n"/>
      <c r="F2938" s="9" t="n"/>
      <c r="G2938" s="9" t="n"/>
      <c r="H2938" s="3">
        <f>IF(AND(D2938&lt;&gt;"",F2938&lt;&gt;""),F2938-D2938-G2938,"")</f>
        <v/>
      </c>
      <c r="I2938" s="14">
        <f>IF(E2938&lt;&gt;"", YEARFRAC(C2938, E2938) * 12, "")</f>
        <v/>
      </c>
      <c r="J2938" s="2">
        <f>IF(I2938="", "", IF(AND(A2938="MF (Equity)", I2938&gt;12), "Long Term", "Short Term"))</f>
        <v/>
      </c>
      <c r="K2938" s="5">
        <f>IF(J2938="", "", IF(J2938="Long Term", 12.5%, 20%))</f>
        <v/>
      </c>
      <c r="L2938" s="3">
        <f>+IFERROR(IF(J2938="","",H2938*K2938),"")</f>
        <v/>
      </c>
    </row>
    <row r="2939">
      <c r="A2939" s="11" t="n"/>
      <c r="B2939" s="7" t="n"/>
      <c r="C2939" s="8" t="n"/>
      <c r="D2939" s="9" t="n"/>
      <c r="E2939" s="8" t="n"/>
      <c r="F2939" s="9" t="n"/>
      <c r="G2939" s="9" t="n"/>
      <c r="H2939" s="3">
        <f>IF(AND(D2939&lt;&gt;"",F2939&lt;&gt;""),F2939-D2939-G2939,"")</f>
        <v/>
      </c>
      <c r="I2939" s="14">
        <f>IF(E2939&lt;&gt;"", YEARFRAC(C2939, E2939) * 12, "")</f>
        <v/>
      </c>
      <c r="J2939" s="2">
        <f>IF(I2939="", "", IF(AND(A2939="MF (Equity)", I2939&gt;12), "Long Term", "Short Term"))</f>
        <v/>
      </c>
      <c r="K2939" s="5">
        <f>IF(J2939="", "", IF(J2939="Long Term", 12.5%, 20%))</f>
        <v/>
      </c>
      <c r="L2939" s="3">
        <f>+IFERROR(IF(J2939="","",H2939*K2939),"")</f>
        <v/>
      </c>
    </row>
    <row r="2940">
      <c r="A2940" s="11" t="n"/>
      <c r="B2940" s="7" t="n"/>
      <c r="C2940" s="8" t="n"/>
      <c r="D2940" s="9" t="n"/>
      <c r="E2940" s="8" t="n"/>
      <c r="F2940" s="9" t="n"/>
      <c r="G2940" s="9" t="n"/>
      <c r="H2940" s="3">
        <f>IF(AND(D2940&lt;&gt;"",F2940&lt;&gt;""),F2940-D2940-G2940,"")</f>
        <v/>
      </c>
      <c r="I2940" s="14">
        <f>IF(E2940&lt;&gt;"", YEARFRAC(C2940, E2940) * 12, "")</f>
        <v/>
      </c>
      <c r="J2940" s="2">
        <f>IF(I2940="", "", IF(AND(A2940="MF (Equity)", I2940&gt;12), "Long Term", "Short Term"))</f>
        <v/>
      </c>
      <c r="K2940" s="5">
        <f>IF(J2940="", "", IF(J2940="Long Term", 12.5%, 20%))</f>
        <v/>
      </c>
      <c r="L2940" s="3">
        <f>+IFERROR(IF(J2940="","",H2940*K2940),"")</f>
        <v/>
      </c>
    </row>
    <row r="2941">
      <c r="A2941" s="11" t="n"/>
      <c r="B2941" s="7" t="n"/>
      <c r="C2941" s="8" t="n"/>
      <c r="D2941" s="9" t="n"/>
      <c r="E2941" s="8" t="n"/>
      <c r="F2941" s="9" t="n"/>
      <c r="G2941" s="9" t="n"/>
      <c r="H2941" s="3">
        <f>IF(AND(D2941&lt;&gt;"",F2941&lt;&gt;""),F2941-D2941-G2941,"")</f>
        <v/>
      </c>
      <c r="I2941" s="14">
        <f>IF(E2941&lt;&gt;"", YEARFRAC(C2941, E2941) * 12, "")</f>
        <v/>
      </c>
      <c r="J2941" s="2">
        <f>IF(I2941="", "", IF(AND(A2941="MF (Equity)", I2941&gt;12), "Long Term", "Short Term"))</f>
        <v/>
      </c>
      <c r="K2941" s="5">
        <f>IF(J2941="", "", IF(J2941="Long Term", 12.5%, 20%))</f>
        <v/>
      </c>
      <c r="L2941" s="3">
        <f>+IFERROR(IF(J2941="","",H2941*K2941),"")</f>
        <v/>
      </c>
    </row>
    <row r="2942">
      <c r="A2942" s="11" t="n"/>
      <c r="B2942" s="7" t="n"/>
      <c r="C2942" s="8" t="n"/>
      <c r="D2942" s="9" t="n"/>
      <c r="E2942" s="8" t="n"/>
      <c r="F2942" s="9" t="n"/>
      <c r="G2942" s="9" t="n"/>
      <c r="H2942" s="3">
        <f>IF(AND(D2942&lt;&gt;"",F2942&lt;&gt;""),F2942-D2942-G2942,"")</f>
        <v/>
      </c>
      <c r="I2942" s="14">
        <f>IF(E2942&lt;&gt;"", YEARFRAC(C2942, E2942) * 12, "")</f>
        <v/>
      </c>
      <c r="J2942" s="2">
        <f>IF(I2942="", "", IF(AND(A2942="MF (Equity)", I2942&gt;12), "Long Term", "Short Term"))</f>
        <v/>
      </c>
      <c r="K2942" s="5">
        <f>IF(J2942="", "", IF(J2942="Long Term", 12.5%, 20%))</f>
        <v/>
      </c>
      <c r="L2942" s="3">
        <f>+IFERROR(IF(J2942="","",H2942*K2942),"")</f>
        <v/>
      </c>
    </row>
    <row r="2943">
      <c r="A2943" s="11" t="n"/>
      <c r="B2943" s="7" t="n"/>
      <c r="C2943" s="8" t="n"/>
      <c r="D2943" s="9" t="n"/>
      <c r="E2943" s="8" t="n"/>
      <c r="F2943" s="9" t="n"/>
      <c r="G2943" s="9" t="n"/>
      <c r="H2943" s="3">
        <f>IF(AND(D2943&lt;&gt;"",F2943&lt;&gt;""),F2943-D2943-G2943,"")</f>
        <v/>
      </c>
      <c r="I2943" s="14">
        <f>IF(E2943&lt;&gt;"", YEARFRAC(C2943, E2943) * 12, "")</f>
        <v/>
      </c>
      <c r="J2943" s="2">
        <f>IF(I2943="", "", IF(AND(A2943="MF (Equity)", I2943&gt;12), "Long Term", "Short Term"))</f>
        <v/>
      </c>
      <c r="K2943" s="5">
        <f>IF(J2943="", "", IF(J2943="Long Term", 12.5%, 20%))</f>
        <v/>
      </c>
      <c r="L2943" s="3">
        <f>+IFERROR(IF(J2943="","",H2943*K2943),"")</f>
        <v/>
      </c>
    </row>
    <row r="2944">
      <c r="A2944" s="11" t="n"/>
      <c r="B2944" s="7" t="n"/>
      <c r="C2944" s="8" t="n"/>
      <c r="D2944" s="9" t="n"/>
      <c r="E2944" s="8" t="n"/>
      <c r="F2944" s="9" t="n"/>
      <c r="G2944" s="9" t="n"/>
      <c r="H2944" s="3">
        <f>IF(AND(D2944&lt;&gt;"",F2944&lt;&gt;""),F2944-D2944-G2944,"")</f>
        <v/>
      </c>
      <c r="I2944" s="14">
        <f>IF(E2944&lt;&gt;"", YEARFRAC(C2944, E2944) * 12, "")</f>
        <v/>
      </c>
      <c r="J2944" s="2">
        <f>IF(I2944="", "", IF(AND(A2944="MF (Equity)", I2944&gt;12), "Long Term", "Short Term"))</f>
        <v/>
      </c>
      <c r="K2944" s="5">
        <f>IF(J2944="", "", IF(J2944="Long Term", 12.5%, 20%))</f>
        <v/>
      </c>
      <c r="L2944" s="3">
        <f>+IFERROR(IF(J2944="","",H2944*K2944),"")</f>
        <v/>
      </c>
    </row>
    <row r="2945">
      <c r="A2945" s="11" t="n"/>
      <c r="B2945" s="7" t="n"/>
      <c r="C2945" s="8" t="n"/>
      <c r="D2945" s="9" t="n"/>
      <c r="E2945" s="8" t="n"/>
      <c r="F2945" s="9" t="n"/>
      <c r="G2945" s="9" t="n"/>
      <c r="H2945" s="3">
        <f>IF(AND(D2945&lt;&gt;"",F2945&lt;&gt;""),F2945-D2945-G2945,"")</f>
        <v/>
      </c>
      <c r="I2945" s="14">
        <f>IF(E2945&lt;&gt;"", YEARFRAC(C2945, E2945) * 12, "")</f>
        <v/>
      </c>
      <c r="J2945" s="2">
        <f>IF(I2945="", "", IF(AND(A2945="MF (Equity)", I2945&gt;12), "Long Term", "Short Term"))</f>
        <v/>
      </c>
      <c r="K2945" s="5">
        <f>IF(J2945="", "", IF(J2945="Long Term", 12.5%, 20%))</f>
        <v/>
      </c>
      <c r="L2945" s="3">
        <f>+IFERROR(IF(J2945="","",H2945*K2945),"")</f>
        <v/>
      </c>
    </row>
    <row r="2946">
      <c r="A2946" s="11" t="n"/>
      <c r="B2946" s="7" t="n"/>
      <c r="C2946" s="8" t="n"/>
      <c r="D2946" s="9" t="n"/>
      <c r="E2946" s="8" t="n"/>
      <c r="F2946" s="9" t="n"/>
      <c r="G2946" s="9" t="n"/>
      <c r="H2946" s="3">
        <f>IF(AND(D2946&lt;&gt;"",F2946&lt;&gt;""),F2946-D2946-G2946,"")</f>
        <v/>
      </c>
      <c r="I2946" s="14">
        <f>IF(E2946&lt;&gt;"", YEARFRAC(C2946, E2946) * 12, "")</f>
        <v/>
      </c>
      <c r="J2946" s="2">
        <f>IF(I2946="", "", IF(AND(A2946="MF (Equity)", I2946&gt;12), "Long Term", "Short Term"))</f>
        <v/>
      </c>
      <c r="K2946" s="5">
        <f>IF(J2946="", "", IF(J2946="Long Term", 12.5%, 20%))</f>
        <v/>
      </c>
      <c r="L2946" s="3">
        <f>+IFERROR(IF(J2946="","",H2946*K2946),"")</f>
        <v/>
      </c>
    </row>
    <row r="2947">
      <c r="A2947" s="11" t="n"/>
      <c r="B2947" s="7" t="n"/>
      <c r="C2947" s="8" t="n"/>
      <c r="D2947" s="9" t="n"/>
      <c r="E2947" s="8" t="n"/>
      <c r="F2947" s="9" t="n"/>
      <c r="G2947" s="9" t="n"/>
      <c r="H2947" s="3">
        <f>IF(AND(D2947&lt;&gt;"",F2947&lt;&gt;""),F2947-D2947-G2947,"")</f>
        <v/>
      </c>
      <c r="I2947" s="14">
        <f>IF(E2947&lt;&gt;"", YEARFRAC(C2947, E2947) * 12, "")</f>
        <v/>
      </c>
      <c r="J2947" s="2">
        <f>IF(I2947="", "", IF(AND(A2947="MF (Equity)", I2947&gt;12), "Long Term", "Short Term"))</f>
        <v/>
      </c>
      <c r="K2947" s="5">
        <f>IF(J2947="", "", IF(J2947="Long Term", 12.5%, 20%))</f>
        <v/>
      </c>
      <c r="L2947" s="3">
        <f>+IFERROR(IF(J2947="","",H2947*K2947),"")</f>
        <v/>
      </c>
    </row>
    <row r="2948">
      <c r="A2948" s="11" t="n"/>
      <c r="B2948" s="7" t="n"/>
      <c r="C2948" s="8" t="n"/>
      <c r="D2948" s="9" t="n"/>
      <c r="E2948" s="8" t="n"/>
      <c r="F2948" s="9" t="n"/>
      <c r="G2948" s="9" t="n"/>
      <c r="H2948" s="3">
        <f>IF(AND(D2948&lt;&gt;"",F2948&lt;&gt;""),F2948-D2948-G2948,"")</f>
        <v/>
      </c>
      <c r="I2948" s="14">
        <f>IF(E2948&lt;&gt;"", YEARFRAC(C2948, E2948) * 12, "")</f>
        <v/>
      </c>
      <c r="J2948" s="2">
        <f>IF(I2948="", "", IF(AND(A2948="MF (Equity)", I2948&gt;12), "Long Term", "Short Term"))</f>
        <v/>
      </c>
      <c r="K2948" s="5">
        <f>IF(J2948="", "", IF(J2948="Long Term", 12.5%, 20%))</f>
        <v/>
      </c>
      <c r="L2948" s="3">
        <f>+IFERROR(IF(J2948="","",H2948*K2948),"")</f>
        <v/>
      </c>
    </row>
    <row r="2949">
      <c r="A2949" s="11" t="n"/>
      <c r="B2949" s="7" t="n"/>
      <c r="C2949" s="8" t="n"/>
      <c r="D2949" s="9" t="n"/>
      <c r="E2949" s="8" t="n"/>
      <c r="F2949" s="9" t="n"/>
      <c r="G2949" s="9" t="n"/>
      <c r="H2949" s="3">
        <f>IF(AND(D2949&lt;&gt;"",F2949&lt;&gt;""),F2949-D2949-G2949,"")</f>
        <v/>
      </c>
      <c r="I2949" s="14">
        <f>IF(E2949&lt;&gt;"", YEARFRAC(C2949, E2949) * 12, "")</f>
        <v/>
      </c>
      <c r="J2949" s="2">
        <f>IF(I2949="", "", IF(AND(A2949="MF (Equity)", I2949&gt;12), "Long Term", "Short Term"))</f>
        <v/>
      </c>
      <c r="K2949" s="5">
        <f>IF(J2949="", "", IF(J2949="Long Term", 12.5%, 20%))</f>
        <v/>
      </c>
      <c r="L2949" s="3">
        <f>+IFERROR(IF(J2949="","",H2949*K2949),"")</f>
        <v/>
      </c>
    </row>
    <row r="2950">
      <c r="A2950" s="11" t="n"/>
      <c r="B2950" s="7" t="n"/>
      <c r="C2950" s="8" t="n"/>
      <c r="D2950" s="9" t="n"/>
      <c r="E2950" s="8" t="n"/>
      <c r="F2950" s="9" t="n"/>
      <c r="G2950" s="9" t="n"/>
      <c r="H2950" s="3">
        <f>IF(AND(D2950&lt;&gt;"",F2950&lt;&gt;""),F2950-D2950-G2950,"")</f>
        <v/>
      </c>
      <c r="I2950" s="14">
        <f>IF(E2950&lt;&gt;"", YEARFRAC(C2950, E2950) * 12, "")</f>
        <v/>
      </c>
      <c r="J2950" s="2">
        <f>IF(I2950="", "", IF(AND(A2950="MF (Equity)", I2950&gt;12), "Long Term", "Short Term"))</f>
        <v/>
      </c>
      <c r="K2950" s="5">
        <f>IF(J2950="", "", IF(J2950="Long Term", 12.5%, 20%))</f>
        <v/>
      </c>
      <c r="L2950" s="3">
        <f>+IFERROR(IF(J2950="","",H2950*K2950),"")</f>
        <v/>
      </c>
    </row>
    <row r="2951">
      <c r="A2951" s="11" t="n"/>
      <c r="B2951" s="7" t="n"/>
      <c r="C2951" s="8" t="n"/>
      <c r="D2951" s="9" t="n"/>
      <c r="E2951" s="8" t="n"/>
      <c r="F2951" s="9" t="n"/>
      <c r="G2951" s="9" t="n"/>
      <c r="H2951" s="3">
        <f>IF(AND(D2951&lt;&gt;"",F2951&lt;&gt;""),F2951-D2951-G2951,"")</f>
        <v/>
      </c>
      <c r="I2951" s="14">
        <f>IF(E2951&lt;&gt;"", YEARFRAC(C2951, E2951) * 12, "")</f>
        <v/>
      </c>
      <c r="J2951" s="2">
        <f>IF(I2951="", "", IF(AND(A2951="MF (Equity)", I2951&gt;12), "Long Term", "Short Term"))</f>
        <v/>
      </c>
      <c r="K2951" s="5">
        <f>IF(J2951="", "", IF(J2951="Long Term", 12.5%, 20%))</f>
        <v/>
      </c>
      <c r="L2951" s="3">
        <f>+IFERROR(IF(J2951="","",H2951*K2951),"")</f>
        <v/>
      </c>
    </row>
    <row r="2952">
      <c r="A2952" s="11" t="n"/>
      <c r="B2952" s="7" t="n"/>
      <c r="C2952" s="8" t="n"/>
      <c r="D2952" s="9" t="n"/>
      <c r="E2952" s="8" t="n"/>
      <c r="F2952" s="9" t="n"/>
      <c r="G2952" s="9" t="n"/>
      <c r="H2952" s="3">
        <f>IF(AND(D2952&lt;&gt;"",F2952&lt;&gt;""),F2952-D2952-G2952,"")</f>
        <v/>
      </c>
      <c r="I2952" s="14">
        <f>IF(E2952&lt;&gt;"", YEARFRAC(C2952, E2952) * 12, "")</f>
        <v/>
      </c>
      <c r="J2952" s="2">
        <f>IF(I2952="", "", IF(AND(A2952="MF (Equity)", I2952&gt;12), "Long Term", "Short Term"))</f>
        <v/>
      </c>
      <c r="K2952" s="5">
        <f>IF(J2952="", "", IF(J2952="Long Term", 12.5%, 20%))</f>
        <v/>
      </c>
      <c r="L2952" s="3">
        <f>+IFERROR(IF(J2952="","",H2952*K2952),"")</f>
        <v/>
      </c>
    </row>
    <row r="2953">
      <c r="A2953" s="11" t="n"/>
      <c r="B2953" s="7" t="n"/>
      <c r="C2953" s="8" t="n"/>
      <c r="D2953" s="9" t="n"/>
      <c r="E2953" s="8" t="n"/>
      <c r="F2953" s="9" t="n"/>
      <c r="G2953" s="9" t="n"/>
      <c r="H2953" s="3">
        <f>IF(AND(D2953&lt;&gt;"",F2953&lt;&gt;""),F2953-D2953-G2953,"")</f>
        <v/>
      </c>
      <c r="I2953" s="14">
        <f>IF(E2953&lt;&gt;"", YEARFRAC(C2953, E2953) * 12, "")</f>
        <v/>
      </c>
      <c r="J2953" s="2">
        <f>IF(I2953="", "", IF(AND(A2953="MF (Equity)", I2953&gt;12), "Long Term", "Short Term"))</f>
        <v/>
      </c>
      <c r="K2953" s="5">
        <f>IF(J2953="", "", IF(J2953="Long Term", 12.5%, 20%))</f>
        <v/>
      </c>
      <c r="L2953" s="3">
        <f>+IFERROR(IF(J2953="","",H2953*K2953),"")</f>
        <v/>
      </c>
    </row>
    <row r="2954">
      <c r="A2954" s="11" t="n"/>
      <c r="B2954" s="7" t="n"/>
      <c r="C2954" s="8" t="n"/>
      <c r="D2954" s="9" t="n"/>
      <c r="E2954" s="8" t="n"/>
      <c r="F2954" s="9" t="n"/>
      <c r="G2954" s="9" t="n"/>
      <c r="H2954" s="3">
        <f>IF(AND(D2954&lt;&gt;"",F2954&lt;&gt;""),F2954-D2954-G2954,"")</f>
        <v/>
      </c>
      <c r="I2954" s="14">
        <f>IF(E2954&lt;&gt;"", YEARFRAC(C2954, E2954) * 12, "")</f>
        <v/>
      </c>
      <c r="J2954" s="2">
        <f>IF(I2954="", "", IF(AND(A2954="MF (Equity)", I2954&gt;12), "Long Term", "Short Term"))</f>
        <v/>
      </c>
      <c r="K2954" s="5">
        <f>IF(J2954="", "", IF(J2954="Long Term", 12.5%, 20%))</f>
        <v/>
      </c>
      <c r="L2954" s="3">
        <f>+IFERROR(IF(J2954="","",H2954*K2954),"")</f>
        <v/>
      </c>
    </row>
    <row r="2955">
      <c r="A2955" s="11" t="n"/>
      <c r="B2955" s="7" t="n"/>
      <c r="C2955" s="8" t="n"/>
      <c r="D2955" s="9" t="n"/>
      <c r="E2955" s="8" t="n"/>
      <c r="F2955" s="9" t="n"/>
      <c r="G2955" s="9" t="n"/>
      <c r="H2955" s="3">
        <f>IF(AND(D2955&lt;&gt;"",F2955&lt;&gt;""),F2955-D2955-G2955,"")</f>
        <v/>
      </c>
      <c r="I2955" s="14">
        <f>IF(E2955&lt;&gt;"", YEARFRAC(C2955, E2955) * 12, "")</f>
        <v/>
      </c>
      <c r="J2955" s="2">
        <f>IF(I2955="", "", IF(AND(A2955="MF (Equity)", I2955&gt;12), "Long Term", "Short Term"))</f>
        <v/>
      </c>
      <c r="K2955" s="5">
        <f>IF(J2955="", "", IF(J2955="Long Term", 12.5%, 20%))</f>
        <v/>
      </c>
      <c r="L2955" s="3">
        <f>+IFERROR(IF(J2955="","",H2955*K2955),"")</f>
        <v/>
      </c>
    </row>
    <row r="2956">
      <c r="A2956" s="11" t="n"/>
      <c r="B2956" s="7" t="n"/>
      <c r="C2956" s="8" t="n"/>
      <c r="D2956" s="9" t="n"/>
      <c r="E2956" s="8" t="n"/>
      <c r="F2956" s="9" t="n"/>
      <c r="G2956" s="9" t="n"/>
      <c r="H2956" s="3">
        <f>IF(AND(D2956&lt;&gt;"",F2956&lt;&gt;""),F2956-D2956-G2956,"")</f>
        <v/>
      </c>
      <c r="I2956" s="14">
        <f>IF(E2956&lt;&gt;"", YEARFRAC(C2956, E2956) * 12, "")</f>
        <v/>
      </c>
      <c r="J2956" s="2">
        <f>IF(I2956="", "", IF(AND(A2956="MF (Equity)", I2956&gt;12), "Long Term", "Short Term"))</f>
        <v/>
      </c>
      <c r="K2956" s="5">
        <f>IF(J2956="", "", IF(J2956="Long Term", 12.5%, 20%))</f>
        <v/>
      </c>
      <c r="L2956" s="3">
        <f>+IFERROR(IF(J2956="","",H2956*K2956),"")</f>
        <v/>
      </c>
    </row>
    <row r="2957">
      <c r="A2957" s="11" t="n"/>
      <c r="B2957" s="7" t="n"/>
      <c r="C2957" s="8" t="n"/>
      <c r="D2957" s="9" t="n"/>
      <c r="E2957" s="8" t="n"/>
      <c r="F2957" s="9" t="n"/>
      <c r="G2957" s="9" t="n"/>
      <c r="H2957" s="3">
        <f>IF(AND(D2957&lt;&gt;"",F2957&lt;&gt;""),F2957-D2957-G2957,"")</f>
        <v/>
      </c>
      <c r="I2957" s="14">
        <f>IF(E2957&lt;&gt;"", YEARFRAC(C2957, E2957) * 12, "")</f>
        <v/>
      </c>
      <c r="J2957" s="2">
        <f>IF(I2957="", "", IF(AND(A2957="MF (Equity)", I2957&gt;12), "Long Term", "Short Term"))</f>
        <v/>
      </c>
      <c r="K2957" s="5">
        <f>IF(J2957="", "", IF(J2957="Long Term", 12.5%, 20%))</f>
        <v/>
      </c>
      <c r="L2957" s="3">
        <f>+IFERROR(IF(J2957="","",H2957*K2957),"")</f>
        <v/>
      </c>
    </row>
    <row r="2958">
      <c r="A2958" s="11" t="n"/>
      <c r="B2958" s="7" t="n"/>
      <c r="C2958" s="8" t="n"/>
      <c r="D2958" s="9" t="n"/>
      <c r="E2958" s="8" t="n"/>
      <c r="F2958" s="9" t="n"/>
      <c r="G2958" s="9" t="n"/>
      <c r="H2958" s="3">
        <f>IF(AND(D2958&lt;&gt;"",F2958&lt;&gt;""),F2958-D2958-G2958,"")</f>
        <v/>
      </c>
      <c r="I2958" s="14">
        <f>IF(E2958&lt;&gt;"", YEARFRAC(C2958, E2958) * 12, "")</f>
        <v/>
      </c>
      <c r="J2958" s="2">
        <f>IF(I2958="", "", IF(AND(A2958="MF (Equity)", I2958&gt;12), "Long Term", "Short Term"))</f>
        <v/>
      </c>
      <c r="K2958" s="5">
        <f>IF(J2958="", "", IF(J2958="Long Term", 12.5%, 20%))</f>
        <v/>
      </c>
      <c r="L2958" s="3">
        <f>+IFERROR(IF(J2958="","",H2958*K2958),"")</f>
        <v/>
      </c>
    </row>
    <row r="2959">
      <c r="A2959" s="11" t="n"/>
      <c r="B2959" s="7" t="n"/>
      <c r="C2959" s="8" t="n"/>
      <c r="D2959" s="9" t="n"/>
      <c r="E2959" s="8" t="n"/>
      <c r="F2959" s="9" t="n"/>
      <c r="G2959" s="9" t="n"/>
      <c r="H2959" s="3">
        <f>IF(AND(D2959&lt;&gt;"",F2959&lt;&gt;""),F2959-D2959-G2959,"")</f>
        <v/>
      </c>
      <c r="I2959" s="14">
        <f>IF(E2959&lt;&gt;"", YEARFRAC(C2959, E2959) * 12, "")</f>
        <v/>
      </c>
      <c r="J2959" s="2">
        <f>IF(I2959="", "", IF(AND(A2959="MF (Equity)", I2959&gt;12), "Long Term", "Short Term"))</f>
        <v/>
      </c>
      <c r="K2959" s="5">
        <f>IF(J2959="", "", IF(J2959="Long Term", 12.5%, 20%))</f>
        <v/>
      </c>
      <c r="L2959" s="3">
        <f>+IFERROR(IF(J2959="","",H2959*K2959),"")</f>
        <v/>
      </c>
    </row>
    <row r="2960">
      <c r="A2960" s="11" t="n"/>
      <c r="B2960" s="7" t="n"/>
      <c r="C2960" s="8" t="n"/>
      <c r="D2960" s="9" t="n"/>
      <c r="E2960" s="8" t="n"/>
      <c r="F2960" s="9" t="n"/>
      <c r="G2960" s="9" t="n"/>
      <c r="H2960" s="3">
        <f>IF(AND(D2960&lt;&gt;"",F2960&lt;&gt;""),F2960-D2960-G2960,"")</f>
        <v/>
      </c>
      <c r="I2960" s="14">
        <f>IF(E2960&lt;&gt;"", YEARFRAC(C2960, E2960) * 12, "")</f>
        <v/>
      </c>
      <c r="J2960" s="2">
        <f>IF(I2960="", "", IF(AND(A2960="MF (Equity)", I2960&gt;12), "Long Term", "Short Term"))</f>
        <v/>
      </c>
      <c r="K2960" s="5">
        <f>IF(J2960="", "", IF(J2960="Long Term", 12.5%, 20%))</f>
        <v/>
      </c>
      <c r="L2960" s="3">
        <f>+IFERROR(IF(J2960="","",H2960*K2960),"")</f>
        <v/>
      </c>
    </row>
    <row r="2961">
      <c r="A2961" s="11" t="n"/>
      <c r="B2961" s="7" t="n"/>
      <c r="C2961" s="8" t="n"/>
      <c r="D2961" s="9" t="n"/>
      <c r="E2961" s="8" t="n"/>
      <c r="F2961" s="9" t="n"/>
      <c r="G2961" s="9" t="n"/>
      <c r="H2961" s="3">
        <f>IF(AND(D2961&lt;&gt;"",F2961&lt;&gt;""),F2961-D2961-G2961,"")</f>
        <v/>
      </c>
      <c r="I2961" s="14">
        <f>IF(E2961&lt;&gt;"", YEARFRAC(C2961, E2961) * 12, "")</f>
        <v/>
      </c>
      <c r="J2961" s="2">
        <f>IF(I2961="", "", IF(AND(A2961="MF (Equity)", I2961&gt;12), "Long Term", "Short Term"))</f>
        <v/>
      </c>
      <c r="K2961" s="5">
        <f>IF(J2961="", "", IF(J2961="Long Term", 12.5%, 20%))</f>
        <v/>
      </c>
      <c r="L2961" s="3">
        <f>+IFERROR(IF(J2961="","",H2961*K2961),"")</f>
        <v/>
      </c>
    </row>
    <row r="2962">
      <c r="A2962" s="11" t="n"/>
      <c r="B2962" s="7" t="n"/>
      <c r="C2962" s="8" t="n"/>
      <c r="D2962" s="9" t="n"/>
      <c r="E2962" s="8" t="n"/>
      <c r="F2962" s="9" t="n"/>
      <c r="G2962" s="9" t="n"/>
      <c r="H2962" s="3">
        <f>IF(AND(D2962&lt;&gt;"",F2962&lt;&gt;""),F2962-D2962-G2962,"")</f>
        <v/>
      </c>
      <c r="I2962" s="14">
        <f>IF(E2962&lt;&gt;"", YEARFRAC(C2962, E2962) * 12, "")</f>
        <v/>
      </c>
      <c r="J2962" s="2">
        <f>IF(I2962="", "", IF(AND(A2962="MF (Equity)", I2962&gt;12), "Long Term", "Short Term"))</f>
        <v/>
      </c>
      <c r="K2962" s="5">
        <f>IF(J2962="", "", IF(J2962="Long Term", 12.5%, 20%))</f>
        <v/>
      </c>
      <c r="L2962" s="3">
        <f>+IFERROR(IF(J2962="","",H2962*K2962),"")</f>
        <v/>
      </c>
    </row>
    <row r="2963">
      <c r="A2963" s="11" t="n"/>
      <c r="B2963" s="7" t="n"/>
      <c r="C2963" s="8" t="n"/>
      <c r="D2963" s="9" t="n"/>
      <c r="E2963" s="8" t="n"/>
      <c r="F2963" s="9" t="n"/>
      <c r="G2963" s="9" t="n"/>
      <c r="H2963" s="3">
        <f>IF(AND(D2963&lt;&gt;"",F2963&lt;&gt;""),F2963-D2963-G2963,"")</f>
        <v/>
      </c>
      <c r="I2963" s="14">
        <f>IF(E2963&lt;&gt;"", YEARFRAC(C2963, E2963) * 12, "")</f>
        <v/>
      </c>
      <c r="J2963" s="2">
        <f>IF(I2963="", "", IF(AND(A2963="MF (Equity)", I2963&gt;12), "Long Term", "Short Term"))</f>
        <v/>
      </c>
      <c r="K2963" s="5">
        <f>IF(J2963="", "", IF(J2963="Long Term", 12.5%, 20%))</f>
        <v/>
      </c>
      <c r="L2963" s="3">
        <f>+IFERROR(IF(J2963="","",H2963*K2963),"")</f>
        <v/>
      </c>
    </row>
    <row r="2964">
      <c r="A2964" s="11" t="n"/>
      <c r="B2964" s="7" t="n"/>
      <c r="C2964" s="8" t="n"/>
      <c r="D2964" s="9" t="n"/>
      <c r="E2964" s="8" t="n"/>
      <c r="F2964" s="9" t="n"/>
      <c r="G2964" s="9" t="n"/>
      <c r="H2964" s="3">
        <f>IF(AND(D2964&lt;&gt;"",F2964&lt;&gt;""),F2964-D2964-G2964,"")</f>
        <v/>
      </c>
      <c r="I2964" s="14">
        <f>IF(E2964&lt;&gt;"", YEARFRAC(C2964, E2964) * 12, "")</f>
        <v/>
      </c>
      <c r="J2964" s="2">
        <f>IF(I2964="", "", IF(AND(A2964="MF (Equity)", I2964&gt;12), "Long Term", "Short Term"))</f>
        <v/>
      </c>
      <c r="K2964" s="5">
        <f>IF(J2964="", "", IF(J2964="Long Term", 12.5%, 20%))</f>
        <v/>
      </c>
      <c r="L2964" s="3">
        <f>+IFERROR(IF(J2964="","",H2964*K2964),"")</f>
        <v/>
      </c>
    </row>
    <row r="2965">
      <c r="A2965" s="11" t="n"/>
      <c r="B2965" s="7" t="n"/>
      <c r="C2965" s="8" t="n"/>
      <c r="D2965" s="9" t="n"/>
      <c r="E2965" s="8" t="n"/>
      <c r="F2965" s="9" t="n"/>
      <c r="G2965" s="9" t="n"/>
      <c r="H2965" s="3">
        <f>IF(AND(D2965&lt;&gt;"",F2965&lt;&gt;""),F2965-D2965-G2965,"")</f>
        <v/>
      </c>
      <c r="I2965" s="14">
        <f>IF(E2965&lt;&gt;"", YEARFRAC(C2965, E2965) * 12, "")</f>
        <v/>
      </c>
      <c r="J2965" s="2">
        <f>IF(I2965="", "", IF(AND(A2965="MF (Equity)", I2965&gt;12), "Long Term", "Short Term"))</f>
        <v/>
      </c>
      <c r="K2965" s="5">
        <f>IF(J2965="", "", IF(J2965="Long Term", 12.5%, 20%))</f>
        <v/>
      </c>
      <c r="L2965" s="3">
        <f>+IFERROR(IF(J2965="","",H2965*K2965),"")</f>
        <v/>
      </c>
    </row>
    <row r="2966">
      <c r="A2966" s="11" t="n"/>
      <c r="B2966" s="7" t="n"/>
      <c r="C2966" s="8" t="n"/>
      <c r="D2966" s="9" t="n"/>
      <c r="E2966" s="8" t="n"/>
      <c r="F2966" s="9" t="n"/>
      <c r="G2966" s="9" t="n"/>
      <c r="H2966" s="3">
        <f>IF(AND(D2966&lt;&gt;"",F2966&lt;&gt;""),F2966-D2966-G2966,"")</f>
        <v/>
      </c>
      <c r="I2966" s="14">
        <f>IF(E2966&lt;&gt;"", YEARFRAC(C2966, E2966) * 12, "")</f>
        <v/>
      </c>
      <c r="J2966" s="2">
        <f>IF(I2966="", "", IF(AND(A2966="MF (Equity)", I2966&gt;12), "Long Term", "Short Term"))</f>
        <v/>
      </c>
      <c r="K2966" s="5">
        <f>IF(J2966="", "", IF(J2966="Long Term", 12.5%, 20%))</f>
        <v/>
      </c>
      <c r="L2966" s="3">
        <f>+IFERROR(IF(J2966="","",H2966*K2966),"")</f>
        <v/>
      </c>
    </row>
    <row r="2967">
      <c r="A2967" s="11" t="n"/>
      <c r="B2967" s="7" t="n"/>
      <c r="C2967" s="8" t="n"/>
      <c r="D2967" s="9" t="n"/>
      <c r="E2967" s="8" t="n"/>
      <c r="F2967" s="9" t="n"/>
      <c r="G2967" s="9" t="n"/>
      <c r="H2967" s="3">
        <f>IF(AND(D2967&lt;&gt;"",F2967&lt;&gt;""),F2967-D2967-G2967,"")</f>
        <v/>
      </c>
      <c r="I2967" s="14">
        <f>IF(E2967&lt;&gt;"", YEARFRAC(C2967, E2967) * 12, "")</f>
        <v/>
      </c>
      <c r="J2967" s="2">
        <f>IF(I2967="", "", IF(AND(A2967="MF (Equity)", I2967&gt;12), "Long Term", "Short Term"))</f>
        <v/>
      </c>
      <c r="K2967" s="5">
        <f>IF(J2967="", "", IF(J2967="Long Term", 12.5%, 20%))</f>
        <v/>
      </c>
      <c r="L2967" s="3">
        <f>+IFERROR(IF(J2967="","",H2967*K2967),"")</f>
        <v/>
      </c>
    </row>
    <row r="2968">
      <c r="A2968" s="11" t="n"/>
      <c r="B2968" s="7" t="n"/>
      <c r="C2968" s="8" t="n"/>
      <c r="D2968" s="9" t="n"/>
      <c r="E2968" s="8" t="n"/>
      <c r="F2968" s="9" t="n"/>
      <c r="G2968" s="9" t="n"/>
      <c r="H2968" s="3">
        <f>IF(AND(D2968&lt;&gt;"",F2968&lt;&gt;""),F2968-D2968-G2968,"")</f>
        <v/>
      </c>
      <c r="I2968" s="14">
        <f>IF(E2968&lt;&gt;"", YEARFRAC(C2968, E2968) * 12, "")</f>
        <v/>
      </c>
      <c r="J2968" s="2">
        <f>IF(I2968="", "", IF(AND(A2968="MF (Equity)", I2968&gt;12), "Long Term", "Short Term"))</f>
        <v/>
      </c>
      <c r="K2968" s="5">
        <f>IF(J2968="", "", IF(J2968="Long Term", 12.5%, 20%))</f>
        <v/>
      </c>
      <c r="L2968" s="3">
        <f>+IFERROR(IF(J2968="","",H2968*K2968),"")</f>
        <v/>
      </c>
    </row>
    <row r="2969">
      <c r="A2969" s="11" t="n"/>
      <c r="B2969" s="7" t="n"/>
      <c r="C2969" s="8" t="n"/>
      <c r="D2969" s="9" t="n"/>
      <c r="E2969" s="8" t="n"/>
      <c r="F2969" s="9" t="n"/>
      <c r="G2969" s="9" t="n"/>
      <c r="H2969" s="3">
        <f>IF(AND(D2969&lt;&gt;"",F2969&lt;&gt;""),F2969-D2969-G2969,"")</f>
        <v/>
      </c>
      <c r="I2969" s="14">
        <f>IF(E2969&lt;&gt;"", YEARFRAC(C2969, E2969) * 12, "")</f>
        <v/>
      </c>
      <c r="J2969" s="2">
        <f>IF(I2969="", "", IF(AND(A2969="MF (Equity)", I2969&gt;12), "Long Term", "Short Term"))</f>
        <v/>
      </c>
      <c r="K2969" s="5">
        <f>IF(J2969="", "", IF(J2969="Long Term", 12.5%, 20%))</f>
        <v/>
      </c>
      <c r="L2969" s="3">
        <f>+IFERROR(IF(J2969="","",H2969*K2969),"")</f>
        <v/>
      </c>
    </row>
    <row r="2970">
      <c r="A2970" s="11" t="n"/>
      <c r="B2970" s="7" t="n"/>
      <c r="C2970" s="8" t="n"/>
      <c r="D2970" s="9" t="n"/>
      <c r="E2970" s="8" t="n"/>
      <c r="F2970" s="9" t="n"/>
      <c r="G2970" s="9" t="n"/>
      <c r="H2970" s="3">
        <f>IF(AND(D2970&lt;&gt;"",F2970&lt;&gt;""),F2970-D2970-G2970,"")</f>
        <v/>
      </c>
      <c r="I2970" s="14">
        <f>IF(E2970&lt;&gt;"", YEARFRAC(C2970, E2970) * 12, "")</f>
        <v/>
      </c>
      <c r="J2970" s="2">
        <f>IF(I2970="", "", IF(AND(A2970="MF (Equity)", I2970&gt;12), "Long Term", "Short Term"))</f>
        <v/>
      </c>
      <c r="K2970" s="5">
        <f>IF(J2970="", "", IF(J2970="Long Term", 12.5%, 20%))</f>
        <v/>
      </c>
      <c r="L2970" s="3">
        <f>+IFERROR(IF(J2970="","",H2970*K2970),"")</f>
        <v/>
      </c>
    </row>
    <row r="2971">
      <c r="A2971" s="11" t="n"/>
      <c r="B2971" s="7" t="n"/>
      <c r="C2971" s="8" t="n"/>
      <c r="D2971" s="9" t="n"/>
      <c r="E2971" s="8" t="n"/>
      <c r="F2971" s="9" t="n"/>
      <c r="G2971" s="9" t="n"/>
      <c r="H2971" s="3">
        <f>IF(AND(D2971&lt;&gt;"",F2971&lt;&gt;""),F2971-D2971-G2971,"")</f>
        <v/>
      </c>
      <c r="I2971" s="14">
        <f>IF(E2971&lt;&gt;"", YEARFRAC(C2971, E2971) * 12, "")</f>
        <v/>
      </c>
      <c r="J2971" s="2">
        <f>IF(I2971="", "", IF(AND(A2971="MF (Equity)", I2971&gt;12), "Long Term", "Short Term"))</f>
        <v/>
      </c>
      <c r="K2971" s="5">
        <f>IF(J2971="", "", IF(J2971="Long Term", 12.5%, 20%))</f>
        <v/>
      </c>
      <c r="L2971" s="3">
        <f>+IFERROR(IF(J2971="","",H2971*K2971),"")</f>
        <v/>
      </c>
    </row>
    <row r="2972">
      <c r="A2972" s="11" t="n"/>
      <c r="B2972" s="7" t="n"/>
      <c r="C2972" s="8" t="n"/>
      <c r="D2972" s="9" t="n"/>
      <c r="E2972" s="8" t="n"/>
      <c r="F2972" s="9" t="n"/>
      <c r="G2972" s="9" t="n"/>
      <c r="H2972" s="3">
        <f>IF(AND(D2972&lt;&gt;"",F2972&lt;&gt;""),F2972-D2972-G2972,"")</f>
        <v/>
      </c>
      <c r="I2972" s="14">
        <f>IF(E2972&lt;&gt;"", YEARFRAC(C2972, E2972) * 12, "")</f>
        <v/>
      </c>
      <c r="J2972" s="2">
        <f>IF(I2972="", "", IF(AND(A2972="MF (Equity)", I2972&gt;12), "Long Term", "Short Term"))</f>
        <v/>
      </c>
      <c r="K2972" s="5">
        <f>IF(J2972="", "", IF(J2972="Long Term", 12.5%, 20%))</f>
        <v/>
      </c>
      <c r="L2972" s="3">
        <f>+IFERROR(IF(J2972="","",H2972*K2972),"")</f>
        <v/>
      </c>
    </row>
    <row r="2973">
      <c r="A2973" s="11" t="n"/>
      <c r="B2973" s="7" t="n"/>
      <c r="C2973" s="8" t="n"/>
      <c r="D2973" s="9" t="n"/>
      <c r="E2973" s="8" t="n"/>
      <c r="F2973" s="9" t="n"/>
      <c r="G2973" s="9" t="n"/>
      <c r="H2973" s="3">
        <f>IF(AND(D2973&lt;&gt;"",F2973&lt;&gt;""),F2973-D2973-G2973,"")</f>
        <v/>
      </c>
      <c r="I2973" s="14">
        <f>IF(E2973&lt;&gt;"", YEARFRAC(C2973, E2973) * 12, "")</f>
        <v/>
      </c>
      <c r="J2973" s="2">
        <f>IF(I2973="", "", IF(AND(A2973="MF (Equity)", I2973&gt;12), "Long Term", "Short Term"))</f>
        <v/>
      </c>
      <c r="K2973" s="5">
        <f>IF(J2973="", "", IF(J2973="Long Term", 12.5%, 20%))</f>
        <v/>
      </c>
      <c r="L2973" s="3">
        <f>+IFERROR(IF(J2973="","",H2973*K2973),"")</f>
        <v/>
      </c>
    </row>
    <row r="2974">
      <c r="A2974" s="11" t="n"/>
      <c r="B2974" s="7" t="n"/>
      <c r="C2974" s="8" t="n"/>
      <c r="D2974" s="9" t="n"/>
      <c r="E2974" s="8" t="n"/>
      <c r="F2974" s="9" t="n"/>
      <c r="G2974" s="9" t="n"/>
      <c r="H2974" s="3">
        <f>IF(AND(D2974&lt;&gt;"",F2974&lt;&gt;""),F2974-D2974-G2974,"")</f>
        <v/>
      </c>
      <c r="I2974" s="14">
        <f>IF(E2974&lt;&gt;"", YEARFRAC(C2974, E2974) * 12, "")</f>
        <v/>
      </c>
      <c r="J2974" s="2">
        <f>IF(I2974="", "", IF(AND(A2974="MF (Equity)", I2974&gt;12), "Long Term", "Short Term"))</f>
        <v/>
      </c>
      <c r="K2974" s="5">
        <f>IF(J2974="", "", IF(J2974="Long Term", 12.5%, 20%))</f>
        <v/>
      </c>
      <c r="L2974" s="3">
        <f>+IFERROR(IF(J2974="","",H2974*K2974),"")</f>
        <v/>
      </c>
    </row>
    <row r="2975">
      <c r="A2975" s="11" t="n"/>
      <c r="B2975" s="7" t="n"/>
      <c r="C2975" s="8" t="n"/>
      <c r="D2975" s="9" t="n"/>
      <c r="E2975" s="8" t="n"/>
      <c r="F2975" s="9" t="n"/>
      <c r="G2975" s="9" t="n"/>
      <c r="H2975" s="3">
        <f>IF(AND(D2975&lt;&gt;"",F2975&lt;&gt;""),F2975-D2975-G2975,"")</f>
        <v/>
      </c>
      <c r="I2975" s="14">
        <f>IF(E2975&lt;&gt;"", YEARFRAC(C2975, E2975) * 12, "")</f>
        <v/>
      </c>
      <c r="J2975" s="2">
        <f>IF(I2975="", "", IF(AND(A2975="MF (Equity)", I2975&gt;12), "Long Term", "Short Term"))</f>
        <v/>
      </c>
      <c r="K2975" s="5">
        <f>IF(J2975="", "", IF(J2975="Long Term", 12.5%, 20%))</f>
        <v/>
      </c>
      <c r="L2975" s="3">
        <f>+IFERROR(IF(J2975="","",H2975*K2975),"")</f>
        <v/>
      </c>
    </row>
    <row r="2976">
      <c r="A2976" s="11" t="n"/>
      <c r="B2976" s="7" t="n"/>
      <c r="C2976" s="8" t="n"/>
      <c r="D2976" s="9" t="n"/>
      <c r="E2976" s="8" t="n"/>
      <c r="F2976" s="9" t="n"/>
      <c r="G2976" s="9" t="n"/>
      <c r="H2976" s="3">
        <f>IF(AND(D2976&lt;&gt;"",F2976&lt;&gt;""),F2976-D2976-G2976,"")</f>
        <v/>
      </c>
      <c r="I2976" s="14">
        <f>IF(E2976&lt;&gt;"", YEARFRAC(C2976, E2976) * 12, "")</f>
        <v/>
      </c>
      <c r="J2976" s="2">
        <f>IF(I2976="", "", IF(AND(A2976="MF (Equity)", I2976&gt;12), "Long Term", "Short Term"))</f>
        <v/>
      </c>
      <c r="K2976" s="5">
        <f>IF(J2976="", "", IF(J2976="Long Term", 12.5%, 20%))</f>
        <v/>
      </c>
      <c r="L2976" s="3">
        <f>+IFERROR(IF(J2976="","",H2976*K2976),"")</f>
        <v/>
      </c>
    </row>
    <row r="2977">
      <c r="A2977" s="11" t="n"/>
      <c r="B2977" s="7" t="n"/>
      <c r="C2977" s="8" t="n"/>
      <c r="D2977" s="9" t="n"/>
      <c r="E2977" s="8" t="n"/>
      <c r="F2977" s="9" t="n"/>
      <c r="G2977" s="9" t="n"/>
      <c r="H2977" s="3">
        <f>IF(AND(D2977&lt;&gt;"",F2977&lt;&gt;""),F2977-D2977-G2977,"")</f>
        <v/>
      </c>
      <c r="I2977" s="14">
        <f>IF(E2977&lt;&gt;"", YEARFRAC(C2977, E2977) * 12, "")</f>
        <v/>
      </c>
      <c r="J2977" s="2">
        <f>IF(I2977="", "", IF(AND(A2977="MF (Equity)", I2977&gt;12), "Long Term", "Short Term"))</f>
        <v/>
      </c>
      <c r="K2977" s="5">
        <f>IF(J2977="", "", IF(J2977="Long Term", 12.5%, 20%))</f>
        <v/>
      </c>
      <c r="L2977" s="3">
        <f>+IFERROR(IF(J2977="","",H2977*K2977),"")</f>
        <v/>
      </c>
    </row>
    <row r="2978">
      <c r="A2978" s="11" t="n"/>
      <c r="B2978" s="7" t="n"/>
      <c r="C2978" s="8" t="n"/>
      <c r="D2978" s="9" t="n"/>
      <c r="E2978" s="8" t="n"/>
      <c r="F2978" s="9" t="n"/>
      <c r="G2978" s="9" t="n"/>
      <c r="H2978" s="3">
        <f>IF(AND(D2978&lt;&gt;"",F2978&lt;&gt;""),F2978-D2978-G2978,"")</f>
        <v/>
      </c>
      <c r="I2978" s="14">
        <f>IF(E2978&lt;&gt;"", YEARFRAC(C2978, E2978) * 12, "")</f>
        <v/>
      </c>
      <c r="J2978" s="2">
        <f>IF(I2978="", "", IF(AND(A2978="MF (Equity)", I2978&gt;12), "Long Term", "Short Term"))</f>
        <v/>
      </c>
      <c r="K2978" s="5">
        <f>IF(J2978="", "", IF(J2978="Long Term", 12.5%, 20%))</f>
        <v/>
      </c>
      <c r="L2978" s="3">
        <f>+IFERROR(IF(J2978="","",H2978*K2978),"")</f>
        <v/>
      </c>
    </row>
    <row r="2979">
      <c r="A2979" s="11" t="n"/>
      <c r="B2979" s="7" t="n"/>
      <c r="C2979" s="8" t="n"/>
      <c r="D2979" s="9" t="n"/>
      <c r="E2979" s="8" t="n"/>
      <c r="F2979" s="9" t="n"/>
      <c r="G2979" s="9" t="n"/>
      <c r="H2979" s="3">
        <f>IF(AND(D2979&lt;&gt;"",F2979&lt;&gt;""),F2979-D2979-G2979,"")</f>
        <v/>
      </c>
      <c r="I2979" s="14">
        <f>IF(E2979&lt;&gt;"", YEARFRAC(C2979, E2979) * 12, "")</f>
        <v/>
      </c>
      <c r="J2979" s="2">
        <f>IF(I2979="", "", IF(AND(A2979="MF (Equity)", I2979&gt;12), "Long Term", "Short Term"))</f>
        <v/>
      </c>
      <c r="K2979" s="5">
        <f>IF(J2979="", "", IF(J2979="Long Term", 12.5%, 20%))</f>
        <v/>
      </c>
      <c r="L2979" s="3">
        <f>+IFERROR(IF(J2979="","",H2979*K2979),"")</f>
        <v/>
      </c>
    </row>
    <row r="2980">
      <c r="A2980" s="11" t="n"/>
      <c r="B2980" s="7" t="n"/>
      <c r="C2980" s="8" t="n"/>
      <c r="D2980" s="9" t="n"/>
      <c r="E2980" s="8" t="n"/>
      <c r="F2980" s="9" t="n"/>
      <c r="G2980" s="9" t="n"/>
      <c r="H2980" s="3">
        <f>IF(AND(D2980&lt;&gt;"",F2980&lt;&gt;""),F2980-D2980-G2980,"")</f>
        <v/>
      </c>
      <c r="I2980" s="14">
        <f>IF(E2980&lt;&gt;"", YEARFRAC(C2980, E2980) * 12, "")</f>
        <v/>
      </c>
      <c r="J2980" s="2">
        <f>IF(I2980="", "", IF(AND(A2980="MF (Equity)", I2980&gt;12), "Long Term", "Short Term"))</f>
        <v/>
      </c>
      <c r="K2980" s="5">
        <f>IF(J2980="", "", IF(J2980="Long Term", 12.5%, 20%))</f>
        <v/>
      </c>
      <c r="L2980" s="3">
        <f>+IFERROR(IF(J2980="","",H2980*K2980),"")</f>
        <v/>
      </c>
    </row>
    <row r="2981">
      <c r="A2981" s="11" t="n"/>
      <c r="B2981" s="7" t="n"/>
      <c r="C2981" s="8" t="n"/>
      <c r="D2981" s="9" t="n"/>
      <c r="E2981" s="8" t="n"/>
      <c r="F2981" s="9" t="n"/>
      <c r="G2981" s="9" t="n"/>
      <c r="H2981" s="3">
        <f>IF(AND(D2981&lt;&gt;"",F2981&lt;&gt;""),F2981-D2981-G2981,"")</f>
        <v/>
      </c>
      <c r="I2981" s="14">
        <f>IF(E2981&lt;&gt;"", YEARFRAC(C2981, E2981) * 12, "")</f>
        <v/>
      </c>
      <c r="J2981" s="2">
        <f>IF(I2981="", "", IF(AND(A2981="MF (Equity)", I2981&gt;12), "Long Term", "Short Term"))</f>
        <v/>
      </c>
      <c r="K2981" s="5">
        <f>IF(J2981="", "", IF(J2981="Long Term", 12.5%, 20%))</f>
        <v/>
      </c>
      <c r="L2981" s="3">
        <f>+IFERROR(IF(J2981="","",H2981*K2981),"")</f>
        <v/>
      </c>
    </row>
    <row r="2982">
      <c r="A2982" s="11" t="n"/>
      <c r="B2982" s="7" t="n"/>
      <c r="C2982" s="8" t="n"/>
      <c r="D2982" s="9" t="n"/>
      <c r="E2982" s="8" t="n"/>
      <c r="F2982" s="9" t="n"/>
      <c r="G2982" s="9" t="n"/>
      <c r="H2982" s="3">
        <f>IF(AND(D2982&lt;&gt;"",F2982&lt;&gt;""),F2982-D2982-G2982,"")</f>
        <v/>
      </c>
      <c r="I2982" s="14">
        <f>IF(E2982&lt;&gt;"", YEARFRAC(C2982, E2982) * 12, "")</f>
        <v/>
      </c>
      <c r="J2982" s="2">
        <f>IF(I2982="", "", IF(AND(A2982="MF (Equity)", I2982&gt;12), "Long Term", "Short Term"))</f>
        <v/>
      </c>
      <c r="K2982" s="5">
        <f>IF(J2982="", "", IF(J2982="Long Term", 12.5%, 20%))</f>
        <v/>
      </c>
      <c r="L2982" s="3">
        <f>+IFERROR(IF(J2982="","",H2982*K2982),"")</f>
        <v/>
      </c>
    </row>
    <row r="2983">
      <c r="A2983" s="11" t="n"/>
      <c r="B2983" s="7" t="n"/>
      <c r="C2983" s="8" t="n"/>
      <c r="D2983" s="9" t="n"/>
      <c r="E2983" s="8" t="n"/>
      <c r="F2983" s="9" t="n"/>
      <c r="G2983" s="9" t="n"/>
      <c r="H2983" s="3">
        <f>IF(AND(D2983&lt;&gt;"",F2983&lt;&gt;""),F2983-D2983-G2983,"")</f>
        <v/>
      </c>
      <c r="I2983" s="14">
        <f>IF(E2983&lt;&gt;"", YEARFRAC(C2983, E2983) * 12, "")</f>
        <v/>
      </c>
      <c r="J2983" s="2">
        <f>IF(I2983="", "", IF(AND(A2983="MF (Equity)", I2983&gt;12), "Long Term", "Short Term"))</f>
        <v/>
      </c>
      <c r="K2983" s="5">
        <f>IF(J2983="", "", IF(J2983="Long Term", 12.5%, 20%))</f>
        <v/>
      </c>
      <c r="L2983" s="3">
        <f>+IFERROR(IF(J2983="","",H2983*K2983),"")</f>
        <v/>
      </c>
    </row>
    <row r="2984">
      <c r="A2984" s="11" t="n"/>
      <c r="B2984" s="7" t="n"/>
      <c r="C2984" s="8" t="n"/>
      <c r="D2984" s="9" t="n"/>
      <c r="E2984" s="8" t="n"/>
      <c r="F2984" s="9" t="n"/>
      <c r="G2984" s="9" t="n"/>
      <c r="H2984" s="3">
        <f>IF(AND(D2984&lt;&gt;"",F2984&lt;&gt;""),F2984-D2984-G2984,"")</f>
        <v/>
      </c>
      <c r="I2984" s="14">
        <f>IF(E2984&lt;&gt;"", YEARFRAC(C2984, E2984) * 12, "")</f>
        <v/>
      </c>
      <c r="J2984" s="2">
        <f>IF(I2984="", "", IF(AND(A2984="MF (Equity)", I2984&gt;12), "Long Term", "Short Term"))</f>
        <v/>
      </c>
      <c r="K2984" s="5">
        <f>IF(J2984="", "", IF(J2984="Long Term", 12.5%, 20%))</f>
        <v/>
      </c>
      <c r="L2984" s="3">
        <f>+IFERROR(IF(J2984="","",H2984*K2984),"")</f>
        <v/>
      </c>
    </row>
    <row r="2985">
      <c r="A2985" s="11" t="n"/>
      <c r="B2985" s="7" t="n"/>
      <c r="C2985" s="8" t="n"/>
      <c r="D2985" s="9" t="n"/>
      <c r="E2985" s="8" t="n"/>
      <c r="F2985" s="9" t="n"/>
      <c r="G2985" s="9" t="n"/>
      <c r="H2985" s="3">
        <f>IF(AND(D2985&lt;&gt;"",F2985&lt;&gt;""),F2985-D2985-G2985,"")</f>
        <v/>
      </c>
      <c r="I2985" s="14">
        <f>IF(E2985&lt;&gt;"", YEARFRAC(C2985, E2985) * 12, "")</f>
        <v/>
      </c>
      <c r="J2985" s="2">
        <f>IF(I2985="", "", IF(AND(A2985="MF (Equity)", I2985&gt;12), "Long Term", "Short Term"))</f>
        <v/>
      </c>
      <c r="K2985" s="5">
        <f>IF(J2985="", "", IF(J2985="Long Term", 12.5%, 20%))</f>
        <v/>
      </c>
      <c r="L2985" s="3">
        <f>+IFERROR(IF(J2985="","",H2985*K2985),"")</f>
        <v/>
      </c>
    </row>
    <row r="2986">
      <c r="A2986" s="11" t="n"/>
      <c r="B2986" s="7" t="n"/>
      <c r="C2986" s="8" t="n"/>
      <c r="D2986" s="9" t="n"/>
      <c r="E2986" s="8" t="n"/>
      <c r="F2986" s="9" t="n"/>
      <c r="G2986" s="9" t="n"/>
      <c r="H2986" s="3">
        <f>IF(AND(D2986&lt;&gt;"",F2986&lt;&gt;""),F2986-D2986-G2986,"")</f>
        <v/>
      </c>
      <c r="I2986" s="14">
        <f>IF(E2986&lt;&gt;"", YEARFRAC(C2986, E2986) * 12, "")</f>
        <v/>
      </c>
      <c r="J2986" s="2">
        <f>IF(I2986="", "", IF(AND(A2986="MF (Equity)", I2986&gt;12), "Long Term", "Short Term"))</f>
        <v/>
      </c>
      <c r="K2986" s="5">
        <f>IF(J2986="", "", IF(J2986="Long Term", 12.5%, 20%))</f>
        <v/>
      </c>
      <c r="L2986" s="3">
        <f>+IFERROR(IF(J2986="","",H2986*K2986),"")</f>
        <v/>
      </c>
    </row>
    <row r="2987">
      <c r="A2987" s="11" t="n"/>
      <c r="B2987" s="7" t="n"/>
      <c r="C2987" s="8" t="n"/>
      <c r="D2987" s="9" t="n"/>
      <c r="E2987" s="8" t="n"/>
      <c r="F2987" s="9" t="n"/>
      <c r="G2987" s="9" t="n"/>
      <c r="H2987" s="3">
        <f>IF(AND(D2987&lt;&gt;"",F2987&lt;&gt;""),F2987-D2987-G2987,"")</f>
        <v/>
      </c>
      <c r="I2987" s="14">
        <f>IF(E2987&lt;&gt;"", YEARFRAC(C2987, E2987) * 12, "")</f>
        <v/>
      </c>
      <c r="J2987" s="2">
        <f>IF(I2987="", "", IF(AND(A2987="MF (Equity)", I2987&gt;12), "Long Term", "Short Term"))</f>
        <v/>
      </c>
      <c r="K2987" s="5">
        <f>IF(J2987="", "", IF(J2987="Long Term", 12.5%, 20%))</f>
        <v/>
      </c>
      <c r="L2987" s="3">
        <f>+IFERROR(IF(J2987="","",H2987*K2987),"")</f>
        <v/>
      </c>
    </row>
    <row r="2988">
      <c r="A2988" s="11" t="n"/>
      <c r="B2988" s="7" t="n"/>
      <c r="C2988" s="8" t="n"/>
      <c r="D2988" s="9" t="n"/>
      <c r="E2988" s="8" t="n"/>
      <c r="F2988" s="9" t="n"/>
      <c r="G2988" s="9" t="n"/>
      <c r="H2988" s="3">
        <f>IF(AND(D2988&lt;&gt;"",F2988&lt;&gt;""),F2988-D2988-G2988,"")</f>
        <v/>
      </c>
      <c r="I2988" s="14">
        <f>IF(E2988&lt;&gt;"", YEARFRAC(C2988, E2988) * 12, "")</f>
        <v/>
      </c>
      <c r="J2988" s="2">
        <f>IF(I2988="", "", IF(AND(A2988="MF (Equity)", I2988&gt;12), "Long Term", "Short Term"))</f>
        <v/>
      </c>
      <c r="K2988" s="5">
        <f>IF(J2988="", "", IF(J2988="Long Term", 12.5%, 20%))</f>
        <v/>
      </c>
      <c r="L2988" s="3">
        <f>+IFERROR(IF(J2988="","",H2988*K2988),"")</f>
        <v/>
      </c>
    </row>
    <row r="2989">
      <c r="A2989" s="11" t="n"/>
      <c r="B2989" s="7" t="n"/>
      <c r="C2989" s="8" t="n"/>
      <c r="D2989" s="9" t="n"/>
      <c r="E2989" s="8" t="n"/>
      <c r="F2989" s="9" t="n"/>
      <c r="G2989" s="9" t="n"/>
      <c r="H2989" s="3">
        <f>IF(AND(D2989&lt;&gt;"",F2989&lt;&gt;""),F2989-D2989-G2989,"")</f>
        <v/>
      </c>
      <c r="I2989" s="14">
        <f>IF(E2989&lt;&gt;"", YEARFRAC(C2989, E2989) * 12, "")</f>
        <v/>
      </c>
      <c r="J2989" s="2">
        <f>IF(I2989="", "", IF(AND(A2989="MF (Equity)", I2989&gt;12), "Long Term", "Short Term"))</f>
        <v/>
      </c>
      <c r="K2989" s="5">
        <f>IF(J2989="", "", IF(J2989="Long Term", 12.5%, 20%))</f>
        <v/>
      </c>
      <c r="L2989" s="3">
        <f>+IFERROR(IF(J2989="","",H2989*K2989),"")</f>
        <v/>
      </c>
    </row>
    <row r="2990">
      <c r="A2990" s="11" t="n"/>
      <c r="B2990" s="7" t="n"/>
      <c r="C2990" s="8" t="n"/>
      <c r="D2990" s="9" t="n"/>
      <c r="E2990" s="8" t="n"/>
      <c r="F2990" s="9" t="n"/>
      <c r="G2990" s="9" t="n"/>
      <c r="H2990" s="3">
        <f>IF(AND(D2990&lt;&gt;"",F2990&lt;&gt;""),F2990-D2990-G2990,"")</f>
        <v/>
      </c>
      <c r="I2990" s="14">
        <f>IF(E2990&lt;&gt;"", YEARFRAC(C2990, E2990) * 12, "")</f>
        <v/>
      </c>
      <c r="J2990" s="2">
        <f>IF(I2990="", "", IF(AND(A2990="MF (Equity)", I2990&gt;12), "Long Term", "Short Term"))</f>
        <v/>
      </c>
      <c r="K2990" s="5">
        <f>IF(J2990="", "", IF(J2990="Long Term", 12.5%, 20%))</f>
        <v/>
      </c>
      <c r="L2990" s="3">
        <f>+IFERROR(IF(J2990="","",H2990*K2990),"")</f>
        <v/>
      </c>
    </row>
    <row r="2991">
      <c r="A2991" s="11" t="n"/>
      <c r="B2991" s="7" t="n"/>
      <c r="C2991" s="8" t="n"/>
      <c r="D2991" s="9" t="n"/>
      <c r="E2991" s="8" t="n"/>
      <c r="F2991" s="9" t="n"/>
      <c r="G2991" s="9" t="n"/>
      <c r="H2991" s="3">
        <f>IF(AND(D2991&lt;&gt;"",F2991&lt;&gt;""),F2991-D2991-G2991,"")</f>
        <v/>
      </c>
      <c r="I2991" s="14">
        <f>IF(E2991&lt;&gt;"", YEARFRAC(C2991, E2991) * 12, "")</f>
        <v/>
      </c>
      <c r="J2991" s="2">
        <f>IF(I2991="", "", IF(AND(A2991="MF (Equity)", I2991&gt;12), "Long Term", "Short Term"))</f>
        <v/>
      </c>
      <c r="K2991" s="5">
        <f>IF(J2991="", "", IF(J2991="Long Term", 12.5%, 20%))</f>
        <v/>
      </c>
      <c r="L2991" s="3">
        <f>+IFERROR(IF(J2991="","",H2991*K2991),"")</f>
        <v/>
      </c>
    </row>
    <row r="2992">
      <c r="A2992" s="11" t="n"/>
      <c r="B2992" s="7" t="n"/>
      <c r="C2992" s="8" t="n"/>
      <c r="D2992" s="9" t="n"/>
      <c r="E2992" s="8" t="n"/>
      <c r="F2992" s="9" t="n"/>
      <c r="G2992" s="9" t="n"/>
      <c r="H2992" s="3">
        <f>IF(AND(D2992&lt;&gt;"",F2992&lt;&gt;""),F2992-D2992-G2992,"")</f>
        <v/>
      </c>
      <c r="I2992" s="14">
        <f>IF(E2992&lt;&gt;"", YEARFRAC(C2992, E2992) * 12, "")</f>
        <v/>
      </c>
      <c r="J2992" s="2">
        <f>IF(I2992="", "", IF(AND(A2992="MF (Equity)", I2992&gt;12), "Long Term", "Short Term"))</f>
        <v/>
      </c>
      <c r="K2992" s="5">
        <f>IF(J2992="", "", IF(J2992="Long Term", 12.5%, 20%))</f>
        <v/>
      </c>
      <c r="L2992" s="3">
        <f>+IFERROR(IF(J2992="","",H2992*K2992),"")</f>
        <v/>
      </c>
    </row>
    <row r="2993">
      <c r="A2993" s="11" t="n"/>
      <c r="B2993" s="7" t="n"/>
      <c r="C2993" s="8" t="n"/>
      <c r="D2993" s="9" t="n"/>
      <c r="E2993" s="8" t="n"/>
      <c r="F2993" s="9" t="n"/>
      <c r="G2993" s="9" t="n"/>
      <c r="H2993" s="3">
        <f>IF(AND(D2993&lt;&gt;"",F2993&lt;&gt;""),F2993-D2993-G2993,"")</f>
        <v/>
      </c>
      <c r="I2993" s="14">
        <f>IF(E2993&lt;&gt;"", YEARFRAC(C2993, E2993) * 12, "")</f>
        <v/>
      </c>
      <c r="J2993" s="2">
        <f>IF(I2993="", "", IF(AND(A2993="MF (Equity)", I2993&gt;12), "Long Term", "Short Term"))</f>
        <v/>
      </c>
      <c r="K2993" s="5">
        <f>IF(J2993="", "", IF(J2993="Long Term", 12.5%, 20%))</f>
        <v/>
      </c>
      <c r="L2993" s="3">
        <f>+IFERROR(IF(J2993="","",H2993*K2993),"")</f>
        <v/>
      </c>
    </row>
    <row r="2994">
      <c r="A2994" s="11" t="n"/>
      <c r="B2994" s="7" t="n"/>
      <c r="C2994" s="8" t="n"/>
      <c r="D2994" s="9" t="n"/>
      <c r="E2994" s="8" t="n"/>
      <c r="F2994" s="9" t="n"/>
      <c r="G2994" s="9" t="n"/>
      <c r="H2994" s="3">
        <f>IF(AND(D2994&lt;&gt;"",F2994&lt;&gt;""),F2994-D2994-G2994,"")</f>
        <v/>
      </c>
      <c r="I2994" s="14">
        <f>IF(E2994&lt;&gt;"", YEARFRAC(C2994, E2994) * 12, "")</f>
        <v/>
      </c>
      <c r="J2994" s="2">
        <f>IF(I2994="", "", IF(AND(A2994="MF (Equity)", I2994&gt;12), "Long Term", "Short Term"))</f>
        <v/>
      </c>
      <c r="K2994" s="5">
        <f>IF(J2994="", "", IF(J2994="Long Term", 12.5%, 20%))</f>
        <v/>
      </c>
      <c r="L2994" s="3">
        <f>+IFERROR(IF(J2994="","",H2994*K2994),"")</f>
        <v/>
      </c>
    </row>
    <row r="2995">
      <c r="A2995" s="11" t="n"/>
      <c r="B2995" s="7" t="n"/>
      <c r="C2995" s="8" t="n"/>
      <c r="D2995" s="9" t="n"/>
      <c r="E2995" s="8" t="n"/>
      <c r="F2995" s="9" t="n"/>
      <c r="G2995" s="9" t="n"/>
      <c r="H2995" s="3">
        <f>IF(AND(D2995&lt;&gt;"",F2995&lt;&gt;""),F2995-D2995-G2995,"")</f>
        <v/>
      </c>
      <c r="I2995" s="14">
        <f>IF(E2995&lt;&gt;"", YEARFRAC(C2995, E2995) * 12, "")</f>
        <v/>
      </c>
      <c r="J2995" s="2">
        <f>IF(I2995="", "", IF(AND(A2995="MF (Equity)", I2995&gt;12), "Long Term", "Short Term"))</f>
        <v/>
      </c>
      <c r="K2995" s="5">
        <f>IF(J2995="", "", IF(J2995="Long Term", 12.5%, 20%))</f>
        <v/>
      </c>
      <c r="L2995" s="3">
        <f>+IFERROR(IF(J2995="","",H2995*K2995),"")</f>
        <v/>
      </c>
    </row>
    <row r="2996">
      <c r="A2996" s="11" t="n"/>
      <c r="B2996" s="7" t="n"/>
      <c r="C2996" s="8" t="n"/>
      <c r="D2996" s="9" t="n"/>
      <c r="E2996" s="8" t="n"/>
      <c r="F2996" s="9" t="n"/>
      <c r="G2996" s="9" t="n"/>
      <c r="H2996" s="3">
        <f>IF(AND(D2996&lt;&gt;"",F2996&lt;&gt;""),F2996-D2996-G2996,"")</f>
        <v/>
      </c>
      <c r="I2996" s="14">
        <f>IF(E2996&lt;&gt;"", YEARFRAC(C2996, E2996) * 12, "")</f>
        <v/>
      </c>
      <c r="J2996" s="2">
        <f>IF(I2996="", "", IF(AND(A2996="MF (Equity)", I2996&gt;12), "Long Term", "Short Term"))</f>
        <v/>
      </c>
      <c r="K2996" s="5">
        <f>IF(J2996="", "", IF(J2996="Long Term", 12.5%, 20%))</f>
        <v/>
      </c>
      <c r="L2996" s="3">
        <f>+IFERROR(IF(J2996="","",H2996*K2996),"")</f>
        <v/>
      </c>
    </row>
    <row r="2997">
      <c r="A2997" s="11" t="n"/>
      <c r="B2997" s="7" t="n"/>
      <c r="C2997" s="8" t="n"/>
      <c r="D2997" s="9" t="n"/>
      <c r="E2997" s="8" t="n"/>
      <c r="F2997" s="9" t="n"/>
      <c r="G2997" s="9" t="n"/>
      <c r="H2997" s="3">
        <f>IF(AND(D2997&lt;&gt;"",F2997&lt;&gt;""),F2997-D2997-G2997,"")</f>
        <v/>
      </c>
      <c r="I2997" s="14">
        <f>IF(E2997&lt;&gt;"", YEARFRAC(C2997, E2997) * 12, "")</f>
        <v/>
      </c>
      <c r="J2997" s="2">
        <f>IF(I2997="", "", IF(AND(A2997="MF (Equity)", I2997&gt;12), "Long Term", "Short Term"))</f>
        <v/>
      </c>
      <c r="K2997" s="5">
        <f>IF(J2997="", "", IF(J2997="Long Term", 12.5%, 20%))</f>
        <v/>
      </c>
      <c r="L2997" s="3">
        <f>+IFERROR(IF(J2997="","",H2997*K2997),"")</f>
        <v/>
      </c>
    </row>
    <row r="2998">
      <c r="A2998" s="11" t="n"/>
      <c r="B2998" s="7" t="n"/>
      <c r="C2998" s="8" t="n"/>
      <c r="D2998" s="9" t="n"/>
      <c r="E2998" s="8" t="n"/>
      <c r="F2998" s="9" t="n"/>
      <c r="G2998" s="9" t="n"/>
      <c r="H2998" s="3">
        <f>IF(AND(D2998&lt;&gt;"",F2998&lt;&gt;""),F2998-D2998-G2998,"")</f>
        <v/>
      </c>
      <c r="I2998" s="14">
        <f>IF(E2998&lt;&gt;"", YEARFRAC(C2998, E2998) * 12, "")</f>
        <v/>
      </c>
      <c r="J2998" s="2">
        <f>IF(I2998="", "", IF(AND(A2998="MF (Equity)", I2998&gt;12), "Long Term", "Short Term"))</f>
        <v/>
      </c>
      <c r="K2998" s="5">
        <f>IF(J2998="", "", IF(J2998="Long Term", 12.5%, 20%))</f>
        <v/>
      </c>
      <c r="L2998" s="3">
        <f>+IFERROR(IF(J2998="","",H2998*K2998),"")</f>
        <v/>
      </c>
    </row>
    <row r="2999">
      <c r="A2999" s="11" t="n"/>
      <c r="B2999" s="7" t="n"/>
      <c r="C2999" s="8" t="n"/>
      <c r="D2999" s="9" t="n"/>
      <c r="E2999" s="8" t="n"/>
      <c r="F2999" s="9" t="n"/>
      <c r="G2999" s="9" t="n"/>
      <c r="H2999" s="3">
        <f>IF(AND(D2999&lt;&gt;"",F2999&lt;&gt;""),F2999-D2999-G2999,"")</f>
        <v/>
      </c>
      <c r="I2999" s="14">
        <f>IF(E2999&lt;&gt;"", YEARFRAC(C2999, E2999) * 12, "")</f>
        <v/>
      </c>
      <c r="J2999" s="2">
        <f>IF(I2999="", "", IF(AND(A2999="MF (Equity)", I2999&gt;12), "Long Term", "Short Term"))</f>
        <v/>
      </c>
      <c r="K2999" s="5">
        <f>IF(J2999="", "", IF(J2999="Long Term", 12.5%, 20%))</f>
        <v/>
      </c>
      <c r="L2999" s="3">
        <f>+IFERROR(IF(J2999="","",H2999*K2999),"")</f>
        <v/>
      </c>
    </row>
    <row r="3000">
      <c r="A3000" s="11" t="n"/>
      <c r="B3000" s="7" t="n"/>
      <c r="C3000" s="8" t="n"/>
      <c r="D3000" s="9" t="n"/>
      <c r="E3000" s="8" t="n"/>
      <c r="F3000" s="9" t="n"/>
      <c r="G3000" s="9" t="n"/>
      <c r="H3000" s="3">
        <f>IF(AND(D3000&lt;&gt;"",F3000&lt;&gt;""),F3000-D3000-G3000,"")</f>
        <v/>
      </c>
      <c r="I3000" s="14">
        <f>IF(E3000&lt;&gt;"", YEARFRAC(C3000, E3000) * 12, "")</f>
        <v/>
      </c>
      <c r="J3000" s="2">
        <f>IF(I3000="", "", IF(AND(A3000="MF (Equity)", I3000&gt;12), "Long Term", "Short Term"))</f>
        <v/>
      </c>
      <c r="K3000" s="5">
        <f>IF(J3000="", "", IF(J3000="Long Term", 12.5%, 20%))</f>
        <v/>
      </c>
      <c r="L3000" s="3">
        <f>+IFERROR(IF(J3000="","",H3000*K3000),"")</f>
        <v/>
      </c>
    </row>
    <row r="3001">
      <c r="A3001" s="11" t="n"/>
      <c r="B3001" s="7" t="n"/>
      <c r="C3001" s="8" t="n"/>
      <c r="D3001" s="9" t="n"/>
      <c r="E3001" s="8" t="n"/>
      <c r="F3001" s="9" t="n"/>
      <c r="G3001" s="9" t="n"/>
      <c r="H3001" s="3">
        <f>IF(AND(D3001&lt;&gt;"",F3001&lt;&gt;""),F3001-D3001-G3001,"")</f>
        <v/>
      </c>
      <c r="I3001" s="14">
        <f>IF(E3001&lt;&gt;"", YEARFRAC(C3001, E3001) * 12, "")</f>
        <v/>
      </c>
      <c r="J3001" s="2">
        <f>IF(I3001="", "", IF(AND(A3001="MF (Equity)", I3001&gt;12), "Long Term", "Short Term"))</f>
        <v/>
      </c>
      <c r="K3001" s="5">
        <f>IF(J3001="", "", IF(J3001="Long Term", 12.5%, 20%))</f>
        <v/>
      </c>
      <c r="L3001" s="3">
        <f>+IFERROR(IF(J3001="","",H3001*K3001),"")</f>
        <v/>
      </c>
    </row>
    <row r="3002">
      <c r="I3002" s="6" t="n"/>
    </row>
  </sheetData>
  <dataValidations count="2">
    <dataValidation sqref="A2:A3001" showDropDown="0" showInputMessage="1" showErrorMessage="1" allowBlank="1" type="list">
      <formula1>"MF (Equity), MF (Other than Equity)"</formula1>
    </dataValidation>
    <dataValidation sqref="C2:C3001 E2:E3001" showDropDown="0" showInputMessage="1" showErrorMessage="1" allowBlank="1" type="date" operator="greaterThan">
      <formula1>92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Yash Jindal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2026-04-05T03:44:38Z</dcterms:modified>
  <cp:lastModifiedBy>Yash Jindal</cp:lastModifiedBy>
</cp:coreProperties>
</file>